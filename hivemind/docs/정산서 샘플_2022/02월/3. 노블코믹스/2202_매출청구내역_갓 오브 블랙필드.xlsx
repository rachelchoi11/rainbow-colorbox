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3. 노블코믹스\"/>
    </mc:Choice>
  </mc:AlternateContent>
  <bookViews>
    <workbookView xWindow="0" yWindow="0" windowWidth="23040" windowHeight="8604" firstSheet="1" activeTab="1"/>
  </bookViews>
  <sheets>
    <sheet name="서비스현황" sheetId="28" r:id="rId1"/>
    <sheet name="합계표" sheetId="66" r:id="rId2"/>
    <sheet name="202201" sheetId="85" r:id="rId3"/>
    <sheet name="202112" sheetId="84" r:id="rId4"/>
    <sheet name="202111" sheetId="83" r:id="rId5"/>
    <sheet name="202110" sheetId="82" r:id="rId6"/>
    <sheet name="202109" sheetId="81" r:id="rId7"/>
    <sheet name="202108" sheetId="80" r:id="rId8"/>
    <sheet name="202107" sheetId="79" r:id="rId9"/>
    <sheet name="202106" sheetId="78" r:id="rId10"/>
    <sheet name="202105" sheetId="77" r:id="rId11"/>
    <sheet name="202104" sheetId="76" r:id="rId12"/>
    <sheet name="202103" sheetId="75" r:id="rId13"/>
    <sheet name="202102" sheetId="74" r:id="rId14"/>
    <sheet name="202101" sheetId="73" r:id="rId15"/>
    <sheet name="202012" sheetId="72" r:id="rId16"/>
    <sheet name="202011" sheetId="71" r:id="rId17"/>
    <sheet name="202010" sheetId="70" r:id="rId18"/>
    <sheet name="202009" sheetId="69" r:id="rId19"/>
    <sheet name="202008" sheetId="68" r:id="rId20"/>
    <sheet name="202007" sheetId="67" r:id="rId21"/>
    <sheet name="202006" sheetId="65" r:id="rId22"/>
    <sheet name="202005" sheetId="64" r:id="rId23"/>
    <sheet name="202004" sheetId="63" r:id="rId24"/>
    <sheet name="202003" sheetId="62" r:id="rId25"/>
  </sheets>
  <calcPr calcId="152511"/>
</workbook>
</file>

<file path=xl/calcChain.xml><?xml version="1.0" encoding="utf-8"?>
<calcChain xmlns="http://schemas.openxmlformats.org/spreadsheetml/2006/main">
  <c r="J9" i="85" l="1"/>
  <c r="J8" i="85"/>
  <c r="J7" i="85"/>
  <c r="J6" i="85"/>
  <c r="J5" i="85"/>
  <c r="J4" i="85"/>
  <c r="J10" i="85" s="1"/>
  <c r="B3" i="66"/>
  <c r="H30" i="66"/>
  <c r="F30" i="66"/>
  <c r="G30" i="66"/>
  <c r="D31" i="66"/>
  <c r="E31" i="66" s="1"/>
  <c r="C31" i="66"/>
  <c r="K31" i="66"/>
  <c r="F10" i="85"/>
  <c r="E10" i="85"/>
  <c r="D10" i="85"/>
  <c r="C10" i="85"/>
  <c r="H9" i="85"/>
  <c r="I9" i="85" s="1"/>
  <c r="H8" i="85"/>
  <c r="I8" i="85" s="1"/>
  <c r="H7" i="85"/>
  <c r="I7" i="85" s="1"/>
  <c r="H6" i="85"/>
  <c r="I6" i="85" s="1"/>
  <c r="H5" i="85"/>
  <c r="I5" i="85" s="1"/>
  <c r="G4" i="85"/>
  <c r="G10" i="85" s="1"/>
  <c r="H4" i="85" l="1"/>
  <c r="H10" i="85" l="1"/>
  <c r="I4" i="85"/>
  <c r="I10" i="85" s="1"/>
  <c r="H29" i="66" l="1"/>
  <c r="G29" i="66"/>
  <c r="F29" i="66"/>
  <c r="D30" i="66"/>
  <c r="E30" i="66" s="1"/>
  <c r="C30" i="66"/>
  <c r="K30" i="66"/>
  <c r="J10" i="84"/>
  <c r="J9" i="84"/>
  <c r="J8" i="84"/>
  <c r="J7" i="84"/>
  <c r="J6" i="84"/>
  <c r="J5" i="84"/>
  <c r="J4" i="84"/>
  <c r="F10" i="84"/>
  <c r="D10" i="84"/>
  <c r="C10" i="84"/>
  <c r="H9" i="84"/>
  <c r="I9" i="84" s="1"/>
  <c r="H8" i="84"/>
  <c r="I8" i="84" s="1"/>
  <c r="H7" i="84"/>
  <c r="I7" i="84" s="1"/>
  <c r="H6" i="84"/>
  <c r="I6" i="84" s="1"/>
  <c r="H5" i="84"/>
  <c r="I5" i="84" s="1"/>
  <c r="G4" i="84"/>
  <c r="G10" i="84" s="1"/>
  <c r="H4" i="84" l="1"/>
  <c r="H10" i="84" s="1"/>
  <c r="I4" i="84" l="1"/>
  <c r="I10" i="84" s="1"/>
  <c r="J10" i="83" l="1"/>
  <c r="J9" i="83"/>
  <c r="J8" i="83"/>
  <c r="J7" i="83"/>
  <c r="J6" i="83"/>
  <c r="J5" i="83"/>
  <c r="J4" i="83"/>
  <c r="F28" i="66"/>
  <c r="G28" i="66"/>
  <c r="H28" i="66" s="1"/>
  <c r="C29" i="66"/>
  <c r="D29" i="66"/>
  <c r="E29" i="66" s="1"/>
  <c r="K29" i="66"/>
  <c r="F10" i="83"/>
  <c r="D10" i="83"/>
  <c r="C10" i="83"/>
  <c r="H9" i="83"/>
  <c r="I9" i="83" s="1"/>
  <c r="H8" i="83"/>
  <c r="I8" i="83" s="1"/>
  <c r="H7" i="83"/>
  <c r="I7" i="83" s="1"/>
  <c r="H6" i="83"/>
  <c r="I6" i="83" s="1"/>
  <c r="H5" i="83"/>
  <c r="I5" i="83" s="1"/>
  <c r="G4" i="83"/>
  <c r="G10" i="83" s="1"/>
  <c r="H4" i="83" l="1"/>
  <c r="I4" i="83" s="1"/>
  <c r="I10" i="83"/>
  <c r="H10" i="83"/>
  <c r="H27" i="66"/>
  <c r="F27" i="66"/>
  <c r="K27" i="66" s="1"/>
  <c r="G27" i="66"/>
  <c r="C28" i="66"/>
  <c r="D28" i="66"/>
  <c r="E28" i="66" s="1"/>
  <c r="K28" i="66"/>
  <c r="J9" i="82"/>
  <c r="J8" i="82"/>
  <c r="J7" i="82"/>
  <c r="J6" i="82"/>
  <c r="G4" i="82"/>
  <c r="H4" i="82" s="1"/>
  <c r="E4" i="81"/>
  <c r="F10" i="82"/>
  <c r="D10" i="82"/>
  <c r="C10" i="82"/>
  <c r="H9" i="82"/>
  <c r="I9" i="82" s="1"/>
  <c r="H8" i="82"/>
  <c r="I8" i="82" s="1"/>
  <c r="H7" i="82"/>
  <c r="I7" i="82" s="1"/>
  <c r="H6" i="82"/>
  <c r="I6" i="82" s="1"/>
  <c r="H5" i="82"/>
  <c r="I5" i="82" s="1"/>
  <c r="J5" i="82" s="1"/>
  <c r="I4" i="82" l="1"/>
  <c r="H10" i="82"/>
  <c r="G10" i="82"/>
  <c r="I10" i="82" l="1"/>
  <c r="J4" i="82"/>
  <c r="J10" i="82" s="1"/>
  <c r="F26" i="66" l="1"/>
  <c r="D27" i="66"/>
  <c r="E27" i="66" s="1"/>
  <c r="C27" i="66"/>
  <c r="G26" i="66"/>
  <c r="H26" i="66" s="1"/>
  <c r="H11" i="81"/>
  <c r="H9" i="81"/>
  <c r="H10" i="81"/>
  <c r="H8" i="81"/>
  <c r="H7" i="81"/>
  <c r="H6" i="81"/>
  <c r="H5" i="81"/>
  <c r="H4" i="81"/>
  <c r="D11" i="81"/>
  <c r="C11" i="81"/>
  <c r="F10" i="81"/>
  <c r="G10" i="81" s="1"/>
  <c r="F9" i="81"/>
  <c r="G9" i="81" s="1"/>
  <c r="F8" i="81"/>
  <c r="G8" i="81" s="1"/>
  <c r="F7" i="81"/>
  <c r="G7" i="81" s="1"/>
  <c r="F6" i="81"/>
  <c r="G6" i="81" s="1"/>
  <c r="F5" i="81"/>
  <c r="G5" i="81" s="1"/>
  <c r="E5" i="81"/>
  <c r="E11" i="81"/>
  <c r="F4" i="81" l="1"/>
  <c r="G25" i="66"/>
  <c r="H25" i="66" s="1"/>
  <c r="F25" i="66"/>
  <c r="D26" i="66"/>
  <c r="C26" i="66"/>
  <c r="H10" i="80"/>
  <c r="H7" i="80"/>
  <c r="H8" i="80"/>
  <c r="H9" i="80"/>
  <c r="H6" i="80"/>
  <c r="H5" i="80"/>
  <c r="H4" i="80"/>
  <c r="D10" i="80"/>
  <c r="C10" i="80"/>
  <c r="F9" i="80"/>
  <c r="G9" i="80" s="1"/>
  <c r="F8" i="80"/>
  <c r="G8" i="80" s="1"/>
  <c r="F7" i="80"/>
  <c r="G7" i="80" s="1"/>
  <c r="F6" i="80"/>
  <c r="G6" i="80" s="1"/>
  <c r="F5" i="80"/>
  <c r="G5" i="80" s="1"/>
  <c r="E4" i="80"/>
  <c r="F4" i="80" s="1"/>
  <c r="K26" i="66"/>
  <c r="E26" i="66"/>
  <c r="F11" i="81" l="1"/>
  <c r="G4" i="81"/>
  <c r="G11" i="81" s="1"/>
  <c r="E10" i="80"/>
  <c r="F10" i="80"/>
  <c r="G4" i="80"/>
  <c r="G10" i="80" s="1"/>
  <c r="H8" i="79"/>
  <c r="F24" i="66" l="1"/>
  <c r="G24" i="66"/>
  <c r="H24" i="66" s="1"/>
  <c r="D25" i="66"/>
  <c r="E25" i="66" s="1"/>
  <c r="C25" i="66"/>
  <c r="K25" i="66"/>
  <c r="H7" i="79"/>
  <c r="H6" i="79"/>
  <c r="H5" i="79"/>
  <c r="H4" i="79"/>
  <c r="E8" i="79"/>
  <c r="D8" i="79"/>
  <c r="C8" i="79"/>
  <c r="F7" i="79"/>
  <c r="G7" i="79" s="1"/>
  <c r="F6" i="79"/>
  <c r="G6" i="79" s="1"/>
  <c r="F5" i="79"/>
  <c r="G5" i="79" s="1"/>
  <c r="F4" i="79"/>
  <c r="F8" i="79" s="1"/>
  <c r="G4" i="79" l="1"/>
  <c r="G8" i="79" s="1"/>
  <c r="K24" i="66"/>
  <c r="H8" i="78"/>
  <c r="G23" i="66" l="1"/>
  <c r="H23" i="66" s="1"/>
  <c r="F23" i="66"/>
  <c r="K23" i="66" s="1"/>
  <c r="D24" i="66"/>
  <c r="E24" i="66" s="1"/>
  <c r="C24" i="66"/>
  <c r="H7" i="78"/>
  <c r="H6" i="78"/>
  <c r="H5" i="78"/>
  <c r="H4" i="78"/>
  <c r="D8" i="78"/>
  <c r="C8" i="78"/>
  <c r="F7" i="78"/>
  <c r="G7" i="78" s="1"/>
  <c r="F6" i="78"/>
  <c r="G6" i="78" s="1"/>
  <c r="F5" i="78"/>
  <c r="G5" i="78" s="1"/>
  <c r="E4" i="78"/>
  <c r="E8" i="78" s="1"/>
  <c r="F4" i="78" l="1"/>
  <c r="F8" i="78" l="1"/>
  <c r="G4" i="78"/>
  <c r="G8" i="78" s="1"/>
  <c r="H8" i="77" l="1"/>
  <c r="H7" i="77"/>
  <c r="H6" i="77"/>
  <c r="H5" i="77"/>
  <c r="H4" i="77"/>
  <c r="F22" i="66"/>
  <c r="K22" i="66" s="1"/>
  <c r="G22" i="66"/>
  <c r="H22" i="66" s="1"/>
  <c r="C23" i="66"/>
  <c r="D23" i="66"/>
  <c r="E23" i="66" s="1"/>
  <c r="D8" i="77"/>
  <c r="C8" i="77"/>
  <c r="F7" i="77"/>
  <c r="G7" i="77" s="1"/>
  <c r="F6" i="77"/>
  <c r="G6" i="77" s="1"/>
  <c r="F5" i="77"/>
  <c r="G5" i="77" s="1"/>
  <c r="E4" i="77"/>
  <c r="F4" i="77" s="1"/>
  <c r="F8" i="77" l="1"/>
  <c r="G4" i="77"/>
  <c r="G8" i="77" s="1"/>
  <c r="E8" i="77"/>
  <c r="H9" i="76" l="1"/>
  <c r="H5" i="76" l="1"/>
  <c r="H6" i="76"/>
  <c r="H7" i="76"/>
  <c r="H8" i="76"/>
  <c r="H4" i="76"/>
  <c r="G21" i="66"/>
  <c r="H21" i="66" s="1"/>
  <c r="F21" i="66"/>
  <c r="K21" i="66"/>
  <c r="D22" i="66"/>
  <c r="E22" i="66" s="1"/>
  <c r="C22" i="66"/>
  <c r="E9" i="76"/>
  <c r="D9" i="76"/>
  <c r="C9" i="76"/>
  <c r="F8" i="76"/>
  <c r="G8" i="76" s="1"/>
  <c r="G7" i="76"/>
  <c r="F7" i="76"/>
  <c r="F6" i="76"/>
  <c r="G6" i="76" s="1"/>
  <c r="F5" i="76"/>
  <c r="G5" i="76" s="1"/>
  <c r="F4" i="76"/>
  <c r="F9" i="76" s="1"/>
  <c r="G4" i="76" l="1"/>
  <c r="G9" i="76" s="1"/>
  <c r="H20" i="66" l="1"/>
  <c r="E21" i="66"/>
  <c r="F8" i="66" l="1"/>
  <c r="F20" i="66"/>
  <c r="K20" i="66" s="1"/>
  <c r="G20" i="66"/>
  <c r="C21" i="66"/>
  <c r="D21" i="66"/>
  <c r="D6" i="75"/>
  <c r="C6" i="75"/>
  <c r="F5" i="75"/>
  <c r="G5" i="75" s="1"/>
  <c r="H5" i="75" s="1"/>
  <c r="E4" i="75"/>
  <c r="E6" i="75" s="1"/>
  <c r="F4" i="75" l="1"/>
  <c r="G4" i="75" l="1"/>
  <c r="F6" i="75"/>
  <c r="G6" i="75" l="1"/>
  <c r="H6" i="75" s="1"/>
  <c r="H4" i="75"/>
  <c r="C20" i="66" l="1"/>
  <c r="E20" i="66"/>
  <c r="D20" i="66"/>
  <c r="F19" i="66"/>
  <c r="K19" i="66" s="1"/>
  <c r="H19" i="66"/>
  <c r="G19" i="66"/>
  <c r="D6" i="74"/>
  <c r="C6" i="74"/>
  <c r="F5" i="74"/>
  <c r="G5" i="74" s="1"/>
  <c r="H5" i="74" s="1"/>
  <c r="E4" i="74"/>
  <c r="E6" i="74" s="1"/>
  <c r="F4" i="74" l="1"/>
  <c r="F6" i="74" l="1"/>
  <c r="G4" i="74"/>
  <c r="G6" i="74" l="1"/>
  <c r="H6" i="74" s="1"/>
  <c r="H4" i="74"/>
  <c r="F18" i="66" l="1"/>
  <c r="K18" i="66" s="1"/>
  <c r="K17" i="66"/>
  <c r="C19" i="66"/>
  <c r="H18" i="66"/>
  <c r="E19" i="66"/>
  <c r="D6" i="73"/>
  <c r="C6" i="73"/>
  <c r="F5" i="73"/>
  <c r="G5" i="73" s="1"/>
  <c r="H5" i="73" s="1"/>
  <c r="E4" i="73"/>
  <c r="F4" i="73" s="1"/>
  <c r="F6" i="73" s="1"/>
  <c r="E6" i="73" l="1"/>
  <c r="G18" i="66"/>
  <c r="G4" i="73"/>
  <c r="F17" i="66"/>
  <c r="H17" i="66"/>
  <c r="G17" i="66"/>
  <c r="C18" i="66"/>
  <c r="E18" i="66"/>
  <c r="D18" i="66"/>
  <c r="G5" i="72"/>
  <c r="H5" i="72" s="1"/>
  <c r="G4" i="72"/>
  <c r="G6" i="72" s="1"/>
  <c r="H4" i="72"/>
  <c r="G6" i="73" l="1"/>
  <c r="H6" i="73" s="1"/>
  <c r="H4" i="73"/>
  <c r="D19" i="66"/>
  <c r="H6" i="72"/>
  <c r="K14" i="66" l="1"/>
  <c r="K15" i="66"/>
  <c r="K16" i="66"/>
  <c r="K11" i="66"/>
  <c r="K12" i="66"/>
  <c r="K13" i="66"/>
  <c r="K10" i="66"/>
  <c r="E17" i="66" l="1"/>
  <c r="D17" i="66"/>
  <c r="G5" i="71"/>
  <c r="H16" i="66"/>
  <c r="G16" i="66"/>
  <c r="H6" i="71"/>
  <c r="G6" i="71"/>
  <c r="C17" i="66"/>
  <c r="G4" i="71"/>
  <c r="E6" i="71"/>
  <c r="D6" i="71"/>
  <c r="C6" i="71"/>
  <c r="F5" i="71"/>
  <c r="F4" i="71"/>
  <c r="H5" i="71" l="1"/>
  <c r="H4" i="71"/>
  <c r="F6" i="71"/>
  <c r="H15" i="66"/>
  <c r="G15" i="66"/>
  <c r="C16" i="66"/>
  <c r="D7" i="70"/>
  <c r="C7" i="70"/>
  <c r="F6" i="70"/>
  <c r="G6" i="70" s="1"/>
  <c r="H6" i="70" s="1"/>
  <c r="E5" i="70"/>
  <c r="F5" i="70" s="1"/>
  <c r="F7" i="70" l="1"/>
  <c r="G5" i="70"/>
  <c r="D16" i="66" s="1"/>
  <c r="E7" i="70"/>
  <c r="G7" i="70" l="1"/>
  <c r="H5" i="70"/>
  <c r="H7" i="70" l="1"/>
  <c r="E16" i="66"/>
  <c r="H14" i="66"/>
  <c r="G14" i="66"/>
  <c r="E15" i="66"/>
  <c r="D15" i="66"/>
  <c r="C15" i="66"/>
  <c r="C26" i="69"/>
  <c r="D25" i="68"/>
  <c r="C25" i="68"/>
  <c r="D24" i="67"/>
  <c r="C24" i="67"/>
  <c r="D25" i="69"/>
  <c r="C25" i="69"/>
  <c r="C24" i="69"/>
  <c r="C23" i="69"/>
  <c r="C22" i="69"/>
  <c r="C21" i="69"/>
  <c r="C20" i="69"/>
  <c r="C19" i="69"/>
  <c r="B19" i="69"/>
  <c r="B26" i="69" s="1"/>
  <c r="D7" i="69"/>
  <c r="C7" i="69"/>
  <c r="F6" i="69"/>
  <c r="G6" i="69" s="1"/>
  <c r="H6" i="69" s="1"/>
  <c r="E5" i="69"/>
  <c r="E7" i="69" s="1"/>
  <c r="D20" i="69" l="1"/>
  <c r="D21" i="69" s="1"/>
  <c r="D22" i="69" s="1"/>
  <c r="D23" i="69" s="1"/>
  <c r="D24" i="69" s="1"/>
  <c r="F5" i="69"/>
  <c r="H13" i="66"/>
  <c r="F7" i="69" l="1"/>
  <c r="G5" i="69"/>
  <c r="G13" i="66"/>
  <c r="E14" i="66"/>
  <c r="D14" i="66"/>
  <c r="C14" i="66"/>
  <c r="D24" i="68"/>
  <c r="C24" i="68"/>
  <c r="C23" i="68"/>
  <c r="C22" i="68"/>
  <c r="C21" i="68"/>
  <c r="C20" i="68"/>
  <c r="C19" i="68"/>
  <c r="E7" i="68"/>
  <c r="D7" i="68"/>
  <c r="C7" i="68"/>
  <c r="F6" i="68"/>
  <c r="G6" i="68" s="1"/>
  <c r="H6" i="68" s="1"/>
  <c r="E5" i="68"/>
  <c r="F5" i="68" s="1"/>
  <c r="G7" i="69" l="1"/>
  <c r="H5" i="69"/>
  <c r="H7" i="69" s="1"/>
  <c r="G5" i="68"/>
  <c r="G7" i="68" s="1"/>
  <c r="F7" i="68"/>
  <c r="H5" i="68"/>
  <c r="H7" i="68" s="1"/>
  <c r="H12" i="66"/>
  <c r="G12" i="66"/>
  <c r="E13" i="66"/>
  <c r="D13" i="66"/>
  <c r="C13" i="66"/>
  <c r="C23" i="67"/>
  <c r="C22" i="67"/>
  <c r="C21" i="67"/>
  <c r="H7" i="67"/>
  <c r="H6" i="67"/>
  <c r="H5" i="67"/>
  <c r="G7" i="67"/>
  <c r="G6" i="67"/>
  <c r="G5" i="67"/>
  <c r="E5" i="67"/>
  <c r="F5" i="67" s="1"/>
  <c r="D7" i="67"/>
  <c r="C7" i="67"/>
  <c r="F6" i="67"/>
  <c r="E7" i="67" l="1"/>
  <c r="F7" i="67"/>
  <c r="H10" i="66"/>
  <c r="E11" i="66"/>
  <c r="D11" i="66"/>
  <c r="C21" i="65"/>
  <c r="B19" i="64"/>
  <c r="B18" i="63"/>
  <c r="B19" i="67" l="1"/>
  <c r="B24" i="67" s="1"/>
  <c r="B19" i="68"/>
  <c r="B19" i="65"/>
  <c r="B23" i="65" s="1"/>
  <c r="E5" i="65"/>
  <c r="E7" i="65" s="1"/>
  <c r="E5" i="64"/>
  <c r="F5" i="64" s="1"/>
  <c r="D7" i="65"/>
  <c r="C7" i="65"/>
  <c r="F6" i="65"/>
  <c r="D20" i="68" l="1"/>
  <c r="D21" i="68" s="1"/>
  <c r="D22" i="68" s="1"/>
  <c r="D23" i="68" s="1"/>
  <c r="B25" i="68"/>
  <c r="G6" i="65"/>
  <c r="H6" i="65" s="1"/>
  <c r="H11" i="66" s="1"/>
  <c r="H8" i="66" s="1"/>
  <c r="G5" i="64"/>
  <c r="C11" i="66"/>
  <c r="F5" i="65"/>
  <c r="C12" i="66" l="1"/>
  <c r="G5" i="65"/>
  <c r="G11" i="66"/>
  <c r="H5" i="64"/>
  <c r="F7" i="65"/>
  <c r="C22" i="65" s="1"/>
  <c r="H5" i="65" l="1"/>
  <c r="D12" i="66"/>
  <c r="G7" i="65"/>
  <c r="F6" i="64"/>
  <c r="G6" i="64" s="1"/>
  <c r="E12" i="66" l="1"/>
  <c r="H7" i="65"/>
  <c r="H6" i="64"/>
  <c r="H7" i="64" s="1"/>
  <c r="G10" i="66"/>
  <c r="G8" i="66" s="1"/>
  <c r="B22" i="64"/>
  <c r="E7" i="64"/>
  <c r="D7" i="64"/>
  <c r="C7" i="64"/>
  <c r="F7" i="64"/>
  <c r="C21" i="64" s="1"/>
  <c r="C5" i="63" l="1"/>
  <c r="D6" i="63"/>
  <c r="E5" i="63" l="1"/>
  <c r="F5" i="63" s="1"/>
  <c r="G7" i="64"/>
  <c r="C6" i="63"/>
  <c r="E6" i="63"/>
  <c r="G5" i="63" l="1"/>
  <c r="C10" i="66"/>
  <c r="C5" i="62"/>
  <c r="H5" i="63" l="1"/>
  <c r="H6" i="63" s="1"/>
  <c r="E10" i="66" s="1"/>
  <c r="F6" i="63"/>
  <c r="C19" i="63" s="1"/>
  <c r="G6" i="63"/>
  <c r="D10" i="66" s="1"/>
  <c r="D19" i="62"/>
  <c r="B20" i="63" s="1"/>
  <c r="B19" i="62"/>
  <c r="D6" i="62"/>
  <c r="E5" i="62"/>
  <c r="F5" i="62" s="1"/>
  <c r="C6" i="62"/>
  <c r="C20" i="64" l="1"/>
  <c r="C20" i="67"/>
  <c r="C20" i="65"/>
  <c r="G5" i="62"/>
  <c r="G6" i="62" s="1"/>
  <c r="D9" i="66" s="1"/>
  <c r="D8" i="66" s="1"/>
  <c r="C9" i="66"/>
  <c r="C8" i="66" s="1"/>
  <c r="E6" i="62"/>
  <c r="H5" i="62" l="1"/>
  <c r="H6" i="62" s="1"/>
  <c r="E9" i="66" s="1"/>
  <c r="F6" i="62"/>
  <c r="C18" i="62" s="1"/>
  <c r="C19" i="62" s="1"/>
  <c r="E8" i="66" l="1"/>
  <c r="D3" i="66" s="1"/>
  <c r="C19" i="67"/>
  <c r="C19" i="65"/>
  <c r="D20" i="65" s="1"/>
  <c r="D21" i="65" s="1"/>
  <c r="D22" i="65" s="1"/>
  <c r="D23" i="65" s="1"/>
  <c r="C18" i="63"/>
  <c r="C19" i="64"/>
  <c r="C23" i="65" l="1"/>
  <c r="D20" i="67"/>
  <c r="D21" i="67" s="1"/>
  <c r="D22" i="67" s="1"/>
  <c r="D23" i="67" s="1"/>
  <c r="C22" i="64"/>
  <c r="D20" i="64"/>
  <c r="D21" i="64" s="1"/>
  <c r="D22" i="64" s="1"/>
  <c r="C20" i="63"/>
  <c r="D19" i="63"/>
  <c r="D20" i="63" s="1"/>
</calcChain>
</file>

<file path=xl/sharedStrings.xml><?xml version="1.0" encoding="utf-8"?>
<sst xmlns="http://schemas.openxmlformats.org/spreadsheetml/2006/main" count="590" uniqueCount="256">
  <si>
    <t>플랫폼</t>
    <phoneticPr fontId="34" type="noConversion"/>
  </si>
  <si>
    <t>서비스 시작일</t>
    <phoneticPr fontId="34" type="noConversion"/>
  </si>
  <si>
    <t>서비스 사이트</t>
    <phoneticPr fontId="34" type="noConversion"/>
  </si>
  <si>
    <t>비고</t>
    <phoneticPr fontId="34" type="noConversion"/>
  </si>
  <si>
    <t>웹/앱 서비스</t>
    <phoneticPr fontId="32" type="noConversion"/>
  </si>
  <si>
    <t>카카오페이지</t>
    <phoneticPr fontId="32" type="noConversion"/>
  </si>
  <si>
    <t>해당월</t>
    <phoneticPr fontId="34" type="noConversion"/>
  </si>
  <si>
    <t>카카오페이지</t>
    <phoneticPr fontId="34" type="noConversion"/>
  </si>
  <si>
    <t>합계</t>
    <phoneticPr fontId="34" type="noConversion"/>
  </si>
  <si>
    <t>구분</t>
    <phoneticPr fontId="34" type="noConversion"/>
  </si>
  <si>
    <t>선 MG</t>
    <phoneticPr fontId="34" type="noConversion"/>
  </si>
  <si>
    <t>o (갓 오브 블랙필드) '원작사 배분 수익 합계' 세부 내역</t>
  </si>
  <si>
    <t>o (갓 오브 블랙필드) '직전 월 잔여 선MG 합계' 세부 내역</t>
  </si>
  <si>
    <t>갓 오브 블랙필드</t>
    <phoneticPr fontId="34" type="noConversion"/>
  </si>
  <si>
    <t>20.03.01</t>
    <phoneticPr fontId="32" type="noConversion"/>
  </si>
  <si>
    <t>픽코마(일본)</t>
    <phoneticPr fontId="32" type="noConversion"/>
  </si>
  <si>
    <t>픽코마</t>
    <phoneticPr fontId="32" type="noConversion"/>
  </si>
  <si>
    <t>소비자매출</t>
    <phoneticPr fontId="32" type="noConversion"/>
  </si>
  <si>
    <t>소 계</t>
    <phoneticPr fontId="32" type="noConversion"/>
  </si>
  <si>
    <t>https://piccoma.com/web/product/23019</t>
  </si>
  <si>
    <t>20.04.01</t>
    <phoneticPr fontId="32" type="noConversion"/>
  </si>
  <si>
    <t>SW정산액</t>
    <phoneticPr fontId="32" type="noConversion"/>
  </si>
  <si>
    <t>■ 상세내역</t>
    <phoneticPr fontId="34" type="noConversion"/>
  </si>
  <si>
    <t xml:space="preserve"> </t>
    <phoneticPr fontId="32" type="noConversion"/>
  </si>
  <si>
    <t>카카오페이지</t>
  </si>
  <si>
    <t>합계</t>
    <phoneticPr fontId="34" type="noConversion"/>
  </si>
  <si>
    <t>픽코마(일본)</t>
    <phoneticPr fontId="32" type="noConversion"/>
  </si>
  <si>
    <r>
      <t>2020년 07월</t>
    </r>
    <r>
      <rPr>
        <sz val="11"/>
        <color theme="1"/>
        <rFont val="맑은 고딕"/>
        <family val="2"/>
        <charset val="129"/>
        <scheme val="minor"/>
      </rPr>
      <t/>
    </r>
    <phoneticPr fontId="32" type="noConversion"/>
  </si>
  <si>
    <t>고료(또는 MG) 수익(1)</t>
    <phoneticPr fontId="34" type="noConversion"/>
  </si>
  <si>
    <t>유료 정산 (2)</t>
    <phoneticPr fontId="34" type="noConversion"/>
  </si>
  <si>
    <t>유료 정산 수익(3)</t>
    <phoneticPr fontId="34" type="noConversion"/>
  </si>
  <si>
    <t>총 수익(4)</t>
    <phoneticPr fontId="34" type="noConversion"/>
  </si>
  <si>
    <t>SW 배분 수익(5)</t>
    <phoneticPr fontId="34" type="noConversion"/>
  </si>
  <si>
    <t>마야마루 배분 수익(6)</t>
    <phoneticPr fontId="34" type="noConversion"/>
  </si>
  <si>
    <t>*(1) 고료(또는 MG) 수익 = 화당 비용 * 해당월 업데이트 분량</t>
    <phoneticPr fontId="34" type="noConversion"/>
  </si>
  <si>
    <t>*(2) 유료 정산= 플랫폼 순매출 * 수익배분율(RS%)</t>
    <phoneticPr fontId="34" type="noConversion"/>
  </si>
  <si>
    <t>*(4) 총수익 = 각 플랫폼 별 (고료(또는 MG) 수익 + 유료 정산 수익)</t>
    <phoneticPr fontId="32" type="noConversion"/>
  </si>
  <si>
    <t>*(3) 유료정산수익 = 유료 정산 수익 - 고료(또는MG) 수익( - 일 경우 0)</t>
    <phoneticPr fontId="34" type="noConversion"/>
  </si>
  <si>
    <t>*(5) SW 배분 수익 = (총수익)  * 20%</t>
    <phoneticPr fontId="34" type="noConversion"/>
  </si>
  <si>
    <t>*(6) 마야마루 배분 수익 = (SW 배분 수익)  * 50%</t>
    <phoneticPr fontId="34" type="noConversion"/>
  </si>
  <si>
    <t>월별 매출</t>
    <phoneticPr fontId="34" type="noConversion"/>
  </si>
  <si>
    <t>구분</t>
    <phoneticPr fontId="34" type="noConversion"/>
  </si>
  <si>
    <t>직전 월 잔여 선 MG</t>
    <phoneticPr fontId="34" type="noConversion"/>
  </si>
  <si>
    <t>2020년 08월</t>
  </si>
  <si>
    <t>https://page.kakao.com/home?seriesId=54498159</t>
    <phoneticPr fontId="32" type="noConversion"/>
  </si>
  <si>
    <t>2020년 09월</t>
  </si>
  <si>
    <t>2020년 10월</t>
  </si>
  <si>
    <t>입금 예정일</t>
    <phoneticPr fontId="32" type="noConversion"/>
  </si>
  <si>
    <t>해당월</t>
    <phoneticPr fontId="34" type="noConversion"/>
  </si>
  <si>
    <t>o (갓 오브 블랙필드) '직전 월 잔여 선MG(국내) 합계' 세부 내역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</si>
  <si>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</si>
  <si>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</si>
  <si>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</si>
  <si>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</si>
  <si>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</si>
  <si>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카카오페이지</t>
    <phoneticPr fontId="34" type="noConversion"/>
  </si>
  <si>
    <t>픽코마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</si>
  <si>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</si>
  <si>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</si>
  <si>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</si>
  <si>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</si>
  <si>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*(5) 총수익 = 각 플랫폼 별 (고료(또는 MG) 수익 + 유료 정산 수익)</t>
  </si>
  <si>
    <t>*(6) 원작사 배분 수익 합계 = (고료(또는 MG) 수익 + 유료 정산 초과 수익)  * 20%</t>
    <phoneticPr fontId="34" type="noConversion"/>
  </si>
  <si>
    <t>2020년 11월</t>
    <phoneticPr fontId="32" type="noConversion"/>
  </si>
  <si>
    <t>2020년 12월</t>
    <phoneticPr fontId="32" type="noConversion"/>
  </si>
  <si>
    <t>o (갓 오브 블랙필드) '직전 월 잔여 선MG(국내) 합계' 세부 내역</t>
  </si>
  <si>
    <t>해당월</t>
  </si>
  <si>
    <t>구분</t>
  </si>
  <si>
    <t>고료(또는 MG) 수익(2)</t>
  </si>
  <si>
    <t>유료 정산 (3)</t>
  </si>
  <si>
    <t>유료 정산 수익(4)</t>
  </si>
  <si>
    <t>총 수익(5)</t>
  </si>
  <si>
    <t>픽코마</t>
  </si>
  <si>
    <t>합계</t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</si>
  <si>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</si>
  <si>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</si>
  <si>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</si>
  <si>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</si>
  <si>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</si>
  <si>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</si>
  <si>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</si>
  <si>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카카오페이지</t>
    <phoneticPr fontId="34" type="noConversion"/>
  </si>
  <si>
    <t>픽코마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</si>
  <si>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</si>
  <si>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</si>
  <si>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</si>
  <si>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</si>
  <si>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</si>
  <si>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2021년 1월</t>
    <phoneticPr fontId="32" type="noConversion"/>
  </si>
  <si>
    <t>SW 배분 수익 합계(6)</t>
    <phoneticPr fontId="34" type="noConversion"/>
  </si>
  <si>
    <t>마야마루 정산</t>
    <phoneticPr fontId="34" type="noConversion"/>
  </si>
  <si>
    <t>기존 : M월 유통분(국내M월, 픽코마 M-1월) -&gt; M+1월 정산(계산서는 M+2월자 발행)/ M+3월 14일 지급</t>
    <phoneticPr fontId="32" type="noConversion"/>
  </si>
  <si>
    <t>변경 : M월 유통분(국내M월, 픽코마 M-1월) -&gt; M+1월 정산(계산서 M+1월자 발행)/ M+2월 14일 지급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</si>
  <si>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</si>
  <si>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</si>
  <si>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유료 정산 (3)</t>
    <phoneticPr fontId="34" type="noConversion"/>
  </si>
  <si>
    <t>원작사 배분 수익 합계(6)</t>
    <phoneticPr fontId="34" type="noConversion"/>
  </si>
  <si>
    <t>*(6) 원작사 배분 수익 합계 = (고료(또는 MG) 수익 + 유료 정산 초과 수익)  * 20%</t>
    <phoneticPr fontId="34" type="noConversion"/>
  </si>
  <si>
    <t>2021년 2월</t>
    <phoneticPr fontId="32" type="noConversion"/>
  </si>
  <si>
    <t>o (갓 오브 블랙필드) '직전 월 잔여 선MG(국내) 합계' 세부 내역</t>
    <phoneticPr fontId="34" type="noConversion"/>
  </si>
  <si>
    <t>구분</t>
    <phoneticPr fontId="34" type="noConversion"/>
  </si>
  <si>
    <t>유료 정산 (3)</t>
    <phoneticPr fontId="34" type="noConversion"/>
  </si>
  <si>
    <t>총 수익(5)</t>
    <phoneticPr fontId="34" type="noConversion"/>
  </si>
  <si>
    <t>카카오페이지</t>
    <phoneticPr fontId="34" type="noConversion"/>
  </si>
  <si>
    <t>합계</t>
    <phoneticPr fontId="34" type="noConversion"/>
  </si>
  <si>
    <t>*(3) 유료 정산= 플랫폼 순매출 * 수익배분율(RS%)</t>
    <phoneticPr fontId="34" type="noConversion"/>
  </si>
  <si>
    <t>*(6) 원작사 배분 수익 합계 = (고료(또는 MG) 수익 + 유료 정산 초과 수익)  * 20%</t>
    <phoneticPr fontId="34" type="noConversion"/>
  </si>
  <si>
    <t>2021년 3월</t>
    <phoneticPr fontId="32" type="noConversion"/>
  </si>
  <si>
    <t xml:space="preserve">        플랫폼 유통월</t>
    <phoneticPr fontId="32" type="noConversion"/>
  </si>
  <si>
    <t>해당월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</si>
  <si>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</si>
  <si>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</si>
  <si>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</si>
  <si>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델리툰_프랑스</t>
  </si>
  <si>
    <t>네오자바르_인도네시아MG</t>
  </si>
  <si>
    <t>카카오페이지_대만MG</t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</si>
  <si>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</si>
  <si>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</si>
  <si>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</si>
  <si>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</si>
  <si>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2021년 4월</t>
    <phoneticPr fontId="32" type="noConversion"/>
  </si>
  <si>
    <t>정산월</t>
    <phoneticPr fontId="32" type="noConversion"/>
  </si>
  <si>
    <t>5월</t>
  </si>
  <si>
    <t>5월</t>
    <phoneticPr fontId="32" type="noConversion"/>
  </si>
  <si>
    <t>4월</t>
    <phoneticPr fontId="32" type="noConversion"/>
  </si>
  <si>
    <t>3월</t>
    <phoneticPr fontId="32" type="noConversion"/>
  </si>
  <si>
    <t>2월</t>
    <phoneticPr fontId="32" type="noConversion"/>
  </si>
  <si>
    <t>12월</t>
    <phoneticPr fontId="32" type="noConversion"/>
  </si>
  <si>
    <t>1월</t>
    <phoneticPr fontId="32" type="noConversion"/>
  </si>
  <si>
    <t>6월</t>
  </si>
  <si>
    <t>7월</t>
  </si>
  <si>
    <t>8월</t>
  </si>
  <si>
    <t>9월</t>
  </si>
  <si>
    <t>10월</t>
  </si>
  <si>
    <t>11월</t>
  </si>
  <si>
    <t>카카오페이지 외 3개</t>
    <phoneticPr fontId="32" type="noConversion"/>
  </si>
  <si>
    <t>o (갓 오브 블랙필드) '직전 월 잔여 선MG(국내) 합계' 세부 내역</t>
    <phoneticPr fontId="34" type="noConversion"/>
  </si>
  <si>
    <t>유료 정산 (3)</t>
    <phoneticPr fontId="34" type="noConversion"/>
  </si>
  <si>
    <t>픽코마</t>
    <phoneticPr fontId="32" type="noConversion"/>
  </si>
  <si>
    <t>상계중</t>
    <phoneticPr fontId="32" type="noConversion"/>
  </si>
  <si>
    <t>네오자바르_인도네시아</t>
    <phoneticPr fontId="32" type="noConversion"/>
  </si>
  <si>
    <t>카카오페이지_대만</t>
    <phoneticPr fontId="32" type="noConversion"/>
  </si>
  <si>
    <t>합계</t>
    <phoneticPr fontId="34" type="noConversion"/>
  </si>
  <si>
    <t>6월</t>
    <phoneticPr fontId="32" type="noConversion"/>
  </si>
  <si>
    <t>2021년 5월</t>
    <phoneticPr fontId="32" type="noConversion"/>
  </si>
  <si>
    <t>합계</t>
    <phoneticPr fontId="34" type="noConversion"/>
  </si>
  <si>
    <t>7월</t>
    <phoneticPr fontId="32" type="noConversion"/>
  </si>
  <si>
    <t>2021년 6월</t>
    <phoneticPr fontId="32" type="noConversion"/>
  </si>
  <si>
    <r>
      <t>2020년 04월</t>
    </r>
    <r>
      <rPr>
        <sz val="11"/>
        <color theme="1"/>
        <rFont val="맑은 고딕"/>
        <family val="2"/>
        <charset val="129"/>
        <scheme val="minor"/>
      </rPr>
      <t/>
    </r>
  </si>
  <si>
    <r>
      <t>2020년 05월</t>
    </r>
    <r>
      <rPr>
        <sz val="11"/>
        <color theme="1"/>
        <rFont val="맑은 고딕"/>
        <family val="2"/>
        <charset val="129"/>
        <scheme val="minor"/>
      </rPr>
      <t/>
    </r>
  </si>
  <si>
    <r>
      <t>2020년 06월</t>
    </r>
    <r>
      <rPr>
        <sz val="11"/>
        <color theme="1"/>
        <rFont val="맑은 고딕"/>
        <family val="2"/>
        <charset val="129"/>
        <scheme val="minor"/>
      </rPr>
      <t/>
    </r>
  </si>
  <si>
    <t>2020년 03월</t>
    <phoneticPr fontId="32" type="noConversion"/>
  </si>
  <si>
    <t>총 수익(5)</t>
    <phoneticPr fontId="34" type="noConversion"/>
  </si>
  <si>
    <t>픽코마</t>
    <phoneticPr fontId="32" type="noConversion"/>
  </si>
  <si>
    <t>카카오페이지_대만</t>
    <phoneticPr fontId="32" type="noConversion"/>
  </si>
  <si>
    <t>*(4) 유료정산수익 = 유료 정산 수익 - MG 수익( - 일 경우 0)</t>
    <phoneticPr fontId="34" type="noConversion"/>
  </si>
  <si>
    <t>8월</t>
    <phoneticPr fontId="32" type="noConversion"/>
  </si>
  <si>
    <t>2021년 7월</t>
    <phoneticPr fontId="32" type="noConversion"/>
  </si>
  <si>
    <t>2021년 8월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</si>
  <si>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</si>
  <si>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</si>
  <si>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</si>
  <si>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</si>
  <si>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</si>
  <si>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</si>
  <si>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</si>
  <si>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원작사 배분 수익 합계(6)</t>
    <phoneticPr fontId="34" type="noConversion"/>
  </si>
  <si>
    <t>카카오페이지</t>
    <phoneticPr fontId="34" type="noConversion"/>
  </si>
  <si>
    <t>픽코마</t>
    <phoneticPr fontId="32" type="noConversion"/>
  </si>
  <si>
    <t>상계중</t>
    <phoneticPr fontId="32" type="noConversion"/>
  </si>
  <si>
    <t>네오자바르_인도네시아</t>
    <phoneticPr fontId="32" type="noConversion"/>
  </si>
  <si>
    <t>카카오웹툰_대만</t>
    <phoneticPr fontId="32" type="noConversion"/>
  </si>
  <si>
    <t>카카오웹툰_태국</t>
    <phoneticPr fontId="32" type="noConversion"/>
  </si>
  <si>
    <t>카카오웹툰_글로벌</t>
    <phoneticPr fontId="32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</si>
  <si>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</si>
  <si>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</si>
  <si>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</si>
  <si>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</si>
  <si>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유료 정산 수익(4)</t>
    <phoneticPr fontId="34" type="noConversion"/>
  </si>
  <si>
    <t>총 수익(5)</t>
    <phoneticPr fontId="34" type="noConversion"/>
  </si>
  <si>
    <t>원작사 배분 수익 합계(6)</t>
    <phoneticPr fontId="34" type="noConversion"/>
  </si>
  <si>
    <t>카카오웹툰</t>
    <phoneticPr fontId="32" type="noConversion"/>
  </si>
  <si>
    <t>픽코마</t>
    <phoneticPr fontId="32" type="noConversion"/>
  </si>
  <si>
    <t>상계중</t>
    <phoneticPr fontId="32" type="noConversion"/>
  </si>
  <si>
    <t>카카오웹툰_대만</t>
    <phoneticPr fontId="32" type="noConversion"/>
  </si>
  <si>
    <t>카카오웹툰_태국</t>
    <phoneticPr fontId="32" type="noConversion"/>
  </si>
  <si>
    <t>상계중</t>
    <phoneticPr fontId="32" type="noConversion"/>
  </si>
  <si>
    <t>카카오웹툰_글로벌</t>
    <phoneticPr fontId="32" type="noConversion"/>
  </si>
  <si>
    <t>2021년 9월</t>
    <phoneticPr fontId="32" type="noConversion"/>
  </si>
  <si>
    <t>9월</t>
    <phoneticPr fontId="32" type="noConversion"/>
  </si>
  <si>
    <t>10월</t>
    <phoneticPr fontId="32" type="noConversion"/>
  </si>
  <si>
    <t>고료(또는 MG) 수익(2)</t>
    <phoneticPr fontId="34" type="noConversion"/>
  </si>
  <si>
    <t>카카오페이지 (3)</t>
    <phoneticPr fontId="34" type="noConversion"/>
  </si>
  <si>
    <t>카카오웹툰 (3)</t>
    <phoneticPr fontId="34" type="noConversion"/>
  </si>
  <si>
    <t>유료 정산 (3)</t>
    <phoneticPr fontId="32" type="noConversion"/>
  </si>
  <si>
    <t>총 수익(5)</t>
    <phoneticPr fontId="34" type="noConversion"/>
  </si>
  <si>
    <t>카카오페이지+카카오웹툰</t>
    <phoneticPr fontId="34" type="noConversion"/>
  </si>
  <si>
    <t>픽코마 (7)</t>
    <phoneticPr fontId="32" type="noConversion"/>
  </si>
  <si>
    <t>상계중</t>
  </si>
  <si>
    <t>네오자바르_인도네시아(7)</t>
    <phoneticPr fontId="32" type="noConversion"/>
  </si>
  <si>
    <t>카카오웹툰_대만(7)</t>
    <phoneticPr fontId="32" type="noConversion"/>
  </si>
  <si>
    <t>카카오웹툰_태국(7)</t>
    <phoneticPr fontId="32" type="noConversion"/>
  </si>
  <si>
    <t>카카오웹툰_글로벌(7)</t>
    <phoneticPr fontId="32" type="noConversion"/>
  </si>
  <si>
    <t>*(2) 고료(또는 MG) 수익 = 화당 비용 * 해당월 업데이트 분량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</si>
  <si>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</si>
  <si>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</si>
  <si>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*(7) 해외 정산 = 플랫폼 순매출 * 수익배분율(RS%)</t>
    <phoneticPr fontId="34" type="noConversion"/>
  </si>
  <si>
    <t>SW 수익 합계(6)</t>
    <phoneticPr fontId="34" type="noConversion"/>
  </si>
  <si>
    <t>11월</t>
    <phoneticPr fontId="32" type="noConversion"/>
  </si>
  <si>
    <t>2021년 10월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</si>
  <si>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</si>
  <si>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</si>
  <si>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</si>
  <si>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</si>
  <si>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카카오페이지 (3)</t>
    <phoneticPr fontId="34" type="noConversion"/>
  </si>
  <si>
    <t>카카오웹툰 (3)</t>
    <phoneticPr fontId="34" type="noConversion"/>
  </si>
  <si>
    <t>유료 정산 (3)</t>
    <phoneticPr fontId="32" type="noConversion"/>
  </si>
  <si>
    <t>유료 정산 수익(4)</t>
    <phoneticPr fontId="34" type="noConversion"/>
  </si>
  <si>
    <t>총 수익(5)</t>
    <phoneticPr fontId="34" type="noConversion"/>
  </si>
  <si>
    <t>카카오페이지+카카오웹툰</t>
    <phoneticPr fontId="34" type="noConversion"/>
  </si>
  <si>
    <t>픽코마 (7)</t>
    <phoneticPr fontId="32" type="noConversion"/>
  </si>
  <si>
    <t>*(6) 원작사 배분 수익 합계 = (고료(또는 MG) 수익 + 유료 정산 초과 수익)  * 20%</t>
    <phoneticPr fontId="34" type="noConversion"/>
  </si>
  <si>
    <t>2021년 11월</t>
    <phoneticPr fontId="32" type="noConversion"/>
  </si>
  <si>
    <t>원작자 정산</t>
    <phoneticPr fontId="34" type="noConversion"/>
  </si>
  <si>
    <t>누적 정산액</t>
    <phoneticPr fontId="32" type="noConversion"/>
  </si>
  <si>
    <t>원작자 정산액</t>
    <phoneticPr fontId="32" type="noConversion"/>
  </si>
  <si>
    <t>원작자 정산액</t>
    <phoneticPr fontId="32" type="noConversion"/>
  </si>
  <si>
    <t>구분</t>
    <phoneticPr fontId="34" type="noConversion"/>
  </si>
  <si>
    <t>네오자바르_인도네시아(7)</t>
    <phoneticPr fontId="32" type="noConversion"/>
  </si>
  <si>
    <t>카카오웹툰_대만(7)</t>
    <phoneticPr fontId="32" type="noConversion"/>
  </si>
  <si>
    <t>카카오웹툰_태국(7)</t>
    <phoneticPr fontId="32" type="noConversion"/>
  </si>
  <si>
    <t>카카오웹툰_글로벌(7)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</si>
  <si>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</si>
  <si>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</si>
  <si>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</si>
  <si>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</si>
  <si>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</si>
  <si>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*(7) 해외 정산 = 플랫폼 순매출 * 수익배분율(RS%)</t>
    <phoneticPr fontId="34" type="noConversion"/>
  </si>
  <si>
    <t>22년 2월 14일</t>
    <phoneticPr fontId="32" type="noConversion"/>
  </si>
  <si>
    <t>2021년 12월</t>
    <phoneticPr fontId="32" type="noConversion"/>
  </si>
  <si>
    <t>o (갓 오브 블랙필드) '직전 월 잔여 선MG(국내) 합계' 세부 내역</t>
    <phoneticPr fontId="34" type="noConversion"/>
  </si>
  <si>
    <t>카카오페이지 (3)</t>
    <phoneticPr fontId="34" type="noConversion"/>
  </si>
  <si>
    <t>카카오웹툰 (3)</t>
    <phoneticPr fontId="34" type="noConversion"/>
  </si>
  <si>
    <t>유료 정산 (3)</t>
    <phoneticPr fontId="32" type="noConversion"/>
  </si>
  <si>
    <t>유료 정산 수익(4)</t>
    <phoneticPr fontId="34" type="noConversion"/>
  </si>
  <si>
    <t>카카오페이지+카카오웹툰</t>
    <phoneticPr fontId="34" type="noConversion"/>
  </si>
  <si>
    <t>픽코마 (7)</t>
    <phoneticPr fontId="32" type="noConversion"/>
  </si>
  <si>
    <t>네오자바르_인도네시아(7)</t>
    <phoneticPr fontId="32" type="noConversion"/>
  </si>
  <si>
    <t>카카오웹툰_대만(7)</t>
    <phoneticPr fontId="32" type="noConversion"/>
  </si>
  <si>
    <t>카카오웹툰_태국(7)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</si>
  <si>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</si>
  <si>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</si>
  <si>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</si>
  <si>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</si>
  <si>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*(7) 해외 정산 = 플랫폼 순매출 * 수익배분율(RS%)</t>
    <phoneticPr fontId="34" type="noConversion"/>
  </si>
  <si>
    <t>2월 정산액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</si>
</sst>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  <numFmt numFmtId="185" formatCode="_-* #,##0.0000_-;\-* #,##0.0000_-;_-* &quot;-&quot;??_-;_-@_-"/>
    <numFmt numFmtId="186" formatCode="0.0000000"/>
  </numFmts>
  <fonts count="6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11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43" fontId="6" fillId="0" borderId="0"/>
    <xf numFmtId="0" fontId="4" fillId="0" borderId="0"/>
    <xf numFmtId="0" fontId="4" fillId="0" borderId="0"/>
    <xf numFmtId="43" fontId="6" fillId="0" borderId="0"/>
    <xf numFmtId="43" fontId="6" fillId="0" borderId="0"/>
    <xf numFmtId="43" fontId="6" fillId="0" borderId="0"/>
    <xf numFmtId="0" fontId="5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1" fillId="0" borderId="0">
      <alignment vertical="center"/>
    </xf>
    <xf numFmtId="0" fontId="4" fillId="0" borderId="0"/>
    <xf numFmtId="0" fontId="6" fillId="0" borderId="0"/>
    <xf numFmtId="178" fontId="4" fillId="0" borderId="0"/>
    <xf numFmtId="0" fontId="6" fillId="0" borderId="0"/>
    <xf numFmtId="179" fontId="6" fillId="0" borderId="0"/>
    <xf numFmtId="0" fontId="6" fillId="0" borderId="0"/>
    <xf numFmtId="0" fontId="12" fillId="0" borderId="0"/>
    <xf numFmtId="180" fontId="6" fillId="0" borderId="0"/>
    <xf numFmtId="181" fontId="6" fillId="0" borderId="0"/>
    <xf numFmtId="182" fontId="4" fillId="0" borderId="0"/>
    <xf numFmtId="0" fontId="13" fillId="0" borderId="1">
      <alignment horizontal="center" vertical="center"/>
    </xf>
    <xf numFmtId="0" fontId="14" fillId="0" borderId="0"/>
    <xf numFmtId="0" fontId="4" fillId="0" borderId="0"/>
    <xf numFmtId="0" fontId="4" fillId="0" borderId="0"/>
    <xf numFmtId="183" fontId="4" fillId="0" borderId="0"/>
    <xf numFmtId="0" fontId="14" fillId="0" borderId="0"/>
    <xf numFmtId="0" fontId="12" fillId="3" borderId="0"/>
    <xf numFmtId="0" fontId="15" fillId="0" borderId="0">
      <alignment horizontal="left"/>
    </xf>
    <xf numFmtId="0" fontId="16" fillId="0" borderId="2">
      <alignment horizontal="left" vertical="center"/>
    </xf>
    <xf numFmtId="0" fontId="16" fillId="0" borderId="3">
      <alignment horizontal="left" vertical="center"/>
    </xf>
    <xf numFmtId="0" fontId="10" fillId="0" borderId="0"/>
    <xf numFmtId="0" fontId="17" fillId="0" borderId="0"/>
    <xf numFmtId="0" fontId="16" fillId="0" borderId="0"/>
    <xf numFmtId="0" fontId="6" fillId="0" borderId="0">
      <alignment horizontal="center"/>
    </xf>
    <xf numFmtId="0" fontId="12" fillId="2" borderId="4"/>
    <xf numFmtId="43" fontId="6" fillId="0" borderId="0"/>
    <xf numFmtId="0" fontId="6" fillId="0" borderId="0"/>
    <xf numFmtId="0" fontId="6" fillId="0" borderId="0">
      <alignment horizontal="center"/>
    </xf>
    <xf numFmtId="0" fontId="18" fillId="0" borderId="5"/>
    <xf numFmtId="176" fontId="19" fillId="3" borderId="6">
      <alignment horizontal="center"/>
    </xf>
    <xf numFmtId="184" fontId="6" fillId="0" borderId="0"/>
    <xf numFmtId="0" fontId="6" fillId="0" borderId="0"/>
    <xf numFmtId="0" fontId="6" fillId="0" borderId="0"/>
    <xf numFmtId="0" fontId="20" fillId="0" borderId="0"/>
    <xf numFmtId="0" fontId="21" fillId="4" borderId="0">
      <alignment horizontal="right"/>
    </xf>
    <xf numFmtId="0" fontId="22" fillId="4" borderId="0">
      <alignment horizontal="right"/>
    </xf>
    <xf numFmtId="0" fontId="23" fillId="4" borderId="7"/>
    <xf numFmtId="0" fontId="23" fillId="0" borderId="0">
      <alignment horizontal="centerContinuous"/>
    </xf>
    <xf numFmtId="0" fontId="6" fillId="0" borderId="0"/>
    <xf numFmtId="0" fontId="14" fillId="0" borderId="0"/>
    <xf numFmtId="0" fontId="9" fillId="5" borderId="0"/>
    <xf numFmtId="0" fontId="18" fillId="0" borderId="0"/>
    <xf numFmtId="0" fontId="14" fillId="0" borderId="8"/>
    <xf numFmtId="0" fontId="6" fillId="0" borderId="0">
      <alignment horizontal="center" textRotation="180"/>
    </xf>
    <xf numFmtId="0" fontId="4" fillId="0" borderId="0"/>
    <xf numFmtId="0" fontId="4" fillId="0" borderId="0"/>
    <xf numFmtId="0" fontId="5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6" fillId="0" borderId="0">
      <alignment vertical="top"/>
      <protection locked="0"/>
    </xf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6" borderId="4">
      <alignment vertical="center"/>
    </xf>
    <xf numFmtId="0" fontId="4" fillId="0" borderId="4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177" fontId="4" fillId="0" borderId="0"/>
    <xf numFmtId="41" fontId="4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" fillId="0" borderId="0"/>
    <xf numFmtId="0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4" fillId="0" borderId="0"/>
    <xf numFmtId="0" fontId="4" fillId="0" borderId="4">
      <alignment vertical="center"/>
    </xf>
    <xf numFmtId="0" fontId="25" fillId="0" borderId="0">
      <protection locked="0"/>
    </xf>
    <xf numFmtId="0" fontId="5" fillId="0" borderId="0">
      <protection locked="0"/>
    </xf>
    <xf numFmtId="0" fontId="5" fillId="0" borderId="0"/>
    <xf numFmtId="0" fontId="4" fillId="0" borderId="0"/>
    <xf numFmtId="0" fontId="5" fillId="0" borderId="0"/>
    <xf numFmtId="0" fontId="4" fillId="0" borderId="0">
      <protection locked="0"/>
    </xf>
    <xf numFmtId="0" fontId="4" fillId="0" borderId="0"/>
    <xf numFmtId="0" fontId="4" fillId="0" borderId="0"/>
    <xf numFmtId="0" fontId="4" fillId="0" borderId="0">
      <alignment vertical="center"/>
    </xf>
    <xf numFmtId="0" fontId="31" fillId="0" borderId="0">
      <alignment vertical="center"/>
    </xf>
    <xf numFmtId="0" fontId="28" fillId="0" borderId="0"/>
    <xf numFmtId="0" fontId="4" fillId="0" borderId="0">
      <alignment vertical="center"/>
    </xf>
    <xf numFmtId="0" fontId="4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31" fillId="0" borderId="0">
      <alignment vertical="center"/>
    </xf>
    <xf numFmtId="0" fontId="4" fillId="0" borderId="0"/>
    <xf numFmtId="0" fontId="29" fillId="0" borderId="0">
      <alignment vertical="center"/>
    </xf>
    <xf numFmtId="0" fontId="30" fillId="0" borderId="0"/>
    <xf numFmtId="0" fontId="4" fillId="0" borderId="0"/>
    <xf numFmtId="0" fontId="28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5" fillId="0" borderId="9">
      <protection locked="0"/>
    </xf>
    <xf numFmtId="0" fontId="4" fillId="0" borderId="0">
      <protection locked="0"/>
    </xf>
    <xf numFmtId="0" fontId="5" fillId="0" borderId="0">
      <protection locked="0"/>
    </xf>
    <xf numFmtId="41" fontId="3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0"/>
    <xf numFmtId="41" fontId="44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41" fontId="44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1" fontId="4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1" fontId="31" fillId="0" borderId="0">
      <alignment vertical="center"/>
    </xf>
    <xf numFmtId="41" fontId="4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8">
    <xf numFmtId="0" fontId="0" fillId="0" borderId="0" xfId="0" applyNumberFormat="1">
      <alignment vertical="center"/>
    </xf>
    <xf numFmtId="0" fontId="35" fillId="0" borderId="4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8" fillId="0" borderId="0" xfId="0" applyFont="1">
      <alignment vertical="center"/>
    </xf>
    <xf numFmtId="0" fontId="35" fillId="0" borderId="0" xfId="0" applyFont="1">
      <alignment vertical="center"/>
    </xf>
    <xf numFmtId="0" fontId="35" fillId="0" borderId="4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3" fontId="29" fillId="0" borderId="4" xfId="164" applyNumberFormat="1" applyFont="1" applyBorder="1">
      <alignment vertical="center"/>
    </xf>
    <xf numFmtId="3" fontId="29" fillId="8" borderId="4" xfId="164" applyNumberFormat="1" applyFont="1" applyFill="1" applyBorder="1">
      <alignment vertical="center"/>
    </xf>
    <xf numFmtId="3" fontId="35" fillId="0" borderId="4" xfId="164" applyNumberFormat="1" applyFont="1" applyBorder="1">
      <alignment vertical="center"/>
    </xf>
    <xf numFmtId="3" fontId="35" fillId="8" borderId="4" xfId="164" applyNumberFormat="1" applyFont="1" applyFill="1" applyBorder="1">
      <alignment vertical="center"/>
    </xf>
    <xf numFmtId="0" fontId="43" fillId="7" borderId="4" xfId="0" applyFont="1" applyFill="1" applyBorder="1" applyAlignment="1">
      <alignment horizontal="center" vertical="center"/>
    </xf>
    <xf numFmtId="41" fontId="31" fillId="0" borderId="0" xfId="164">
      <alignment vertical="center"/>
    </xf>
    <xf numFmtId="0" fontId="48" fillId="0" borderId="0" xfId="0" applyFont="1">
      <alignment vertical="center"/>
    </xf>
    <xf numFmtId="0" fontId="49" fillId="0" borderId="0" xfId="0" applyNumberFormat="1" applyFont="1">
      <alignment vertical="center"/>
    </xf>
    <xf numFmtId="0" fontId="50" fillId="0" borderId="4" xfId="165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51" fillId="0" borderId="4" xfId="0" applyFont="1" applyBorder="1" applyAlignment="1">
      <alignment horizontal="center" vertical="center"/>
    </xf>
    <xf numFmtId="3" fontId="35" fillId="0" borderId="4" xfId="164" applyNumberFormat="1" applyFont="1" applyFill="1" applyBorder="1">
      <alignment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51" fillId="9" borderId="4" xfId="164" applyNumberFormat="1" applyFont="1" applyFill="1" applyBorder="1">
      <alignment vertical="center"/>
    </xf>
    <xf numFmtId="0" fontId="39" fillId="0" borderId="0" xfId="0" applyFont="1" applyAlignment="1">
      <alignment horizontal="left" vertical="center"/>
    </xf>
    <xf numFmtId="9" fontId="0" fillId="0" borderId="0" xfId="180" applyFont="1">
      <alignment vertical="center"/>
    </xf>
    <xf numFmtId="41" fontId="35" fillId="0" borderId="0" xfId="0" applyNumberFormat="1" applyFont="1">
      <alignment vertical="center"/>
    </xf>
    <xf numFmtId="41" fontId="31" fillId="0" borderId="4" xfId="164" applyBorder="1">
      <alignment vertical="center"/>
    </xf>
    <xf numFmtId="0" fontId="42" fillId="0" borderId="0" xfId="150" applyFont="1" applyAlignment="1">
      <alignment horizontal="left" vertical="center"/>
    </xf>
    <xf numFmtId="0" fontId="31" fillId="0" borderId="0" xfId="0" applyNumberFormat="1" applyFont="1">
      <alignment vertical="center"/>
    </xf>
    <xf numFmtId="0" fontId="39" fillId="0" borderId="0" xfId="0" applyFont="1" applyAlignment="1">
      <alignment horizontal="left" vertical="center"/>
    </xf>
    <xf numFmtId="41" fontId="54" fillId="0" borderId="0" xfId="164" applyFont="1">
      <alignment vertical="center"/>
    </xf>
    <xf numFmtId="0" fontId="36" fillId="0" borderId="4" xfId="165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0" fillId="0" borderId="0" xfId="0" applyNumberFormat="1">
      <alignment vertical="center"/>
    </xf>
    <xf numFmtId="41" fontId="31" fillId="8" borderId="4" xfId="164" applyFill="1" applyBorder="1">
      <alignment vertical="center"/>
    </xf>
    <xf numFmtId="0" fontId="55" fillId="0" borderId="0" xfId="136" applyFont="1">
      <alignment vertical="center"/>
    </xf>
    <xf numFmtId="0" fontId="35" fillId="0" borderId="0" xfId="136" applyFont="1">
      <alignment vertical="center"/>
    </xf>
    <xf numFmtId="0" fontId="31" fillId="0" borderId="0" xfId="136">
      <alignment vertical="center"/>
    </xf>
    <xf numFmtId="0" fontId="51" fillId="0" borderId="4" xfId="136" applyFont="1" applyBorder="1" applyAlignment="1">
      <alignment horizontal="center" vertical="center"/>
    </xf>
    <xf numFmtId="0" fontId="39" fillId="0" borderId="0" xfId="136" applyFont="1">
      <alignment vertical="center"/>
    </xf>
    <xf numFmtId="0" fontId="37" fillId="7" borderId="4" xfId="136" applyFont="1" applyFill="1" applyBorder="1" applyAlignment="1">
      <alignment horizontal="center" vertical="center"/>
    </xf>
    <xf numFmtId="0" fontId="31" fillId="0" borderId="0" xfId="136" applyNumberFormat="1">
      <alignment vertical="center"/>
    </xf>
    <xf numFmtId="0" fontId="51" fillId="0" borderId="4" xfId="136" applyFont="1" applyBorder="1" applyAlignment="1">
      <alignment vertical="center"/>
    </xf>
    <xf numFmtId="0" fontId="35" fillId="0" borderId="4" xfId="136" applyFont="1" applyBorder="1" applyAlignment="1">
      <alignment horizontal="center" vertical="center"/>
    </xf>
    <xf numFmtId="0" fontId="35" fillId="0" borderId="4" xfId="136" applyFont="1" applyBorder="1">
      <alignment vertical="center"/>
    </xf>
    <xf numFmtId="0" fontId="49" fillId="0" borderId="0" xfId="136" applyNumberFormat="1" applyFont="1">
      <alignment vertical="center"/>
    </xf>
    <xf numFmtId="0" fontId="40" fillId="0" borderId="0" xfId="136" applyFont="1">
      <alignment vertical="center"/>
    </xf>
    <xf numFmtId="185" fontId="0" fillId="0" borderId="0" xfId="0" applyNumberFormat="1">
      <alignment vertical="center"/>
    </xf>
    <xf numFmtId="185" fontId="38" fillId="0" borderId="0" xfId="0" applyNumberFormat="1" applyFont="1">
      <alignment vertical="center"/>
    </xf>
    <xf numFmtId="0" fontId="56" fillId="0" borderId="0" xfId="0" applyNumberFormat="1" applyFont="1">
      <alignment vertical="center"/>
    </xf>
    <xf numFmtId="41" fontId="56" fillId="0" borderId="0" xfId="164" applyFont="1">
      <alignment vertical="center"/>
    </xf>
    <xf numFmtId="0" fontId="29" fillId="0" borderId="0" xfId="0" applyNumberFormat="1" applyFont="1">
      <alignment vertical="center"/>
    </xf>
    <xf numFmtId="0" fontId="57" fillId="0" borderId="0" xfId="0" applyNumberFormat="1" applyFont="1">
      <alignment vertical="center"/>
    </xf>
    <xf numFmtId="0" fontId="37" fillId="7" borderId="4" xfId="136" applyFont="1" applyFill="1" applyBorder="1" applyAlignment="1">
      <alignment horizontal="center" vertical="center"/>
    </xf>
    <xf numFmtId="0" fontId="35" fillId="0" borderId="0" xfId="136" applyFont="1">
      <alignment vertical="center"/>
    </xf>
    <xf numFmtId="0" fontId="35" fillId="0" borderId="4" xfId="136" applyFont="1" applyBorder="1" applyAlignment="1">
      <alignment horizontal="center" vertical="center"/>
    </xf>
    <xf numFmtId="0" fontId="35" fillId="0" borderId="4" xfId="136" applyFont="1" applyBorder="1">
      <alignment vertical="center"/>
    </xf>
    <xf numFmtId="0" fontId="39" fillId="0" borderId="0" xfId="136" applyFont="1">
      <alignment vertical="center"/>
    </xf>
    <xf numFmtId="0" fontId="40" fillId="0" borderId="0" xfId="136" applyFont="1">
      <alignment vertical="center"/>
    </xf>
    <xf numFmtId="0" fontId="55" fillId="0" borderId="0" xfId="136" applyFont="1">
      <alignment vertical="center"/>
    </xf>
    <xf numFmtId="3" fontId="35" fillId="0" borderId="4" xfId="203" applyNumberFormat="1" applyFont="1" applyBorder="1">
      <alignment vertical="center"/>
    </xf>
    <xf numFmtId="0" fontId="51" fillId="0" borderId="4" xfId="136" applyFont="1" applyBorder="1" applyAlignment="1">
      <alignment horizontal="center" vertical="center"/>
    </xf>
    <xf numFmtId="3" fontId="35" fillId="0" borderId="4" xfId="203" applyNumberFormat="1" applyFont="1" applyFill="1" applyBorder="1">
      <alignment vertical="center"/>
    </xf>
    <xf numFmtId="3" fontId="51" fillId="9" borderId="4" xfId="203" applyNumberFormat="1" applyFont="1" applyFill="1" applyBorder="1">
      <alignment vertical="center"/>
    </xf>
    <xf numFmtId="0" fontId="51" fillId="0" borderId="4" xfId="136" applyFont="1" applyBorder="1" applyAlignment="1">
      <alignment vertical="center"/>
    </xf>
    <xf numFmtId="0" fontId="48" fillId="0" borderId="0" xfId="136" applyFont="1">
      <alignment vertical="center"/>
    </xf>
    <xf numFmtId="0" fontId="31" fillId="0" borderId="4" xfId="136" applyNumberFormat="1" applyBorder="1">
      <alignment vertical="center"/>
    </xf>
    <xf numFmtId="0" fontId="58" fillId="0" borderId="4" xfId="136" applyFont="1" applyBorder="1" applyAlignment="1">
      <alignment vertical="top" wrapText="1"/>
    </xf>
    <xf numFmtId="0" fontId="41" fillId="9" borderId="4" xfId="0" applyFont="1" applyFill="1" applyBorder="1" applyAlignment="1">
      <alignment horizontal="center" vertical="center"/>
    </xf>
    <xf numFmtId="0" fontId="59" fillId="0" borderId="0" xfId="0" applyNumberFormat="1" applyFont="1">
      <alignment vertical="center"/>
    </xf>
    <xf numFmtId="41" fontId="29" fillId="0" borderId="4" xfId="164" applyFont="1" applyBorder="1">
      <alignment vertical="center"/>
    </xf>
    <xf numFmtId="41" fontId="29" fillId="0" borderId="4" xfId="164" quotePrefix="1" applyFont="1" applyBorder="1" applyAlignment="1">
      <alignment horizontal="center" vertical="center"/>
    </xf>
    <xf numFmtId="41" fontId="29" fillId="0" borderId="0" xfId="164" applyFont="1">
      <alignment vertical="center"/>
    </xf>
    <xf numFmtId="0" fontId="41" fillId="0" borderId="0" xfId="150" applyFont="1" applyAlignment="1">
      <alignment horizontal="left" vertical="center"/>
    </xf>
    <xf numFmtId="0" fontId="60" fillId="10" borderId="4" xfId="0" applyNumberFormat="1" applyFont="1" applyFill="1" applyBorder="1" applyAlignment="1">
      <alignment horizontal="center" vertical="center"/>
    </xf>
    <xf numFmtId="41" fontId="60" fillId="10" borderId="4" xfId="0" applyNumberFormat="1" applyFont="1" applyFill="1" applyBorder="1" applyAlignment="1">
      <alignment horizontal="center" vertical="center"/>
    </xf>
    <xf numFmtId="0" fontId="61" fillId="0" borderId="0" xfId="0" applyNumberFormat="1" applyFont="1">
      <alignment vertical="center"/>
    </xf>
    <xf numFmtId="41" fontId="59" fillId="0" borderId="0" xfId="164" applyFont="1">
      <alignment vertical="center"/>
    </xf>
    <xf numFmtId="41" fontId="29" fillId="0" borderId="0" xfId="0" applyNumberFormat="1" applyFont="1">
      <alignment vertical="center"/>
    </xf>
    <xf numFmtId="186" fontId="59" fillId="0" borderId="0" xfId="0" applyNumberFormat="1" applyFont="1">
      <alignment vertical="center"/>
    </xf>
    <xf numFmtId="0" fontId="29" fillId="0" borderId="0" xfId="0" applyNumberFormat="1" applyFont="1" applyBorder="1" applyAlignment="1">
      <alignment horizontal="center" vertical="center"/>
    </xf>
    <xf numFmtId="41" fontId="29" fillId="0" borderId="0" xfId="164" applyFont="1" applyBorder="1">
      <alignment vertical="center"/>
    </xf>
    <xf numFmtId="41" fontId="0" fillId="0" borderId="0" xfId="0" applyNumberFormat="1">
      <alignment vertical="center"/>
    </xf>
    <xf numFmtId="3" fontId="51" fillId="0" borderId="4" xfId="164" applyNumberFormat="1" applyFont="1" applyFill="1" applyBorder="1">
      <alignment vertical="center"/>
    </xf>
    <xf numFmtId="3" fontId="51" fillId="0" borderId="4" xfId="107" applyNumberFormat="1" applyFont="1" applyBorder="1">
      <alignment vertical="center"/>
    </xf>
    <xf numFmtId="3" fontId="51" fillId="9" borderId="4" xfId="107" applyNumberFormat="1" applyFont="1" applyFill="1" applyBorder="1">
      <alignment vertical="center"/>
    </xf>
    <xf numFmtId="0" fontId="42" fillId="0" borderId="0" xfId="136" applyFont="1" applyBorder="1" applyAlignment="1">
      <alignment horizontal="left" vertical="center"/>
    </xf>
    <xf numFmtId="0" fontId="62" fillId="7" borderId="4" xfId="136" applyFont="1" applyFill="1" applyBorder="1" applyAlignment="1">
      <alignment horizontal="center" vertical="center"/>
    </xf>
    <xf numFmtId="0" fontId="29" fillId="0" borderId="4" xfId="136" applyFont="1" applyBorder="1">
      <alignment vertical="center"/>
    </xf>
    <xf numFmtId="0" fontId="31" fillId="0" borderId="0" xfId="136" applyAlignment="1">
      <alignment vertical="center"/>
    </xf>
    <xf numFmtId="0" fontId="31" fillId="0" borderId="0" xfId="136" applyFont="1" applyAlignment="1">
      <alignment vertical="top" wrapText="1"/>
    </xf>
    <xf numFmtId="0" fontId="33" fillId="0" borderId="10" xfId="0" applyFont="1" applyBorder="1" applyAlignment="1">
      <alignment horizontal="center" vertical="center"/>
    </xf>
    <xf numFmtId="0" fontId="60" fillId="10" borderId="11" xfId="0" applyNumberFormat="1" applyFont="1" applyFill="1" applyBorder="1" applyAlignment="1">
      <alignment horizontal="left" vertical="center" wrapText="1"/>
    </xf>
    <xf numFmtId="0" fontId="60" fillId="10" borderId="11" xfId="0" applyNumberFormat="1" applyFont="1" applyFill="1" applyBorder="1" applyAlignment="1">
      <alignment horizontal="left" vertical="center"/>
    </xf>
    <xf numFmtId="0" fontId="60" fillId="10" borderId="4" xfId="0" applyNumberFormat="1" applyFont="1" applyFill="1" applyBorder="1" applyAlignment="1">
      <alignment horizontal="center" vertical="center"/>
    </xf>
    <xf numFmtId="0" fontId="52" fillId="0" borderId="0" xfId="136" applyNumberFormat="1" applyFont="1" applyAlignment="1">
      <alignment horizontal="left" vertical="center"/>
    </xf>
    <xf numFmtId="0" fontId="39" fillId="0" borderId="0" xfId="136" applyFont="1" applyAlignment="1">
      <alignment horizontal="left" vertical="center"/>
    </xf>
    <xf numFmtId="0" fontId="63" fillId="0" borderId="0" xfId="136" applyFont="1" applyAlignment="1">
      <alignment horizontal="left" vertical="center"/>
    </xf>
    <xf numFmtId="0" fontId="42" fillId="0" borderId="10" xfId="136" applyFont="1" applyBorder="1" applyAlignment="1">
      <alignment horizontal="left" vertical="center"/>
    </xf>
    <xf numFmtId="0" fontId="48" fillId="0" borderId="0" xfId="136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2" fillId="0" borderId="0" xfId="0" applyNumberFormat="1" applyFont="1" applyAlignment="1">
      <alignment horizontal="left" vertical="center"/>
    </xf>
  </cellXfs>
  <cellStyles count="211">
    <cellStyle name="??&amp;O?&amp;H?_x0008__x000f__x0007_?_x0007__x0001__x0001_" xfId="2"/>
    <cellStyle name="??&amp;O?&amp;H?_x0008_??_x0007__x0001__x0001_" xfId="3"/>
    <cellStyle name="_나우콤반기조서2002.7.18" xfId="4"/>
    <cellStyle name="_나우콤반기조서2002.7.18 2" xfId="181"/>
    <cellStyle name="_분기조서(hds)" xfId="5"/>
    <cellStyle name="_정산표2Q" xfId="6"/>
    <cellStyle name="᠀ŀ" xfId="7"/>
    <cellStyle name="᠀ŀ 2" xfId="182"/>
    <cellStyle name="᠀ŀŀ䅀᠀ŀŀ䅀᠀ŀ" xfId="8"/>
    <cellStyle name="᠀ŀŀ䅀᠀ŀŀ䅀᠀ŀ 2" xfId="183"/>
    <cellStyle name="᠀ŀŀ䅀᠀ŀŀ䅀᠀ŀŀ䅀᠀ŀŀ䅀᠀ŀŀ䅀᠀ŀŀ䅀᠀ŀŀ䅀᠀ŀŀ䅀᠀ŀŀ䅀᠀ŀ" xfId="9"/>
    <cellStyle name="᠀ŀŀ䅀᠀ŀŀ䅀᠀ŀŀ䅀᠀ŀŀ䅀᠀ŀŀ䅀᠀ŀŀ䅀᠀ŀŀ䅀᠀ŀŀ䅀᠀ŀŀ䅀᠀ŀ 2" xfId="184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᠀ŀŀ䅀᠀ŀŀ䅀᠀ŀŀ䅀᠀ŀŀ䅀᠀ŀŀ䅀᠀ŀ 2" xfId="185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 2 2" xfId="208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" xfId="180" builtinId="5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2 2" xfId="188"/>
    <cellStyle name="쉼표 [0] 2 2 3" xfId="174"/>
    <cellStyle name="쉼표 [0] 2 2 3 2" xfId="207"/>
    <cellStyle name="쉼표 [0] 2 2 4" xfId="187"/>
    <cellStyle name="쉼표 [0] 2 3" xfId="168"/>
    <cellStyle name="쉼표 [0] 2 3 2" xfId="205"/>
    <cellStyle name="쉼표 [0] 2 4" xfId="186"/>
    <cellStyle name="쉼표 [0] 3" xfId="110"/>
    <cellStyle name="쉼표 [0] 3 2" xfId="170"/>
    <cellStyle name="쉼표 [0] 3 2 2" xfId="206"/>
    <cellStyle name="쉼표 [0] 3 3" xfId="189"/>
    <cellStyle name="쉼표 [0] 4" xfId="111"/>
    <cellStyle name="쉼표 [0] 4 2" xfId="178"/>
    <cellStyle name="쉼표 [0] 4 2 2" xfId="210"/>
    <cellStyle name="쉼표 [0] 4 3" xfId="190"/>
    <cellStyle name="쉼표 [0] 5" xfId="167"/>
    <cellStyle name="쉼표 [0] 5 2" xfId="204"/>
    <cellStyle name="쉼표 [0] 6" xfId="203"/>
    <cellStyle name="스타일 1" xfId="112"/>
    <cellStyle name="스타일 10" xfId="113"/>
    <cellStyle name="스타일 10 2" xfId="191"/>
    <cellStyle name="스타일 11" xfId="114"/>
    <cellStyle name="스타일 11 2" xfId="192"/>
    <cellStyle name="스타일 12" xfId="115"/>
    <cellStyle name="스타일 12 2" xfId="193"/>
    <cellStyle name="스타일 13" xfId="116"/>
    <cellStyle name="스타일 13 2" xfId="194"/>
    <cellStyle name="스타일 2" xfId="117"/>
    <cellStyle name="스타일 2 2" xfId="195"/>
    <cellStyle name="스타일 3" xfId="118"/>
    <cellStyle name="스타일 3 2" xfId="196"/>
    <cellStyle name="스타일 4" xfId="119"/>
    <cellStyle name="스타일 4 2" xfId="197"/>
    <cellStyle name="스타일 5" xfId="120"/>
    <cellStyle name="스타일 5 2" xfId="198"/>
    <cellStyle name="스타일 6" xfId="121"/>
    <cellStyle name="스타일 6 2" xfId="199"/>
    <cellStyle name="스타일 7" xfId="122"/>
    <cellStyle name="스타일 7 2" xfId="200"/>
    <cellStyle name="스타일 8" xfId="123"/>
    <cellStyle name="스타일 8 2" xfId="201"/>
    <cellStyle name="스타일 9" xfId="124"/>
    <cellStyle name="스타일 9 2" xfId="202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3 4 2" xfId="209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.kakao.com/home?seriesId=54498159" TargetMode="External"/><Relationship Id="rId1" Type="http://schemas.openxmlformats.org/officeDocument/2006/relationships/hyperlink" Target="https://piccoma.com/web/product/230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G13" sqref="G13"/>
    </sheetView>
  </sheetViews>
  <sheetFormatPr defaultRowHeight="17.399999999999999"/>
  <cols>
    <col min="1" max="1" width="2.3984375" customWidth="1"/>
    <col min="2" max="3" width="13.59765625" customWidth="1"/>
    <col min="4" max="4" width="65.19921875" customWidth="1"/>
    <col min="5" max="5" width="13.59765625" customWidth="1"/>
  </cols>
  <sheetData>
    <row r="1" spans="2:5" ht="21" customHeight="1">
      <c r="B1" s="95" t="s">
        <v>13</v>
      </c>
      <c r="C1" s="95"/>
      <c r="D1" s="95"/>
      <c r="E1" s="95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3" t="s">
        <v>5</v>
      </c>
      <c r="C3" s="3" t="s">
        <v>14</v>
      </c>
      <c r="D3" s="34" t="s">
        <v>44</v>
      </c>
      <c r="E3" s="1" t="s">
        <v>4</v>
      </c>
    </row>
    <row r="4" spans="2:5">
      <c r="B4" s="3" t="s">
        <v>16</v>
      </c>
      <c r="C4" s="3" t="s">
        <v>20</v>
      </c>
      <c r="D4" s="19" t="s">
        <v>19</v>
      </c>
      <c r="E4" s="1" t="s">
        <v>4</v>
      </c>
    </row>
    <row r="7" spans="2:5">
      <c r="B7" s="30"/>
    </row>
    <row r="8" spans="2:5">
      <c r="B8" s="31"/>
    </row>
    <row r="11" spans="2:5">
      <c r="D11" s="27"/>
    </row>
    <row r="15" spans="2:5">
      <c r="D15" s="31" t="s">
        <v>23</v>
      </c>
    </row>
  </sheetData>
  <mergeCells count="1">
    <mergeCell ref="B1:E1"/>
  </mergeCells>
  <phoneticPr fontId="32" type="noConversion"/>
  <hyperlinks>
    <hyperlink ref="D4" r:id="rId1"/>
    <hyperlink ref="D3" r:id="rId2"/>
  </hyperlinks>
  <pageMargins left="0.7" right="0.7" top="0.75" bottom="0.75" header="0.3" footer="0.3"/>
  <pageSetup paperSize="9" orientation="portrait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78" zoomScaleNormal="7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8" sqref="H8"/>
    </sheetView>
  </sheetViews>
  <sheetFormatPr defaultRowHeight="17.399999999999999"/>
  <cols>
    <col min="1" max="1" width="5.59765625" customWidth="1"/>
    <col min="2" max="2" width="12.3984375" customWidth="1"/>
    <col min="3" max="3" width="14" customWidth="1"/>
    <col min="4" max="4" width="15" customWidth="1"/>
    <col min="5" max="5" width="13.296875" customWidth="1"/>
    <col min="6" max="6" width="13.8984375" customWidth="1"/>
    <col min="7" max="7" width="12.796875" customWidth="1"/>
    <col min="8" max="8" width="14.19921875" customWidth="1"/>
    <col min="10" max="10" width="16.09765625" style="53" customWidth="1"/>
    <col min="11" max="11" width="12.19921875" style="53" customWidth="1"/>
    <col min="12" max="12" width="16.19921875" customWidth="1"/>
  </cols>
  <sheetData>
    <row r="1" spans="1:12" ht="9.6" customHeight="1"/>
    <row r="2" spans="1:12">
      <c r="A2" s="55"/>
      <c r="B2" s="72" t="s">
        <v>255</v>
      </c>
      <c r="C2" s="72" t="s">
        <v>47</v>
      </c>
      <c r="D2" s="72" t="s">
        <v>224</v>
      </c>
      <c r="E2" s="55"/>
      <c r="F2" s="55"/>
      <c r="G2" s="55"/>
      <c r="H2" s="55"/>
      <c r="I2" s="55"/>
      <c r="J2" s="73"/>
      <c r="K2" s="73"/>
      <c r="L2" s="55"/>
    </row>
    <row r="3" spans="1:12">
      <c r="A3" s="55"/>
      <c r="B3" s="74">
        <f>E31+H30</f>
        <v>15668566.900000002</v>
      </c>
      <c r="C3" s="75" t="s">
        <v>238</v>
      </c>
      <c r="D3" s="74">
        <f>E8+H8</f>
        <v>294064813.39999998</v>
      </c>
      <c r="E3" s="33"/>
      <c r="F3" s="55"/>
      <c r="G3" s="55"/>
      <c r="H3" s="55"/>
      <c r="I3" s="55"/>
      <c r="J3" s="73"/>
      <c r="K3" s="16">
        <v>18210699.100000001</v>
      </c>
      <c r="L3" s="55"/>
    </row>
    <row r="4" spans="1:12" ht="12.6" customHeight="1">
      <c r="A4" s="55"/>
      <c r="B4" s="55"/>
      <c r="C4" s="55"/>
      <c r="D4" s="55"/>
      <c r="E4" s="76"/>
      <c r="F4" s="55"/>
      <c r="G4" s="55"/>
      <c r="H4" s="55"/>
      <c r="I4" s="55"/>
      <c r="J4" s="73"/>
      <c r="K4" s="73"/>
      <c r="L4" s="55"/>
    </row>
    <row r="5" spans="1:12">
      <c r="A5" s="55"/>
      <c r="B5" s="77" t="s">
        <v>22</v>
      </c>
      <c r="C5" s="55"/>
      <c r="D5" s="55"/>
      <c r="E5" s="55"/>
      <c r="F5" s="55"/>
      <c r="G5" s="55"/>
      <c r="H5" s="55"/>
      <c r="I5" s="55"/>
      <c r="J5" s="73"/>
      <c r="K5" s="73"/>
      <c r="L5" s="55"/>
    </row>
    <row r="6" spans="1:12">
      <c r="A6" s="55"/>
      <c r="B6" s="96" t="s">
        <v>108</v>
      </c>
      <c r="C6" s="98" t="s">
        <v>135</v>
      </c>
      <c r="D6" s="98"/>
      <c r="E6" s="98"/>
      <c r="F6" s="98" t="s">
        <v>16</v>
      </c>
      <c r="G6" s="98"/>
      <c r="H6" s="98"/>
      <c r="I6" s="55"/>
      <c r="J6" s="73"/>
      <c r="K6" s="73"/>
      <c r="L6" s="55"/>
    </row>
    <row r="7" spans="1:12">
      <c r="A7" s="55" t="s">
        <v>121</v>
      </c>
      <c r="B7" s="97"/>
      <c r="C7" s="78" t="s">
        <v>17</v>
      </c>
      <c r="D7" s="78" t="s">
        <v>21</v>
      </c>
      <c r="E7" s="78" t="s">
        <v>225</v>
      </c>
      <c r="F7" s="78" t="s">
        <v>17</v>
      </c>
      <c r="G7" s="78" t="s">
        <v>21</v>
      </c>
      <c r="H7" s="78" t="s">
        <v>226</v>
      </c>
      <c r="I7" s="55"/>
      <c r="J7" s="73"/>
      <c r="K7" s="73"/>
      <c r="L7" s="55"/>
    </row>
    <row r="8" spans="1:12">
      <c r="A8" s="55"/>
      <c r="B8" s="78" t="s">
        <v>18</v>
      </c>
      <c r="C8" s="79">
        <f t="shared" ref="C8:H8" si="0">SUM(C9:C33)</f>
        <v>1365976192.7272725</v>
      </c>
      <c r="D8" s="79">
        <f t="shared" si="0"/>
        <v>150257381.19999999</v>
      </c>
      <c r="E8" s="79">
        <f t="shared" si="0"/>
        <v>75128690.599999994</v>
      </c>
      <c r="F8" s="79">
        <f t="shared" si="0"/>
        <v>9210995687.8867512</v>
      </c>
      <c r="G8" s="79">
        <f t="shared" si="0"/>
        <v>437872243.19999993</v>
      </c>
      <c r="H8" s="79">
        <f t="shared" si="0"/>
        <v>218936122.79999998</v>
      </c>
      <c r="I8" s="55"/>
      <c r="J8" s="73"/>
      <c r="K8" s="73"/>
      <c r="L8" s="55"/>
    </row>
    <row r="9" spans="1:12">
      <c r="A9" s="80" t="s">
        <v>122</v>
      </c>
      <c r="B9" s="3" t="s">
        <v>151</v>
      </c>
      <c r="C9" s="74">
        <f>'202003'!F5/55%</f>
        <v>132121172.72727272</v>
      </c>
      <c r="D9" s="74">
        <f>'202003'!G6</f>
        <v>14533329</v>
      </c>
      <c r="E9" s="74">
        <f>'202003'!H6</f>
        <v>7266664.5</v>
      </c>
      <c r="F9" s="74"/>
      <c r="G9" s="74"/>
      <c r="H9" s="74"/>
      <c r="I9" s="55"/>
      <c r="J9" s="73"/>
      <c r="K9" s="73"/>
      <c r="L9" s="55"/>
    </row>
    <row r="10" spans="1:12">
      <c r="A10" s="80" t="s">
        <v>129</v>
      </c>
      <c r="B10" s="3" t="s">
        <v>148</v>
      </c>
      <c r="C10" s="74">
        <f>'202004'!F5/55%</f>
        <v>44981787.272727266</v>
      </c>
      <c r="D10" s="74">
        <f>'202004'!G6</f>
        <v>4947996.6000000006</v>
      </c>
      <c r="E10" s="74">
        <f>'202004'!H6</f>
        <v>2473998.3000000003</v>
      </c>
      <c r="F10" s="74">
        <v>51275595</v>
      </c>
      <c r="G10" s="74">
        <f>'202005'!G6</f>
        <v>2437538.8000000003</v>
      </c>
      <c r="H10" s="74">
        <f>'202005'!H6</f>
        <v>1218769.4000000001</v>
      </c>
      <c r="I10" s="55"/>
      <c r="J10" s="81">
        <v>12187694</v>
      </c>
      <c r="K10" s="73">
        <f>J10/F10</f>
        <v>0.23768995757143335</v>
      </c>
      <c r="L10" s="82"/>
    </row>
    <row r="11" spans="1:12">
      <c r="A11" s="80" t="s">
        <v>130</v>
      </c>
      <c r="B11" s="3" t="s">
        <v>149</v>
      </c>
      <c r="C11" s="74">
        <f>'202005'!F5/55%</f>
        <v>42084158.18181818</v>
      </c>
      <c r="D11" s="74">
        <f>'202005'!G5</f>
        <v>4629257.4000000004</v>
      </c>
      <c r="E11" s="74">
        <f>'202005'!H5</f>
        <v>2314628.7000000002</v>
      </c>
      <c r="F11" s="74">
        <v>132412348</v>
      </c>
      <c r="G11" s="74">
        <f>'202006'!G6</f>
        <v>6294617.2000000002</v>
      </c>
      <c r="H11" s="74">
        <f>'202006'!H6</f>
        <v>3147308.6</v>
      </c>
      <c r="I11" s="55"/>
      <c r="J11" s="81">
        <v>31473086</v>
      </c>
      <c r="K11" s="73">
        <f t="shared" ref="K11:K24" si="1">J11/F11</f>
        <v>0.23768996226847364</v>
      </c>
      <c r="L11" s="82"/>
    </row>
    <row r="12" spans="1:12">
      <c r="A12" s="80" t="s">
        <v>131</v>
      </c>
      <c r="B12" s="3" t="s">
        <v>150</v>
      </c>
      <c r="C12" s="74">
        <f>'202006'!F5/55%</f>
        <v>41460861.818181813</v>
      </c>
      <c r="D12" s="74">
        <f>'202006'!G5</f>
        <v>4560694.8</v>
      </c>
      <c r="E12" s="74">
        <f>'202006'!H5</f>
        <v>2280347.4</v>
      </c>
      <c r="F12" s="74">
        <v>213278872</v>
      </c>
      <c r="G12" s="74">
        <f>'202007'!G6</f>
        <v>10138849.4</v>
      </c>
      <c r="H12" s="74">
        <f>'202007'!H6</f>
        <v>5069424.7</v>
      </c>
      <c r="I12" s="55"/>
      <c r="J12" s="81">
        <v>50694247</v>
      </c>
      <c r="K12" s="73">
        <f t="shared" si="1"/>
        <v>0.23768996208869672</v>
      </c>
      <c r="L12" s="82"/>
    </row>
    <row r="13" spans="1:12">
      <c r="A13" s="80" t="s">
        <v>132</v>
      </c>
      <c r="B13" s="3" t="s">
        <v>27</v>
      </c>
      <c r="C13" s="74">
        <f>'202007'!F5/55%</f>
        <v>38125556.36363636</v>
      </c>
      <c r="D13" s="74">
        <f>'202007'!G5</f>
        <v>4193811.2</v>
      </c>
      <c r="E13" s="74">
        <f>'202007'!H5</f>
        <v>2096905.6</v>
      </c>
      <c r="F13" s="74">
        <v>306953076</v>
      </c>
      <c r="G13" s="74">
        <f>'202008'!G6</f>
        <v>14591933</v>
      </c>
      <c r="H13" s="74">
        <f>'202008'!H6</f>
        <v>7295966.5</v>
      </c>
      <c r="I13" s="55"/>
      <c r="J13" s="81">
        <v>72959665</v>
      </c>
      <c r="K13" s="83">
        <f t="shared" si="1"/>
        <v>0.23768996209700793</v>
      </c>
      <c r="L13" s="82"/>
    </row>
    <row r="14" spans="1:12">
      <c r="A14" s="80" t="s">
        <v>133</v>
      </c>
      <c r="B14" s="3" t="s">
        <v>43</v>
      </c>
      <c r="C14" s="74">
        <f>'202008'!F5/55%</f>
        <v>46138170.909090906</v>
      </c>
      <c r="D14" s="74">
        <f>'202008'!G5</f>
        <v>5075198.8000000007</v>
      </c>
      <c r="E14" s="74">
        <f>'202008'!H5</f>
        <v>2537599.4000000004</v>
      </c>
      <c r="F14" s="74">
        <v>897049627</v>
      </c>
      <c r="G14" s="74">
        <f>'202009'!G6</f>
        <v>42643938.400000006</v>
      </c>
      <c r="H14" s="74">
        <f>'202009'!H6</f>
        <v>21321969.200000003</v>
      </c>
      <c r="I14" s="55"/>
      <c r="J14" s="81">
        <v>213219692</v>
      </c>
      <c r="K14" s="83">
        <f t="shared" si="1"/>
        <v>0.2376899622745175</v>
      </c>
      <c r="L14" s="82"/>
    </row>
    <row r="15" spans="1:12">
      <c r="A15" s="80" t="s">
        <v>134</v>
      </c>
      <c r="B15" s="3" t="s">
        <v>45</v>
      </c>
      <c r="C15" s="74">
        <f>'202009'!F5/55%</f>
        <v>39979123.636363633</v>
      </c>
      <c r="D15" s="74">
        <f>'202009'!G5</f>
        <v>4397703.6000000006</v>
      </c>
      <c r="E15" s="74">
        <f>'202009'!H5</f>
        <v>2198851.8000000003</v>
      </c>
      <c r="F15" s="74">
        <v>689425524.88077152</v>
      </c>
      <c r="G15" s="74">
        <f>'202010'!G6</f>
        <v>32773905.400000002</v>
      </c>
      <c r="H15" s="74">
        <f>'202010'!H6</f>
        <v>16386952.700000001</v>
      </c>
      <c r="I15" s="55"/>
      <c r="J15" s="81">
        <v>163869527</v>
      </c>
      <c r="K15" s="83">
        <f t="shared" si="1"/>
        <v>0.2376899622745175</v>
      </c>
      <c r="L15" s="82"/>
    </row>
    <row r="16" spans="1:12">
      <c r="A16" s="80" t="s">
        <v>127</v>
      </c>
      <c r="B16" s="3" t="s">
        <v>46</v>
      </c>
      <c r="C16" s="74">
        <f>'202010'!F5/55%</f>
        <v>24556749.09090909</v>
      </c>
      <c r="D16" s="74">
        <f>'202010'!G5</f>
        <v>2701242.4000000004</v>
      </c>
      <c r="E16" s="74">
        <f>'202010'!H5</f>
        <v>1350621.2000000002</v>
      </c>
      <c r="F16" s="74">
        <v>570080132.13741732</v>
      </c>
      <c r="G16" s="74">
        <f>'202011'!G5</f>
        <v>27100465</v>
      </c>
      <c r="H16" s="74">
        <f>'202011'!H5</f>
        <v>13550232.5</v>
      </c>
      <c r="I16" s="55"/>
      <c r="J16" s="81">
        <v>135502325</v>
      </c>
      <c r="K16" s="83">
        <f t="shared" si="1"/>
        <v>0.23768996209700793</v>
      </c>
      <c r="L16" s="82"/>
    </row>
    <row r="17" spans="1:12">
      <c r="A17" s="80" t="s">
        <v>128</v>
      </c>
      <c r="B17" s="3" t="s">
        <v>63</v>
      </c>
      <c r="C17" s="74">
        <f>'202011'!F4/55%</f>
        <v>94125458.181818172</v>
      </c>
      <c r="D17" s="74">
        <f>'202011'!G4</f>
        <v>10353800.4</v>
      </c>
      <c r="E17" s="74">
        <f>'202011'!H4</f>
        <v>5176900.2</v>
      </c>
      <c r="F17" s="74">
        <f t="shared" ref="F17:F22" si="2">J17/K16</f>
        <v>381410237.94265312</v>
      </c>
      <c r="G17" s="74">
        <f>'202012'!G5</f>
        <v>18131477</v>
      </c>
      <c r="H17" s="74">
        <f>'202012'!H5</f>
        <v>9065738.5</v>
      </c>
      <c r="I17" s="55"/>
      <c r="J17" s="81">
        <v>90657385</v>
      </c>
      <c r="K17" s="83">
        <f t="shared" si="1"/>
        <v>0.23768996209700793</v>
      </c>
      <c r="L17" s="55"/>
    </row>
    <row r="18" spans="1:12">
      <c r="A18" s="80" t="s">
        <v>126</v>
      </c>
      <c r="B18" s="3" t="s">
        <v>64</v>
      </c>
      <c r="C18" s="74">
        <f>'202012'!F4/55%</f>
        <v>79866185.454545453</v>
      </c>
      <c r="D18" s="74">
        <f>'202012'!G4</f>
        <v>8785280.4000000004</v>
      </c>
      <c r="E18" s="74">
        <f>'202012'!H4</f>
        <v>4392640.2</v>
      </c>
      <c r="F18" s="74">
        <f t="shared" si="2"/>
        <v>416301900.70717168</v>
      </c>
      <c r="G18" s="74">
        <f>'202101'!G5</f>
        <v>19790156.600000001</v>
      </c>
      <c r="H18" s="74">
        <f>'202101'!H5</f>
        <v>9895078.3000000007</v>
      </c>
      <c r="I18" s="55"/>
      <c r="J18" s="81">
        <v>98950783</v>
      </c>
      <c r="K18" s="83">
        <f t="shared" si="1"/>
        <v>0.23768996209700793</v>
      </c>
      <c r="L18" s="82"/>
    </row>
    <row r="19" spans="1:12">
      <c r="A19" s="80" t="s">
        <v>126</v>
      </c>
      <c r="B19" s="3" t="s">
        <v>88</v>
      </c>
      <c r="C19" s="74">
        <f>'202101'!F4/55%</f>
        <v>44571289.090909086</v>
      </c>
      <c r="D19" s="74">
        <f>'202101'!G4</f>
        <v>4902841.8</v>
      </c>
      <c r="E19" s="74">
        <f>'202101'!H4</f>
        <v>2451420.9</v>
      </c>
      <c r="F19" s="74">
        <f t="shared" si="2"/>
        <v>340702763.74123502</v>
      </c>
      <c r="G19" s="74">
        <f>'202102'!G5</f>
        <v>16196325.4</v>
      </c>
      <c r="H19" s="74">
        <f>'202102'!H5</f>
        <v>8098162.7000000002</v>
      </c>
      <c r="I19" s="55"/>
      <c r="J19" s="81">
        <v>80981627</v>
      </c>
      <c r="K19" s="83">
        <f t="shared" si="1"/>
        <v>0.23768996209700793</v>
      </c>
      <c r="L19" s="55"/>
    </row>
    <row r="20" spans="1:12">
      <c r="A20" s="80" t="s">
        <v>125</v>
      </c>
      <c r="B20" s="3" t="s">
        <v>98</v>
      </c>
      <c r="C20" s="74">
        <f>'202102'!F4/55%</f>
        <v>37417005.454545453</v>
      </c>
      <c r="D20" s="74">
        <f>'202102'!G4</f>
        <v>4115870.6</v>
      </c>
      <c r="E20" s="74">
        <f>'202102'!H4</f>
        <v>2057935.3</v>
      </c>
      <c r="F20" s="74">
        <f t="shared" si="2"/>
        <v>403780627.3065502</v>
      </c>
      <c r="G20" s="74">
        <f>'202103'!G5</f>
        <v>19194920.400000002</v>
      </c>
      <c r="H20" s="74">
        <f>'202103'!H5</f>
        <v>9597460.2000000011</v>
      </c>
      <c r="I20" s="55"/>
      <c r="J20" s="81">
        <v>95974602</v>
      </c>
      <c r="K20" s="83">
        <f t="shared" si="1"/>
        <v>0.23768996209700793</v>
      </c>
      <c r="L20" s="55"/>
    </row>
    <row r="21" spans="1:12">
      <c r="A21" s="80" t="s">
        <v>124</v>
      </c>
      <c r="B21" s="3" t="s">
        <v>107</v>
      </c>
      <c r="C21" s="74">
        <f>'202103'!F4/55%</f>
        <v>41616518.18181818</v>
      </c>
      <c r="D21" s="74">
        <f>'202103'!G4</f>
        <v>4577817</v>
      </c>
      <c r="E21" s="74">
        <f>'202103'!H4</f>
        <v>2288908.5</v>
      </c>
      <c r="F21" s="74">
        <f t="shared" si="2"/>
        <v>654901156.22328806</v>
      </c>
      <c r="G21" s="74">
        <f>'202104'!G5</f>
        <v>31132686.200000003</v>
      </c>
      <c r="H21" s="74">
        <f>G21*50%</f>
        <v>15566343.100000001</v>
      </c>
      <c r="I21" s="55"/>
      <c r="J21" s="81">
        <v>155663431</v>
      </c>
      <c r="K21" s="83">
        <f t="shared" si="1"/>
        <v>0.23768996209700791</v>
      </c>
      <c r="L21" s="55"/>
    </row>
    <row r="22" spans="1:12">
      <c r="A22" s="80" t="s">
        <v>123</v>
      </c>
      <c r="B22" s="3" t="s">
        <v>120</v>
      </c>
      <c r="C22" s="74">
        <f>('202104'!F4+'202104'!F6+'202104'!F7+'202104'!F8)/55%</f>
        <v>62177716.36363636</v>
      </c>
      <c r="D22" s="74">
        <f>'202104'!G4+'202104'!G6+'202104'!G7+'202104'!G8</f>
        <v>6839548.8000000007</v>
      </c>
      <c r="E22" s="74">
        <f t="shared" ref="E22:E28" si="3">D22*50%</f>
        <v>3419774.4000000004</v>
      </c>
      <c r="F22" s="74">
        <f t="shared" si="2"/>
        <v>702122822.21614611</v>
      </c>
      <c r="G22" s="74">
        <f>'202105'!G5</f>
        <v>33377509.400000002</v>
      </c>
      <c r="H22" s="74">
        <f>G22*50%</f>
        <v>16688754.700000001</v>
      </c>
      <c r="I22" s="55"/>
      <c r="J22" s="81">
        <v>166887547</v>
      </c>
      <c r="K22" s="83">
        <f t="shared" si="1"/>
        <v>0.23768996209700793</v>
      </c>
      <c r="L22" s="55"/>
    </row>
    <row r="23" spans="1:12">
      <c r="A23" s="80" t="s">
        <v>143</v>
      </c>
      <c r="B23" s="3" t="s">
        <v>144</v>
      </c>
      <c r="C23" s="74">
        <f>'202105'!F4/55%</f>
        <v>55466256.36363636</v>
      </c>
      <c r="D23" s="74">
        <f>'202105'!G4</f>
        <v>6101288.2000000002</v>
      </c>
      <c r="E23" s="74">
        <f t="shared" si="3"/>
        <v>3050644.1</v>
      </c>
      <c r="F23" s="74">
        <f t="shared" ref="F23:F30" si="4">J23/K22</f>
        <v>641628290.29253232</v>
      </c>
      <c r="G23" s="74">
        <f>'202106'!G5</f>
        <v>30501720.800000001</v>
      </c>
      <c r="H23" s="74">
        <f>ROUND((G23*50%),0)</f>
        <v>15250860</v>
      </c>
      <c r="I23" s="55"/>
      <c r="J23" s="81">
        <v>152508604</v>
      </c>
      <c r="K23" s="83">
        <f t="shared" si="1"/>
        <v>0.23768996209700791</v>
      </c>
      <c r="L23" s="55"/>
    </row>
    <row r="24" spans="1:12">
      <c r="A24" s="80" t="s">
        <v>146</v>
      </c>
      <c r="B24" s="3" t="s">
        <v>147</v>
      </c>
      <c r="C24" s="74">
        <f>'202106'!F4/55%</f>
        <v>53815256.36363636</v>
      </c>
      <c r="D24" s="74">
        <f>'202106'!G4</f>
        <v>5919678.2000000002</v>
      </c>
      <c r="E24" s="74">
        <f t="shared" si="3"/>
        <v>2959839.1</v>
      </c>
      <c r="F24" s="74">
        <f t="shared" si="4"/>
        <v>525653237.08961457</v>
      </c>
      <c r="G24" s="74">
        <f>'202107'!G5</f>
        <v>24988499.600000001</v>
      </c>
      <c r="H24" s="74">
        <f>ROUND((G24*50%),0)</f>
        <v>12494250</v>
      </c>
      <c r="I24" s="55"/>
      <c r="J24" s="81">
        <v>124942498</v>
      </c>
      <c r="K24" s="83">
        <f t="shared" si="1"/>
        <v>0.23768996209700791</v>
      </c>
      <c r="L24" s="55"/>
    </row>
    <row r="25" spans="1:12">
      <c r="A25" s="80" t="s">
        <v>156</v>
      </c>
      <c r="B25" s="3" t="s">
        <v>157</v>
      </c>
      <c r="C25" s="74">
        <f>'202107'!F4/55%</f>
        <v>33581632.727272727</v>
      </c>
      <c r="D25" s="74">
        <f>'202107'!G4</f>
        <v>3693979.6</v>
      </c>
      <c r="E25" s="74">
        <f t="shared" si="3"/>
        <v>1846989.8</v>
      </c>
      <c r="F25" s="74">
        <f t="shared" si="4"/>
        <v>549255735.69959104</v>
      </c>
      <c r="G25" s="74">
        <f>'202108'!G5</f>
        <v>26110515</v>
      </c>
      <c r="H25" s="74">
        <f>ROUND((G25*50%),0)</f>
        <v>13055258</v>
      </c>
      <c r="I25" s="55"/>
      <c r="J25" s="81">
        <v>130552575</v>
      </c>
      <c r="K25" s="83">
        <f t="shared" ref="K25" si="5">J25/F25</f>
        <v>0.23768996209700793</v>
      </c>
      <c r="L25" s="55"/>
    </row>
    <row r="26" spans="1:12">
      <c r="A26" s="80" t="s">
        <v>189</v>
      </c>
      <c r="B26" s="3" t="s">
        <v>158</v>
      </c>
      <c r="C26" s="74">
        <f>SUM('202108'!F4+'202108'!F8+'202108'!F9)/55%</f>
        <v>122753325.45454544</v>
      </c>
      <c r="D26" s="74">
        <f>'202108'!G4+'202108'!G8+'202108'!G9</f>
        <v>13502865.800000001</v>
      </c>
      <c r="E26" s="74">
        <f t="shared" si="3"/>
        <v>6751432.9000000004</v>
      </c>
      <c r="F26" s="74">
        <f t="shared" si="4"/>
        <v>340453531.50829864</v>
      </c>
      <c r="G26" s="74">
        <f>'202109'!G6</f>
        <v>16184477.4</v>
      </c>
      <c r="H26" s="74">
        <f>ROUND((G26*50%),0)</f>
        <v>8092239</v>
      </c>
      <c r="I26" s="55"/>
      <c r="J26" s="81">
        <v>80922387</v>
      </c>
      <c r="K26" s="83">
        <f t="shared" ref="K26:K27" si="6">J26/F26</f>
        <v>0.23768996209700793</v>
      </c>
      <c r="L26" s="55"/>
    </row>
    <row r="27" spans="1:12">
      <c r="A27" s="80" t="s">
        <v>190</v>
      </c>
      <c r="B27" s="3" t="s">
        <v>188</v>
      </c>
      <c r="C27" s="74">
        <f>SUM('202109'!F4+'202109'!F5)/55%</f>
        <v>53981236.36363636</v>
      </c>
      <c r="D27" s="74">
        <f>'202109'!G4+'202109'!G5</f>
        <v>5937936</v>
      </c>
      <c r="E27" s="74">
        <f t="shared" si="3"/>
        <v>2968968</v>
      </c>
      <c r="F27" s="74">
        <f t="shared" si="4"/>
        <v>186535756.9534407</v>
      </c>
      <c r="G27" s="74">
        <f>'202110'!I5</f>
        <v>8867535.4000000004</v>
      </c>
      <c r="H27" s="74">
        <f>'202110'!J5</f>
        <v>4433768</v>
      </c>
      <c r="I27" s="55"/>
      <c r="J27" s="81">
        <v>44337677</v>
      </c>
      <c r="K27" s="83">
        <f t="shared" si="6"/>
        <v>0.23768996209700791</v>
      </c>
      <c r="L27" s="55"/>
    </row>
    <row r="28" spans="1:12">
      <c r="A28" s="80" t="s">
        <v>208</v>
      </c>
      <c r="B28" s="3" t="s">
        <v>209</v>
      </c>
      <c r="C28" s="74">
        <f>SUM('202110'!H4)/55%</f>
        <v>78800863.636363626</v>
      </c>
      <c r="D28" s="74">
        <f>'202110'!I4</f>
        <v>8668095</v>
      </c>
      <c r="E28" s="74">
        <f t="shared" si="3"/>
        <v>4334047.5</v>
      </c>
      <c r="F28" s="74">
        <f t="shared" si="4"/>
        <v>324954277.91131061</v>
      </c>
      <c r="G28" s="74">
        <f>'202111'!I5</f>
        <v>15447674</v>
      </c>
      <c r="H28" s="74">
        <f>G28*50%</f>
        <v>7723837</v>
      </c>
      <c r="I28" s="55"/>
      <c r="J28" s="81">
        <v>77238370</v>
      </c>
      <c r="K28" s="83">
        <f t="shared" ref="K28" si="7">J28/F28</f>
        <v>0.23768996209700793</v>
      </c>
      <c r="L28" s="55"/>
    </row>
    <row r="29" spans="1:12">
      <c r="A29" s="80" t="s">
        <v>127</v>
      </c>
      <c r="B29" s="3" t="s">
        <v>222</v>
      </c>
      <c r="C29" s="74">
        <f>SUM('202111'!H4)/55%</f>
        <v>56471538.18181818</v>
      </c>
      <c r="D29" s="74">
        <f>'202111'!I4</f>
        <v>6211869.2000000002</v>
      </c>
      <c r="E29" s="74">
        <f t="shared" ref="E29" si="8">D29*50%</f>
        <v>3105934.6</v>
      </c>
      <c r="F29" s="74">
        <f t="shared" si="4"/>
        <v>392718170.24356806</v>
      </c>
      <c r="G29" s="74">
        <f>'202112'!I5</f>
        <v>18669033.400000002</v>
      </c>
      <c r="H29" s="74">
        <f>'202112'!J5</f>
        <v>9334517</v>
      </c>
      <c r="I29" s="55"/>
      <c r="J29" s="81">
        <v>93345167</v>
      </c>
      <c r="K29" s="83">
        <f t="shared" ref="K29" si="9">J29/F29</f>
        <v>0.23768996209700793</v>
      </c>
      <c r="L29" s="55"/>
    </row>
    <row r="30" spans="1:12">
      <c r="A30" s="80" t="s">
        <v>128</v>
      </c>
      <c r="B30" s="3" t="s">
        <v>239</v>
      </c>
      <c r="C30" s="74">
        <f>SUM('202112'!H4)/55%</f>
        <v>68805527.272727266</v>
      </c>
      <c r="D30" s="74">
        <f>'202112'!I4</f>
        <v>7568608</v>
      </c>
      <c r="E30" s="74">
        <f t="shared" ref="E30" si="10">D30*50%</f>
        <v>3784304</v>
      </c>
      <c r="F30" s="74">
        <f t="shared" si="4"/>
        <v>490102005.03316253</v>
      </c>
      <c r="G30" s="74">
        <f>'202201'!I5</f>
        <v>23298465.400000002</v>
      </c>
      <c r="H30" s="74">
        <f>G30*50%</f>
        <v>11649232.700000001</v>
      </c>
      <c r="I30" s="55"/>
      <c r="J30" s="81">
        <v>116492327</v>
      </c>
      <c r="K30" s="83">
        <f t="shared" ref="K30" si="11">J30/F30</f>
        <v>0.23768996209700793</v>
      </c>
      <c r="L30" s="55"/>
    </row>
    <row r="31" spans="1:12">
      <c r="A31" s="80" t="s">
        <v>126</v>
      </c>
      <c r="B31" s="3" t="s">
        <v>239</v>
      </c>
      <c r="C31" s="74">
        <f>SUM('202201'!H4+'202201'!H7)/55%</f>
        <v>73078803.636363626</v>
      </c>
      <c r="D31" s="74">
        <f>'202201'!I4+'202201'!I7</f>
        <v>8038668.4000000004</v>
      </c>
      <c r="E31" s="74">
        <f t="shared" ref="E31" si="12">D31*50%</f>
        <v>4019334.2</v>
      </c>
      <c r="F31" s="74"/>
      <c r="G31" s="74"/>
      <c r="H31" s="74"/>
      <c r="I31" s="55"/>
      <c r="J31" s="81"/>
      <c r="K31" s="83" t="e">
        <f t="shared" ref="K31" si="13">J31/F31</f>
        <v>#DIV/0!</v>
      </c>
      <c r="L31" s="55"/>
    </row>
    <row r="32" spans="1:12">
      <c r="A32" s="55"/>
      <c r="B32" s="84"/>
      <c r="C32" s="85"/>
      <c r="D32" s="85"/>
      <c r="E32" s="85"/>
      <c r="F32" s="85"/>
      <c r="G32" s="85"/>
      <c r="H32" s="85"/>
      <c r="I32" s="55"/>
      <c r="J32" s="81"/>
      <c r="K32" s="73"/>
      <c r="L32" s="55"/>
    </row>
    <row r="33" spans="2:10" ht="9.6" customHeight="1">
      <c r="G33" s="27"/>
      <c r="J33" s="54"/>
    </row>
    <row r="34" spans="2:10" ht="12.6" customHeight="1">
      <c r="B34" s="56" t="s">
        <v>91</v>
      </c>
      <c r="G34" s="86"/>
    </row>
    <row r="35" spans="2:10" ht="15.6" customHeight="1">
      <c r="B35" s="56" t="s">
        <v>92</v>
      </c>
    </row>
  </sheetData>
  <mergeCells count="3">
    <mergeCell ref="B6:B7"/>
    <mergeCell ref="C6:E6"/>
    <mergeCell ref="F6:H6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zoomScale="81" zoomScaleNormal="81" workbookViewId="0">
      <selection activeCell="I20" sqref="I20"/>
    </sheetView>
  </sheetViews>
  <sheetFormatPr defaultRowHeight="17.399999999999999"/>
  <cols>
    <col min="1" max="1" width="7.3984375" style="41" customWidth="1"/>
    <col min="2" max="9" width="19.59765625" style="41" customWidth="1"/>
    <col min="10" max="10" width="20.3984375" style="41" customWidth="1"/>
    <col min="11" max="16384" width="8.796875" style="45"/>
  </cols>
  <sheetData>
    <row r="2" spans="1:10" s="63" customFormat="1">
      <c r="A2" s="102" t="s">
        <v>240</v>
      </c>
      <c r="B2" s="102"/>
      <c r="C2" s="102"/>
      <c r="D2" s="102"/>
      <c r="E2" s="90"/>
    </row>
    <row r="3" spans="1:10">
      <c r="A3" s="57" t="s">
        <v>75</v>
      </c>
      <c r="B3" s="57" t="s">
        <v>76</v>
      </c>
      <c r="C3" s="57" t="s">
        <v>77</v>
      </c>
      <c r="D3" s="91" t="s">
        <v>241</v>
      </c>
      <c r="E3" s="91" t="s">
        <v>242</v>
      </c>
      <c r="F3" s="91" t="s">
        <v>243</v>
      </c>
      <c r="G3" s="57" t="s">
        <v>244</v>
      </c>
      <c r="H3" s="57" t="s">
        <v>80</v>
      </c>
      <c r="I3" s="57" t="s">
        <v>96</v>
      </c>
      <c r="J3" s="57" t="s">
        <v>223</v>
      </c>
    </row>
    <row r="4" spans="1:10">
      <c r="A4" s="65">
        <v>202201</v>
      </c>
      <c r="B4" s="68" t="s">
        <v>245</v>
      </c>
      <c r="C4" s="88">
        <v>4000000</v>
      </c>
      <c r="D4" s="88">
        <v>32775263</v>
      </c>
      <c r="E4" s="88">
        <v>7217845</v>
      </c>
      <c r="F4" s="89"/>
      <c r="G4" s="13">
        <f>(D4+E4)-C4</f>
        <v>35993108</v>
      </c>
      <c r="H4" s="13">
        <f>(C4+G4)</f>
        <v>39993108</v>
      </c>
      <c r="I4" s="13">
        <f>H4*0.2</f>
        <v>7998621.6000000006</v>
      </c>
      <c r="J4" s="13">
        <f>ROUND(I4*50%,0)</f>
        <v>3999311</v>
      </c>
    </row>
    <row r="5" spans="1:10">
      <c r="A5" s="65">
        <v>202112</v>
      </c>
      <c r="B5" s="68" t="s">
        <v>246</v>
      </c>
      <c r="C5" s="89"/>
      <c r="D5" s="89"/>
      <c r="E5" s="89"/>
      <c r="F5" s="76">
        <v>116492327</v>
      </c>
      <c r="G5" s="89"/>
      <c r="H5" s="13">
        <f>F5</f>
        <v>116492327</v>
      </c>
      <c r="I5" s="13">
        <f t="shared" ref="I5:I9" si="0">H5*0.2</f>
        <v>23298465.400000002</v>
      </c>
      <c r="J5" s="13">
        <f t="shared" ref="J5:J9" si="1">ROUND(I5*50%,0)</f>
        <v>11649233</v>
      </c>
    </row>
    <row r="6" spans="1:10">
      <c r="A6" s="65" t="s">
        <v>198</v>
      </c>
      <c r="B6" s="68" t="s">
        <v>247</v>
      </c>
      <c r="C6" s="89"/>
      <c r="D6" s="89"/>
      <c r="E6" s="89"/>
      <c r="F6" s="92">
        <v>0</v>
      </c>
      <c r="G6" s="89"/>
      <c r="H6" s="13">
        <f t="shared" ref="H6:H9" si="2">F6</f>
        <v>0</v>
      </c>
      <c r="I6" s="13">
        <f t="shared" si="0"/>
        <v>0</v>
      </c>
      <c r="J6" s="13">
        <f t="shared" si="1"/>
        <v>0</v>
      </c>
    </row>
    <row r="7" spans="1:10">
      <c r="A7" s="65">
        <v>202201</v>
      </c>
      <c r="B7" s="68" t="s">
        <v>248</v>
      </c>
      <c r="C7" s="89"/>
      <c r="D7" s="89"/>
      <c r="E7" s="89"/>
      <c r="F7" s="76">
        <v>200234</v>
      </c>
      <c r="G7" s="89"/>
      <c r="H7" s="13">
        <f t="shared" si="2"/>
        <v>200234</v>
      </c>
      <c r="I7" s="13">
        <f t="shared" si="0"/>
        <v>40046.800000000003</v>
      </c>
      <c r="J7" s="13">
        <f t="shared" si="1"/>
        <v>20023</v>
      </c>
    </row>
    <row r="8" spans="1:10">
      <c r="A8" s="65" t="s">
        <v>198</v>
      </c>
      <c r="B8" s="68" t="s">
        <v>249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202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250</v>
      </c>
      <c r="B10" s="60"/>
      <c r="C10" s="13">
        <f t="shared" ref="C10:I10" si="3">SUM(C4:C9)</f>
        <v>4000000</v>
      </c>
      <c r="D10" s="13">
        <f t="shared" si="3"/>
        <v>32775263</v>
      </c>
      <c r="E10" s="13">
        <f t="shared" si="3"/>
        <v>7217845</v>
      </c>
      <c r="F10" s="13">
        <f t="shared" si="3"/>
        <v>116692561</v>
      </c>
      <c r="G10" s="13">
        <f t="shared" si="3"/>
        <v>35993108</v>
      </c>
      <c r="H10" s="13">
        <f t="shared" si="3"/>
        <v>156685669</v>
      </c>
      <c r="I10" s="14">
        <f t="shared" si="3"/>
        <v>31337133.800000004</v>
      </c>
      <c r="J10" s="14">
        <f>SUM(J4:J9)</f>
        <v>15668567</v>
      </c>
    </row>
    <row r="11" spans="1:10">
      <c r="J11" s="61"/>
    </row>
    <row r="12" spans="1:10" ht="11.25" customHeight="1">
      <c r="A12" s="100" t="s">
        <v>251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252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253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87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254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zoomScale="79" zoomScaleNormal="79" workbookViewId="0">
      <selection activeCell="J1" sqref="J1:J1048576"/>
    </sheetView>
  </sheetViews>
  <sheetFormatPr defaultRowHeight="17.399999999999999"/>
  <cols>
    <col min="1" max="1" width="7.3984375" style="41" customWidth="1"/>
    <col min="2" max="9" width="19.59765625" style="41" customWidth="1"/>
    <col min="10" max="10" width="20.3984375" style="41" customWidth="1"/>
    <col min="11" max="16384" width="8.796875" style="45"/>
  </cols>
  <sheetData>
    <row r="2" spans="1:10" s="63" customFormat="1">
      <c r="A2" s="102" t="s">
        <v>49</v>
      </c>
      <c r="B2" s="102"/>
      <c r="C2" s="102"/>
      <c r="D2" s="102"/>
      <c r="E2" s="90"/>
    </row>
    <row r="3" spans="1:10">
      <c r="A3" s="57" t="s">
        <v>6</v>
      </c>
      <c r="B3" s="57" t="s">
        <v>227</v>
      </c>
      <c r="C3" s="57" t="s">
        <v>51</v>
      </c>
      <c r="D3" s="91" t="s">
        <v>192</v>
      </c>
      <c r="E3" s="91" t="s">
        <v>193</v>
      </c>
      <c r="F3" s="91" t="s">
        <v>194</v>
      </c>
      <c r="G3" s="57" t="s">
        <v>53</v>
      </c>
      <c r="H3" s="57" t="s">
        <v>54</v>
      </c>
      <c r="I3" s="57" t="s">
        <v>96</v>
      </c>
      <c r="J3" s="57" t="s">
        <v>223</v>
      </c>
    </row>
    <row r="4" spans="1:10">
      <c r="A4" s="65">
        <v>202112</v>
      </c>
      <c r="B4" s="68" t="s">
        <v>196</v>
      </c>
      <c r="C4" s="88">
        <v>4000000</v>
      </c>
      <c r="D4" s="88">
        <v>29012398</v>
      </c>
      <c r="E4" s="88">
        <v>8830642</v>
      </c>
      <c r="F4" s="89"/>
      <c r="G4" s="13">
        <f>(D4+E4)-C4</f>
        <v>33843040</v>
      </c>
      <c r="H4" s="13">
        <f>(C4+G4)</f>
        <v>37843040</v>
      </c>
      <c r="I4" s="13">
        <f>H4*0.2</f>
        <v>7568608</v>
      </c>
      <c r="J4" s="13">
        <f>ROUND(I4*50%,0)</f>
        <v>3784304</v>
      </c>
    </row>
    <row r="5" spans="1:10">
      <c r="A5" s="65">
        <v>202111</v>
      </c>
      <c r="B5" s="68" t="s">
        <v>197</v>
      </c>
      <c r="C5" s="89"/>
      <c r="D5" s="89"/>
      <c r="E5" s="89"/>
      <c r="F5" s="76">
        <v>93345167</v>
      </c>
      <c r="G5" s="89"/>
      <c r="H5" s="13">
        <f>F5</f>
        <v>93345167</v>
      </c>
      <c r="I5" s="13">
        <f t="shared" ref="I5:I9" si="0">H5*0.2</f>
        <v>18669033.400000002</v>
      </c>
      <c r="J5" s="13">
        <f t="shared" ref="J5:J9" si="1">ROUND(I5*50%,0)</f>
        <v>9334517</v>
      </c>
    </row>
    <row r="6" spans="1:10">
      <c r="A6" s="65" t="s">
        <v>198</v>
      </c>
      <c r="B6" s="68" t="s">
        <v>228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229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230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231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232</v>
      </c>
      <c r="B10" s="60"/>
      <c r="C10" s="13">
        <f>SUM(C4:C9)</f>
        <v>4000000</v>
      </c>
      <c r="D10" s="13">
        <f>SUM(D4:D9)</f>
        <v>29012398</v>
      </c>
      <c r="E10" s="13"/>
      <c r="F10" s="13">
        <f>SUM(F4:F9)</f>
        <v>93345167</v>
      </c>
      <c r="G10" s="13">
        <f>SUM(G4:G9)</f>
        <v>33843040</v>
      </c>
      <c r="H10" s="13">
        <f>SUM(H4:H9)</f>
        <v>131188207</v>
      </c>
      <c r="I10" s="14">
        <f>SUM(I4:I9)</f>
        <v>26237641.400000002</v>
      </c>
      <c r="J10" s="14">
        <f>SUM(J4:J9)</f>
        <v>13118821</v>
      </c>
    </row>
    <row r="11" spans="1:10">
      <c r="J11" s="61"/>
    </row>
    <row r="12" spans="1:10" ht="11.25" customHeight="1">
      <c r="A12" s="100" t="s">
        <v>233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234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235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236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237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zoomScale="86" zoomScaleNormal="86" workbookViewId="0">
      <selection activeCell="J1" sqref="J1:J1048576"/>
    </sheetView>
  </sheetViews>
  <sheetFormatPr defaultRowHeight="17.399999999999999"/>
  <cols>
    <col min="1" max="1" width="7.3984375" style="41" customWidth="1"/>
    <col min="2" max="10" width="19.59765625" style="41" customWidth="1"/>
    <col min="11" max="16384" width="8.796875" style="45"/>
  </cols>
  <sheetData>
    <row r="2" spans="1:10" s="63" customFormat="1">
      <c r="A2" s="102" t="s">
        <v>210</v>
      </c>
      <c r="B2" s="102"/>
      <c r="C2" s="102"/>
      <c r="D2" s="102"/>
      <c r="E2" s="90"/>
    </row>
    <row r="3" spans="1:10">
      <c r="A3" s="57" t="s">
        <v>211</v>
      </c>
      <c r="B3" s="57" t="s">
        <v>212</v>
      </c>
      <c r="C3" s="57" t="s">
        <v>213</v>
      </c>
      <c r="D3" s="91" t="s">
        <v>214</v>
      </c>
      <c r="E3" s="91" t="s">
        <v>215</v>
      </c>
      <c r="F3" s="91" t="s">
        <v>216</v>
      </c>
      <c r="G3" s="57" t="s">
        <v>217</v>
      </c>
      <c r="H3" s="57" t="s">
        <v>218</v>
      </c>
      <c r="I3" s="57" t="s">
        <v>207</v>
      </c>
      <c r="J3" s="57" t="s">
        <v>223</v>
      </c>
    </row>
    <row r="4" spans="1:10">
      <c r="A4" s="65">
        <v>202111</v>
      </c>
      <c r="B4" s="68" t="s">
        <v>219</v>
      </c>
      <c r="C4" s="88">
        <v>4000000</v>
      </c>
      <c r="D4" s="88">
        <v>24288611</v>
      </c>
      <c r="E4" s="88">
        <v>6770735</v>
      </c>
      <c r="F4" s="89"/>
      <c r="G4" s="13">
        <f>(D4+E4)-C4</f>
        <v>27059346</v>
      </c>
      <c r="H4" s="13">
        <f>(C4+G4)</f>
        <v>31059346</v>
      </c>
      <c r="I4" s="13">
        <f>H4*0.2</f>
        <v>6211869.2000000002</v>
      </c>
      <c r="J4" s="13">
        <f>ROUND(I4*50%,0)</f>
        <v>3105935</v>
      </c>
    </row>
    <row r="5" spans="1:10">
      <c r="A5" s="65">
        <v>202110</v>
      </c>
      <c r="B5" s="68" t="s">
        <v>220</v>
      </c>
      <c r="C5" s="89"/>
      <c r="D5" s="89"/>
      <c r="E5" s="89"/>
      <c r="F5" s="76">
        <v>77238370</v>
      </c>
      <c r="G5" s="89"/>
      <c r="H5" s="13">
        <f>F5</f>
        <v>77238370</v>
      </c>
      <c r="I5" s="13">
        <f t="shared" ref="I5:I9" si="0">H5*0.2</f>
        <v>15447674</v>
      </c>
      <c r="J5" s="13">
        <f t="shared" ref="J5:J9" si="1">ROUND(I5*50%,0)</f>
        <v>7723837</v>
      </c>
    </row>
    <row r="6" spans="1:10">
      <c r="A6" s="65" t="s">
        <v>198</v>
      </c>
      <c r="B6" s="68" t="s">
        <v>199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200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201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202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8</v>
      </c>
      <c r="B10" s="60"/>
      <c r="C10" s="13">
        <f>SUM(C4:C9)</f>
        <v>4000000</v>
      </c>
      <c r="D10" s="13">
        <f>SUM(D4:D9)</f>
        <v>24288611</v>
      </c>
      <c r="E10" s="13"/>
      <c r="F10" s="13">
        <f>SUM(F4:F9)</f>
        <v>77238370</v>
      </c>
      <c r="G10" s="13">
        <f>SUM(G4:G9)</f>
        <v>27059346</v>
      </c>
      <c r="H10" s="13">
        <f>SUM(H4:H9)</f>
        <v>108297716</v>
      </c>
      <c r="I10" s="14">
        <f>SUM(I4:I9)</f>
        <v>21659543.199999999</v>
      </c>
      <c r="J10" s="14">
        <f>SUM(J4:J9)</f>
        <v>10829772</v>
      </c>
    </row>
    <row r="11" spans="1:10">
      <c r="J11" s="61"/>
    </row>
    <row r="12" spans="1:10" ht="11.25" customHeight="1">
      <c r="A12" s="100" t="s">
        <v>84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85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86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221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206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workbookViewId="0">
      <selection activeCell="J1" sqref="J1:J1048576"/>
    </sheetView>
  </sheetViews>
  <sheetFormatPr defaultRowHeight="17.399999999999999"/>
  <cols>
    <col min="1" max="1" width="7.3984375" style="41" customWidth="1"/>
    <col min="2" max="10" width="19.59765625" style="41" customWidth="1"/>
    <col min="11" max="16384" width="8.796875" style="45"/>
  </cols>
  <sheetData>
    <row r="2" spans="1:10" s="63" customFormat="1">
      <c r="A2" s="102" t="s">
        <v>49</v>
      </c>
      <c r="B2" s="102"/>
      <c r="C2" s="102"/>
      <c r="D2" s="102"/>
      <c r="E2" s="90"/>
    </row>
    <row r="3" spans="1:10">
      <c r="A3" s="57" t="s">
        <v>6</v>
      </c>
      <c r="B3" s="57" t="s">
        <v>9</v>
      </c>
      <c r="C3" s="57" t="s">
        <v>191</v>
      </c>
      <c r="D3" s="91" t="s">
        <v>192</v>
      </c>
      <c r="E3" s="91" t="s">
        <v>193</v>
      </c>
      <c r="F3" s="91" t="s">
        <v>194</v>
      </c>
      <c r="G3" s="57" t="s">
        <v>53</v>
      </c>
      <c r="H3" s="57" t="s">
        <v>195</v>
      </c>
      <c r="I3" s="57" t="s">
        <v>207</v>
      </c>
      <c r="J3" s="57" t="s">
        <v>90</v>
      </c>
    </row>
    <row r="4" spans="1:10">
      <c r="A4" s="65">
        <v>202110</v>
      </c>
      <c r="B4" s="68" t="s">
        <v>196</v>
      </c>
      <c r="C4" s="88">
        <v>5000000</v>
      </c>
      <c r="D4" s="88">
        <v>28614388</v>
      </c>
      <c r="E4" s="88">
        <v>14726087</v>
      </c>
      <c r="F4" s="89"/>
      <c r="G4" s="13">
        <f>(D4+E4)-C4</f>
        <v>38340475</v>
      </c>
      <c r="H4" s="13">
        <f>(C4+G4)</f>
        <v>43340475</v>
      </c>
      <c r="I4" s="13">
        <f>H4*0.2</f>
        <v>8668095</v>
      </c>
      <c r="J4" s="13">
        <f>ROUND(I4*50%,0)</f>
        <v>4334048</v>
      </c>
    </row>
    <row r="5" spans="1:10">
      <c r="A5" s="65">
        <v>202109</v>
      </c>
      <c r="B5" s="68" t="s">
        <v>197</v>
      </c>
      <c r="C5" s="89"/>
      <c r="D5" s="89"/>
      <c r="E5" s="89"/>
      <c r="F5" s="76">
        <v>44337677</v>
      </c>
      <c r="G5" s="89"/>
      <c r="H5" s="13">
        <f>F5</f>
        <v>44337677</v>
      </c>
      <c r="I5" s="13">
        <f t="shared" ref="I5:I9" si="0">H5*0.2</f>
        <v>8867535.4000000004</v>
      </c>
      <c r="J5" s="13">
        <f t="shared" ref="J5:J9" si="1">ROUND(I5*50%,0)</f>
        <v>4433768</v>
      </c>
    </row>
    <row r="6" spans="1:10">
      <c r="A6" s="65" t="s">
        <v>198</v>
      </c>
      <c r="B6" s="68" t="s">
        <v>199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200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201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202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8</v>
      </c>
      <c r="B10" s="60"/>
      <c r="C10" s="13">
        <f>SUM(C4:C9)</f>
        <v>5000000</v>
      </c>
      <c r="D10" s="13">
        <f>SUM(D4:D9)</f>
        <v>28614388</v>
      </c>
      <c r="E10" s="13"/>
      <c r="F10" s="13">
        <f>SUM(F4:F9)</f>
        <v>44337677</v>
      </c>
      <c r="G10" s="13">
        <f>SUM(G4:G9)</f>
        <v>38340475</v>
      </c>
      <c r="H10" s="13">
        <f>SUM(H4:H9)</f>
        <v>87678152</v>
      </c>
      <c r="I10" s="14">
        <f>SUM(I4:I9)</f>
        <v>17535630.399999999</v>
      </c>
      <c r="J10" s="14">
        <f>SUM(J4:J9)</f>
        <v>8767816</v>
      </c>
    </row>
    <row r="11" spans="1:10">
      <c r="J11" s="61"/>
    </row>
    <row r="12" spans="1:10" ht="11.25" customHeight="1">
      <c r="A12" s="100" t="s">
        <v>203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59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204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205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206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>
      <selection activeCell="F4" sqref="F4"/>
    </sheetView>
  </sheetViews>
  <sheetFormatPr defaultRowHeight="17.399999999999999"/>
  <cols>
    <col min="1" max="1" width="7.398437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49</v>
      </c>
      <c r="B2" s="102"/>
      <c r="C2" s="102"/>
      <c r="D2" s="102"/>
    </row>
    <row r="3" spans="1:8">
      <c r="A3" s="57" t="s">
        <v>6</v>
      </c>
      <c r="B3" s="57" t="s">
        <v>100</v>
      </c>
      <c r="C3" s="57" t="s">
        <v>110</v>
      </c>
      <c r="D3" s="57" t="s">
        <v>52</v>
      </c>
      <c r="E3" s="57" t="s">
        <v>178</v>
      </c>
      <c r="F3" s="57" t="s">
        <v>179</v>
      </c>
      <c r="G3" s="57" t="s">
        <v>180</v>
      </c>
      <c r="H3" s="57" t="s">
        <v>90</v>
      </c>
    </row>
    <row r="4" spans="1:8">
      <c r="A4" s="65">
        <v>202109</v>
      </c>
      <c r="B4" s="68" t="s">
        <v>7</v>
      </c>
      <c r="C4" s="88">
        <v>4000000</v>
      </c>
      <c r="D4" s="88">
        <v>22641032</v>
      </c>
      <c r="E4" s="13">
        <f>D4-C4</f>
        <v>18641032</v>
      </c>
      <c r="F4" s="13">
        <f>(C4+E4)</f>
        <v>22641032</v>
      </c>
      <c r="G4" s="13">
        <f>F4*0.2</f>
        <v>4528206.4000000004</v>
      </c>
      <c r="H4" s="13">
        <f>ROUND(G4*50%,0)</f>
        <v>2264103</v>
      </c>
    </row>
    <row r="5" spans="1:8">
      <c r="A5" s="65">
        <v>202109</v>
      </c>
      <c r="B5" s="68" t="s">
        <v>181</v>
      </c>
      <c r="C5" s="89"/>
      <c r="D5" s="88">
        <v>7048648</v>
      </c>
      <c r="E5" s="13">
        <f>D5-C5</f>
        <v>7048648</v>
      </c>
      <c r="F5" s="13">
        <f t="shared" ref="F5:F10" si="0">(C5+E5)</f>
        <v>7048648</v>
      </c>
      <c r="G5" s="13">
        <f t="shared" ref="G5:G10" si="1">F5*0.2</f>
        <v>1409729.6</v>
      </c>
      <c r="H5" s="13">
        <f t="shared" ref="H5:H10" si="2">ROUND(G5*50%,0)</f>
        <v>704865</v>
      </c>
    </row>
    <row r="6" spans="1:8">
      <c r="A6" s="65">
        <v>202108</v>
      </c>
      <c r="B6" s="68" t="s">
        <v>182</v>
      </c>
      <c r="C6" s="89"/>
      <c r="D6" s="89"/>
      <c r="E6" s="88">
        <v>80922387</v>
      </c>
      <c r="F6" s="13">
        <f t="shared" si="0"/>
        <v>80922387</v>
      </c>
      <c r="G6" s="13">
        <f t="shared" si="1"/>
        <v>16184477.4</v>
      </c>
      <c r="H6" s="13">
        <f t="shared" si="2"/>
        <v>8092239</v>
      </c>
    </row>
    <row r="7" spans="1:8">
      <c r="A7" s="65" t="s">
        <v>139</v>
      </c>
      <c r="B7" s="68" t="s">
        <v>140</v>
      </c>
      <c r="C7" s="89"/>
      <c r="D7" s="89"/>
      <c r="E7" s="88">
        <v>0</v>
      </c>
      <c r="F7" s="13">
        <f t="shared" si="0"/>
        <v>0</v>
      </c>
      <c r="G7" s="13">
        <f t="shared" si="1"/>
        <v>0</v>
      </c>
      <c r="H7" s="13">
        <f t="shared" si="2"/>
        <v>0</v>
      </c>
    </row>
    <row r="8" spans="1:8">
      <c r="A8" s="65" t="s">
        <v>183</v>
      </c>
      <c r="B8" s="68" t="s">
        <v>184</v>
      </c>
      <c r="C8" s="89"/>
      <c r="D8" s="89"/>
      <c r="E8" s="88">
        <v>0</v>
      </c>
      <c r="F8" s="13">
        <f t="shared" si="0"/>
        <v>0</v>
      </c>
      <c r="G8" s="13">
        <f t="shared" si="1"/>
        <v>0</v>
      </c>
      <c r="H8" s="13">
        <f t="shared" si="2"/>
        <v>0</v>
      </c>
    </row>
    <row r="9" spans="1:8">
      <c r="A9" s="65" t="s">
        <v>139</v>
      </c>
      <c r="B9" s="68" t="s">
        <v>185</v>
      </c>
      <c r="C9" s="89"/>
      <c r="D9" s="89"/>
      <c r="E9" s="88">
        <v>0</v>
      </c>
      <c r="F9" s="13">
        <f t="shared" si="0"/>
        <v>0</v>
      </c>
      <c r="G9" s="13">
        <f t="shared" si="1"/>
        <v>0</v>
      </c>
      <c r="H9" s="13">
        <f t="shared" si="2"/>
        <v>0</v>
      </c>
    </row>
    <row r="10" spans="1:8">
      <c r="A10" s="65" t="s">
        <v>186</v>
      </c>
      <c r="B10" s="68" t="s">
        <v>187</v>
      </c>
      <c r="C10" s="89"/>
      <c r="D10" s="89"/>
      <c r="E10" s="88">
        <v>0</v>
      </c>
      <c r="F10" s="13">
        <f t="shared" si="0"/>
        <v>0</v>
      </c>
      <c r="G10" s="13">
        <f t="shared" si="1"/>
        <v>0</v>
      </c>
      <c r="H10" s="13">
        <f t="shared" si="2"/>
        <v>0</v>
      </c>
    </row>
    <row r="11" spans="1:8">
      <c r="A11" s="59" t="s">
        <v>8</v>
      </c>
      <c r="B11" s="60"/>
      <c r="C11" s="13">
        <f>SUM(C4:C10)</f>
        <v>4000000</v>
      </c>
      <c r="D11" s="13">
        <f t="shared" ref="D11:H11" si="3">SUM(D4:D10)</f>
        <v>29689680</v>
      </c>
      <c r="E11" s="13">
        <f t="shared" si="3"/>
        <v>106612067</v>
      </c>
      <c r="F11" s="13">
        <f t="shared" si="3"/>
        <v>110612067</v>
      </c>
      <c r="G11" s="14">
        <f t="shared" si="3"/>
        <v>22122413.399999999</v>
      </c>
      <c r="H11" s="14">
        <f t="shared" si="3"/>
        <v>11061207</v>
      </c>
    </row>
    <row r="12" spans="1:8">
      <c r="H12" s="61"/>
    </row>
    <row r="13" spans="1:8" ht="11.25" customHeight="1">
      <c r="A13" s="100" t="s">
        <v>58</v>
      </c>
      <c r="B13" s="100"/>
      <c r="C13" s="100"/>
      <c r="D13" s="100"/>
      <c r="E13" s="100"/>
      <c r="F13" s="100"/>
      <c r="G13" s="61"/>
      <c r="H13" s="69"/>
    </row>
    <row r="14" spans="1:8" ht="11.25" customHeight="1">
      <c r="A14" s="100" t="s">
        <v>59</v>
      </c>
      <c r="B14" s="100"/>
      <c r="C14" s="100"/>
      <c r="D14" s="100"/>
      <c r="E14" s="100"/>
      <c r="F14" s="100"/>
      <c r="G14" s="61"/>
      <c r="H14" s="69"/>
    </row>
    <row r="15" spans="1:8" s="49" customFormat="1" ht="11.25" customHeight="1">
      <c r="A15" s="103" t="s">
        <v>60</v>
      </c>
      <c r="B15" s="103"/>
      <c r="C15" s="103"/>
      <c r="D15" s="103"/>
      <c r="E15" s="103"/>
      <c r="F15" s="103"/>
      <c r="G15" s="69"/>
      <c r="H15" s="61"/>
    </row>
    <row r="16" spans="1:8" s="49" customFormat="1" ht="11.25" customHeight="1">
      <c r="A16" s="99" t="s">
        <v>61</v>
      </c>
      <c r="B16" s="99"/>
      <c r="C16" s="99"/>
      <c r="D16" s="99"/>
      <c r="E16" s="99"/>
      <c r="F16" s="99"/>
      <c r="G16" s="99"/>
      <c r="H16" s="58">
        <v>11061207</v>
      </c>
    </row>
    <row r="17" spans="1:8" ht="11.25" customHeight="1">
      <c r="A17" s="100" t="s">
        <v>97</v>
      </c>
      <c r="B17" s="100"/>
      <c r="C17" s="100"/>
      <c r="D17" s="100"/>
      <c r="E17" s="100"/>
      <c r="F17" s="100"/>
      <c r="G17" s="61"/>
      <c r="H17" s="58"/>
    </row>
    <row r="18" spans="1:8">
      <c r="A18" s="62"/>
      <c r="B18" s="62"/>
      <c r="C18" s="62"/>
      <c r="D18" s="62"/>
      <c r="E18" s="16"/>
      <c r="F18" s="58"/>
      <c r="G18" s="58"/>
    </row>
    <row r="19" spans="1:8">
      <c r="G19" s="58"/>
    </row>
  </sheetData>
  <mergeCells count="6">
    <mergeCell ref="A16:G16"/>
    <mergeCell ref="A17:F17"/>
    <mergeCell ref="A2:D2"/>
    <mergeCell ref="A13:F13"/>
    <mergeCell ref="A14:F14"/>
    <mergeCell ref="A15:F15"/>
  </mergeCells>
  <phoneticPr fontId="3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workbookViewId="0">
      <selection activeCell="H1" sqref="H1:H104857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159</v>
      </c>
      <c r="B2" s="102"/>
      <c r="C2" s="102"/>
      <c r="D2" s="102"/>
    </row>
    <row r="3" spans="1:8">
      <c r="A3" s="57" t="s">
        <v>160</v>
      </c>
      <c r="B3" s="57" t="s">
        <v>161</v>
      </c>
      <c r="C3" s="57" t="s">
        <v>162</v>
      </c>
      <c r="D3" s="57" t="s">
        <v>163</v>
      </c>
      <c r="E3" s="57" t="s">
        <v>164</v>
      </c>
      <c r="F3" s="57" t="s">
        <v>165</v>
      </c>
      <c r="G3" s="57" t="s">
        <v>166</v>
      </c>
      <c r="H3" s="57" t="s">
        <v>90</v>
      </c>
    </row>
    <row r="4" spans="1:8">
      <c r="A4" s="65">
        <v>202108</v>
      </c>
      <c r="B4" s="68" t="s">
        <v>167</v>
      </c>
      <c r="C4" s="13">
        <v>6000000</v>
      </c>
      <c r="D4" s="13">
        <v>44514329</v>
      </c>
      <c r="E4" s="13">
        <f>D4-C4</f>
        <v>38514329</v>
      </c>
      <c r="F4" s="13">
        <f>(C4+E4)</f>
        <v>44514329</v>
      </c>
      <c r="G4" s="13">
        <f>F4*0.2</f>
        <v>8902865.8000000007</v>
      </c>
      <c r="H4" s="13">
        <f>ROUND(G4*50%,0)</f>
        <v>4451433</v>
      </c>
    </row>
    <row r="5" spans="1:8">
      <c r="A5" s="65">
        <v>202107</v>
      </c>
      <c r="B5" s="68" t="s">
        <v>168</v>
      </c>
      <c r="C5" s="25"/>
      <c r="D5" s="25"/>
      <c r="E5" s="13">
        <v>130552575</v>
      </c>
      <c r="F5" s="13">
        <f t="shared" ref="F5:F9" si="0">(C5+E5)</f>
        <v>130552575</v>
      </c>
      <c r="G5" s="13">
        <f t="shared" ref="G5:G9" si="1">F5*0.2</f>
        <v>26110515</v>
      </c>
      <c r="H5" s="13">
        <f t="shared" ref="H5:H9" si="2">ROUND(G5*50%,0)</f>
        <v>13055258</v>
      </c>
    </row>
    <row r="6" spans="1:8">
      <c r="A6" s="65" t="s">
        <v>169</v>
      </c>
      <c r="B6" s="68" t="s">
        <v>170</v>
      </c>
      <c r="C6" s="25"/>
      <c r="D6" s="25"/>
      <c r="E6" s="87">
        <v>0</v>
      </c>
      <c r="F6" s="13">
        <f t="shared" si="0"/>
        <v>0</v>
      </c>
      <c r="G6" s="13">
        <f t="shared" si="1"/>
        <v>0</v>
      </c>
      <c r="H6" s="13">
        <f t="shared" si="2"/>
        <v>0</v>
      </c>
    </row>
    <row r="7" spans="1:8">
      <c r="A7" s="65" t="s">
        <v>169</v>
      </c>
      <c r="B7" s="68" t="s">
        <v>171</v>
      </c>
      <c r="C7" s="25"/>
      <c r="D7" s="25"/>
      <c r="E7" s="87">
        <v>0</v>
      </c>
      <c r="F7" s="13">
        <f t="shared" si="0"/>
        <v>0</v>
      </c>
      <c r="G7" s="13">
        <f t="shared" si="1"/>
        <v>0</v>
      </c>
      <c r="H7" s="13">
        <f t="shared" si="2"/>
        <v>0</v>
      </c>
    </row>
    <row r="8" spans="1:8">
      <c r="A8" s="65">
        <v>202108</v>
      </c>
      <c r="B8" s="68" t="s">
        <v>172</v>
      </c>
      <c r="C8" s="87">
        <v>3000000</v>
      </c>
      <c r="D8" s="25"/>
      <c r="E8" s="25"/>
      <c r="F8" s="13">
        <f t="shared" si="0"/>
        <v>3000000</v>
      </c>
      <c r="G8" s="13">
        <f t="shared" si="1"/>
        <v>600000</v>
      </c>
      <c r="H8" s="13">
        <f t="shared" si="2"/>
        <v>300000</v>
      </c>
    </row>
    <row r="9" spans="1:8">
      <c r="A9" s="65">
        <v>202108</v>
      </c>
      <c r="B9" s="68" t="s">
        <v>173</v>
      </c>
      <c r="C9" s="87">
        <v>20000000</v>
      </c>
      <c r="D9" s="25"/>
      <c r="E9" s="25"/>
      <c r="F9" s="13">
        <f t="shared" si="0"/>
        <v>20000000</v>
      </c>
      <c r="G9" s="13">
        <f t="shared" si="1"/>
        <v>4000000</v>
      </c>
      <c r="H9" s="13">
        <f t="shared" si="2"/>
        <v>2000000</v>
      </c>
    </row>
    <row r="10" spans="1:8">
      <c r="A10" s="59" t="s">
        <v>8</v>
      </c>
      <c r="B10" s="60"/>
      <c r="C10" s="13">
        <f>SUM(C4:C9)</f>
        <v>29000000</v>
      </c>
      <c r="D10" s="13">
        <f t="shared" ref="D10:H10" si="3">SUM(D4:D9)</f>
        <v>44514329</v>
      </c>
      <c r="E10" s="13">
        <f t="shared" si="3"/>
        <v>169066904</v>
      </c>
      <c r="F10" s="13">
        <f t="shared" si="3"/>
        <v>198066904</v>
      </c>
      <c r="G10" s="14">
        <f t="shared" si="3"/>
        <v>39613380.799999997</v>
      </c>
      <c r="H10" s="14">
        <f t="shared" si="3"/>
        <v>19806691</v>
      </c>
    </row>
    <row r="11" spans="1:8">
      <c r="H11" s="61"/>
    </row>
    <row r="12" spans="1:8" ht="11.25" customHeight="1">
      <c r="A12" s="100" t="s">
        <v>174</v>
      </c>
      <c r="B12" s="100"/>
      <c r="C12" s="100"/>
      <c r="D12" s="100"/>
      <c r="E12" s="100"/>
      <c r="F12" s="100"/>
      <c r="G12" s="61"/>
      <c r="H12" s="61"/>
    </row>
    <row r="13" spans="1:8" ht="11.25" customHeight="1">
      <c r="A13" s="100" t="s">
        <v>175</v>
      </c>
      <c r="B13" s="100"/>
      <c r="C13" s="100"/>
      <c r="D13" s="100"/>
      <c r="E13" s="100"/>
      <c r="F13" s="100"/>
      <c r="G13" s="61"/>
      <c r="H13" s="69"/>
    </row>
    <row r="14" spans="1:8" s="49" customFormat="1" ht="11.25" customHeight="1">
      <c r="A14" s="103" t="s">
        <v>176</v>
      </c>
      <c r="B14" s="103"/>
      <c r="C14" s="103"/>
      <c r="D14" s="103"/>
      <c r="E14" s="103"/>
      <c r="F14" s="103"/>
      <c r="G14" s="69"/>
      <c r="H14" s="69"/>
    </row>
    <row r="15" spans="1:8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61"/>
    </row>
    <row r="16" spans="1:8" ht="11.25" customHeight="1">
      <c r="A16" s="100" t="s">
        <v>177</v>
      </c>
      <c r="B16" s="100"/>
      <c r="C16" s="100"/>
      <c r="D16" s="100"/>
      <c r="E16" s="100"/>
      <c r="F16" s="100"/>
      <c r="G16" s="61"/>
      <c r="H16" s="58"/>
    </row>
    <row r="17" spans="1:8">
      <c r="A17" s="62"/>
      <c r="B17" s="62"/>
      <c r="C17" s="62"/>
      <c r="D17" s="62"/>
      <c r="E17" s="16"/>
      <c r="F17" s="58"/>
      <c r="G17" s="58"/>
      <c r="H17" s="58"/>
    </row>
    <row r="18" spans="1:8">
      <c r="G18" s="58"/>
    </row>
  </sheetData>
  <mergeCells count="6">
    <mergeCell ref="A15:G15"/>
    <mergeCell ref="A16:F16"/>
    <mergeCell ref="A2:D2"/>
    <mergeCell ref="A12:F12"/>
    <mergeCell ref="A13:F13"/>
    <mergeCell ref="A14:F14"/>
  </mergeCells>
  <phoneticPr fontId="3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H1" sqref="H1:H104857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74</v>
      </c>
      <c r="B2" s="102"/>
      <c r="C2" s="102"/>
      <c r="D2" s="102"/>
    </row>
    <row r="3" spans="1:8">
      <c r="A3" s="57" t="s">
        <v>75</v>
      </c>
      <c r="B3" s="57" t="s">
        <v>76</v>
      </c>
      <c r="C3" s="57" t="s">
        <v>77</v>
      </c>
      <c r="D3" s="57" t="s">
        <v>78</v>
      </c>
      <c r="E3" s="57" t="s">
        <v>79</v>
      </c>
      <c r="F3" s="57" t="s">
        <v>152</v>
      </c>
      <c r="G3" s="57" t="s">
        <v>96</v>
      </c>
      <c r="H3" s="57" t="s">
        <v>90</v>
      </c>
    </row>
    <row r="4" spans="1:8">
      <c r="A4" s="65">
        <v>202107</v>
      </c>
      <c r="B4" s="68" t="s">
        <v>81</v>
      </c>
      <c r="C4" s="13">
        <v>2000000</v>
      </c>
      <c r="D4" s="13">
        <v>18469898</v>
      </c>
      <c r="E4" s="13">
        <v>16469898</v>
      </c>
      <c r="F4" s="13">
        <f>(C4+E4)</f>
        <v>18469898</v>
      </c>
      <c r="G4" s="13">
        <f>F4*0.2</f>
        <v>3693979.6</v>
      </c>
      <c r="H4" s="13">
        <f>ROUND(G4*50%,0)</f>
        <v>1846990</v>
      </c>
    </row>
    <row r="5" spans="1:8">
      <c r="A5" s="65">
        <v>202106</v>
      </c>
      <c r="B5" s="68" t="s">
        <v>153</v>
      </c>
      <c r="C5" s="25"/>
      <c r="D5" s="25"/>
      <c r="E5" s="13">
        <v>124942498</v>
      </c>
      <c r="F5" s="13">
        <f t="shared" ref="F5:F7" si="0">(C5+E5)</f>
        <v>124942498</v>
      </c>
      <c r="G5" s="13">
        <f>F5*0.2</f>
        <v>24988499.600000001</v>
      </c>
      <c r="H5" s="13">
        <f t="shared" ref="H5:H7" si="1">ROUND(G5*50%,0)</f>
        <v>12494250</v>
      </c>
    </row>
    <row r="6" spans="1:8">
      <c r="A6" s="65" t="s">
        <v>139</v>
      </c>
      <c r="B6" s="68" t="s">
        <v>140</v>
      </c>
      <c r="C6" s="25"/>
      <c r="D6" s="25"/>
      <c r="E6" s="87">
        <v>0</v>
      </c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154</v>
      </c>
      <c r="C7" s="25"/>
      <c r="D7" s="25"/>
      <c r="E7" s="87">
        <v>0</v>
      </c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83</v>
      </c>
      <c r="B8" s="60"/>
      <c r="C8" s="13">
        <f>SUM(C4:C7)</f>
        <v>2000000</v>
      </c>
      <c r="D8" s="13">
        <f t="shared" ref="D8:G8" si="3">SUM(D4:D7)</f>
        <v>18469898</v>
      </c>
      <c r="E8" s="13">
        <f t="shared" si="3"/>
        <v>141412396</v>
      </c>
      <c r="F8" s="13">
        <f t="shared" si="3"/>
        <v>143412396</v>
      </c>
      <c r="G8" s="14">
        <f t="shared" si="3"/>
        <v>28682479.200000003</v>
      </c>
      <c r="H8" s="14">
        <f>ROUND(G8*50%,0)</f>
        <v>14341240</v>
      </c>
    </row>
    <row r="9" spans="1:8">
      <c r="H9" s="69"/>
    </row>
    <row r="10" spans="1:8" ht="11.25" customHeight="1">
      <c r="A10" s="100" t="s">
        <v>84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85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155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87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C23" sqref="C23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49</v>
      </c>
      <c r="B2" s="102"/>
      <c r="C2" s="102"/>
      <c r="D2" s="102"/>
    </row>
    <row r="3" spans="1:8">
      <c r="A3" s="57" t="s">
        <v>6</v>
      </c>
      <c r="B3" s="57" t="s">
        <v>9</v>
      </c>
      <c r="C3" s="57" t="s">
        <v>51</v>
      </c>
      <c r="D3" s="57" t="s">
        <v>52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202106</v>
      </c>
      <c r="B4" s="68" t="s">
        <v>7</v>
      </c>
      <c r="C4" s="13">
        <v>4000000</v>
      </c>
      <c r="D4" s="13">
        <v>29598391</v>
      </c>
      <c r="E4" s="13">
        <f>D4-C4</f>
        <v>25598391</v>
      </c>
      <c r="F4" s="13">
        <f>(C4+E4)</f>
        <v>29598391</v>
      </c>
      <c r="G4" s="13">
        <f>F4*0.2</f>
        <v>5919678.2000000002</v>
      </c>
      <c r="H4" s="13">
        <f>ROUND(G4*50%,0)</f>
        <v>2959839</v>
      </c>
    </row>
    <row r="5" spans="1:8">
      <c r="A5" s="65">
        <v>202105</v>
      </c>
      <c r="B5" s="68" t="s">
        <v>16</v>
      </c>
      <c r="C5" s="25"/>
      <c r="D5" s="25"/>
      <c r="E5" s="13">
        <v>152508604</v>
      </c>
      <c r="F5" s="13">
        <f t="shared" ref="F5:F7" si="0">(C5+E5)</f>
        <v>152508604</v>
      </c>
      <c r="G5" s="13">
        <f>F5*0.2</f>
        <v>30501720.800000001</v>
      </c>
      <c r="H5" s="13">
        <f t="shared" ref="H5:H7" si="1">ROUND(G5*50%,0)</f>
        <v>15250860</v>
      </c>
    </row>
    <row r="6" spans="1:8">
      <c r="A6" s="65" t="s">
        <v>139</v>
      </c>
      <c r="B6" s="68" t="s">
        <v>140</v>
      </c>
      <c r="C6" s="25"/>
      <c r="D6" s="71">
        <v>0</v>
      </c>
      <c r="E6" s="25"/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141</v>
      </c>
      <c r="C7" s="25"/>
      <c r="D7" s="71">
        <v>0</v>
      </c>
      <c r="E7" s="25"/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145</v>
      </c>
      <c r="B8" s="60"/>
      <c r="C8" s="13">
        <f>SUM(C4:C7)</f>
        <v>4000000</v>
      </c>
      <c r="D8" s="13">
        <f t="shared" ref="D8:G8" si="3">SUM(D4:D7)</f>
        <v>29598391</v>
      </c>
      <c r="E8" s="13">
        <f t="shared" si="3"/>
        <v>178106995</v>
      </c>
      <c r="F8" s="13">
        <f t="shared" si="3"/>
        <v>182106995</v>
      </c>
      <c r="G8" s="14">
        <f t="shared" si="3"/>
        <v>36421399</v>
      </c>
      <c r="H8" s="14">
        <f>ROUND(G8*50%,0)-1</f>
        <v>18210699</v>
      </c>
    </row>
    <row r="9" spans="1:8">
      <c r="H9" s="69"/>
    </row>
    <row r="10" spans="1:8" ht="11.25" customHeight="1">
      <c r="A10" s="100" t="s">
        <v>58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59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60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62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C23" sqref="C23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136</v>
      </c>
      <c r="B2" s="102"/>
      <c r="C2" s="102"/>
      <c r="D2" s="102"/>
    </row>
    <row r="3" spans="1:8">
      <c r="A3" s="57" t="s">
        <v>6</v>
      </c>
      <c r="B3" s="57" t="s">
        <v>9</v>
      </c>
      <c r="C3" s="57" t="s">
        <v>51</v>
      </c>
      <c r="D3" s="57" t="s">
        <v>137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202105</v>
      </c>
      <c r="B4" s="68" t="s">
        <v>7</v>
      </c>
      <c r="C4" s="13">
        <v>5000000</v>
      </c>
      <c r="D4" s="13">
        <v>30506441</v>
      </c>
      <c r="E4" s="13">
        <f>D4-C4</f>
        <v>25506441</v>
      </c>
      <c r="F4" s="13">
        <f>(C4+E4)</f>
        <v>30506441</v>
      </c>
      <c r="G4" s="13">
        <f>F4*0.2</f>
        <v>6101288.2000000002</v>
      </c>
      <c r="H4" s="13">
        <f>ROUND(G4*50%,0)</f>
        <v>3050644</v>
      </c>
    </row>
    <row r="5" spans="1:8">
      <c r="A5" s="65">
        <v>202104</v>
      </c>
      <c r="B5" s="68" t="s">
        <v>138</v>
      </c>
      <c r="C5" s="25"/>
      <c r="D5" s="25"/>
      <c r="E5" s="13">
        <v>166887547</v>
      </c>
      <c r="F5" s="13">
        <f t="shared" ref="F5:F7" si="0">(C5+E5)</f>
        <v>166887547</v>
      </c>
      <c r="G5" s="13">
        <f>F5*0.2</f>
        <v>33377509.400000002</v>
      </c>
      <c r="H5" s="13">
        <f t="shared" ref="H5:H8" si="1">ROUND(G5*50%,0)</f>
        <v>16688755</v>
      </c>
    </row>
    <row r="6" spans="1:8">
      <c r="A6" s="65" t="s">
        <v>139</v>
      </c>
      <c r="B6" s="68" t="s">
        <v>140</v>
      </c>
      <c r="C6" s="25"/>
      <c r="D6" s="70"/>
      <c r="E6" s="25"/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141</v>
      </c>
      <c r="C7" s="25"/>
      <c r="D7" s="70"/>
      <c r="E7" s="25"/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142</v>
      </c>
      <c r="B8" s="60"/>
      <c r="C8" s="13">
        <f>SUM(C4:C7)</f>
        <v>5000000</v>
      </c>
      <c r="D8" s="13">
        <f t="shared" ref="D8:G8" si="3">SUM(D4:D7)</f>
        <v>30506441</v>
      </c>
      <c r="E8" s="13">
        <f t="shared" si="3"/>
        <v>192393988</v>
      </c>
      <c r="F8" s="13">
        <f t="shared" si="3"/>
        <v>197393988</v>
      </c>
      <c r="G8" s="14">
        <f t="shared" si="3"/>
        <v>39478797.600000001</v>
      </c>
      <c r="H8" s="14">
        <f t="shared" si="1"/>
        <v>19739399</v>
      </c>
    </row>
    <row r="9" spans="1:8">
      <c r="H9" s="69"/>
    </row>
    <row r="10" spans="1:8" ht="11.25" customHeight="1">
      <c r="A10" s="100" t="s">
        <v>58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59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60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62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G7" sqref="G7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93</v>
      </c>
      <c r="B2" s="102"/>
      <c r="C2" s="102"/>
      <c r="D2" s="102"/>
    </row>
    <row r="3" spans="1:8">
      <c r="A3" s="57" t="s">
        <v>109</v>
      </c>
      <c r="B3" s="57" t="s">
        <v>100</v>
      </c>
      <c r="C3" s="57" t="s">
        <v>110</v>
      </c>
      <c r="D3" s="57" t="s">
        <v>111</v>
      </c>
      <c r="E3" s="57" t="s">
        <v>112</v>
      </c>
      <c r="F3" s="57" t="s">
        <v>102</v>
      </c>
      <c r="G3" s="57" t="s">
        <v>96</v>
      </c>
      <c r="H3" s="57" t="s">
        <v>90</v>
      </c>
    </row>
    <row r="4" spans="1:8">
      <c r="A4" s="65">
        <v>202104</v>
      </c>
      <c r="B4" s="68" t="s">
        <v>103</v>
      </c>
      <c r="C4" s="13">
        <v>4000000</v>
      </c>
      <c r="D4" s="13">
        <v>28167393</v>
      </c>
      <c r="E4" s="13">
        <v>24167393</v>
      </c>
      <c r="F4" s="13">
        <f>(C4+E4)</f>
        <v>28167393</v>
      </c>
      <c r="G4" s="13">
        <f>F4*0.2</f>
        <v>5633478.6000000006</v>
      </c>
      <c r="H4" s="13">
        <f>ROUND(G4*50%,0)</f>
        <v>2816739</v>
      </c>
    </row>
    <row r="5" spans="1:8">
      <c r="A5" s="65">
        <v>202103</v>
      </c>
      <c r="B5" s="68" t="s">
        <v>16</v>
      </c>
      <c r="C5" s="25"/>
      <c r="D5" s="25"/>
      <c r="E5" s="13">
        <v>155663431</v>
      </c>
      <c r="F5" s="13">
        <f t="shared" ref="F5:F8" si="0">(C5+E5)</f>
        <v>155663431</v>
      </c>
      <c r="G5" s="13">
        <f>F5*0.2</f>
        <v>31132686.200000003</v>
      </c>
      <c r="H5" s="13">
        <f t="shared" ref="H5:H8" si="1">ROUND(G5*50%,0)</f>
        <v>15566343</v>
      </c>
    </row>
    <row r="6" spans="1:8">
      <c r="A6" s="65">
        <v>202103</v>
      </c>
      <c r="B6" s="68" t="s">
        <v>113</v>
      </c>
      <c r="C6" s="25"/>
      <c r="D6" s="25"/>
      <c r="E6" s="13">
        <v>30351</v>
      </c>
      <c r="F6" s="13">
        <f t="shared" si="0"/>
        <v>30351</v>
      </c>
      <c r="G6" s="13">
        <f t="shared" ref="G6:G8" si="2">F6*0.2</f>
        <v>6070.2000000000007</v>
      </c>
      <c r="H6" s="13">
        <f t="shared" si="1"/>
        <v>3035</v>
      </c>
    </row>
    <row r="7" spans="1:8">
      <c r="A7" s="65">
        <v>202104</v>
      </c>
      <c r="B7" s="68" t="s">
        <v>114</v>
      </c>
      <c r="C7" s="25"/>
      <c r="D7" s="25"/>
      <c r="E7" s="13">
        <v>3000000</v>
      </c>
      <c r="F7" s="13">
        <f t="shared" si="0"/>
        <v>3000000</v>
      </c>
      <c r="G7" s="13">
        <f t="shared" si="2"/>
        <v>600000</v>
      </c>
      <c r="H7" s="13">
        <f t="shared" si="1"/>
        <v>300000</v>
      </c>
    </row>
    <row r="8" spans="1:8">
      <c r="A8" s="65">
        <v>202104</v>
      </c>
      <c r="B8" s="68" t="s">
        <v>115</v>
      </c>
      <c r="C8" s="25"/>
      <c r="D8" s="25"/>
      <c r="E8" s="13">
        <v>3000000</v>
      </c>
      <c r="F8" s="13">
        <f t="shared" si="0"/>
        <v>3000000</v>
      </c>
      <c r="G8" s="13">
        <f t="shared" si="2"/>
        <v>600000</v>
      </c>
      <c r="H8" s="13">
        <f t="shared" si="1"/>
        <v>300000</v>
      </c>
    </row>
    <row r="9" spans="1:8">
      <c r="A9" s="59" t="s">
        <v>116</v>
      </c>
      <c r="B9" s="60"/>
      <c r="C9" s="13">
        <f>SUM(C4:C8)</f>
        <v>4000000</v>
      </c>
      <c r="D9" s="13">
        <f t="shared" ref="D9:F9" si="3">SUM(D4:D8)</f>
        <v>28167393</v>
      </c>
      <c r="E9" s="13">
        <f t="shared" si="3"/>
        <v>185861175</v>
      </c>
      <c r="F9" s="13">
        <f t="shared" si="3"/>
        <v>189861175</v>
      </c>
      <c r="G9" s="14">
        <f>SUM(G4:G8)</f>
        <v>37972235.000000007</v>
      </c>
      <c r="H9" s="14">
        <f>G9*50%</f>
        <v>18986117.500000004</v>
      </c>
    </row>
    <row r="11" spans="1:8" ht="11.25" customHeight="1">
      <c r="A11" s="100" t="s">
        <v>117</v>
      </c>
      <c r="B11" s="100"/>
      <c r="C11" s="100"/>
      <c r="D11" s="100"/>
      <c r="E11" s="100"/>
      <c r="F11" s="100"/>
      <c r="G11" s="61"/>
      <c r="H11" s="61"/>
    </row>
    <row r="12" spans="1:8" ht="11.25" customHeight="1">
      <c r="A12" s="100" t="s">
        <v>118</v>
      </c>
      <c r="B12" s="100"/>
      <c r="C12" s="100"/>
      <c r="D12" s="100"/>
      <c r="E12" s="100"/>
      <c r="F12" s="100"/>
      <c r="G12" s="61"/>
      <c r="H12" s="61"/>
    </row>
    <row r="13" spans="1:8" s="49" customFormat="1" ht="11.25" customHeight="1">
      <c r="A13" s="103" t="s">
        <v>119</v>
      </c>
      <c r="B13" s="103"/>
      <c r="C13" s="103"/>
      <c r="D13" s="103"/>
      <c r="E13" s="103"/>
      <c r="F13" s="103"/>
      <c r="G13" s="69"/>
      <c r="H13" s="69"/>
    </row>
    <row r="14" spans="1:8" s="49" customFormat="1" ht="11.25" customHeight="1">
      <c r="A14" s="99" t="s">
        <v>61</v>
      </c>
      <c r="B14" s="99"/>
      <c r="C14" s="99"/>
      <c r="D14" s="99"/>
      <c r="E14" s="99"/>
      <c r="F14" s="99"/>
      <c r="G14" s="99"/>
      <c r="H14" s="69"/>
    </row>
    <row r="15" spans="1:8" ht="11.25" customHeight="1">
      <c r="A15" s="100" t="s">
        <v>97</v>
      </c>
      <c r="B15" s="100"/>
      <c r="C15" s="100"/>
      <c r="D15" s="100"/>
      <c r="E15" s="100"/>
      <c r="F15" s="100"/>
      <c r="G15" s="61"/>
      <c r="H15" s="61"/>
    </row>
    <row r="16" spans="1:8">
      <c r="A16" s="62"/>
      <c r="B16" s="62"/>
      <c r="C16" s="62"/>
      <c r="D16" s="62"/>
      <c r="E16" s="16"/>
      <c r="F16" s="58"/>
      <c r="G16" s="58"/>
      <c r="H16" s="58"/>
    </row>
    <row r="17" spans="7:8">
      <c r="G17" s="58"/>
      <c r="H17" s="58"/>
    </row>
  </sheetData>
  <mergeCells count="6">
    <mergeCell ref="A14:G14"/>
    <mergeCell ref="A15:F15"/>
    <mergeCell ref="A2:D2"/>
    <mergeCell ref="A11:F11"/>
    <mergeCell ref="A12:F12"/>
    <mergeCell ref="A13:F13"/>
  </mergeCells>
  <phoneticPr fontId="3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3" sqref="H3:H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99</v>
      </c>
      <c r="B2" s="102"/>
      <c r="C2" s="102"/>
      <c r="D2" s="102"/>
    </row>
    <row r="3" spans="1:8">
      <c r="A3" s="57" t="s">
        <v>75</v>
      </c>
      <c r="B3" s="57" t="s">
        <v>100</v>
      </c>
      <c r="C3" s="57" t="s">
        <v>77</v>
      </c>
      <c r="D3" s="57" t="s">
        <v>101</v>
      </c>
      <c r="E3" s="57" t="s">
        <v>79</v>
      </c>
      <c r="F3" s="57" t="s">
        <v>102</v>
      </c>
      <c r="G3" s="57" t="s">
        <v>96</v>
      </c>
      <c r="H3" s="57" t="s">
        <v>90</v>
      </c>
    </row>
    <row r="4" spans="1:8">
      <c r="A4" s="65">
        <v>202103</v>
      </c>
      <c r="B4" s="68" t="s">
        <v>103</v>
      </c>
      <c r="C4" s="13">
        <v>4000000</v>
      </c>
      <c r="D4" s="13">
        <v>22889085</v>
      </c>
      <c r="E4" s="13">
        <f>D4-C4</f>
        <v>18889085</v>
      </c>
      <c r="F4" s="13">
        <f>(C4+E4)</f>
        <v>22889085</v>
      </c>
      <c r="G4" s="13">
        <f>F4*0.2</f>
        <v>4577817</v>
      </c>
      <c r="H4" s="13">
        <f>G4*50%</f>
        <v>2288908.5</v>
      </c>
    </row>
    <row r="5" spans="1:8">
      <c r="A5" s="65">
        <v>202102</v>
      </c>
      <c r="B5" s="68" t="s">
        <v>82</v>
      </c>
      <c r="C5" s="25"/>
      <c r="D5" s="25"/>
      <c r="E5" s="13">
        <v>95974602</v>
      </c>
      <c r="F5" s="13">
        <f>(C5+E5)</f>
        <v>95974602</v>
      </c>
      <c r="G5" s="13">
        <f>F5*0.2</f>
        <v>19194920.400000002</v>
      </c>
      <c r="H5" s="13">
        <f>G5*50%</f>
        <v>9597460.2000000011</v>
      </c>
    </row>
    <row r="6" spans="1:8">
      <c r="A6" s="59" t="s">
        <v>104</v>
      </c>
      <c r="B6" s="60"/>
      <c r="C6" s="13">
        <f>SUM(C4:C4)</f>
        <v>4000000</v>
      </c>
      <c r="D6" s="13">
        <f>SUM(D4:D4)</f>
        <v>22889085</v>
      </c>
      <c r="E6" s="13">
        <f>SUM(E4:E4)</f>
        <v>18889085</v>
      </c>
      <c r="F6" s="22">
        <f>SUM(F4:F5)</f>
        <v>118863687</v>
      </c>
      <c r="G6" s="14">
        <f>SUM(G4:G5)</f>
        <v>23772737.400000002</v>
      </c>
      <c r="H6" s="14">
        <f>G6*50%</f>
        <v>11886368.700000001</v>
      </c>
    </row>
    <row r="8" spans="1:8" ht="11.25" customHeight="1">
      <c r="A8" s="100" t="s">
        <v>84</v>
      </c>
      <c r="B8" s="100"/>
      <c r="C8" s="100"/>
      <c r="D8" s="100"/>
      <c r="E8" s="100"/>
      <c r="F8" s="100"/>
      <c r="G8" s="61"/>
      <c r="H8" s="61"/>
    </row>
    <row r="9" spans="1:8" ht="11.25" customHeight="1">
      <c r="A9" s="100" t="s">
        <v>105</v>
      </c>
      <c r="B9" s="100"/>
      <c r="C9" s="100"/>
      <c r="D9" s="100"/>
      <c r="E9" s="100"/>
      <c r="F9" s="100"/>
      <c r="G9" s="61"/>
      <c r="H9" s="61"/>
    </row>
    <row r="10" spans="1:8" s="49" customFormat="1" ht="11.25" customHeight="1">
      <c r="A10" s="103" t="s">
        <v>86</v>
      </c>
      <c r="B10" s="103"/>
      <c r="C10" s="103"/>
      <c r="D10" s="103"/>
      <c r="E10" s="103"/>
      <c r="F10" s="103"/>
      <c r="G10" s="69"/>
      <c r="H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69"/>
    </row>
    <row r="12" spans="1:8" ht="11.25" customHeight="1">
      <c r="A12" s="100" t="s">
        <v>106</v>
      </c>
      <c r="B12" s="100"/>
      <c r="C12" s="100"/>
      <c r="D12" s="100"/>
      <c r="E12" s="100"/>
      <c r="F12" s="100"/>
      <c r="G12" s="61"/>
      <c r="H12" s="61"/>
    </row>
    <row r="13" spans="1:8">
      <c r="A13" s="62"/>
      <c r="B13" s="62"/>
      <c r="C13" s="62"/>
      <c r="D13" s="62"/>
      <c r="E13" s="16"/>
      <c r="F13" s="58"/>
      <c r="G13" s="58"/>
      <c r="H13" s="58"/>
    </row>
    <row r="14" spans="1:8">
      <c r="G14" s="58"/>
      <c r="H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3" sqref="H3:H6"/>
    </sheetView>
  </sheetViews>
  <sheetFormatPr defaultRowHeight="17.399999999999999"/>
  <cols>
    <col min="1" max="1" width="6.59765625" style="41" customWidth="1"/>
    <col min="2" max="7" width="19.59765625" style="41" customWidth="1"/>
    <col min="8" max="8" width="21.09765625" style="45" customWidth="1"/>
    <col min="9" max="16384" width="8.796875" style="45"/>
  </cols>
  <sheetData>
    <row r="2" spans="1:8" s="63" customFormat="1">
      <c r="A2" s="102" t="s">
        <v>93</v>
      </c>
      <c r="B2" s="102"/>
      <c r="C2" s="102"/>
      <c r="D2" s="102"/>
    </row>
    <row r="3" spans="1:8">
      <c r="A3" s="57" t="s">
        <v>94</v>
      </c>
      <c r="B3" s="57" t="s">
        <v>41</v>
      </c>
      <c r="C3" s="57" t="s">
        <v>51</v>
      </c>
      <c r="D3" s="57" t="s">
        <v>95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202102</v>
      </c>
      <c r="B4" s="68" t="s">
        <v>55</v>
      </c>
      <c r="C4" s="13">
        <v>4000000</v>
      </c>
      <c r="D4" s="13">
        <v>20579353</v>
      </c>
      <c r="E4" s="13">
        <f>D4-C4</f>
        <v>16579353</v>
      </c>
      <c r="F4" s="13">
        <f>(C4+E4)</f>
        <v>20579353</v>
      </c>
      <c r="G4" s="13">
        <f>F4*0.2</f>
        <v>4115870.6</v>
      </c>
      <c r="H4" s="13">
        <f>G4*50%</f>
        <v>2057935.3</v>
      </c>
    </row>
    <row r="5" spans="1:8">
      <c r="A5" s="65">
        <v>202101</v>
      </c>
      <c r="B5" s="68" t="s">
        <v>16</v>
      </c>
      <c r="C5" s="25"/>
      <c r="D5" s="25"/>
      <c r="E5" s="13">
        <v>80981627</v>
      </c>
      <c r="F5" s="13">
        <f>(C5+E5)</f>
        <v>80981627</v>
      </c>
      <c r="G5" s="13">
        <f>F5*0.2</f>
        <v>16196325.4</v>
      </c>
      <c r="H5" s="13">
        <f>G5*50%</f>
        <v>8098162.7000000002</v>
      </c>
    </row>
    <row r="6" spans="1:8">
      <c r="A6" s="59" t="s">
        <v>8</v>
      </c>
      <c r="B6" s="60"/>
      <c r="C6" s="13">
        <f>SUM(C4:C4)</f>
        <v>4000000</v>
      </c>
      <c r="D6" s="13">
        <f>SUM(D4:D4)</f>
        <v>20579353</v>
      </c>
      <c r="E6" s="13">
        <f>SUM(E4:E4)</f>
        <v>16579353</v>
      </c>
      <c r="F6" s="22">
        <f>SUM(F4:F5)</f>
        <v>101560980</v>
      </c>
      <c r="G6" s="14">
        <f>SUM(G4:G5)</f>
        <v>20312196</v>
      </c>
      <c r="H6" s="14">
        <f>G6*50%</f>
        <v>10156098</v>
      </c>
    </row>
    <row r="8" spans="1:8" ht="11.25" customHeight="1">
      <c r="A8" s="100" t="s">
        <v>58</v>
      </c>
      <c r="B8" s="100"/>
      <c r="C8" s="100"/>
      <c r="D8" s="100"/>
      <c r="E8" s="100"/>
      <c r="F8" s="100"/>
      <c r="G8" s="61"/>
    </row>
    <row r="9" spans="1:8" ht="11.25" customHeight="1">
      <c r="A9" s="100" t="s">
        <v>59</v>
      </c>
      <c r="B9" s="100"/>
      <c r="C9" s="100"/>
      <c r="D9" s="100"/>
      <c r="E9" s="100"/>
      <c r="F9" s="100"/>
      <c r="G9" s="61"/>
    </row>
    <row r="10" spans="1:8" s="49" customFormat="1" ht="11.25" customHeight="1">
      <c r="A10" s="103" t="s">
        <v>60</v>
      </c>
      <c r="B10" s="103"/>
      <c r="C10" s="103"/>
      <c r="D10" s="103"/>
      <c r="E10" s="103"/>
      <c r="F10" s="103"/>
      <c r="G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</row>
    <row r="12" spans="1:8" ht="11.25" customHeight="1">
      <c r="A12" s="100" t="s">
        <v>97</v>
      </c>
      <c r="B12" s="100"/>
      <c r="C12" s="100"/>
      <c r="D12" s="100"/>
      <c r="E12" s="100"/>
      <c r="F12" s="100"/>
      <c r="G12" s="61"/>
    </row>
    <row r="13" spans="1:8">
      <c r="A13" s="62"/>
      <c r="B13" s="62"/>
      <c r="C13" s="62"/>
      <c r="D13" s="62"/>
      <c r="E13" s="16"/>
      <c r="F13" s="58"/>
      <c r="G13" s="58"/>
    </row>
    <row r="14" spans="1:8">
      <c r="G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F4" sqref="F4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74</v>
      </c>
      <c r="B2" s="102"/>
      <c r="C2" s="102"/>
      <c r="D2" s="102"/>
    </row>
    <row r="3" spans="1:8">
      <c r="A3" s="57" t="s">
        <v>75</v>
      </c>
      <c r="B3" s="57" t="s">
        <v>76</v>
      </c>
      <c r="C3" s="57" t="s">
        <v>77</v>
      </c>
      <c r="D3" s="57" t="s">
        <v>78</v>
      </c>
      <c r="E3" s="57" t="s">
        <v>79</v>
      </c>
      <c r="F3" s="57" t="s">
        <v>80</v>
      </c>
      <c r="G3" s="57" t="s">
        <v>89</v>
      </c>
      <c r="H3" s="57" t="s">
        <v>90</v>
      </c>
    </row>
    <row r="4" spans="1:8">
      <c r="A4" s="65">
        <v>202101</v>
      </c>
      <c r="B4" s="68" t="s">
        <v>81</v>
      </c>
      <c r="C4" s="13">
        <v>4000000</v>
      </c>
      <c r="D4" s="13">
        <v>24514209</v>
      </c>
      <c r="E4" s="13">
        <f>D4-C4</f>
        <v>20514209</v>
      </c>
      <c r="F4" s="13">
        <f>(C4+E4)</f>
        <v>24514209</v>
      </c>
      <c r="G4" s="13">
        <f>F4*0.2</f>
        <v>4902841.8</v>
      </c>
      <c r="H4" s="13">
        <f>G4*50%</f>
        <v>2451420.9</v>
      </c>
    </row>
    <row r="5" spans="1:8">
      <c r="A5" s="65">
        <v>202012</v>
      </c>
      <c r="B5" s="68" t="s">
        <v>82</v>
      </c>
      <c r="C5" s="25"/>
      <c r="D5" s="25"/>
      <c r="E5" s="13">
        <v>98950783</v>
      </c>
      <c r="F5" s="13">
        <f>(C5+E5)</f>
        <v>98950783</v>
      </c>
      <c r="G5" s="13">
        <f>F5*0.2</f>
        <v>19790156.600000001</v>
      </c>
      <c r="H5" s="13">
        <f>G5*50%</f>
        <v>9895078.3000000007</v>
      </c>
    </row>
    <row r="6" spans="1:8">
      <c r="A6" s="59" t="s">
        <v>83</v>
      </c>
      <c r="B6" s="60"/>
      <c r="C6" s="13">
        <f>SUM(C4:C4)</f>
        <v>4000000</v>
      </c>
      <c r="D6" s="13">
        <f>SUM(D4:D4)</f>
        <v>24514209</v>
      </c>
      <c r="E6" s="13">
        <f>SUM(E4:E4)</f>
        <v>20514209</v>
      </c>
      <c r="F6" s="22">
        <f>SUM(F4:F5)</f>
        <v>123464992</v>
      </c>
      <c r="G6" s="14">
        <f>SUM(G4:G5)</f>
        <v>24692998.400000002</v>
      </c>
      <c r="H6" s="14">
        <f>G6*50%</f>
        <v>12346499.200000001</v>
      </c>
    </row>
    <row r="8" spans="1:8" ht="11.25" customHeight="1">
      <c r="A8" s="100" t="s">
        <v>84</v>
      </c>
      <c r="B8" s="100"/>
      <c r="C8" s="100"/>
      <c r="D8" s="100"/>
      <c r="E8" s="100"/>
      <c r="F8" s="100"/>
      <c r="G8" s="61"/>
      <c r="H8" s="61"/>
    </row>
    <row r="9" spans="1:8" ht="11.25" customHeight="1">
      <c r="A9" s="100" t="s">
        <v>85</v>
      </c>
      <c r="B9" s="100"/>
      <c r="C9" s="100"/>
      <c r="D9" s="100"/>
      <c r="E9" s="100"/>
      <c r="F9" s="100"/>
      <c r="G9" s="61"/>
      <c r="H9" s="61"/>
    </row>
    <row r="10" spans="1:8" s="49" customFormat="1" ht="11.25" customHeight="1">
      <c r="A10" s="103" t="s">
        <v>86</v>
      </c>
      <c r="B10" s="103"/>
      <c r="C10" s="103"/>
      <c r="D10" s="103"/>
      <c r="E10" s="103"/>
      <c r="F10" s="103"/>
      <c r="G10" s="69"/>
      <c r="H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69"/>
    </row>
    <row r="12" spans="1:8" ht="11.25" customHeight="1">
      <c r="A12" s="100" t="s">
        <v>87</v>
      </c>
      <c r="B12" s="100"/>
      <c r="C12" s="100"/>
      <c r="D12" s="100"/>
      <c r="E12" s="100"/>
      <c r="F12" s="100"/>
      <c r="G12" s="61"/>
      <c r="H12" s="61"/>
    </row>
    <row r="13" spans="1:8">
      <c r="A13" s="62"/>
      <c r="B13" s="62"/>
      <c r="C13" s="62"/>
      <c r="D13" s="62"/>
      <c r="E13" s="16"/>
      <c r="F13" s="58"/>
      <c r="G13" s="58"/>
      <c r="H13" s="58"/>
    </row>
    <row r="14" spans="1:8">
      <c r="G14" s="58"/>
      <c r="H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H5" sqref="H5"/>
    </sheetView>
  </sheetViews>
  <sheetFormatPr defaultRowHeight="17.399999999999999"/>
  <cols>
    <col min="2" max="2" width="16.8984375" customWidth="1"/>
    <col min="3" max="3" width="21.8984375" customWidth="1"/>
    <col min="4" max="4" width="22.3984375" customWidth="1"/>
    <col min="5" max="6" width="22.296875" customWidth="1"/>
    <col min="7" max="7" width="22.3984375" customWidth="1"/>
    <col min="8" max="8" width="25.5" style="4" customWidth="1"/>
  </cols>
  <sheetData>
    <row r="2" spans="1:8">
      <c r="A2" s="102" t="s">
        <v>65</v>
      </c>
      <c r="B2" s="102"/>
      <c r="C2" s="102"/>
      <c r="D2" s="102"/>
      <c r="E2" s="63"/>
      <c r="F2" s="63"/>
      <c r="G2" s="63"/>
    </row>
    <row r="3" spans="1:8">
      <c r="A3" s="57" t="s">
        <v>66</v>
      </c>
      <c r="B3" s="57" t="s">
        <v>67</v>
      </c>
      <c r="C3" s="57" t="s">
        <v>68</v>
      </c>
      <c r="D3" s="57" t="s">
        <v>69</v>
      </c>
      <c r="E3" s="57" t="s">
        <v>70</v>
      </c>
      <c r="F3" s="57" t="s">
        <v>71</v>
      </c>
      <c r="G3" s="2" t="s">
        <v>32</v>
      </c>
      <c r="H3" s="2" t="s">
        <v>33</v>
      </c>
    </row>
    <row r="4" spans="1:8">
      <c r="A4" s="65">
        <v>202012</v>
      </c>
      <c r="B4" s="68" t="s">
        <v>24</v>
      </c>
      <c r="C4" s="64">
        <v>4000000</v>
      </c>
      <c r="D4" s="64">
        <v>43926402</v>
      </c>
      <c r="E4" s="64">
        <v>39926402</v>
      </c>
      <c r="F4" s="64">
        <v>43926402</v>
      </c>
      <c r="G4" s="13">
        <f>F4*20%</f>
        <v>8785280.4000000004</v>
      </c>
      <c r="H4" s="13">
        <f>G4*50%</f>
        <v>4392640.2</v>
      </c>
    </row>
    <row r="5" spans="1:8">
      <c r="A5" s="65">
        <v>202011</v>
      </c>
      <c r="B5" s="68" t="s">
        <v>72</v>
      </c>
      <c r="C5" s="67"/>
      <c r="D5" s="67"/>
      <c r="E5" s="64">
        <v>90657385</v>
      </c>
      <c r="F5" s="64">
        <v>90657385</v>
      </c>
      <c r="G5" s="13">
        <f>F5*20%</f>
        <v>18131477</v>
      </c>
      <c r="H5" s="13">
        <f>G5*50%</f>
        <v>9065738.5</v>
      </c>
    </row>
    <row r="6" spans="1:8">
      <c r="A6" s="59" t="s">
        <v>73</v>
      </c>
      <c r="B6" s="60"/>
      <c r="C6" s="64">
        <v>4000000</v>
      </c>
      <c r="D6" s="64">
        <v>43926402</v>
      </c>
      <c r="E6" s="64">
        <v>39926402</v>
      </c>
      <c r="F6" s="66">
        <v>134583787</v>
      </c>
      <c r="G6" s="14">
        <f>SUM(G4:G5)</f>
        <v>26916757.399999999</v>
      </c>
      <c r="H6" s="14">
        <f>SUM(H4:H5)</f>
        <v>13458378.699999999</v>
      </c>
    </row>
    <row r="8" spans="1:8">
      <c r="A8" s="100" t="s">
        <v>58</v>
      </c>
      <c r="B8" s="100"/>
      <c r="C8" s="100"/>
      <c r="D8" s="100"/>
      <c r="E8" s="100"/>
      <c r="F8" s="100"/>
      <c r="G8" s="4"/>
    </row>
    <row r="9" spans="1:8">
      <c r="A9" s="100" t="s">
        <v>59</v>
      </c>
      <c r="B9" s="100"/>
      <c r="C9" s="100"/>
      <c r="D9" s="100"/>
      <c r="E9" s="100"/>
      <c r="F9" s="100"/>
      <c r="G9" s="9"/>
      <c r="H9" s="9"/>
    </row>
    <row r="10" spans="1:8">
      <c r="A10" s="103" t="s">
        <v>60</v>
      </c>
      <c r="B10" s="103"/>
      <c r="C10" s="103"/>
      <c r="D10" s="103"/>
      <c r="E10" s="103"/>
      <c r="F10" s="103"/>
      <c r="G10" s="9"/>
      <c r="H10" s="9"/>
    </row>
    <row r="11" spans="1:8">
      <c r="A11" s="99" t="s">
        <v>61</v>
      </c>
      <c r="B11" s="99"/>
      <c r="C11" s="99"/>
      <c r="D11" s="99"/>
      <c r="E11" s="99"/>
      <c r="F11" s="99"/>
      <c r="G11" s="99"/>
      <c r="H11" s="17"/>
    </row>
    <row r="12" spans="1:8">
      <c r="A12" s="100" t="s">
        <v>62</v>
      </c>
      <c r="B12" s="100"/>
      <c r="C12" s="100"/>
      <c r="D12" s="100"/>
      <c r="E12" s="100"/>
      <c r="F12" s="100"/>
      <c r="G12" s="61"/>
      <c r="H12" s="17"/>
    </row>
    <row r="13" spans="1:8">
      <c r="A13" s="62"/>
      <c r="B13" s="62"/>
      <c r="C13" s="62"/>
      <c r="D13" s="62"/>
      <c r="E13" s="16"/>
      <c r="F13" s="58"/>
      <c r="G13" s="9"/>
      <c r="H13" s="9"/>
    </row>
    <row r="14" spans="1:8">
      <c r="H14" s="10"/>
    </row>
    <row r="15" spans="1:8">
      <c r="H15" s="10"/>
    </row>
  </sheetData>
  <mergeCells count="6">
    <mergeCell ref="A12:F12"/>
    <mergeCell ref="A2:D2"/>
    <mergeCell ref="A8:F8"/>
    <mergeCell ref="A9:F9"/>
    <mergeCell ref="A10:F10"/>
    <mergeCell ref="A11:G11"/>
  </mergeCells>
  <phoneticPr fontId="3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F23" sqref="F23"/>
    </sheetView>
  </sheetViews>
  <sheetFormatPr defaultRowHeight="17.399999999999999"/>
  <cols>
    <col min="1" max="1" width="6.59765625" style="41" customWidth="1"/>
    <col min="2" max="6" width="19.59765625" style="41" customWidth="1"/>
    <col min="7" max="7" width="19.59765625" style="4" customWidth="1"/>
    <col min="8" max="8" width="22.69921875" style="4" bestFit="1" customWidth="1"/>
    <col min="9" max="16384" width="8.796875" style="45"/>
  </cols>
  <sheetData>
    <row r="2" spans="1:8" s="39" customFormat="1">
      <c r="A2" s="102" t="s">
        <v>49</v>
      </c>
      <c r="B2" s="102"/>
      <c r="C2" s="102"/>
      <c r="D2" s="102"/>
      <c r="G2" s="4"/>
      <c r="H2" s="4"/>
    </row>
    <row r="3" spans="1:8">
      <c r="A3" s="44" t="s">
        <v>48</v>
      </c>
      <c r="B3" s="44" t="s">
        <v>50</v>
      </c>
      <c r="C3" s="44" t="s">
        <v>51</v>
      </c>
      <c r="D3" s="44" t="s">
        <v>52</v>
      </c>
      <c r="E3" s="44" t="s">
        <v>53</v>
      </c>
      <c r="F3" s="44" t="s">
        <v>54</v>
      </c>
      <c r="G3" s="2" t="s">
        <v>32</v>
      </c>
      <c r="H3" s="2" t="s">
        <v>33</v>
      </c>
    </row>
    <row r="4" spans="1:8">
      <c r="A4" s="42">
        <v>202011</v>
      </c>
      <c r="B4" s="46" t="s">
        <v>55</v>
      </c>
      <c r="C4" s="13">
        <v>5000000</v>
      </c>
      <c r="D4" s="13">
        <v>51769002</v>
      </c>
      <c r="E4" s="13">
        <v>46769002</v>
      </c>
      <c r="F4" s="13">
        <f>(C4+E4)</f>
        <v>51769002</v>
      </c>
      <c r="G4" s="13">
        <f>F4*20%</f>
        <v>10353800.4</v>
      </c>
      <c r="H4" s="13">
        <f>G4*50%</f>
        <v>5176900.2</v>
      </c>
    </row>
    <row r="5" spans="1:8">
      <c r="A5" s="42">
        <v>202010</v>
      </c>
      <c r="B5" s="46" t="s">
        <v>56</v>
      </c>
      <c r="C5" s="25"/>
      <c r="D5" s="25"/>
      <c r="E5" s="13">
        <v>135502325</v>
      </c>
      <c r="F5" s="13">
        <f>(C5+E5)</f>
        <v>135502325</v>
      </c>
      <c r="G5" s="13">
        <f>F5*20%</f>
        <v>27100465</v>
      </c>
      <c r="H5" s="13">
        <f>G5*50%</f>
        <v>13550232.5</v>
      </c>
    </row>
    <row r="6" spans="1:8">
      <c r="A6" s="47" t="s">
        <v>57</v>
      </c>
      <c r="B6" s="48"/>
      <c r="C6" s="13">
        <f>SUM(C4:C4)</f>
        <v>5000000</v>
      </c>
      <c r="D6" s="13">
        <f>SUM(D4:D4)</f>
        <v>51769002</v>
      </c>
      <c r="E6" s="13">
        <f>SUM(E4:E4)</f>
        <v>46769002</v>
      </c>
      <c r="F6" s="22">
        <f>SUM(F4:F5)</f>
        <v>187271327</v>
      </c>
      <c r="G6" s="14">
        <f>SUM(G4:G5)</f>
        <v>37454265.399999999</v>
      </c>
      <c r="H6" s="14">
        <f>SUM(H4:H5)</f>
        <v>18727132.699999999</v>
      </c>
    </row>
    <row r="8" spans="1:8" ht="11.25" customHeight="1">
      <c r="A8" s="100" t="s">
        <v>58</v>
      </c>
      <c r="B8" s="100"/>
      <c r="C8" s="100"/>
      <c r="D8" s="100"/>
      <c r="E8" s="100"/>
      <c r="F8" s="100"/>
    </row>
    <row r="9" spans="1:8" ht="11.25" customHeight="1">
      <c r="A9" s="100" t="s">
        <v>59</v>
      </c>
      <c r="B9" s="100"/>
      <c r="C9" s="100"/>
      <c r="D9" s="100"/>
      <c r="E9" s="100"/>
      <c r="F9" s="100"/>
      <c r="G9" s="9"/>
      <c r="H9" s="9"/>
    </row>
    <row r="10" spans="1:8" s="49" customFormat="1" ht="11.25" customHeight="1">
      <c r="A10" s="103" t="s">
        <v>60</v>
      </c>
      <c r="B10" s="103"/>
      <c r="C10" s="103"/>
      <c r="D10" s="103"/>
      <c r="E10" s="103"/>
      <c r="F10" s="103"/>
      <c r="G10" s="9"/>
      <c r="H10" s="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17"/>
    </row>
    <row r="12" spans="1:8" ht="11.25" customHeight="1">
      <c r="A12" s="100" t="s">
        <v>62</v>
      </c>
      <c r="B12" s="100"/>
      <c r="C12" s="100"/>
      <c r="D12" s="100"/>
      <c r="E12" s="100"/>
      <c r="F12" s="100"/>
      <c r="G12" s="43"/>
      <c r="H12" s="17"/>
    </row>
    <row r="13" spans="1:8">
      <c r="A13" s="50"/>
      <c r="B13" s="50"/>
      <c r="C13" s="50"/>
      <c r="D13" s="50"/>
      <c r="E13" s="16"/>
      <c r="F13" s="40"/>
      <c r="G13" s="9"/>
      <c r="H13" s="9"/>
    </row>
    <row r="14" spans="1:8">
      <c r="G14" s="10"/>
      <c r="H14" s="10"/>
    </row>
    <row r="15" spans="1:8">
      <c r="G15" s="10"/>
      <c r="H15" s="10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202010</v>
      </c>
      <c r="B5" s="8" t="s">
        <v>24</v>
      </c>
      <c r="C5" s="13">
        <v>3000000</v>
      </c>
      <c r="D5" s="13">
        <v>13506212</v>
      </c>
      <c r="E5" s="13">
        <f>D5-C5</f>
        <v>10506212</v>
      </c>
      <c r="F5" s="13">
        <f>(C5+E5)</f>
        <v>13506212</v>
      </c>
      <c r="G5" s="13">
        <f>F5*20%</f>
        <v>2701242.4000000004</v>
      </c>
      <c r="H5" s="13">
        <f>G5*50%</f>
        <v>1350621.2000000002</v>
      </c>
    </row>
    <row r="6" spans="1:8">
      <c r="A6" s="21">
        <v>202009</v>
      </c>
      <c r="B6" s="8" t="s">
        <v>15</v>
      </c>
      <c r="C6" s="25"/>
      <c r="D6" s="25"/>
      <c r="E6" s="13">
        <v>163869527</v>
      </c>
      <c r="F6" s="13">
        <f>(C6+E6)</f>
        <v>163869527</v>
      </c>
      <c r="G6" s="13">
        <f>F6*20%</f>
        <v>32773905.400000002</v>
      </c>
      <c r="H6" s="13">
        <f>G6*50%</f>
        <v>16386952.700000001</v>
      </c>
    </row>
    <row r="7" spans="1:8">
      <c r="A7" s="7" t="s">
        <v>8</v>
      </c>
      <c r="B7" s="8"/>
      <c r="C7" s="13">
        <f>SUM(C5:C5)</f>
        <v>3000000</v>
      </c>
      <c r="D7" s="13">
        <f>SUM(D5:D5)</f>
        <v>13506212</v>
      </c>
      <c r="E7" s="13">
        <f>SUM(E5:E5)</f>
        <v>10506212</v>
      </c>
      <c r="F7" s="22">
        <f>SUM(F5:F6)</f>
        <v>177375739</v>
      </c>
      <c r="G7" s="14">
        <f>SUM(G5:G6)</f>
        <v>35475147.800000004</v>
      </c>
      <c r="H7" s="14">
        <f>SUM(H5:H6)</f>
        <v>17737573.900000002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6"/>
      <c r="B15" s="36"/>
      <c r="C15" s="36"/>
      <c r="D15" s="36"/>
      <c r="E15" s="36"/>
      <c r="F15" s="36"/>
      <c r="G15" s="10"/>
      <c r="H15" s="10"/>
    </row>
    <row r="16" spans="1:8">
      <c r="F16" s="29"/>
    </row>
    <row r="17" spans="4:6">
      <c r="F17" s="51"/>
    </row>
    <row r="18" spans="4:6">
      <c r="D18" s="37"/>
      <c r="F18" s="16"/>
    </row>
  </sheetData>
  <mergeCells count="7">
    <mergeCell ref="A14:F14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202009</v>
      </c>
      <c r="B5" s="8" t="s">
        <v>24</v>
      </c>
      <c r="C5" s="13">
        <v>4000000</v>
      </c>
      <c r="D5" s="13">
        <v>21988518</v>
      </c>
      <c r="E5" s="13">
        <f>D5-C5</f>
        <v>17988518</v>
      </c>
      <c r="F5" s="13">
        <f>(C5+E5)</f>
        <v>21988518</v>
      </c>
      <c r="G5" s="13">
        <f>F5*20%</f>
        <v>4397703.6000000006</v>
      </c>
      <c r="H5" s="13">
        <f>G5*50%</f>
        <v>2198851.8000000003</v>
      </c>
    </row>
    <row r="6" spans="1:8">
      <c r="A6" s="21">
        <v>202008</v>
      </c>
      <c r="B6" s="8" t="s">
        <v>15</v>
      </c>
      <c r="C6" s="25"/>
      <c r="D6" s="25"/>
      <c r="E6" s="13">
        <v>213219692</v>
      </c>
      <c r="F6" s="13">
        <f>(C6+E6)</f>
        <v>213219692</v>
      </c>
      <c r="G6" s="13">
        <f>F6*20%</f>
        <v>42643938.400000006</v>
      </c>
      <c r="H6" s="13">
        <f>G6*50%</f>
        <v>21321969.200000003</v>
      </c>
    </row>
    <row r="7" spans="1:8">
      <c r="A7" s="7" t="s">
        <v>8</v>
      </c>
      <c r="B7" s="8"/>
      <c r="C7" s="13">
        <f>SUM(C5:C5)</f>
        <v>4000000</v>
      </c>
      <c r="D7" s="13">
        <f>SUM(D5:D5)</f>
        <v>21988518</v>
      </c>
      <c r="E7" s="13">
        <f>SUM(E5:E5)</f>
        <v>17988518</v>
      </c>
      <c r="F7" s="22">
        <f>SUM(F5:F6)</f>
        <v>235208210</v>
      </c>
      <c r="G7" s="14">
        <f>SUM(G5:G6)</f>
        <v>47041642.000000007</v>
      </c>
      <c r="H7" s="14">
        <f>SUM(H5:H6)</f>
        <v>23520821.000000004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5"/>
      <c r="B15" s="35"/>
      <c r="C15" s="35"/>
      <c r="D15" s="35"/>
      <c r="E15" s="35"/>
      <c r="F15" s="35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9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 t="shared" ref="D21:D25" si="0"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 t="shared" si="0"/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'202007'!C23</f>
        <v>71663303</v>
      </c>
      <c r="D23" s="11">
        <f t="shared" si="0"/>
        <v>312982831</v>
      </c>
      <c r="E23" s="6"/>
      <c r="F23" s="6"/>
      <c r="G23" s="6"/>
      <c r="H23" s="6"/>
    </row>
    <row r="24" spans="1:8">
      <c r="A24" s="7">
        <v>202008</v>
      </c>
      <c r="B24" s="11"/>
      <c r="C24" s="11">
        <f>'202008'!C24</f>
        <v>98335659</v>
      </c>
      <c r="D24" s="11">
        <f t="shared" si="0"/>
        <v>241319528</v>
      </c>
      <c r="E24" s="6"/>
      <c r="F24" s="6"/>
      <c r="G24" s="6"/>
      <c r="H24" s="6"/>
    </row>
    <row r="25" spans="1:8">
      <c r="A25" s="7">
        <v>202009</v>
      </c>
      <c r="B25" s="11"/>
      <c r="C25" s="11">
        <f>F7</f>
        <v>235208210</v>
      </c>
      <c r="D25" s="11">
        <f t="shared" si="0"/>
        <v>142983869</v>
      </c>
      <c r="E25" s="6"/>
      <c r="F25" s="6"/>
      <c r="G25" s="6"/>
      <c r="H25" s="6"/>
    </row>
    <row r="26" spans="1:8">
      <c r="A26" s="7" t="s">
        <v>8</v>
      </c>
      <c r="B26" s="11">
        <f>SUM(B19:B19)</f>
        <v>500000000</v>
      </c>
      <c r="C26" s="11">
        <f>SUM(C19:C25)</f>
        <v>592224341</v>
      </c>
      <c r="D26" s="38">
        <v>0</v>
      </c>
      <c r="E26" s="6"/>
      <c r="F26" s="6"/>
      <c r="G26" s="6"/>
      <c r="H26" s="6"/>
    </row>
    <row r="28" spans="1:8">
      <c r="D28" s="37"/>
    </row>
  </sheetData>
  <mergeCells count="8">
    <mergeCell ref="A14:F14"/>
    <mergeCell ref="A17:D17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202008</v>
      </c>
      <c r="B5" s="8" t="s">
        <v>24</v>
      </c>
      <c r="C5" s="13">
        <v>5000000</v>
      </c>
      <c r="D5" s="13">
        <v>25375994</v>
      </c>
      <c r="E5" s="13">
        <f>D5-C5</f>
        <v>20375994</v>
      </c>
      <c r="F5" s="13">
        <f>(C5+E5)</f>
        <v>25375994</v>
      </c>
      <c r="G5" s="13">
        <f>F5*20%</f>
        <v>5075198.8000000007</v>
      </c>
      <c r="H5" s="13">
        <f>G5*50%</f>
        <v>2537599.4000000004</v>
      </c>
    </row>
    <row r="6" spans="1:8">
      <c r="A6" s="21">
        <v>202007</v>
      </c>
      <c r="B6" s="8" t="s">
        <v>26</v>
      </c>
      <c r="C6" s="25"/>
      <c r="D6" s="25"/>
      <c r="E6" s="13">
        <v>72959665</v>
      </c>
      <c r="F6" s="13">
        <f>(C6+E6)</f>
        <v>72959665</v>
      </c>
      <c r="G6" s="13">
        <f>F6*20%</f>
        <v>14591933</v>
      </c>
      <c r="H6" s="13">
        <f>G6*50%</f>
        <v>7295966.5</v>
      </c>
    </row>
    <row r="7" spans="1:8">
      <c r="A7" s="7" t="s">
        <v>25</v>
      </c>
      <c r="B7" s="8"/>
      <c r="C7" s="13">
        <f>SUM(C5:C5)</f>
        <v>5000000</v>
      </c>
      <c r="D7" s="13">
        <f>SUM(D5:D5)</f>
        <v>25375994</v>
      </c>
      <c r="E7" s="13">
        <f>SUM(E5:E5)</f>
        <v>20375994</v>
      </c>
      <c r="F7" s="22">
        <f>SUM(F5:F6)</f>
        <v>98335659</v>
      </c>
      <c r="G7" s="14">
        <f>SUM(G5:G6)</f>
        <v>19667131.800000001</v>
      </c>
      <c r="H7" s="14">
        <f>SUM(H5:H6)</f>
        <v>9833565.9000000004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'202007'!C23</f>
        <v>71663303</v>
      </c>
      <c r="D23" s="11">
        <f>D22-C22</f>
        <v>312982831</v>
      </c>
      <c r="E23" s="6"/>
      <c r="F23" s="6"/>
      <c r="G23" s="6"/>
      <c r="H23" s="6"/>
    </row>
    <row r="24" spans="1:8">
      <c r="A24" s="7">
        <v>202008</v>
      </c>
      <c r="B24" s="11"/>
      <c r="C24" s="11">
        <f>F7</f>
        <v>98335659</v>
      </c>
      <c r="D24" s="11">
        <f>D23-C23</f>
        <v>241319528</v>
      </c>
      <c r="E24" s="6"/>
      <c r="F24" s="6"/>
      <c r="G24" s="6"/>
      <c r="H24" s="6"/>
    </row>
    <row r="25" spans="1:8">
      <c r="A25" s="7" t="s">
        <v>8</v>
      </c>
      <c r="B25" s="11">
        <f>SUM(B19:B19)</f>
        <v>500000000</v>
      </c>
      <c r="C25" s="11">
        <f>SUM(C19:C24)</f>
        <v>357016131</v>
      </c>
      <c r="D25" s="12">
        <f>D24-C24</f>
        <v>142983869</v>
      </c>
      <c r="E25" s="6"/>
      <c r="F25" s="6"/>
      <c r="G25" s="6"/>
      <c r="H25" s="6"/>
    </row>
  </sheetData>
  <mergeCells count="8">
    <mergeCell ref="A17:D17"/>
    <mergeCell ref="A14:F14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workbookViewId="0">
      <selection activeCell="G6" sqref="G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202007</v>
      </c>
      <c r="B5" s="8" t="s">
        <v>24</v>
      </c>
      <c r="C5" s="13">
        <v>4000000</v>
      </c>
      <c r="D5" s="13">
        <v>20969056</v>
      </c>
      <c r="E5" s="13">
        <f>D5-C5</f>
        <v>16969056</v>
      </c>
      <c r="F5" s="13">
        <f>(C5+E5)</f>
        <v>20969056</v>
      </c>
      <c r="G5" s="13">
        <f>F5*20%</f>
        <v>4193811.2</v>
      </c>
      <c r="H5" s="13">
        <f>G5*50%</f>
        <v>2096905.6</v>
      </c>
    </row>
    <row r="6" spans="1:8">
      <c r="A6" s="21">
        <v>202006</v>
      </c>
      <c r="B6" s="8" t="s">
        <v>26</v>
      </c>
      <c r="C6" s="25"/>
      <c r="D6" s="25"/>
      <c r="E6" s="13">
        <v>50694247</v>
      </c>
      <c r="F6" s="13">
        <f>(C6+E6)</f>
        <v>50694247</v>
      </c>
      <c r="G6" s="13">
        <f>F6*20%</f>
        <v>10138849.4</v>
      </c>
      <c r="H6" s="13">
        <f>G6*50%</f>
        <v>5069424.7</v>
      </c>
    </row>
    <row r="7" spans="1:8">
      <c r="A7" s="7" t="s">
        <v>25</v>
      </c>
      <c r="B7" s="8"/>
      <c r="C7" s="13">
        <f>SUM(C5:C5)</f>
        <v>4000000</v>
      </c>
      <c r="D7" s="13">
        <f>SUM(D5:D5)</f>
        <v>20969056</v>
      </c>
      <c r="E7" s="13">
        <f>SUM(E5:E5)</f>
        <v>16969056</v>
      </c>
      <c r="F7" s="22">
        <f>SUM(F5:F6)</f>
        <v>71663303</v>
      </c>
      <c r="G7" s="14">
        <f>SUM(G5:G6)</f>
        <v>14332660.600000001</v>
      </c>
      <c r="H7" s="14">
        <f>SUM(H5:H6)</f>
        <v>7166330.3000000007</v>
      </c>
    </row>
    <row r="8" spans="1:8" ht="16.5" customHeight="1"/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F7</f>
        <v>71663303</v>
      </c>
      <c r="D23" s="11">
        <f>D22-C22</f>
        <v>312982831</v>
      </c>
      <c r="E23" s="6"/>
      <c r="F23" s="6"/>
      <c r="G23" s="6"/>
      <c r="H23" s="6"/>
    </row>
    <row r="24" spans="1:8">
      <c r="A24" s="7" t="s">
        <v>8</v>
      </c>
      <c r="B24" s="11">
        <f>SUM(B19:B19)</f>
        <v>500000000</v>
      </c>
      <c r="C24" s="11">
        <f>SUM(C19:C23)</f>
        <v>258680472</v>
      </c>
      <c r="D24" s="12">
        <f>D23-C23</f>
        <v>241319528</v>
      </c>
      <c r="E24" s="6"/>
      <c r="F24" s="6"/>
      <c r="G24" s="6"/>
      <c r="H24" s="6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1.5" style="4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202006</v>
      </c>
      <c r="B5" s="8" t="s">
        <v>7</v>
      </c>
      <c r="C5" s="13">
        <v>4000000</v>
      </c>
      <c r="D5" s="13">
        <v>22803474</v>
      </c>
      <c r="E5" s="13">
        <f>D5-C5</f>
        <v>18803474</v>
      </c>
      <c r="F5" s="13">
        <f>(C5+E5)</f>
        <v>22803474</v>
      </c>
      <c r="G5" s="13">
        <f>F5*20%</f>
        <v>4560694.8</v>
      </c>
      <c r="H5" s="13">
        <f>G5*50%</f>
        <v>2280347.4</v>
      </c>
    </row>
    <row r="6" spans="1:8">
      <c r="A6" s="21">
        <v>202005</v>
      </c>
      <c r="B6" s="8" t="s">
        <v>15</v>
      </c>
      <c r="C6" s="25"/>
      <c r="D6" s="25"/>
      <c r="E6" s="13">
        <v>31473086</v>
      </c>
      <c r="F6" s="13">
        <f>(C6+E6)</f>
        <v>31473086</v>
      </c>
      <c r="G6" s="13">
        <f>F6*20%</f>
        <v>6294617.2000000002</v>
      </c>
      <c r="H6" s="13">
        <f>G6*50%</f>
        <v>3147308.6</v>
      </c>
    </row>
    <row r="7" spans="1:8">
      <c r="A7" s="7" t="s">
        <v>8</v>
      </c>
      <c r="B7" s="8"/>
      <c r="C7" s="13">
        <f>SUM(C5:C5)</f>
        <v>4000000</v>
      </c>
      <c r="D7" s="13">
        <f>SUM(D5:D5)</f>
        <v>22803474</v>
      </c>
      <c r="E7" s="13">
        <f>SUM(E5:E5)</f>
        <v>18803474</v>
      </c>
      <c r="F7" s="22">
        <f>SUM(F5:F6)</f>
        <v>54276560</v>
      </c>
      <c r="G7" s="14">
        <f>SUM(G5:G6)</f>
        <v>10855312</v>
      </c>
      <c r="H7" s="14">
        <f>SUM(H5:H6)</f>
        <v>5427656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F7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 t="s">
        <v>8</v>
      </c>
      <c r="B23" s="11">
        <f>SUM(B19:B19)</f>
        <v>500000000</v>
      </c>
      <c r="C23" s="11">
        <f>SUM(C19:C22)</f>
        <v>187017169</v>
      </c>
      <c r="D23" s="12">
        <f>D22-C22</f>
        <v>312982831</v>
      </c>
      <c r="E23" s="6"/>
      <c r="F23" s="6"/>
      <c r="G23" s="6"/>
      <c r="H23" s="6"/>
    </row>
    <row r="25" spans="1:8" ht="11.25" customHeight="1">
      <c r="A25" s="26"/>
      <c r="B25" s="26"/>
      <c r="C25" s="26"/>
      <c r="D25" s="26"/>
      <c r="E25" s="26"/>
      <c r="F25" s="26"/>
      <c r="G25" s="9"/>
      <c r="H25" s="9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202005</v>
      </c>
      <c r="B5" s="8" t="s">
        <v>7</v>
      </c>
      <c r="C5" s="13">
        <v>5000000</v>
      </c>
      <c r="D5" s="13">
        <v>23146287</v>
      </c>
      <c r="E5" s="13">
        <f>D5-C5</f>
        <v>18146287</v>
      </c>
      <c r="F5" s="13">
        <f>(C5+E5)</f>
        <v>23146287</v>
      </c>
      <c r="G5" s="13">
        <f>F5*20%</f>
        <v>4629257.4000000004</v>
      </c>
      <c r="H5" s="13">
        <f>G5*50%</f>
        <v>2314628.7000000002</v>
      </c>
    </row>
    <row r="6" spans="1:8">
      <c r="A6" s="21">
        <v>202004</v>
      </c>
      <c r="B6" s="8" t="s">
        <v>15</v>
      </c>
      <c r="C6" s="25"/>
      <c r="D6" s="25"/>
      <c r="E6" s="13">
        <v>12187694</v>
      </c>
      <c r="F6" s="13">
        <f>(C6+E6)</f>
        <v>12187694</v>
      </c>
      <c r="G6" s="13">
        <f>F6*20%</f>
        <v>2437538.8000000003</v>
      </c>
      <c r="H6" s="13">
        <f>G6*50%</f>
        <v>1218769.4000000001</v>
      </c>
    </row>
    <row r="7" spans="1:8">
      <c r="A7" s="7" t="s">
        <v>8</v>
      </c>
      <c r="B7" s="8"/>
      <c r="C7" s="13">
        <f>SUM(C5:C5)</f>
        <v>5000000</v>
      </c>
      <c r="D7" s="13">
        <f>SUM(D5:D5)</f>
        <v>23146287</v>
      </c>
      <c r="E7" s="13">
        <f>SUM(E5:E5)</f>
        <v>18146287</v>
      </c>
      <c r="F7" s="22">
        <f>SUM(F5:F6)</f>
        <v>35333981</v>
      </c>
      <c r="G7" s="14">
        <f>SUM(G5:G6)</f>
        <v>7066796.2000000011</v>
      </c>
      <c r="H7" s="14">
        <f>SUM(H5:H6)</f>
        <v>3533398.1000000006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6" spans="1:8">
      <c r="F16" s="29"/>
    </row>
    <row r="17" spans="1:8">
      <c r="A17" s="105" t="s">
        <v>12</v>
      </c>
      <c r="B17" s="105"/>
      <c r="C17" s="105"/>
      <c r="D17" s="105"/>
      <c r="E17" s="5"/>
      <c r="F17" s="52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'202003'!B18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F7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 t="s">
        <v>8</v>
      </c>
      <c r="B22" s="11">
        <f>SUM(B19:B19)</f>
        <v>500000000</v>
      </c>
      <c r="C22" s="11">
        <f>SUM(C19:C21)</f>
        <v>132740609</v>
      </c>
      <c r="D22" s="12">
        <f>D21-C21</f>
        <v>367259391</v>
      </c>
      <c r="E22" s="6"/>
      <c r="F22" s="6"/>
      <c r="G22" s="6"/>
      <c r="H22" s="6"/>
    </row>
    <row r="24" spans="1:8" ht="11.25" customHeight="1">
      <c r="A24" s="24"/>
      <c r="B24" s="24"/>
      <c r="C24" s="24"/>
      <c r="D24" s="24"/>
      <c r="E24" s="24"/>
      <c r="F24" s="24"/>
      <c r="G24" s="9"/>
      <c r="H24" s="9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  <pageSetup paperSize="9" orientation="portrait" r:id="rId1"/>
  <ignoredErrors>
    <ignoredError sqref="C22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A20" sqref="A20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202004</v>
      </c>
      <c r="B5" s="8" t="s">
        <v>7</v>
      </c>
      <c r="C5" s="13">
        <f>1000000*4</f>
        <v>4000000</v>
      </c>
      <c r="D5" s="13">
        <v>24739983</v>
      </c>
      <c r="E5" s="13">
        <f>D5-C5</f>
        <v>20739983</v>
      </c>
      <c r="F5" s="13">
        <f>(C5+E5)</f>
        <v>24739983</v>
      </c>
      <c r="G5" s="13">
        <f>F5*20%</f>
        <v>4947996.6000000006</v>
      </c>
      <c r="H5" s="13">
        <f>G5*50%</f>
        <v>2473998.3000000003</v>
      </c>
    </row>
    <row r="6" spans="1:8">
      <c r="A6" s="7" t="s">
        <v>8</v>
      </c>
      <c r="B6" s="8"/>
      <c r="C6" s="13">
        <f t="shared" ref="C6:H6" si="0">SUM(C5:C5)</f>
        <v>4000000</v>
      </c>
      <c r="D6" s="13">
        <f t="shared" si="0"/>
        <v>24739983</v>
      </c>
      <c r="E6" s="13">
        <f t="shared" si="0"/>
        <v>20739983</v>
      </c>
      <c r="F6" s="22">
        <f t="shared" si="0"/>
        <v>24739983</v>
      </c>
      <c r="G6" s="14">
        <f t="shared" si="0"/>
        <v>4947996.6000000006</v>
      </c>
      <c r="H6" s="14">
        <f t="shared" si="0"/>
        <v>2473998.3000000003</v>
      </c>
    </row>
    <row r="8" spans="1:8" ht="11.25" customHeight="1">
      <c r="A8" s="104" t="s">
        <v>34</v>
      </c>
      <c r="B8" s="104"/>
      <c r="C8" s="104"/>
      <c r="D8" s="104"/>
      <c r="E8" s="104"/>
      <c r="F8" s="104"/>
      <c r="G8" s="9"/>
      <c r="H8" s="9"/>
    </row>
    <row r="9" spans="1:8" ht="11.25" customHeight="1">
      <c r="A9" s="104" t="s">
        <v>35</v>
      </c>
      <c r="B9" s="104"/>
      <c r="C9" s="104"/>
      <c r="D9" s="104"/>
      <c r="E9" s="104"/>
      <c r="F9" s="104"/>
      <c r="G9" s="9"/>
      <c r="H9" s="9"/>
    </row>
    <row r="10" spans="1:8" s="18" customFormat="1" ht="11.25" customHeight="1">
      <c r="A10" s="106" t="s">
        <v>37</v>
      </c>
      <c r="B10" s="106"/>
      <c r="C10" s="106"/>
      <c r="D10" s="106"/>
      <c r="E10" s="106"/>
      <c r="F10" s="106"/>
      <c r="G10" s="17"/>
      <c r="H10" s="17"/>
    </row>
    <row r="11" spans="1:8" s="18" customFormat="1" ht="11.25" customHeight="1">
      <c r="A11" s="107" t="s">
        <v>36</v>
      </c>
      <c r="B11" s="107"/>
      <c r="C11" s="107"/>
      <c r="D11" s="107"/>
      <c r="E11" s="107"/>
      <c r="F11" s="107"/>
      <c r="G11" s="107"/>
      <c r="H11" s="17"/>
    </row>
    <row r="12" spans="1:8" ht="11.25" customHeight="1">
      <c r="A12" s="104" t="s">
        <v>38</v>
      </c>
      <c r="B12" s="104"/>
      <c r="C12" s="104"/>
      <c r="D12" s="104"/>
      <c r="E12" s="104"/>
      <c r="F12" s="104"/>
      <c r="G12" s="9"/>
      <c r="H12" s="9"/>
    </row>
    <row r="13" spans="1:8" ht="10.95" customHeight="1">
      <c r="A13" s="104" t="s">
        <v>39</v>
      </c>
      <c r="B13" s="104"/>
      <c r="C13" s="104"/>
      <c r="D13" s="104"/>
      <c r="E13" s="104"/>
      <c r="F13" s="104"/>
      <c r="G13" s="10"/>
      <c r="H13" s="10"/>
    </row>
    <row r="14" spans="1:8" ht="10.95" customHeight="1">
      <c r="A14" s="32"/>
      <c r="B14" s="32"/>
      <c r="C14" s="32"/>
      <c r="D14" s="32"/>
      <c r="E14" s="32"/>
      <c r="F14" s="32"/>
      <c r="G14" s="10"/>
      <c r="H14" s="10"/>
    </row>
    <row r="16" spans="1:8">
      <c r="A16" s="105" t="s">
        <v>12</v>
      </c>
      <c r="B16" s="105"/>
      <c r="C16" s="105"/>
      <c r="D16" s="105"/>
      <c r="E16" s="5"/>
      <c r="F16" s="5"/>
      <c r="G16" s="5"/>
      <c r="H16" s="5"/>
    </row>
    <row r="17" spans="1:8">
      <c r="A17" s="2" t="s">
        <v>41</v>
      </c>
      <c r="B17" s="2" t="s">
        <v>10</v>
      </c>
      <c r="C17" s="2" t="s">
        <v>40</v>
      </c>
      <c r="D17" s="15" t="s">
        <v>42</v>
      </c>
      <c r="E17" s="6"/>
      <c r="F17" s="6"/>
      <c r="G17" s="6"/>
      <c r="H17" s="6"/>
    </row>
    <row r="18" spans="1:8">
      <c r="A18" s="7">
        <v>202003</v>
      </c>
      <c r="B18" s="11">
        <f>'202003'!B18</f>
        <v>500000000</v>
      </c>
      <c r="C18" s="11">
        <f>'202003'!C18</f>
        <v>72666645</v>
      </c>
      <c r="D18" s="11"/>
      <c r="E18" s="6"/>
      <c r="F18" s="6"/>
      <c r="G18" s="6"/>
      <c r="H18" s="6"/>
    </row>
    <row r="19" spans="1:8">
      <c r="A19" s="7">
        <v>202004</v>
      </c>
      <c r="B19" s="11"/>
      <c r="C19" s="11">
        <f>F6</f>
        <v>24739983</v>
      </c>
      <c r="D19" s="11">
        <f>B18-C18</f>
        <v>427333355</v>
      </c>
      <c r="E19" s="6"/>
      <c r="F19" s="6"/>
      <c r="G19" s="6"/>
      <c r="H19" s="6"/>
    </row>
    <row r="20" spans="1:8">
      <c r="A20" s="7" t="s">
        <v>8</v>
      </c>
      <c r="B20" s="11">
        <f>SUM(B18:B18)</f>
        <v>500000000</v>
      </c>
      <c r="C20" s="11">
        <f>SUM(C18:C19)</f>
        <v>97406628</v>
      </c>
      <c r="D20" s="12">
        <f>D19-C19</f>
        <v>402593372</v>
      </c>
      <c r="E20" s="6"/>
      <c r="F20" s="6"/>
      <c r="G20" s="6"/>
      <c r="H20" s="6"/>
    </row>
    <row r="22" spans="1:8" ht="11.25" customHeight="1">
      <c r="A22" s="23"/>
      <c r="B22" s="23"/>
      <c r="C22" s="23"/>
      <c r="D22" s="23"/>
      <c r="E22" s="23"/>
      <c r="F22" s="23"/>
      <c r="G22" s="9"/>
      <c r="H22" s="9"/>
    </row>
  </sheetData>
  <mergeCells count="8">
    <mergeCell ref="A11:G11"/>
    <mergeCell ref="A12:F12"/>
    <mergeCell ref="A16:D16"/>
    <mergeCell ref="A3:F3"/>
    <mergeCell ref="A8:F8"/>
    <mergeCell ref="A9:F9"/>
    <mergeCell ref="A10:F10"/>
    <mergeCell ref="A13:F13"/>
  </mergeCells>
  <phoneticPr fontId="32" type="noConversion"/>
  <pageMargins left="0.7" right="0.7" top="0.75" bottom="0.75" header="0.3" footer="0.3"/>
  <pageSetup paperSize="9" orientation="portrait" r:id="rId1"/>
  <ignoredErrors>
    <ignoredError sqref="C20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workbookViewId="0">
      <selection activeCell="C19" sqref="C19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202003</v>
      </c>
      <c r="B5" s="8" t="s">
        <v>7</v>
      </c>
      <c r="C5" s="13">
        <f>1000000*24</f>
        <v>24000000</v>
      </c>
      <c r="D5" s="13">
        <v>72666645</v>
      </c>
      <c r="E5" s="13">
        <f>D5-C5</f>
        <v>48666645</v>
      </c>
      <c r="F5" s="13">
        <f>(C5+E5)</f>
        <v>72666645</v>
      </c>
      <c r="G5" s="13">
        <f>F5*20%</f>
        <v>14533329</v>
      </c>
      <c r="H5" s="13">
        <f>G5*50%</f>
        <v>7266664.5</v>
      </c>
    </row>
    <row r="6" spans="1:8">
      <c r="A6" s="7" t="s">
        <v>8</v>
      </c>
      <c r="B6" s="8"/>
      <c r="C6" s="13">
        <f t="shared" ref="C6:H6" si="0">SUM(C5:C5)</f>
        <v>24000000</v>
      </c>
      <c r="D6" s="13">
        <f t="shared" si="0"/>
        <v>72666645</v>
      </c>
      <c r="E6" s="13">
        <f t="shared" si="0"/>
        <v>48666645</v>
      </c>
      <c r="F6" s="22">
        <f t="shared" si="0"/>
        <v>72666645</v>
      </c>
      <c r="G6" s="14">
        <f t="shared" si="0"/>
        <v>14533329</v>
      </c>
      <c r="H6" s="14">
        <f t="shared" si="0"/>
        <v>7266664.5</v>
      </c>
    </row>
    <row r="8" spans="1:8" ht="11.25" customHeight="1">
      <c r="A8" s="104" t="s">
        <v>34</v>
      </c>
      <c r="B8" s="104"/>
      <c r="C8" s="104"/>
      <c r="D8" s="104"/>
      <c r="E8" s="104"/>
      <c r="F8" s="104"/>
      <c r="G8" s="9"/>
      <c r="H8" s="9"/>
    </row>
    <row r="9" spans="1:8" ht="11.25" customHeight="1">
      <c r="A9" s="104" t="s">
        <v>35</v>
      </c>
      <c r="B9" s="104"/>
      <c r="C9" s="104"/>
      <c r="D9" s="104"/>
      <c r="E9" s="104"/>
      <c r="F9" s="104"/>
      <c r="G9" s="9"/>
      <c r="H9" s="9"/>
    </row>
    <row r="10" spans="1:8" s="18" customFormat="1" ht="11.25" customHeight="1">
      <c r="A10" s="106" t="s">
        <v>37</v>
      </c>
      <c r="B10" s="106"/>
      <c r="C10" s="106"/>
      <c r="D10" s="106"/>
      <c r="E10" s="106"/>
      <c r="F10" s="106"/>
      <c r="G10" s="17"/>
      <c r="H10" s="17"/>
    </row>
    <row r="11" spans="1:8" s="18" customFormat="1" ht="11.25" customHeight="1">
      <c r="A11" s="107" t="s">
        <v>36</v>
      </c>
      <c r="B11" s="107"/>
      <c r="C11" s="107"/>
      <c r="D11" s="107"/>
      <c r="E11" s="107"/>
      <c r="F11" s="107"/>
      <c r="G11" s="107"/>
      <c r="H11" s="17"/>
    </row>
    <row r="12" spans="1:8" ht="11.25" customHeight="1">
      <c r="A12" s="104" t="s">
        <v>38</v>
      </c>
      <c r="B12" s="104"/>
      <c r="C12" s="104"/>
      <c r="D12" s="104"/>
      <c r="E12" s="104"/>
      <c r="F12" s="104"/>
      <c r="G12" s="9"/>
      <c r="H12" s="9"/>
    </row>
    <row r="13" spans="1:8" ht="10.95" customHeight="1">
      <c r="A13" s="104" t="s">
        <v>39</v>
      </c>
      <c r="B13" s="104"/>
      <c r="C13" s="104"/>
      <c r="D13" s="104"/>
      <c r="E13" s="104"/>
      <c r="F13" s="104"/>
      <c r="G13" s="10"/>
      <c r="H13" s="10"/>
    </row>
    <row r="14" spans="1:8" ht="10.95" customHeight="1">
      <c r="A14" s="32"/>
      <c r="B14" s="32"/>
      <c r="C14" s="32"/>
      <c r="D14" s="32"/>
      <c r="E14" s="32"/>
      <c r="F14" s="32"/>
      <c r="G14" s="10"/>
      <c r="H14" s="10"/>
    </row>
    <row r="16" spans="1:8">
      <c r="A16" s="105" t="s">
        <v>12</v>
      </c>
      <c r="B16" s="105"/>
      <c r="C16" s="105"/>
      <c r="D16" s="105"/>
      <c r="E16" s="5"/>
      <c r="F16" s="5"/>
      <c r="G16" s="5"/>
      <c r="H16" s="5"/>
    </row>
    <row r="17" spans="1:8">
      <c r="A17" s="2" t="s">
        <v>41</v>
      </c>
      <c r="B17" s="2" t="s">
        <v>10</v>
      </c>
      <c r="C17" s="2" t="s">
        <v>40</v>
      </c>
      <c r="D17" s="15" t="s">
        <v>42</v>
      </c>
      <c r="E17" s="6"/>
      <c r="F17" s="16"/>
      <c r="G17" s="6"/>
      <c r="H17" s="6"/>
    </row>
    <row r="18" spans="1:8">
      <c r="A18" s="7">
        <v>202003</v>
      </c>
      <c r="B18" s="11">
        <v>500000000</v>
      </c>
      <c r="C18" s="11">
        <f>F6</f>
        <v>72666645</v>
      </c>
      <c r="D18" s="11"/>
      <c r="E18" s="6"/>
      <c r="F18" s="28"/>
      <c r="G18" s="6"/>
      <c r="H18" s="6"/>
    </row>
    <row r="19" spans="1:8">
      <c r="A19" s="7" t="s">
        <v>8</v>
      </c>
      <c r="B19" s="11">
        <f>SUM(B18:B18)</f>
        <v>500000000</v>
      </c>
      <c r="C19" s="11">
        <f>SUM(C18:C18)</f>
        <v>72666645</v>
      </c>
      <c r="D19" s="12">
        <f>SUM(D18:D18)</f>
        <v>0</v>
      </c>
      <c r="E19" s="6"/>
      <c r="F19" s="6"/>
      <c r="G19" s="6"/>
      <c r="H19" s="6"/>
    </row>
    <row r="21" spans="1:8" ht="11.25" customHeight="1">
      <c r="A21" s="20"/>
      <c r="B21" s="20"/>
      <c r="C21" s="20"/>
      <c r="D21" s="20"/>
      <c r="E21" s="20"/>
      <c r="F21" s="20"/>
      <c r="G21" s="9"/>
      <c r="H21" s="9"/>
    </row>
  </sheetData>
  <mergeCells count="8">
    <mergeCell ref="A12:F12"/>
    <mergeCell ref="A16:D16"/>
    <mergeCell ref="A3:F3"/>
    <mergeCell ref="A8:F8"/>
    <mergeCell ref="A9:F9"/>
    <mergeCell ref="A10:F10"/>
    <mergeCell ref="A11:G11"/>
    <mergeCell ref="A13:F13"/>
  </mergeCells>
  <phoneticPr fontId="3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서비스현황</vt:lpstr>
      <vt:lpstr>합계표</vt:lpstr>
      <vt:lpstr>202201</vt:lpstr>
      <vt:lpstr>202112</vt:lpstr>
      <vt:lpstr>202111</vt:lpstr>
      <vt:lpstr>202110</vt:lpstr>
      <vt:lpstr>202109</vt:lpstr>
      <vt:lpstr>202108</vt:lpstr>
      <vt:lpstr>202107</vt:lpstr>
      <vt:lpstr>202106</vt:lpstr>
      <vt:lpstr>202105</vt:lpstr>
      <vt:lpstr>202104</vt:lpstr>
      <vt:lpstr>202103</vt:lpstr>
      <vt:lpstr>202102</vt:lpstr>
      <vt:lpstr>202101</vt:lpstr>
      <vt:lpstr>202012</vt:lpstr>
      <vt:lpstr>202011</vt:lpstr>
      <vt:lpstr>202010</vt:lpstr>
      <vt:lpstr>202009</vt:lpstr>
      <vt:lpstr>202008</vt:lpstr>
      <vt:lpstr>202007</vt:lpstr>
      <vt:lpstr>202006</vt:lpstr>
      <vt:lpstr>202005</vt:lpstr>
      <vt:lpstr>202004</vt:lpstr>
      <vt:lpstr>202003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2022-02-25T00:08:23Z</dcterms:modified>
</cp:coreProperties>
</file>