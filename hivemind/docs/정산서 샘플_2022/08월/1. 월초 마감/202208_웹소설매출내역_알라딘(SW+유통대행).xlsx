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9300" tabRatio="880"/>
  </bookViews>
  <sheets>
    <sheet name="월별합계(8)" sheetId="94" r:id="rId1"/>
  </sheets>
  <definedNames>
    <definedName name="_xlnm._FilterDatabase" localSheetId="0" hidden="1">'월별합계(8)'!$A$1:$IT$1</definedName>
    <definedName name="_xlnm.Extract" localSheetId="0">'월별합계(8)'!#REF!</definedName>
  </definedNames>
  <calcPr calcId="152511"/>
</workbook>
</file>

<file path=xl/calcChain.xml><?xml version="1.0" encoding="utf-8"?>
<calcChain xmlns="http://schemas.openxmlformats.org/spreadsheetml/2006/main">
  <c r="G1526" i="94" l="1"/>
  <c r="L1525" i="94"/>
  <c r="L1524" i="94"/>
  <c r="L1523" i="94"/>
  <c r="L1522" i="94"/>
  <c r="L1521" i="94"/>
  <c r="L1520" i="94"/>
  <c r="L1519" i="94"/>
  <c r="L1518" i="94"/>
  <c r="L1517" i="94"/>
  <c r="L1516" i="94"/>
  <c r="L1515" i="94"/>
  <c r="L1514" i="94"/>
  <c r="L1513" i="94"/>
  <c r="L1512" i="94"/>
  <c r="L1511" i="94"/>
  <c r="L1510" i="94"/>
  <c r="L1509" i="94"/>
  <c r="L1508" i="94"/>
  <c r="L1507" i="94"/>
  <c r="L1506" i="94"/>
  <c r="L1505" i="94"/>
  <c r="L1504" i="94"/>
  <c r="L1503" i="94"/>
  <c r="L1502" i="94"/>
  <c r="L1501" i="94"/>
  <c r="L1500" i="94"/>
  <c r="L1499" i="94"/>
  <c r="L1498" i="94"/>
  <c r="L1497" i="94"/>
  <c r="L1496" i="94"/>
  <c r="L1495" i="94"/>
  <c r="L1494" i="94"/>
  <c r="L1493" i="94"/>
  <c r="L1492" i="94"/>
  <c r="L1491" i="94"/>
  <c r="L1490" i="94"/>
  <c r="L1489" i="94"/>
  <c r="L1488" i="94"/>
  <c r="L1487" i="94"/>
  <c r="L1486" i="94"/>
  <c r="L1485" i="94"/>
  <c r="L1484" i="94"/>
  <c r="L1483" i="94"/>
  <c r="L1482" i="94"/>
  <c r="L1481" i="94"/>
  <c r="L1480" i="94"/>
  <c r="L1479" i="94"/>
  <c r="L1478" i="94"/>
  <c r="L1477" i="94"/>
  <c r="L1476" i="94"/>
  <c r="L1475" i="94"/>
  <c r="L1474" i="94"/>
  <c r="L1473" i="94"/>
  <c r="L1472" i="94"/>
  <c r="L1471" i="94"/>
  <c r="L1470" i="94"/>
  <c r="L1469" i="94"/>
  <c r="L1468" i="94"/>
  <c r="L1467" i="94"/>
  <c r="L1466" i="94"/>
  <c r="L1465" i="94"/>
  <c r="L1464" i="94"/>
  <c r="L1463" i="94"/>
  <c r="L1462" i="94"/>
  <c r="L1461" i="94"/>
  <c r="L1460" i="94"/>
  <c r="L1459" i="94"/>
  <c r="L1458" i="94"/>
  <c r="L1457" i="94"/>
  <c r="L1456" i="94"/>
  <c r="L1455" i="94"/>
  <c r="L1454" i="94"/>
  <c r="L1453" i="94"/>
  <c r="L1452" i="94"/>
  <c r="L1451" i="94"/>
  <c r="L1450" i="94"/>
  <c r="L1449" i="94"/>
  <c r="L1448" i="94"/>
  <c r="L1447" i="94"/>
  <c r="L1446" i="94"/>
  <c r="L1445" i="94"/>
  <c r="L1444" i="94"/>
  <c r="L1443" i="94"/>
  <c r="L1442" i="94"/>
  <c r="L1441" i="94"/>
  <c r="L1440" i="94"/>
  <c r="L1439" i="94"/>
  <c r="L1438" i="94"/>
  <c r="L1437" i="94"/>
  <c r="L1436" i="94"/>
  <c r="L1435" i="94"/>
  <c r="L1434" i="94"/>
  <c r="L1433" i="94"/>
  <c r="L1432" i="94"/>
  <c r="L1431" i="94"/>
  <c r="L1430" i="94"/>
  <c r="L1429" i="94"/>
  <c r="L1428" i="94"/>
  <c r="L1427" i="94"/>
  <c r="L1426" i="94"/>
  <c r="L1425" i="94"/>
  <c r="L1424" i="94"/>
  <c r="L1423" i="94"/>
  <c r="L1422" i="94"/>
  <c r="L1421" i="94"/>
  <c r="L1420" i="94"/>
  <c r="L1419" i="94"/>
  <c r="L1418" i="94"/>
  <c r="L1417" i="94"/>
  <c r="L1416" i="94"/>
  <c r="L1415" i="94"/>
  <c r="L1414" i="94"/>
  <c r="L1413" i="94"/>
  <c r="L1412" i="94"/>
  <c r="L1411" i="94"/>
  <c r="L1410" i="94"/>
  <c r="L1409" i="94"/>
  <c r="L1408" i="94"/>
  <c r="L1407" i="94"/>
  <c r="L1406" i="94"/>
  <c r="L1405" i="94"/>
  <c r="L1404" i="94"/>
  <c r="L1403" i="94"/>
  <c r="L1402" i="94"/>
  <c r="L1401" i="94"/>
  <c r="L1400" i="94"/>
  <c r="L1399" i="94"/>
  <c r="L1398" i="94"/>
  <c r="L1397" i="94"/>
  <c r="L1396" i="94"/>
  <c r="L1395" i="94"/>
  <c r="L1394" i="94"/>
  <c r="L1393" i="94"/>
  <c r="L1392" i="94"/>
  <c r="L1391" i="94"/>
  <c r="L1390" i="94"/>
  <c r="L1389" i="94"/>
  <c r="L1388" i="94"/>
  <c r="L1387" i="94"/>
  <c r="L1386" i="94"/>
  <c r="L1385" i="94"/>
  <c r="L1384" i="94"/>
  <c r="L1383" i="94"/>
  <c r="L1382" i="94"/>
  <c r="L1381" i="94"/>
  <c r="L1380" i="94"/>
  <c r="L1379" i="94"/>
  <c r="L1378" i="94"/>
  <c r="L1377" i="94"/>
  <c r="L1376" i="94"/>
  <c r="L1375" i="94"/>
  <c r="L1374" i="94"/>
  <c r="L1373" i="94"/>
  <c r="L1372" i="94"/>
  <c r="L1371" i="94"/>
  <c r="L1370" i="94"/>
  <c r="L1369" i="94"/>
  <c r="L1368" i="94"/>
  <c r="L1367" i="94"/>
  <c r="L1366" i="94"/>
  <c r="L1365" i="94"/>
  <c r="L1364" i="94"/>
  <c r="L1363" i="94"/>
  <c r="L1362" i="94"/>
  <c r="L1361" i="94"/>
  <c r="L1360" i="94"/>
  <c r="L1359" i="94"/>
  <c r="L1358" i="94"/>
  <c r="L1357" i="94"/>
  <c r="L1356" i="94"/>
  <c r="L1355" i="94"/>
  <c r="L1354" i="94"/>
  <c r="L1353" i="94"/>
  <c r="L1352" i="94"/>
  <c r="L1351" i="94"/>
  <c r="L1350" i="94"/>
  <c r="L1349" i="94"/>
  <c r="L1348" i="94"/>
  <c r="L1347" i="94"/>
  <c r="L1346" i="94"/>
  <c r="L1345" i="94"/>
  <c r="L1344" i="94"/>
  <c r="L1343" i="94"/>
  <c r="L1342" i="94"/>
  <c r="L1341" i="94"/>
  <c r="L1340" i="94"/>
  <c r="L1339" i="94"/>
  <c r="L1338" i="94"/>
  <c r="L1337" i="94"/>
  <c r="L1336" i="94"/>
  <c r="L1335" i="94"/>
  <c r="L1334" i="94"/>
  <c r="L1333" i="94"/>
  <c r="L1332" i="94"/>
  <c r="L1331" i="94"/>
  <c r="L1330" i="94"/>
  <c r="L1329" i="94"/>
  <c r="L1328" i="94"/>
  <c r="L1327" i="94"/>
  <c r="L1326" i="94"/>
  <c r="L1325" i="94"/>
  <c r="L1324" i="94"/>
  <c r="L1323" i="94"/>
  <c r="L1322" i="94"/>
  <c r="L1321" i="94"/>
  <c r="L1320" i="94"/>
  <c r="L1319" i="94"/>
  <c r="L1318" i="94"/>
  <c r="L1317" i="94"/>
  <c r="L1316" i="94"/>
  <c r="L1315" i="94"/>
  <c r="L1314" i="94"/>
  <c r="L1313" i="94"/>
  <c r="L1312" i="94"/>
  <c r="L1311" i="94"/>
  <c r="L1310" i="94"/>
  <c r="L1309" i="94"/>
  <c r="L1308" i="94"/>
  <c r="L1307" i="94"/>
  <c r="L1306" i="94"/>
  <c r="L1305" i="94"/>
  <c r="L1304" i="94"/>
  <c r="L1303" i="94"/>
  <c r="L1302" i="94"/>
  <c r="L1301" i="94"/>
  <c r="L1300" i="94"/>
  <c r="L1299" i="94"/>
  <c r="L1298" i="94"/>
  <c r="L1297" i="94"/>
  <c r="L1296" i="94"/>
  <c r="L1295" i="94"/>
  <c r="L1294" i="94"/>
  <c r="L1293" i="94"/>
  <c r="L1292" i="94"/>
  <c r="L1291" i="94"/>
  <c r="L1290" i="94"/>
  <c r="L1289" i="94"/>
  <c r="L1288" i="94"/>
  <c r="L1287" i="94"/>
  <c r="L1286" i="94"/>
  <c r="L1285" i="94"/>
  <c r="L1284" i="94"/>
  <c r="L1283" i="94"/>
  <c r="L1282" i="94"/>
  <c r="L1281" i="94"/>
  <c r="L1280" i="94"/>
  <c r="L1279" i="94"/>
  <c r="L1278" i="94"/>
  <c r="L1277" i="94"/>
  <c r="L1276" i="94"/>
  <c r="L1275" i="94"/>
  <c r="L1274" i="94"/>
  <c r="L1273" i="94"/>
  <c r="L1272" i="94"/>
  <c r="L1271" i="94"/>
  <c r="L1270" i="94"/>
  <c r="L1269" i="94"/>
  <c r="L1268" i="94"/>
  <c r="L1267" i="94"/>
  <c r="L1266" i="94"/>
  <c r="L1265" i="94"/>
  <c r="L1264" i="94"/>
  <c r="L1263" i="94"/>
  <c r="L1262" i="94"/>
  <c r="L1261" i="94"/>
  <c r="L1260" i="94"/>
  <c r="L1259" i="94"/>
  <c r="L1258" i="94"/>
  <c r="L1257" i="94"/>
  <c r="L1256" i="94"/>
  <c r="L1255" i="94"/>
  <c r="L1254" i="94"/>
  <c r="L1253" i="94"/>
  <c r="L1252" i="94"/>
  <c r="L1251" i="94"/>
  <c r="L1250" i="94"/>
  <c r="L1249" i="94"/>
  <c r="L1248" i="94"/>
  <c r="L1247" i="94"/>
  <c r="L1246" i="94"/>
  <c r="L1245" i="94"/>
  <c r="L1244" i="94"/>
  <c r="L1243" i="94"/>
  <c r="L1242" i="94"/>
  <c r="L1241" i="94"/>
  <c r="L1240" i="94"/>
  <c r="L1239" i="94"/>
  <c r="L1238" i="94"/>
  <c r="L1237" i="94"/>
  <c r="L1236" i="94"/>
  <c r="L1235" i="94"/>
  <c r="L1234" i="94"/>
  <c r="L1233" i="94"/>
  <c r="L1232" i="94"/>
  <c r="L1231" i="94"/>
  <c r="L1230" i="94"/>
  <c r="L1229" i="94"/>
  <c r="L1228" i="94"/>
  <c r="L1227" i="94"/>
  <c r="L1226" i="94"/>
  <c r="L1225" i="94"/>
  <c r="L1224" i="94"/>
  <c r="L1223" i="94"/>
  <c r="L1222" i="94"/>
  <c r="L1221" i="94"/>
  <c r="L1220" i="94"/>
  <c r="L1219" i="94"/>
  <c r="L1218" i="94"/>
  <c r="L1217" i="94"/>
  <c r="L1216" i="94"/>
  <c r="L1215" i="94"/>
  <c r="L1214" i="94"/>
  <c r="L1213" i="94"/>
  <c r="L1212" i="94"/>
  <c r="L1211" i="94"/>
  <c r="L1210" i="94"/>
  <c r="L1209" i="94"/>
  <c r="L1208" i="94"/>
  <c r="L1207" i="94"/>
  <c r="L1206" i="94"/>
  <c r="L1205" i="94"/>
  <c r="L1204" i="94"/>
  <c r="L1203" i="94"/>
  <c r="L1202" i="94"/>
  <c r="L1201" i="94"/>
  <c r="L1200" i="94"/>
  <c r="L1199" i="94"/>
  <c r="L1198" i="94"/>
  <c r="L1197" i="94"/>
  <c r="L1196" i="94"/>
  <c r="L1195" i="94"/>
  <c r="L1194" i="94"/>
  <c r="L1193" i="94"/>
  <c r="L1192" i="94"/>
  <c r="L1191" i="94"/>
  <c r="L1190" i="94"/>
  <c r="L1189" i="94"/>
  <c r="L1188" i="94"/>
  <c r="L1187" i="94"/>
  <c r="L1186" i="94"/>
  <c r="L1185" i="94"/>
  <c r="L1184" i="94"/>
  <c r="L1183" i="94"/>
  <c r="L1182" i="94"/>
  <c r="L1181" i="94"/>
  <c r="L1180" i="94"/>
  <c r="L1179" i="94"/>
  <c r="L1178" i="94"/>
  <c r="L1177" i="94"/>
  <c r="L1176" i="94"/>
  <c r="L1175" i="94"/>
  <c r="L1174" i="94"/>
  <c r="L1173" i="94"/>
  <c r="L1172" i="94"/>
  <c r="L1171" i="94"/>
  <c r="L1170" i="94"/>
  <c r="L1169" i="94"/>
  <c r="L1168" i="94"/>
  <c r="L1167" i="94"/>
  <c r="L1166" i="94"/>
  <c r="L1165" i="94"/>
  <c r="L1164" i="94"/>
  <c r="L1163" i="94"/>
  <c r="L1162" i="94"/>
  <c r="L1161" i="94"/>
  <c r="L1160" i="94"/>
  <c r="L1159" i="94"/>
  <c r="L1158" i="94"/>
  <c r="L1157" i="94"/>
  <c r="L1156" i="94"/>
  <c r="L1155" i="94"/>
  <c r="L1154" i="94"/>
  <c r="L1153" i="94"/>
  <c r="L1152" i="94"/>
  <c r="L1151" i="94"/>
  <c r="L1150" i="94"/>
  <c r="L1149" i="94"/>
  <c r="L1148" i="94"/>
  <c r="L1147" i="94"/>
  <c r="L1146" i="94"/>
  <c r="L1145" i="94"/>
  <c r="L1144" i="94"/>
  <c r="L1143" i="94"/>
  <c r="L1142" i="94"/>
  <c r="L1141" i="94"/>
  <c r="L1140" i="94"/>
  <c r="L1139" i="94"/>
  <c r="L1138" i="94"/>
  <c r="L1137" i="94"/>
  <c r="L1136" i="94"/>
  <c r="L1135" i="94"/>
  <c r="L1134" i="94"/>
  <c r="L1133" i="94"/>
  <c r="L1132" i="94"/>
  <c r="L1131" i="94"/>
  <c r="L1130" i="94"/>
  <c r="L1129" i="94"/>
  <c r="L1128" i="94"/>
  <c r="L1127" i="94"/>
  <c r="L1126" i="94"/>
  <c r="L1125" i="94"/>
  <c r="L1124" i="94"/>
  <c r="L1123" i="94"/>
  <c r="L1122" i="94"/>
  <c r="L1121" i="94"/>
  <c r="L1120" i="94"/>
  <c r="L1119" i="94"/>
  <c r="L1118" i="94"/>
  <c r="L1117" i="94"/>
  <c r="L1116" i="94"/>
  <c r="L1115" i="94"/>
  <c r="L1114" i="94"/>
  <c r="L1113" i="94"/>
  <c r="L1112" i="94"/>
  <c r="L1111" i="94"/>
  <c r="L1110" i="94"/>
  <c r="L1109" i="94"/>
  <c r="L1108" i="94"/>
  <c r="L1107" i="94"/>
  <c r="L1106" i="94"/>
  <c r="L1105" i="94"/>
  <c r="L1104" i="94"/>
  <c r="L1103" i="94"/>
  <c r="L1102" i="94"/>
  <c r="L1101" i="94"/>
  <c r="L1100" i="94"/>
  <c r="L1099" i="94"/>
  <c r="L1098" i="94"/>
  <c r="L1097" i="94"/>
  <c r="L1096" i="94"/>
  <c r="L1095" i="94"/>
  <c r="L1094" i="94"/>
  <c r="L1093" i="94"/>
  <c r="L1092" i="94"/>
  <c r="L1091" i="94"/>
  <c r="L1090" i="94"/>
  <c r="L1089" i="94"/>
  <c r="L1088" i="94"/>
  <c r="L1087" i="94"/>
  <c r="L1086" i="94"/>
  <c r="L1085" i="94"/>
  <c r="L1084" i="94"/>
  <c r="L1083" i="94"/>
  <c r="L1082" i="94"/>
  <c r="L1081" i="94"/>
  <c r="L1080" i="94"/>
  <c r="L1079" i="94"/>
  <c r="L1078" i="94"/>
  <c r="L1077" i="94"/>
  <c r="L1076" i="94"/>
  <c r="L1075" i="94"/>
  <c r="L1074" i="94"/>
  <c r="L1073" i="94"/>
  <c r="L1072" i="94"/>
  <c r="L1071" i="94"/>
  <c r="L1070" i="94"/>
  <c r="L1069" i="94"/>
  <c r="L1068" i="94"/>
  <c r="L1067" i="94"/>
  <c r="L1066" i="94"/>
  <c r="L1065" i="94"/>
  <c r="L1064" i="94"/>
  <c r="L1063" i="94"/>
  <c r="L1062" i="94"/>
  <c r="L1061" i="94"/>
  <c r="L1060" i="94"/>
  <c r="L1059" i="94"/>
  <c r="L1058" i="94"/>
  <c r="L1057" i="94"/>
  <c r="L1056" i="94"/>
  <c r="L1055" i="94"/>
  <c r="L1054" i="94"/>
  <c r="L1053" i="94"/>
  <c r="L1052" i="94"/>
  <c r="L1051" i="94"/>
  <c r="L1050" i="94"/>
  <c r="L1049" i="94"/>
  <c r="L1048" i="94"/>
  <c r="L1047" i="94"/>
  <c r="L1046" i="94"/>
  <c r="L1045" i="94"/>
  <c r="L1044" i="94"/>
  <c r="L1043" i="94"/>
  <c r="L1042" i="94"/>
  <c r="L1041" i="94"/>
  <c r="L1040" i="94"/>
  <c r="L1039" i="94"/>
  <c r="L1038" i="94"/>
  <c r="L1037" i="94"/>
  <c r="L1036" i="94"/>
  <c r="L1035" i="94"/>
  <c r="L1034" i="94"/>
  <c r="L1033" i="94"/>
  <c r="L1032" i="94"/>
  <c r="L1031" i="94"/>
  <c r="L1030" i="94"/>
  <c r="L1029" i="94"/>
  <c r="L1028" i="94"/>
  <c r="L1027" i="94"/>
  <c r="L1026" i="94"/>
  <c r="L1025" i="94"/>
  <c r="L1024" i="94"/>
  <c r="L1023" i="94"/>
  <c r="L1022" i="94"/>
  <c r="L1021" i="94"/>
  <c r="L1020" i="94"/>
  <c r="L1019" i="94"/>
  <c r="L1018" i="94"/>
  <c r="L1017" i="94"/>
  <c r="L1016" i="94"/>
  <c r="L1015" i="94"/>
  <c r="L1014" i="94"/>
  <c r="L1013" i="94"/>
  <c r="L1012" i="94"/>
  <c r="L1011" i="94"/>
  <c r="L1010" i="94"/>
  <c r="L1009" i="94"/>
  <c r="L1008" i="94"/>
  <c r="L1007" i="94"/>
  <c r="L1006" i="94"/>
  <c r="L1005" i="94"/>
  <c r="L1004" i="94"/>
  <c r="L1003" i="94"/>
  <c r="L1002" i="94"/>
  <c r="L1001" i="94"/>
  <c r="L1000" i="94"/>
  <c r="L999" i="94"/>
  <c r="L998" i="94"/>
  <c r="L997" i="94"/>
  <c r="L996" i="94"/>
  <c r="L995" i="94"/>
  <c r="L994" i="94"/>
  <c r="L993" i="94"/>
  <c r="L992" i="94"/>
  <c r="L991" i="94"/>
  <c r="L990" i="94"/>
  <c r="L989" i="94"/>
  <c r="L988" i="94"/>
  <c r="L987" i="94"/>
  <c r="L986" i="94"/>
  <c r="L985" i="94"/>
  <c r="L984" i="94"/>
  <c r="L983" i="94"/>
  <c r="L982" i="94"/>
  <c r="L981" i="94"/>
  <c r="L980" i="94"/>
  <c r="L979" i="94"/>
  <c r="L978" i="94"/>
  <c r="L977" i="94"/>
  <c r="L976" i="94"/>
  <c r="L975" i="94"/>
  <c r="L974" i="94"/>
  <c r="L973" i="94"/>
  <c r="L972" i="94"/>
  <c r="L971" i="94"/>
  <c r="L970" i="94"/>
  <c r="L969" i="94"/>
  <c r="L968" i="94"/>
  <c r="L967" i="94"/>
  <c r="L966" i="94"/>
  <c r="L965" i="94"/>
  <c r="L964" i="94"/>
  <c r="L963" i="94"/>
  <c r="L962" i="94"/>
  <c r="L961" i="94"/>
  <c r="L960" i="94"/>
  <c r="L959" i="94"/>
  <c r="L958" i="94"/>
  <c r="L957" i="94"/>
  <c r="L956" i="94"/>
  <c r="L955" i="94"/>
  <c r="L954" i="94"/>
  <c r="L953" i="94"/>
  <c r="L952" i="94"/>
  <c r="L951" i="94"/>
  <c r="L950" i="94"/>
  <c r="L949" i="94"/>
  <c r="L948" i="94"/>
  <c r="L947" i="94"/>
  <c r="L946" i="94"/>
  <c r="L945" i="94"/>
  <c r="L944" i="94"/>
  <c r="L943" i="94"/>
  <c r="L942" i="94"/>
  <c r="L941" i="94"/>
  <c r="L940" i="94"/>
  <c r="L939" i="94"/>
  <c r="L938" i="94"/>
  <c r="L937" i="94"/>
  <c r="L936" i="94"/>
  <c r="L935" i="94"/>
  <c r="L934" i="94"/>
  <c r="L933" i="94"/>
  <c r="L932" i="94"/>
  <c r="L931" i="94"/>
  <c r="L930" i="94"/>
  <c r="L929" i="94"/>
  <c r="L928" i="94"/>
  <c r="L927" i="94"/>
  <c r="L926" i="94"/>
  <c r="L925" i="94"/>
  <c r="L924" i="94"/>
  <c r="L923" i="94"/>
  <c r="L922" i="94"/>
  <c r="L921" i="94"/>
  <c r="L920" i="94"/>
  <c r="L919" i="94"/>
  <c r="L918" i="94"/>
  <c r="L917" i="94"/>
  <c r="L916" i="94"/>
  <c r="L915" i="94"/>
  <c r="L914" i="94"/>
  <c r="L913" i="94"/>
  <c r="L912" i="94"/>
  <c r="L911" i="94"/>
  <c r="L910" i="94"/>
  <c r="L909" i="94"/>
  <c r="L908" i="94"/>
  <c r="L907" i="94"/>
  <c r="L906" i="94"/>
  <c r="L905" i="94"/>
  <c r="L904" i="94"/>
  <c r="L903" i="94"/>
  <c r="L902" i="94"/>
  <c r="L901" i="94"/>
  <c r="L900" i="94"/>
  <c r="L899" i="94"/>
  <c r="L898" i="94"/>
  <c r="L897" i="94"/>
  <c r="L896" i="94"/>
  <c r="L895" i="94"/>
  <c r="L894" i="94"/>
  <c r="L893" i="94"/>
  <c r="L892" i="94"/>
  <c r="L891" i="94"/>
  <c r="L890" i="94"/>
  <c r="L889" i="94"/>
  <c r="L888" i="94"/>
  <c r="L887" i="94"/>
  <c r="L886" i="94"/>
  <c r="L885" i="94"/>
  <c r="L884" i="94"/>
  <c r="L883" i="94"/>
  <c r="L882" i="94"/>
  <c r="L881" i="94"/>
  <c r="L880" i="94"/>
  <c r="L879" i="94"/>
  <c r="L878" i="94"/>
  <c r="L877" i="94"/>
  <c r="L876" i="94"/>
  <c r="L875" i="94"/>
  <c r="L874" i="94"/>
  <c r="L873" i="94"/>
  <c r="L872" i="94"/>
  <c r="L871" i="94"/>
  <c r="L870" i="94"/>
  <c r="L869" i="94"/>
  <c r="L868" i="94"/>
  <c r="L867" i="94"/>
  <c r="L866" i="94"/>
  <c r="L865" i="94"/>
  <c r="L864" i="94"/>
  <c r="L863" i="94"/>
  <c r="L862" i="94"/>
  <c r="L861" i="94"/>
  <c r="L860" i="94"/>
  <c r="L859" i="94"/>
  <c r="L858" i="94"/>
  <c r="L857" i="94"/>
  <c r="L856" i="94"/>
  <c r="L855" i="94"/>
  <c r="L854" i="94"/>
  <c r="L853" i="94"/>
  <c r="L852" i="94"/>
  <c r="L851" i="94"/>
  <c r="L850" i="94"/>
  <c r="L849" i="94"/>
  <c r="L848" i="94"/>
  <c r="L847" i="94"/>
  <c r="L846" i="94"/>
  <c r="L845" i="94"/>
  <c r="L844" i="94"/>
  <c r="L843" i="94"/>
  <c r="L842" i="94"/>
  <c r="L841" i="94"/>
  <c r="L840" i="94"/>
  <c r="L839" i="94"/>
  <c r="L838" i="94"/>
  <c r="L837" i="94"/>
  <c r="L836" i="94"/>
  <c r="L835" i="94"/>
  <c r="L834" i="94"/>
  <c r="L833" i="94"/>
  <c r="L832" i="94"/>
  <c r="L831" i="94"/>
  <c r="L830" i="94"/>
  <c r="L829" i="94"/>
  <c r="L828" i="94"/>
  <c r="L827" i="94"/>
  <c r="L826" i="94"/>
  <c r="L825" i="94"/>
  <c r="L824" i="94"/>
  <c r="L823" i="94"/>
  <c r="L822" i="94"/>
  <c r="L821" i="94"/>
  <c r="L820" i="94"/>
  <c r="L819" i="94"/>
  <c r="L818" i="94"/>
  <c r="L817" i="94"/>
  <c r="L816" i="94"/>
  <c r="L815" i="94"/>
  <c r="L814" i="94"/>
  <c r="L813" i="94"/>
  <c r="L812" i="94"/>
  <c r="L811" i="94"/>
  <c r="L810" i="94"/>
  <c r="L809" i="94"/>
  <c r="L808" i="94"/>
  <c r="L807" i="94"/>
  <c r="L806" i="94"/>
  <c r="L805" i="94"/>
  <c r="L804" i="94"/>
  <c r="L803" i="94"/>
  <c r="L802" i="94"/>
  <c r="L801" i="94"/>
  <c r="L800" i="94"/>
  <c r="L799" i="94"/>
  <c r="L798" i="94"/>
  <c r="L797" i="94"/>
  <c r="L796" i="94"/>
  <c r="L795" i="94"/>
  <c r="L794" i="94"/>
  <c r="L793" i="94"/>
  <c r="L792" i="94"/>
  <c r="L791" i="94"/>
  <c r="L790" i="94"/>
  <c r="L789" i="94"/>
  <c r="L788" i="94"/>
  <c r="L787" i="94"/>
  <c r="L786" i="94"/>
  <c r="L785" i="94"/>
  <c r="L784" i="94"/>
  <c r="L783" i="94"/>
  <c r="L782" i="94"/>
  <c r="L781" i="94"/>
  <c r="L780" i="94"/>
  <c r="L779" i="94"/>
  <c r="L778" i="94"/>
  <c r="L777" i="94"/>
  <c r="L776" i="94"/>
  <c r="L775" i="94"/>
  <c r="L774" i="94"/>
  <c r="L773" i="94"/>
  <c r="L772" i="94"/>
  <c r="L771" i="94"/>
  <c r="L770" i="94"/>
  <c r="L769" i="94"/>
  <c r="L768" i="94"/>
  <c r="L767" i="94"/>
  <c r="L766" i="94"/>
  <c r="L765" i="94"/>
  <c r="L764" i="94"/>
  <c r="L763" i="94"/>
  <c r="L762" i="94"/>
  <c r="L761" i="94"/>
  <c r="L760" i="94"/>
  <c r="L759" i="94"/>
  <c r="L758" i="94"/>
  <c r="L757" i="94"/>
  <c r="L756" i="94"/>
  <c r="L755" i="94"/>
  <c r="L754" i="94"/>
  <c r="L753" i="94"/>
  <c r="L752" i="94"/>
  <c r="L751" i="94"/>
  <c r="L750" i="94"/>
  <c r="L749" i="94"/>
  <c r="L748" i="94"/>
  <c r="L747" i="94"/>
  <c r="L746" i="94"/>
  <c r="L745" i="94"/>
  <c r="L744" i="94"/>
  <c r="L743" i="94"/>
  <c r="L742" i="94"/>
  <c r="L741" i="94"/>
  <c r="L740" i="94"/>
  <c r="L739" i="94"/>
  <c r="L738" i="94"/>
  <c r="L737" i="94"/>
  <c r="L736" i="94"/>
  <c r="L735" i="94"/>
  <c r="L734" i="94"/>
  <c r="L733" i="94"/>
  <c r="L732" i="94"/>
  <c r="L731" i="94"/>
  <c r="L730" i="94"/>
  <c r="L729" i="94"/>
  <c r="L728" i="94"/>
  <c r="L727" i="94"/>
  <c r="L726" i="94"/>
  <c r="L725" i="94"/>
  <c r="L724" i="94"/>
  <c r="L723" i="94"/>
  <c r="L722" i="94"/>
  <c r="L721" i="94"/>
  <c r="L720" i="94"/>
  <c r="L719" i="94"/>
  <c r="L718" i="94"/>
  <c r="L717" i="94"/>
  <c r="L716" i="94"/>
  <c r="L715" i="94"/>
  <c r="L714" i="94"/>
  <c r="L713" i="94"/>
  <c r="L712" i="94"/>
  <c r="L711" i="94"/>
  <c r="L710" i="94"/>
  <c r="L709" i="94"/>
  <c r="L708" i="94"/>
  <c r="L707" i="94"/>
  <c r="L706" i="94"/>
  <c r="L705" i="94"/>
  <c r="L704" i="94"/>
  <c r="L703" i="94"/>
  <c r="L702" i="94"/>
  <c r="L701" i="94"/>
  <c r="L700" i="94"/>
  <c r="L699" i="94"/>
  <c r="L698" i="94"/>
  <c r="L697" i="94"/>
  <c r="L696" i="94"/>
  <c r="L695" i="94"/>
  <c r="L694" i="94"/>
  <c r="L693" i="94"/>
  <c r="L692" i="94"/>
  <c r="L691" i="94"/>
  <c r="L690" i="94"/>
  <c r="L689" i="94"/>
  <c r="L688" i="94"/>
  <c r="L687" i="94"/>
  <c r="L686" i="94"/>
  <c r="L685" i="94"/>
  <c r="L684" i="94"/>
  <c r="L683" i="94"/>
  <c r="L682" i="94"/>
  <c r="L681" i="94"/>
  <c r="L680" i="94"/>
  <c r="L679" i="94"/>
  <c r="L678" i="94"/>
  <c r="L677" i="94"/>
  <c r="L676" i="94"/>
  <c r="L675" i="94"/>
  <c r="L674" i="94"/>
  <c r="L673" i="94"/>
  <c r="L672" i="94"/>
  <c r="L671" i="94"/>
  <c r="L670" i="94"/>
  <c r="L669" i="94"/>
  <c r="L668" i="94"/>
  <c r="L667" i="94"/>
  <c r="L666" i="94"/>
  <c r="L665" i="94"/>
  <c r="L664" i="94"/>
  <c r="L663" i="94"/>
  <c r="L662" i="94"/>
  <c r="L661" i="94"/>
  <c r="L660" i="94"/>
  <c r="L659" i="94"/>
  <c r="L658" i="94"/>
  <c r="L657" i="94"/>
  <c r="L656" i="94"/>
  <c r="L655" i="94"/>
  <c r="L654" i="94"/>
  <c r="L653" i="94"/>
  <c r="L652" i="94"/>
  <c r="L651" i="94"/>
  <c r="L650" i="94"/>
  <c r="L649" i="94"/>
  <c r="L648" i="94"/>
  <c r="L647" i="94"/>
  <c r="L646" i="94"/>
  <c r="L645" i="94"/>
  <c r="L644" i="94"/>
  <c r="L643" i="94"/>
  <c r="L642" i="94"/>
  <c r="L641" i="94"/>
  <c r="L640" i="94"/>
  <c r="L639" i="94"/>
  <c r="L638" i="94"/>
  <c r="L637" i="94"/>
  <c r="L636" i="94"/>
  <c r="L635" i="94"/>
  <c r="L634" i="94"/>
  <c r="L633" i="94"/>
  <c r="L632" i="94"/>
  <c r="L631" i="94"/>
  <c r="L630" i="94"/>
  <c r="L629" i="94"/>
  <c r="L628" i="94"/>
  <c r="L627" i="94"/>
  <c r="L626" i="94"/>
  <c r="L625" i="94"/>
  <c r="L624" i="94"/>
  <c r="L623" i="94"/>
  <c r="L622" i="94"/>
  <c r="L621" i="94"/>
  <c r="L620" i="94"/>
  <c r="L619" i="94"/>
  <c r="L618" i="94"/>
  <c r="L617" i="94"/>
  <c r="L616" i="94"/>
  <c r="L615" i="94"/>
  <c r="L614" i="94"/>
  <c r="L613" i="94"/>
  <c r="L612" i="94"/>
  <c r="L611" i="94"/>
  <c r="L610" i="94"/>
  <c r="L609" i="94"/>
  <c r="L608" i="94"/>
  <c r="L607" i="94"/>
  <c r="L606" i="94"/>
  <c r="L605" i="94"/>
  <c r="L604" i="94"/>
  <c r="L603" i="94"/>
  <c r="L602" i="94"/>
  <c r="L601" i="94"/>
  <c r="L600" i="94"/>
  <c r="L599" i="94"/>
  <c r="L598" i="94"/>
  <c r="L597" i="94"/>
  <c r="L596" i="94"/>
  <c r="L595" i="94"/>
  <c r="L594" i="94"/>
  <c r="L593" i="94"/>
  <c r="L592" i="94"/>
  <c r="L591" i="94"/>
  <c r="L590" i="94"/>
  <c r="L589" i="94"/>
  <c r="L588" i="94"/>
  <c r="L587" i="94"/>
  <c r="L586" i="94"/>
  <c r="L585" i="94"/>
  <c r="L584" i="94"/>
  <c r="L583" i="94"/>
  <c r="L582" i="94"/>
  <c r="L581" i="94"/>
  <c r="L580" i="94"/>
  <c r="L579" i="94"/>
  <c r="L578" i="94"/>
  <c r="L577" i="94"/>
  <c r="L576" i="94"/>
  <c r="L575" i="94"/>
  <c r="L574" i="94"/>
  <c r="L573" i="94"/>
  <c r="L572" i="94"/>
  <c r="L571" i="94"/>
  <c r="L570" i="94"/>
  <c r="L569" i="94"/>
  <c r="L568" i="94"/>
  <c r="L567" i="94"/>
  <c r="L566" i="94"/>
  <c r="L565" i="94"/>
  <c r="L564" i="94"/>
  <c r="L563" i="94"/>
  <c r="L562" i="94"/>
  <c r="L561" i="94"/>
  <c r="L560" i="94"/>
  <c r="L559" i="94"/>
  <c r="L558" i="94"/>
  <c r="L557" i="94"/>
  <c r="L556" i="94"/>
  <c r="L555" i="94"/>
  <c r="L554" i="94"/>
  <c r="L553" i="94"/>
  <c r="L552" i="94"/>
  <c r="L551" i="94"/>
  <c r="L550" i="94"/>
  <c r="L549" i="94"/>
  <c r="L548" i="94"/>
  <c r="L547" i="94"/>
  <c r="L546" i="94"/>
  <c r="L545" i="94"/>
  <c r="L544" i="94"/>
  <c r="L543" i="94"/>
  <c r="L542" i="94"/>
  <c r="L541" i="94"/>
  <c r="L540" i="94"/>
  <c r="L539" i="94"/>
  <c r="L538" i="94"/>
  <c r="L537" i="94"/>
  <c r="L536" i="94"/>
  <c r="L535" i="94"/>
  <c r="L534" i="94"/>
  <c r="L533" i="94"/>
  <c r="L532" i="94"/>
  <c r="L531" i="94"/>
  <c r="L530" i="94"/>
  <c r="L529" i="94"/>
  <c r="L528" i="94"/>
  <c r="L527" i="94"/>
  <c r="L526" i="94"/>
  <c r="L525" i="94"/>
  <c r="L524" i="94"/>
  <c r="L523" i="94"/>
  <c r="L522" i="94"/>
  <c r="L521" i="94"/>
  <c r="L520" i="94"/>
  <c r="L519" i="94"/>
  <c r="L518" i="94"/>
  <c r="L517" i="94"/>
  <c r="L516" i="94"/>
  <c r="L515" i="94"/>
  <c r="L514" i="94"/>
  <c r="L513" i="94"/>
  <c r="L512" i="94"/>
  <c r="L511" i="94"/>
  <c r="L510" i="94"/>
  <c r="L509" i="94"/>
  <c r="L508" i="94"/>
  <c r="L507" i="94"/>
  <c r="L506" i="94"/>
  <c r="L505" i="94"/>
  <c r="L504" i="94"/>
  <c r="L503" i="94"/>
  <c r="L502" i="94"/>
  <c r="L501" i="94"/>
  <c r="L500" i="94"/>
  <c r="L499" i="94"/>
  <c r="L498" i="94"/>
  <c r="L497" i="94"/>
  <c r="L496" i="94"/>
  <c r="L495" i="94"/>
  <c r="L494" i="94"/>
  <c r="L493" i="94"/>
  <c r="L492" i="94"/>
  <c r="L491" i="94"/>
  <c r="L490" i="94"/>
  <c r="L489" i="94"/>
  <c r="L488" i="94"/>
  <c r="L487" i="94"/>
  <c r="L486" i="94"/>
  <c r="L485" i="94"/>
  <c r="L484" i="94"/>
  <c r="L483" i="94"/>
  <c r="L482" i="94"/>
  <c r="L481" i="94"/>
  <c r="L480" i="94"/>
  <c r="L479" i="94"/>
  <c r="L478" i="94"/>
  <c r="L477" i="94"/>
  <c r="L476" i="94"/>
  <c r="L475" i="94"/>
  <c r="L474" i="94"/>
  <c r="L473" i="94"/>
  <c r="L472" i="94"/>
  <c r="L471" i="94"/>
  <c r="L470" i="94"/>
  <c r="L469" i="94"/>
  <c r="L468" i="94"/>
  <c r="L467" i="94"/>
  <c r="L466" i="94"/>
  <c r="L465" i="94"/>
  <c r="L464" i="94"/>
  <c r="L463" i="94"/>
  <c r="L462" i="94"/>
  <c r="L461" i="94"/>
  <c r="L460" i="94"/>
  <c r="L459" i="94"/>
  <c r="L458" i="94"/>
  <c r="L457" i="94"/>
  <c r="L456" i="94"/>
  <c r="L455" i="94"/>
  <c r="L454" i="94"/>
  <c r="L453" i="94"/>
  <c r="L452" i="94"/>
  <c r="L451" i="94"/>
  <c r="L450" i="94"/>
  <c r="L449" i="94"/>
  <c r="L448" i="94"/>
  <c r="L447" i="94"/>
  <c r="L446" i="94"/>
  <c r="L445" i="94"/>
  <c r="L444" i="94"/>
  <c r="L443" i="94"/>
  <c r="L442" i="94"/>
  <c r="L441" i="94"/>
  <c r="L440" i="94"/>
  <c r="L439" i="94"/>
  <c r="L438" i="94"/>
  <c r="L437" i="94"/>
  <c r="L436" i="94"/>
  <c r="L435" i="94"/>
  <c r="L434" i="94"/>
  <c r="L433" i="94"/>
  <c r="L432" i="94"/>
  <c r="L431" i="94"/>
  <c r="L430" i="94"/>
  <c r="L429" i="94"/>
  <c r="L428" i="94"/>
  <c r="L427" i="94"/>
  <c r="L426" i="94"/>
  <c r="L425" i="94"/>
  <c r="L424" i="94"/>
  <c r="L423" i="94"/>
  <c r="L422" i="94"/>
  <c r="L421" i="94"/>
  <c r="L420" i="94"/>
  <c r="L419" i="94"/>
  <c r="L418" i="94"/>
  <c r="L417" i="94"/>
  <c r="L416" i="94"/>
  <c r="L415" i="94"/>
  <c r="L414" i="94"/>
  <c r="L413" i="94"/>
  <c r="L412" i="94"/>
  <c r="L411" i="94"/>
  <c r="L410" i="94"/>
  <c r="L409" i="94"/>
  <c r="L408" i="94"/>
  <c r="L407" i="94"/>
  <c r="L406" i="94"/>
  <c r="L405" i="94"/>
  <c r="L404" i="94"/>
  <c r="L403" i="94"/>
  <c r="L402" i="94"/>
  <c r="L401" i="94"/>
  <c r="L400" i="94"/>
  <c r="L399" i="94"/>
  <c r="L398" i="94"/>
  <c r="L397" i="94"/>
  <c r="L396" i="94"/>
  <c r="L395" i="94"/>
  <c r="L394" i="94"/>
  <c r="L393" i="94"/>
  <c r="L392" i="94"/>
  <c r="L391" i="94"/>
  <c r="L390" i="94"/>
  <c r="L389" i="94"/>
  <c r="L388" i="94"/>
  <c r="L387" i="94"/>
  <c r="L386" i="94"/>
  <c r="L385" i="94"/>
  <c r="L384" i="94"/>
  <c r="L383" i="94"/>
  <c r="L382" i="94"/>
  <c r="L381" i="94"/>
  <c r="L380" i="94"/>
  <c r="L379" i="94"/>
  <c r="L378" i="94"/>
  <c r="L377" i="94"/>
  <c r="L376" i="94"/>
  <c r="L375" i="94"/>
  <c r="L374" i="94"/>
  <c r="L373" i="94"/>
  <c r="L372" i="94"/>
  <c r="L371" i="94"/>
  <c r="L370" i="94"/>
  <c r="L369" i="94"/>
  <c r="L368" i="94"/>
  <c r="L367" i="94"/>
  <c r="L366" i="94"/>
  <c r="L365" i="94"/>
  <c r="L364" i="94"/>
  <c r="L363" i="94"/>
  <c r="L362" i="94"/>
  <c r="L361" i="94"/>
  <c r="L360" i="94"/>
  <c r="L359" i="94"/>
  <c r="L358" i="94"/>
  <c r="L357" i="94"/>
  <c r="L356" i="94"/>
  <c r="L355" i="94"/>
  <c r="L354" i="94"/>
  <c r="L353" i="94"/>
  <c r="L352" i="94"/>
  <c r="L351" i="94"/>
  <c r="L350" i="94"/>
  <c r="L349" i="94"/>
  <c r="L348" i="94"/>
  <c r="L347" i="94"/>
  <c r="L346" i="94"/>
  <c r="L345" i="94"/>
  <c r="L344" i="94"/>
  <c r="L343" i="94"/>
  <c r="L342" i="94"/>
  <c r="L341" i="94"/>
  <c r="L340" i="94"/>
  <c r="L339" i="94"/>
  <c r="L338" i="94"/>
  <c r="L337" i="94"/>
  <c r="L336" i="94"/>
  <c r="L335" i="94"/>
  <c r="L334" i="94"/>
  <c r="L333" i="94"/>
  <c r="L332" i="94"/>
  <c r="L331" i="94"/>
  <c r="L330" i="94"/>
  <c r="L329" i="94"/>
  <c r="L328" i="94"/>
  <c r="L327" i="94"/>
  <c r="L326" i="94"/>
  <c r="L325" i="94"/>
  <c r="L324" i="94"/>
  <c r="L323" i="94"/>
  <c r="L322" i="94"/>
  <c r="L321" i="94"/>
  <c r="L320" i="94"/>
  <c r="L319" i="94"/>
  <c r="L318" i="94"/>
  <c r="L317" i="94"/>
  <c r="L316" i="94"/>
  <c r="L315" i="94"/>
  <c r="L314" i="94"/>
  <c r="L313" i="94"/>
  <c r="L312" i="94"/>
  <c r="L311" i="94"/>
  <c r="L310" i="94"/>
  <c r="L309" i="94"/>
  <c r="L308" i="94"/>
  <c r="L307" i="94"/>
  <c r="L306" i="94"/>
  <c r="L305" i="94"/>
  <c r="L304" i="94"/>
  <c r="L303" i="94"/>
  <c r="L302" i="94"/>
  <c r="L301" i="94"/>
  <c r="L300" i="94"/>
  <c r="L299" i="94"/>
  <c r="L298" i="94"/>
  <c r="L297" i="94"/>
  <c r="L296" i="94"/>
  <c r="L295" i="94"/>
  <c r="L294" i="94"/>
  <c r="L293" i="94"/>
  <c r="L292" i="94"/>
  <c r="L291" i="94"/>
  <c r="L290" i="94"/>
  <c r="L289" i="94"/>
  <c r="L288" i="94"/>
  <c r="L287" i="94"/>
  <c r="L286" i="94"/>
  <c r="L285" i="94"/>
  <c r="L284" i="94"/>
  <c r="L283" i="94"/>
  <c r="L282" i="94"/>
  <c r="L281" i="94"/>
  <c r="L280" i="94"/>
  <c r="L279" i="94"/>
  <c r="L278" i="94"/>
  <c r="L277" i="94"/>
  <c r="L276" i="94"/>
  <c r="L275" i="94"/>
  <c r="L274" i="94"/>
  <c r="L273" i="94"/>
  <c r="L272" i="94"/>
  <c r="L271" i="94"/>
  <c r="L270" i="94"/>
  <c r="L269" i="94"/>
  <c r="L268" i="94"/>
  <c r="L267" i="94"/>
  <c r="L266" i="94"/>
  <c r="L265" i="94"/>
  <c r="L264" i="94"/>
  <c r="L263" i="94"/>
  <c r="L262" i="94"/>
  <c r="L261" i="94"/>
  <c r="L260" i="94"/>
  <c r="L259" i="94"/>
  <c r="L258" i="94"/>
  <c r="L257" i="94"/>
  <c r="L256" i="94"/>
  <c r="L255" i="94"/>
  <c r="L254" i="94"/>
  <c r="L253" i="94"/>
  <c r="L252" i="94"/>
  <c r="L251" i="94"/>
  <c r="L250" i="94"/>
  <c r="L249" i="94"/>
  <c r="L248" i="94"/>
  <c r="L247" i="94"/>
  <c r="L246" i="94"/>
  <c r="L245" i="94"/>
  <c r="L244" i="94"/>
  <c r="L243" i="94"/>
  <c r="L242" i="94"/>
  <c r="L241" i="94"/>
  <c r="L240" i="94"/>
  <c r="L239" i="94"/>
  <c r="L238" i="94"/>
  <c r="L237" i="94"/>
  <c r="L236" i="94"/>
  <c r="L235" i="94"/>
  <c r="L234" i="94"/>
  <c r="L233" i="94"/>
  <c r="L232" i="94"/>
  <c r="L231" i="94"/>
  <c r="L230" i="94"/>
  <c r="L229" i="94"/>
  <c r="L228" i="94"/>
  <c r="L227" i="94"/>
  <c r="L226" i="94"/>
  <c r="L225" i="94"/>
  <c r="L224" i="94"/>
  <c r="L223" i="94"/>
  <c r="L222" i="94"/>
  <c r="L221" i="94"/>
  <c r="L220" i="94"/>
  <c r="L219" i="94"/>
  <c r="L218" i="94"/>
  <c r="L217" i="94"/>
  <c r="L216" i="94"/>
  <c r="L215" i="94"/>
  <c r="L214" i="94"/>
  <c r="L213" i="94"/>
  <c r="L212" i="94"/>
  <c r="L211" i="94"/>
  <c r="L210" i="94"/>
  <c r="L209" i="94"/>
  <c r="L208" i="94"/>
  <c r="L207" i="94"/>
  <c r="L206" i="94"/>
  <c r="L205" i="94"/>
  <c r="L204" i="94"/>
  <c r="L203" i="94"/>
  <c r="L202" i="94"/>
  <c r="L201" i="94"/>
  <c r="L200" i="94"/>
  <c r="L199" i="94"/>
  <c r="L198" i="94"/>
  <c r="L197" i="94"/>
  <c r="L196" i="94"/>
  <c r="L195" i="94"/>
  <c r="L194" i="94"/>
  <c r="L193" i="94"/>
  <c r="L192" i="94"/>
  <c r="L191" i="94"/>
  <c r="L190" i="94"/>
  <c r="L189" i="94"/>
  <c r="L188" i="94"/>
  <c r="L187" i="94"/>
  <c r="L186" i="94"/>
  <c r="L185" i="94"/>
  <c r="L184" i="94"/>
  <c r="L183" i="94"/>
  <c r="L182" i="94"/>
  <c r="L181" i="94"/>
  <c r="L180" i="94"/>
  <c r="L179" i="94"/>
  <c r="L178" i="94"/>
  <c r="L177" i="94"/>
  <c r="L176" i="94"/>
  <c r="L175" i="94"/>
  <c r="L174" i="94"/>
  <c r="L173" i="94"/>
  <c r="L172" i="94"/>
  <c r="L171" i="94"/>
  <c r="L170" i="94"/>
  <c r="L169" i="94"/>
  <c r="L168" i="94"/>
  <c r="L167" i="94"/>
  <c r="L166" i="94"/>
  <c r="L165" i="94"/>
  <c r="L164" i="94"/>
  <c r="L163" i="94"/>
  <c r="L162" i="94"/>
  <c r="L161" i="94"/>
  <c r="L160" i="94"/>
  <c r="L159" i="94"/>
  <c r="L158" i="94"/>
  <c r="L157" i="94"/>
  <c r="L156" i="94"/>
  <c r="L155" i="94"/>
  <c r="L154" i="94"/>
  <c r="L153" i="94"/>
  <c r="L152" i="94"/>
  <c r="L151" i="94"/>
  <c r="L150" i="94"/>
  <c r="L149" i="94"/>
  <c r="L148" i="94"/>
  <c r="L147" i="94"/>
  <c r="L146" i="94"/>
  <c r="L145" i="94"/>
  <c r="L144" i="94"/>
  <c r="L143" i="94"/>
  <c r="L142" i="94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L30" i="94"/>
  <c r="L29" i="94"/>
  <c r="L28" i="94"/>
  <c r="L27" i="94"/>
  <c r="L26" i="94"/>
  <c r="L25" i="94"/>
  <c r="L24" i="94"/>
  <c r="L23" i="94"/>
  <c r="L22" i="94"/>
  <c r="L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L2" i="94"/>
</calcChain>
</file>

<file path=xl/sharedStrings.xml><?xml version="1.0" encoding="utf-8"?>
<sst xmlns="http://schemas.openxmlformats.org/spreadsheetml/2006/main" count="7632" uniqueCount="503">
  <si>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</si>
  <si>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</si>
  <si>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</si>
  <si>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</si>
  <si>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</si>
  <si>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</si>
  <si>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</si>
  <si>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</si>
  <si>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</si>
  <si>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</si>
  <si>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</si>
  <si>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</si>
  <si>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</si>
  <si>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</si>
  <si>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</si>
  <si>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전혁</t>
  </si>
  <si>
    <t>SISSI</t>
  </si>
  <si>
    <t>에필로그</t>
  </si>
  <si>
    <t>협행마</t>
  </si>
  <si>
    <t>이린비</t>
  </si>
  <si>
    <t>백범(白帆)</t>
  </si>
  <si>
    <t>사틴</t>
  </si>
  <si>
    <t>[BL] 익스클루시브(Exclusive) 1</t>
  </si>
  <si>
    <t>ISBN</t>
  </si>
  <si>
    <t>원주문일시</t>
  </si>
  <si>
    <t>정산처명</t>
  </si>
  <si>
    <t>[BL] 하루하루 2 (완결)</t>
  </si>
  <si>
    <t>[BL] 하루하루 1</t>
  </si>
  <si>
    <t>[BL] 익스클루시브(Exclusive) 2 (완결)</t>
  </si>
  <si>
    <t>송여희</t>
  </si>
  <si>
    <t>마뇽</t>
  </si>
  <si>
    <t>박지영</t>
  </si>
  <si>
    <t>춈춈</t>
  </si>
  <si>
    <t>설국연가</t>
  </si>
  <si>
    <t>라벤더블루</t>
  </si>
  <si>
    <t>분홍의 작약</t>
  </si>
  <si>
    <t>붉은 정자-살라댕</t>
  </si>
  <si>
    <t>낯선 밤에 마주친</t>
  </si>
  <si>
    <t>차크</t>
  </si>
  <si>
    <t>서풍</t>
  </si>
  <si>
    <t>밀리오리지널</t>
  </si>
  <si>
    <t>연애의 시작</t>
  </si>
  <si>
    <t>하루가(한은경)</t>
  </si>
  <si>
    <t>고은 나의 고은</t>
  </si>
  <si>
    <t>세상</t>
  </si>
  <si>
    <t>블러쉬</t>
  </si>
  <si>
    <t>계약 비서</t>
  </si>
  <si>
    <t>김원경(WR)</t>
  </si>
  <si>
    <t>이차적 일탈</t>
  </si>
  <si>
    <t>서혜은</t>
  </si>
  <si>
    <t>쉬라즈</t>
  </si>
  <si>
    <t>내 하루에 네가 피어나</t>
  </si>
  <si>
    <t>정은숙</t>
  </si>
  <si>
    <t>사랑 그리고 그 후</t>
  </si>
  <si>
    <t>최현자</t>
  </si>
  <si>
    <t>sJessi</t>
  </si>
  <si>
    <t>황궁의 밤</t>
  </si>
  <si>
    <t>현진서</t>
  </si>
  <si>
    <t>바스락</t>
  </si>
  <si>
    <t>달로</t>
  </si>
  <si>
    <t>꽃처럼 너를 안는다</t>
  </si>
  <si>
    <t>반지영</t>
  </si>
  <si>
    <t>최재봉</t>
  </si>
  <si>
    <t>회귀의 전설 3부 44</t>
  </si>
  <si>
    <t>회귀의 전설 3부 46</t>
  </si>
  <si>
    <t>회귀의 전설 3부 50</t>
  </si>
  <si>
    <t>회귀의 전설 3부 47</t>
  </si>
  <si>
    <t>회귀의 전설 3부 45</t>
  </si>
  <si>
    <t>회귀의 전설 3부 49</t>
  </si>
  <si>
    <t>회귀의 전설 3부 48</t>
  </si>
  <si>
    <t>회귀의 전설 3부 51</t>
  </si>
  <si>
    <t>태랑</t>
  </si>
  <si>
    <t>세이브 미(Save Me)</t>
  </si>
  <si>
    <t>우유양</t>
  </si>
  <si>
    <t>거짓말 1</t>
  </si>
  <si>
    <t>거짓말 2 (완결)</t>
  </si>
  <si>
    <t>블랙커피</t>
  </si>
  <si>
    <t>모리미</t>
  </si>
  <si>
    <t>넘어와</t>
  </si>
  <si>
    <t>[BL] 야쿠자가 사랑을 한다면 (개정판) 1</t>
  </si>
  <si>
    <t>[BL] 야쿠자가 사랑을 한다면 (개정판) (외전)</t>
  </si>
  <si>
    <t>너와 나의 절정</t>
  </si>
  <si>
    <t>공호</t>
  </si>
  <si>
    <t>회귀의 전설 2부 29</t>
  </si>
  <si>
    <t>일교차</t>
  </si>
  <si>
    <t>해화</t>
  </si>
  <si>
    <t>회귀의 전설 1부 19</t>
  </si>
  <si>
    <t>회귀의 전설 1부 20</t>
  </si>
  <si>
    <t>회귀의 전설 1부 21 (1부 완결)</t>
  </si>
  <si>
    <t>집착의 맛 (외전)</t>
  </si>
  <si>
    <t>정략결혼</t>
  </si>
  <si>
    <t>수련</t>
  </si>
  <si>
    <t>슈크림</t>
  </si>
  <si>
    <t>송민선(알래스카)</t>
  </si>
  <si>
    <t>[BL] 야쿠자가 사랑을 한다면 2 (개정판) 2 (완결)</t>
  </si>
  <si>
    <t>여왕 아델 2</t>
  </si>
  <si>
    <t>미쳐 버린 밤</t>
  </si>
  <si>
    <t>백화</t>
  </si>
  <si>
    <t>차홍주</t>
  </si>
  <si>
    <t>봄, 어리 이야기</t>
  </si>
  <si>
    <t>신윤희</t>
  </si>
  <si>
    <t>여왕 아델 (외전)</t>
  </si>
  <si>
    <t>여왕 아델 4 (완결)</t>
  </si>
  <si>
    <t>여왕 아델 3</t>
  </si>
  <si>
    <t>너는 싱그러운 여름처럼</t>
  </si>
  <si>
    <t>라비니안느</t>
  </si>
  <si>
    <t>어게인(Again)</t>
  </si>
  <si>
    <t>최준서</t>
  </si>
  <si>
    <t>여름, 밤의 사정</t>
  </si>
  <si>
    <t>사내 연애의 끝</t>
  </si>
  <si>
    <t>유일한 취미</t>
  </si>
  <si>
    <t>이파람</t>
  </si>
  <si>
    <t>첫사랑을 종료하시겠습니까</t>
  </si>
  <si>
    <t>서정윤</t>
  </si>
  <si>
    <t>브레이크 어웨이(Break Away)</t>
  </si>
  <si>
    <t>이윤미</t>
  </si>
  <si>
    <t>이번 생은 망한 줄 알았는데</t>
  </si>
  <si>
    <t>트리플베리</t>
  </si>
  <si>
    <t>인턴사원</t>
  </si>
  <si>
    <t>이별 그리고 그 후</t>
  </si>
  <si>
    <t>羽宸?(Uchenhu)</t>
  </si>
  <si>
    <t>[BL] 2위의 역습</t>
  </si>
  <si>
    <t>[BL] 영원한 1위</t>
  </si>
  <si>
    <t>윈델</t>
  </si>
  <si>
    <t>공든탑</t>
  </si>
  <si>
    <t>라지에르의 서 1</t>
  </si>
  <si>
    <t>악당의 리턴 01</t>
  </si>
  <si>
    <t>권용찬</t>
  </si>
  <si>
    <t>[BL] 야쿠자가 사랑을 한다면 (개정판) 2 (완결)</t>
  </si>
  <si>
    <t>무심코</t>
  </si>
  <si>
    <t>밤이 오는 소리</t>
  </si>
  <si>
    <t>처녀 보쌈</t>
  </si>
  <si>
    <t>아득히 먼 훗날 우리가</t>
  </si>
  <si>
    <t>[세트] 베리타(verit?) (외전 포함) (총3권/완결)</t>
  </si>
  <si>
    <t>뜨겁게 안녕</t>
  </si>
  <si>
    <t>러브니</t>
  </si>
  <si>
    <t>[BL] 로맨틱 크러시 (외전)</t>
  </si>
  <si>
    <t>망나니개</t>
  </si>
  <si>
    <t>우기에는 비가 와요</t>
  </si>
  <si>
    <t>이리</t>
  </si>
  <si>
    <t>[BL] 나는 내 연인의 것 (외전)</t>
  </si>
  <si>
    <t>셔틀</t>
  </si>
  <si>
    <t>한 번은 이별하자</t>
  </si>
  <si>
    <t>서연</t>
  </si>
  <si>
    <t>깃들다</t>
  </si>
  <si>
    <t>스내치</t>
  </si>
  <si>
    <t>칵테일로 레벨업 1</t>
  </si>
  <si>
    <t>서강후</t>
  </si>
  <si>
    <t>올마스터가 된 비전서고 1</t>
  </si>
  <si>
    <t>글면증</t>
  </si>
  <si>
    <t>돈문어</t>
  </si>
  <si>
    <t>테이크 백(Take Back)</t>
  </si>
  <si>
    <t>일락</t>
  </si>
  <si>
    <t>강호, 미치다 01권</t>
  </si>
  <si>
    <t>짝사랑 중입니다</t>
  </si>
  <si>
    <t>진양</t>
  </si>
  <si>
    <t>[세트] 라지에르의 서 (총8권/완결)</t>
  </si>
  <si>
    <t>탈각</t>
  </si>
  <si>
    <t>회귀의 전설 2부 31</t>
  </si>
  <si>
    <t>회귀의 전설 2부 32</t>
  </si>
  <si>
    <t>회귀의 전설 2부 33</t>
  </si>
  <si>
    <t>회귀의 전설 2부 34</t>
  </si>
  <si>
    <t>회귀의 전설 2부 35</t>
  </si>
  <si>
    <t>회귀의 전설 2부 36</t>
  </si>
  <si>
    <t>회귀의 전설 2부 37</t>
  </si>
  <si>
    <t>두나래</t>
  </si>
  <si>
    <t>이 맛에 회장한다 1</t>
  </si>
  <si>
    <t>이 맛에 회장한다 2</t>
  </si>
  <si>
    <t>[BL] 나의 시고르자브종 1</t>
  </si>
  <si>
    <t>[세트] 헌터인데 내공이 좀 많네요 (총8권/완결)</t>
  </si>
  <si>
    <t>블레이드 헌터 01권</t>
  </si>
  <si>
    <t>[BL] 마지막 춤은, 악인과 함께</t>
  </si>
  <si>
    <t>용병수칙 1</t>
  </si>
  <si>
    <t>최종 보스 : 빛을 향해 달리는 그림자 1부 01</t>
  </si>
  <si>
    <t>형사의 게임 01</t>
  </si>
  <si>
    <t>너만 보면 두근두근</t>
  </si>
  <si>
    <t>정경하</t>
  </si>
  <si>
    <t>이 맛에 회장한다 3</t>
  </si>
  <si>
    <t>이 맛에 회장한다 4</t>
  </si>
  <si>
    <t>이 맛에 회장한다 5</t>
  </si>
  <si>
    <t>[세트] 간신이 나라를 살림 (총10권/완결)</t>
  </si>
  <si>
    <t>루이세</t>
  </si>
  <si>
    <t>갓 오브 블랙필드 2부 5 (완결)</t>
  </si>
  <si>
    <t>갓 오브 블랙필드 2부 2</t>
  </si>
  <si>
    <t>갓 오브 블랙필드 2부 3</t>
  </si>
  <si>
    <t>갓 오브 블랙필드 2부 4</t>
  </si>
  <si>
    <t>갓 오브 블랙필드 01 (개정판)</t>
  </si>
  <si>
    <t>갓 오브 블랙필드 02 (개정판)</t>
  </si>
  <si>
    <t>갓 오브 블랙필드 03 (개정판)</t>
  </si>
  <si>
    <t>갓 오브 블랙필드 04 (개정판)</t>
  </si>
  <si>
    <t>갓 오브 블랙필드 05 (개정판)</t>
  </si>
  <si>
    <t>갓 오브 블랙필드 06 (개정판)</t>
  </si>
  <si>
    <t>갓 오브 블랙필드 07 (개정판)</t>
  </si>
  <si>
    <t>갓 오브 블랙필드 08 (개정판)</t>
  </si>
  <si>
    <t>갓 오브 블랙필드 09 (개정판)</t>
  </si>
  <si>
    <t>갓 오브 블랙필드 10 (개정판)</t>
  </si>
  <si>
    <t>이 맛에 회장한다 6</t>
  </si>
  <si>
    <t>이 맛에 회장한다 7</t>
  </si>
  <si>
    <t>전설이 돼라 01</t>
  </si>
  <si>
    <t>이 맛에 회장한다 8 (완결)</t>
  </si>
  <si>
    <t>[BL] 야쿠자가 사랑을 한다면 2 (개정판) 1</t>
  </si>
  <si>
    <t>최종 보스 : 빛을 향해 달리는 그림자 1부 02</t>
  </si>
  <si>
    <t>최종 보스 : 빛을 향해 달리는 그림자 1부 03</t>
  </si>
  <si>
    <t>최종 보스 : 빛을 향해 달리는 그림자 1부 04</t>
  </si>
  <si>
    <t>간신이 나라를 살림 03</t>
  </si>
  <si>
    <t>봄볕이 아른아른</t>
  </si>
  <si>
    <t>최종 보스 : 빛을 향해 달리는 그림자 1부 05</t>
  </si>
  <si>
    <t>최종 보스 : 빛을 향해 달리는 그림자 1부 06</t>
  </si>
  <si>
    <t>최종 보스 : 빛을 향해 달리는 그림자 1부 07</t>
  </si>
  <si>
    <t>최종 보스 : 빛을 향해 달리는 그림자 1부 08</t>
  </si>
  <si>
    <t>비공개 열애</t>
  </si>
  <si>
    <t>최종 보스 : 빛을 향해 달리는 그림자 1부 09</t>
  </si>
  <si>
    <t>최종 보스 : 빛을 향해 달리는 그림자 1부 10</t>
  </si>
  <si>
    <t>최종 보스 : 빛을 향해 달리는 그림자 1부 11</t>
  </si>
  <si>
    <t>최종 보스 : 빛을 향해 달리는 그림자 1부 12</t>
  </si>
  <si>
    <t>최종 보스 : 빛을 향해 달리는 그림자 1부 13</t>
  </si>
  <si>
    <t>최종 보스 : 빛을 향해 달리는 그림자 1부 14</t>
  </si>
  <si>
    <t>최종 보스 : 빛을 향해 달리는 그림자 1부 15</t>
  </si>
  <si>
    <t>최종 보스 : 빛을 향해 달리는 그림자 1부 16</t>
  </si>
  <si>
    <t>집착 상사</t>
  </si>
  <si>
    <t>장현미</t>
  </si>
  <si>
    <t>직하인</t>
  </si>
  <si>
    <t>최종 보스 : 빛을 향해 달리는 그림자 1부 17 (1부 완결)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</si>
  <si>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</si>
  <si>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</si>
  <si>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</si>
  <si>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</si>
  <si>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</si>
  <si>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</si>
  <si>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천년을 내리는 눈 (외전증보판)</t>
  </si>
  <si>
    <t>연유</t>
  </si>
  <si>
    <t>하일군재래(何日君再來)</t>
  </si>
  <si>
    <t>최종 보스 : 빛을 향해 달리는 그림자 2부 24</t>
  </si>
  <si>
    <t>최종 보스 : 빛을 향해 달리는 그림자 2부 25 (2부 완결)</t>
  </si>
  <si>
    <t>[세트] 기어이 사랑 (외전 포함) (총3권/완결)</t>
  </si>
  <si>
    <t>[세트] 사랑도 없이 결혼 (외전 포함) (총3권/완결)</t>
  </si>
  <si>
    <t>[BL] 컬러 러쉬 2</t>
  </si>
  <si>
    <t>[BL] 컬러 러쉬 3 (완결)</t>
  </si>
  <si>
    <t>[세트] [BL] 골 때리는 사랑 (외전 포함) (총3권/완결)</t>
  </si>
  <si>
    <t>빠져들다</t>
  </si>
  <si>
    <t>알리시아</t>
  </si>
  <si>
    <t>이동열</t>
  </si>
  <si>
    <t>데이몬 1권</t>
  </si>
  <si>
    <t>[세트] 욕망에 눈뜨다 (삽화본) (외전 포함) (총3권/완결)</t>
  </si>
  <si>
    <t>마연(연필깎이)</t>
  </si>
  <si>
    <t>회귀의 전설 2부 38</t>
  </si>
  <si>
    <t>회귀의 전설 2부 39</t>
  </si>
  <si>
    <t>회귀의 전설 2부 40</t>
  </si>
  <si>
    <t>베리타(verit?) 1</t>
  </si>
  <si>
    <t>라지에르의 서 3</t>
  </si>
  <si>
    <t>라지에르의 서 4</t>
  </si>
  <si>
    <t>라지에르의 서 5</t>
  </si>
  <si>
    <t>라지에르의 서 6</t>
  </si>
  <si>
    <t>레드트러블</t>
  </si>
  <si>
    <t>[세트] 집착의 맛 (외전 포함) (총3권/완결)</t>
  </si>
  <si>
    <t>베로나에서 그를 만나다</t>
  </si>
  <si>
    <t>원성혜</t>
  </si>
  <si>
    <t>[세트] [BL] 퇴마사(巫堂) (총2권/완결)</t>
  </si>
  <si>
    <t>시무</t>
  </si>
  <si>
    <t>연애의 끝</t>
  </si>
  <si>
    <t>라지에르의 서 7</t>
  </si>
  <si>
    <t>간신이 나라를 살림 10 (완결)</t>
  </si>
  <si>
    <t>베리타(verit?) 2 (완결)</t>
  </si>
  <si>
    <t>티끌모아 대박 08</t>
  </si>
  <si>
    <t>회귀의 전설 1부 11</t>
  </si>
  <si>
    <t>회귀의 전설 1부 10</t>
  </si>
  <si>
    <t>티끌모아 대박 09</t>
  </si>
  <si>
    <t xml:space="preserve">앰퍼샌드B </t>
  </si>
  <si>
    <t>회귀의 전설 1부 12</t>
  </si>
  <si>
    <t>회귀의 전설 1부 13</t>
  </si>
  <si>
    <t>[BL] 주먹 구십구 3</t>
  </si>
  <si>
    <t>블레슈(Blesshuu)</t>
  </si>
  <si>
    <t>[세트] 마왕 데이몬 (총12권/완결)</t>
  </si>
  <si>
    <t>이중생활</t>
  </si>
  <si>
    <t>이정숙</t>
  </si>
  <si>
    <t>만나러 갈게</t>
  </si>
  <si>
    <t>박샛별</t>
  </si>
  <si>
    <t>모닝콜(Morning Call)</t>
  </si>
  <si>
    <t>하이지</t>
  </si>
  <si>
    <t>신마협도 06</t>
  </si>
  <si>
    <t>[세트] [BL] 컬러 러쉬 (외전 포함) (총4권/완결)</t>
  </si>
  <si>
    <t>회귀의 전설 2부 42</t>
  </si>
  <si>
    <t>회귀의 전설 2부 43 (2부 완결)</t>
  </si>
  <si>
    <t>회귀의 전설 2부 41</t>
  </si>
  <si>
    <t>회귀의 전설 1부 15</t>
  </si>
  <si>
    <t>회귀의 전설 1부 14</t>
  </si>
  <si>
    <t>스피릿 소드 (완전판) 1</t>
  </si>
  <si>
    <t>불순한 재회</t>
  </si>
  <si>
    <t>회귀의 전설 1부 16</t>
  </si>
  <si>
    <t>회귀의 전설 1부 18</t>
  </si>
  <si>
    <t>회귀의 전설 1부 17</t>
  </si>
  <si>
    <t>[BL] 택스 프리(TAX FREE) 1</t>
  </si>
  <si>
    <t>미드나잇 썸머(Midnight Summer)</t>
  </si>
  <si>
    <t>적랑</t>
  </si>
  <si>
    <t>[BL] 주먹 구십구 4</t>
  </si>
  <si>
    <t>[세트] 데이몬 (총6권/완결)</t>
  </si>
  <si>
    <t>[세트] [BL] 아스트로(ASTRO): 별 (총4권/완결)</t>
  </si>
  <si>
    <t>꿀레</t>
  </si>
  <si>
    <t>회귀의 전설 2부 22</t>
  </si>
  <si>
    <t>회귀의 전설 2부 23</t>
  </si>
  <si>
    <t>화산지애 1권</t>
  </si>
  <si>
    <t>베리타(verit?) (외전)</t>
  </si>
  <si>
    <t>[BL] 아스트로(ASTRO): 별 1</t>
  </si>
  <si>
    <t>레이드 만물상점 1 (완전판)</t>
  </si>
  <si>
    <t>[세트] 블레이드 헌터 (총10권/완결)</t>
  </si>
  <si>
    <t>레이드 만물상점 2 (완전판)</t>
  </si>
  <si>
    <t>화산지애 2권</t>
  </si>
  <si>
    <t>[BL] 아스트로(ASTRO): 별 3</t>
  </si>
  <si>
    <t>[BL] 아스트로(ASTRO): 별 4 (완결)</t>
  </si>
  <si>
    <t>[BL] 아스트로(ASTRO): 별 2</t>
  </si>
  <si>
    <t>레이드 만물상점 3 (완전판)</t>
  </si>
  <si>
    <t>레이드 만물상점 4 (완전판)</t>
  </si>
  <si>
    <t>황설</t>
  </si>
  <si>
    <t>스내치 지음</t>
  </si>
  <si>
    <t>레이드 만물상점 9 (완전판) (완결)</t>
  </si>
  <si>
    <t>레이드 만물상점 7 (완전판)</t>
  </si>
  <si>
    <t>레이드 만물상점 6 (완전판)</t>
  </si>
  <si>
    <t>레이드 만물상점 5 (완전판)</t>
  </si>
  <si>
    <t>레이드 만물상점 8 (완전판)</t>
  </si>
  <si>
    <t>집착의 맛 2 (완결)</t>
  </si>
  <si>
    <t>집착의 맛 1</t>
  </si>
  <si>
    <t>[BL] 사냥: 꿈 (개정판)</t>
  </si>
  <si>
    <t>[BL] 그저, 닿지 않을 너에게 1</t>
  </si>
  <si>
    <t>뚜여사</t>
  </si>
  <si>
    <t>화산지애 3권</t>
  </si>
  <si>
    <t>[합본] [BL] 하고 싶어 (전2권/완결)</t>
  </si>
  <si>
    <t>시아 지음</t>
  </si>
  <si>
    <t>회귀의 전설 2부 25</t>
  </si>
  <si>
    <t>회귀의 전설 2부 24</t>
  </si>
  <si>
    <t>회귀의 전설 2부 26</t>
  </si>
  <si>
    <t>[BL] 엠프티(Empty) (외전)</t>
  </si>
  <si>
    <t>라돌체</t>
  </si>
  <si>
    <t>[BL] 택스 프리(TAX FREE) 2 (완결)</t>
  </si>
  <si>
    <t>소드마스터의 환생 1</t>
  </si>
  <si>
    <t>파란영</t>
  </si>
  <si>
    <t>화산지애 4권</t>
  </si>
  <si>
    <t>화산지애 5권</t>
  </si>
  <si>
    <t>[BL] 엠프티(Empty) (외전 2)</t>
  </si>
  <si>
    <t>회귀의 전설 2부 27</t>
  </si>
  <si>
    <t>회귀의 전설 2부 28</t>
  </si>
  <si>
    <t>시선… 그리고 떨림</t>
  </si>
  <si>
    <t>이승희</t>
  </si>
  <si>
    <t>[세트] 형사의 게임 (총12권/완결)</t>
  </si>
  <si>
    <t>라지에르의 서 2</t>
  </si>
  <si>
    <t>[세트] 전설이 돼라 (개정판) (총14권/완결)</t>
  </si>
  <si>
    <t>[세트] 게임 속 유닛 (총16권/완결)</t>
  </si>
  <si>
    <t>찬동</t>
  </si>
  <si>
    <t>[세트] 티끌모아 대박 (총11권/완결)</t>
  </si>
  <si>
    <t>[세트] 절대자의 귀환 (총9권/완결)</t>
  </si>
  <si>
    <t>장유진</t>
  </si>
  <si>
    <t>[세트] 헌터 킹 (총8권/완결)</t>
  </si>
  <si>
    <t>[세트] 게이트 헌터 (완전판) (총10권/완결)</t>
  </si>
  <si>
    <t>[세트] 던전 공략 LIVE (총8권/완결)</t>
  </si>
  <si>
    <t>[세트] 스포트라이트 (총10권/완결)</t>
  </si>
  <si>
    <t>[세트] 더 캡틴 (총9권/완결)</t>
  </si>
  <si>
    <t>[세트] 용병수칙 (총9권/완결)</t>
  </si>
  <si>
    <t>[세트] 사상 최강의 뉴비! (총10권/완결)</t>
  </si>
  <si>
    <t>정희웅</t>
  </si>
  <si>
    <t>[세트] 전장의 금기 (총12권/완결)</t>
  </si>
  <si>
    <t>[세트] 바보가 만드는 멋진 세상 (개정판) (총9권/완결)</t>
  </si>
  <si>
    <t>[세트] 꿈은 이루어진다 (총9권/완결)</t>
  </si>
  <si>
    <t>벗우</t>
  </si>
  <si>
    <t>폭풍처럼 오다</t>
  </si>
  <si>
    <t>투즈</t>
  </si>
  <si>
    <t>이리 와 봐 (외전)</t>
  </si>
  <si>
    <t>최강주</t>
  </si>
  <si>
    <t>이리 와 봐</t>
  </si>
  <si>
    <t>깊은 밤 너의 고백이</t>
  </si>
  <si>
    <t>이새인</t>
  </si>
  <si>
    <t>작열감</t>
  </si>
  <si>
    <t>리밀</t>
  </si>
  <si>
    <t>회귀의 전설 2부 30</t>
  </si>
  <si>
    <t>[세트] [BL] 나는 너를, 너는 나를 (외전 포함) (총4권/완결)</t>
  </si>
  <si>
    <t>[세트] [BL] 환영합니다 마이클 본부장님 (외전 포함) (총7권/완결)</t>
  </si>
  <si>
    <t>퍼리딩딩</t>
  </si>
  <si>
    <t>[BL] 네가 뭔데 그러세요 (외전)</t>
  </si>
  <si>
    <t>주이서</t>
  </si>
  <si>
    <t>[BL] 네가 뭔데 그러세요 2 (완결)</t>
  </si>
  <si>
    <t>[BL] 네가 뭔데 그러세요 1</t>
  </si>
  <si>
    <t>아래층에 전남편이 산다 2 (완결)</t>
  </si>
  <si>
    <t>엑스 비서</t>
  </si>
  <si>
    <t>비향</t>
  </si>
  <si>
    <t>티끌모아 대박 10</t>
  </si>
  <si>
    <t>[BL] 마지막 춤은, 악인과 함께 (외전)</t>
  </si>
  <si>
    <t>다정할수록 불순한 2 (완결)</t>
  </si>
  <si>
    <t>은지유</t>
  </si>
  <si>
    <t>다정할수록 불순한 1</t>
  </si>
  <si>
    <t>사상 최강의 뉴비! 01</t>
  </si>
  <si>
    <t>[BL] 주먹 구십구 5 (완결)</t>
  </si>
  <si>
    <t>바랑둥이 내 남자 3 (외전증보판) (완결)</t>
  </si>
  <si>
    <t>밈스</t>
  </si>
  <si>
    <t>[세트] 다정할수록 불순한 (총2권/완결)</t>
  </si>
  <si>
    <t>[BL] 더티독 1</t>
  </si>
  <si>
    <t>용가리맛쿠키</t>
  </si>
  <si>
    <t>마왕 데이몬 01권</t>
  </si>
  <si>
    <t>형사의 게임 04</t>
  </si>
  <si>
    <t>형사의 게임 02</t>
  </si>
  <si>
    <t>형사의 게임 03</t>
  </si>
  <si>
    <t>형사의 게임 05</t>
  </si>
  <si>
    <t>형사의 게임 06</t>
  </si>
  <si>
    <t>형사의 게임 08</t>
  </si>
  <si>
    <t>형사의 게임 09</t>
  </si>
  <si>
    <t>형사의 게임 10</t>
  </si>
  <si>
    <t>형사의 게임 07</t>
  </si>
  <si>
    <t>형사의 게임 11</t>
  </si>
  <si>
    <t>형사의 게임 12 (완결)</t>
  </si>
  <si>
    <t>[BL] 그저, 닿지 않을 너에게 2</t>
  </si>
  <si>
    <t>[BL] 금의 해, 새의 눈 1</t>
  </si>
  <si>
    <t>등나무밑소공자</t>
  </si>
  <si>
    <t>[BL] 금의 해, 새의 눈 2</t>
  </si>
  <si>
    <t>[BL] 금의 해, 새의 눈 3 (완결)</t>
  </si>
  <si>
    <t>절대자의 귀환 1</t>
  </si>
  <si>
    <t>블레이드 헌터 02권</t>
  </si>
  <si>
    <t>블레이드 헌터 03권</t>
  </si>
  <si>
    <t>블레이드 헌터 04권</t>
  </si>
  <si>
    <t>블레이드 헌터 05권</t>
  </si>
  <si>
    <t>[세트] 아래층에 전남편이 산다 (외전 포함) (총3권/완결)</t>
  </si>
  <si>
    <t>황설 (외전)</t>
  </si>
  <si>
    <t>블레이드 헌터 07권</t>
  </si>
  <si>
    <t>블레이드 헌터 06권</t>
  </si>
  <si>
    <t>블레이드 헌터 08권</t>
  </si>
  <si>
    <t>블레이드 헌터 09권</t>
  </si>
  <si>
    <t>블레이드 헌터 10권 (완결)</t>
  </si>
  <si>
    <t>간신이 나라를 살림 01</t>
  </si>
  <si>
    <t>간신이 나라를 살림 02</t>
  </si>
  <si>
    <t>다정한 악몽</t>
  </si>
  <si>
    <t>수면제</t>
  </si>
  <si>
    <t>명우</t>
  </si>
  <si>
    <t>남창목가 01권</t>
  </si>
  <si>
    <t>기사가문 망나니는 10클래스 1</t>
  </si>
  <si>
    <t>예로나</t>
  </si>
  <si>
    <t>절대자의 귀환 2</t>
  </si>
  <si>
    <t>절대자의 귀환 4</t>
  </si>
  <si>
    <t>절대자의 귀환 3</t>
  </si>
  <si>
    <t>고검환정록 01</t>
  </si>
  <si>
    <t>얼굴 천재 교주가 되었다 1</t>
  </si>
  <si>
    <t>비고</t>
  </si>
  <si>
    <t>[세트] 신들의 알바나라 (총8권/완결)</t>
  </si>
  <si>
    <t>갓띵작</t>
  </si>
  <si>
    <t>회귀자의 슬기로운 복수생활 1</t>
  </si>
  <si>
    <t>구공</t>
  </si>
  <si>
    <t>신들의 알바나라 1</t>
  </si>
  <si>
    <t>얼굴 천재 교주가 되었다 2</t>
  </si>
  <si>
    <t>삶의 끝에서</t>
  </si>
  <si>
    <t>[세트] 회귀자의 슬기로운 복수생활 (총8권/완결)</t>
  </si>
  <si>
    <t>신마협도 01</t>
  </si>
  <si>
    <t>권용찬 지음</t>
  </si>
  <si>
    <t>신들의 알바나라 2</t>
  </si>
  <si>
    <t>회귀자의 슬기로운 복수생활 5</t>
  </si>
  <si>
    <t>회귀자의 슬기로운 복수생활 4</t>
  </si>
  <si>
    <t>회귀자의 슬기로운 복수생활 8 (완결)</t>
  </si>
  <si>
    <t>신들의 알바나라 7</t>
  </si>
  <si>
    <t>회귀자의 슬기로운 복수생활 7</t>
  </si>
  <si>
    <t>회귀자의 슬기로운 복수생활 6</t>
  </si>
  <si>
    <t>회귀자의 슬기로운 복수생활 3</t>
  </si>
  <si>
    <t>신들의 알바나라 3</t>
  </si>
  <si>
    <t>신들의 알바나라 6</t>
  </si>
  <si>
    <t>신들의 알바나라 8 (완결)</t>
  </si>
  <si>
    <t>신들의 알바나라 5</t>
  </si>
  <si>
    <t>회귀자의 슬기로운 복수생활 2</t>
  </si>
  <si>
    <t>신들의 알바나라 4</t>
  </si>
  <si>
    <t>[세트] 얼굴 천재 교주가 되었다 (총8권/완결)</t>
  </si>
  <si>
    <t>남창목가 25 - 외전 (완결)</t>
  </si>
  <si>
    <t>[합본] 황궁애사 (전2권/완결)</t>
  </si>
  <si>
    <t>너는 천사</t>
  </si>
  <si>
    <t>티끌모아 대박 11 (완결)</t>
  </si>
  <si>
    <t>성군이십니다 1</t>
  </si>
  <si>
    <t>이준영</t>
  </si>
  <si>
    <t>[BL] 내 이름을 불러 1</t>
  </si>
  <si>
    <t>오후 4시의 남자</t>
  </si>
  <si>
    <t>차연유</t>
  </si>
  <si>
    <t>남창목가 24 - 외전</t>
  </si>
  <si>
    <t>[세트] 악당의 리턴 (총12권/완결)</t>
  </si>
  <si>
    <t>[BL] 정혼자 (외전)</t>
  </si>
  <si>
    <t>꽂히다 (외전증보판)</t>
  </si>
  <si>
    <t>남창목가 02권</t>
  </si>
  <si>
    <t>남창목가 23권</t>
  </si>
  <si>
    <t>스포트라이트 01</t>
  </si>
  <si>
    <t>[BL] 여우비가 내리던 날 1</t>
  </si>
  <si>
    <t>키도</t>
  </si>
  <si>
    <t>흑막의 신 01</t>
  </si>
  <si>
    <t>흑막의 신 02</t>
  </si>
  <si>
    <t>흑막의 신 03</t>
  </si>
  <si>
    <t>법보다 주먹 (개정판) 02</t>
  </si>
  <si>
    <t>법보다 주먹 (개정판) 05</t>
  </si>
  <si>
    <t>법보다 주먹 (개정판) 04</t>
  </si>
  <si>
    <t>법보다 주먹 (개정판) 03</t>
  </si>
  <si>
    <t>돌아온 막내 영애님을 조심하세요 (외전)</t>
  </si>
  <si>
    <t>혈천 온라인 1</t>
  </si>
  <si>
    <t>잠룡진천 1</t>
  </si>
  <si>
    <t>침대 위의 짐승</t>
  </si>
  <si>
    <t>정시온</t>
  </si>
  <si>
    <t>러브스토리</t>
  </si>
  <si>
    <t>[BL] 더티독 2 (완결)</t>
  </si>
  <si>
    <t>다크메이지 01권</t>
  </si>
  <si>
    <t>빛나는 봄날</t>
  </si>
  <si>
    <t>오산타</t>
  </si>
  <si>
    <t>[BL] 여우비가 내리던 날 (외전)</t>
  </si>
  <si>
    <t>마왕 데이몬 07권</t>
  </si>
  <si>
    <t>마왕 데이몬 08권</t>
  </si>
  <si>
    <t>마왕 데이몬 09권</t>
  </si>
  <si>
    <t>그 여름 네 입술 (외전)</t>
  </si>
  <si>
    <t>[BL] 자비를 베푸소서(Miserere Nobis) 2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</si>
</sst>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6">
    <xf numFmtId="0" fontId="0" fillId="0" borderId="0" xfId="0">
      <alignment vertical="center"/>
    </xf>
    <xf numFmtId="0" fontId="19" fillId="0" borderId="0" xfId="42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33" borderId="0" xfId="42" applyFill="1">
      <alignment vertical="center"/>
    </xf>
    <xf numFmtId="3" fontId="20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526"/>
  <sheetViews>
    <sheetView tabSelected="1" workbookViewId="0"/>
  </sheetViews>
  <sheetFormatPr defaultRowHeight="17.399999999999999"/>
  <cols>
    <col min="1" max="1" width="16.19921875" bestFit="1" customWidth="1"/>
    <col min="2" max="2" width="10.3984375" bestFit="1" customWidth="1"/>
    <col min="3" max="3" width="29.3984375" bestFit="1" customWidth="1"/>
    <col min="4" max="4" width="8.59765625" bestFit="1" customWidth="1"/>
    <col min="7" max="7" width="10.69921875" bestFit="1" customWidth="1"/>
    <col min="8" max="8" width="15.5" customWidth="1"/>
    <col min="9" max="9" width="13.5" bestFit="1" customWidth="1"/>
    <col min="10" max="10" width="16.19921875" bestFit="1" customWidth="1"/>
    <col min="11" max="11" width="13.69921875" customWidth="1"/>
    <col min="12" max="12" width="14.699218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24</v>
      </c>
      <c r="I1" s="4" t="s">
        <v>7</v>
      </c>
      <c r="J1" s="1" t="s">
        <v>8</v>
      </c>
      <c r="K1" s="1" t="s">
        <v>25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2">
        <v>44774.009189814817</v>
      </c>
      <c r="B2">
        <v>295071451</v>
      </c>
      <c r="C2" t="s">
        <v>109</v>
      </c>
      <c r="D2" t="s">
        <v>9</v>
      </c>
      <c r="E2" s="3">
        <v>2500</v>
      </c>
      <c r="F2" s="3">
        <v>2500</v>
      </c>
      <c r="G2" s="3">
        <v>1750</v>
      </c>
      <c r="I2" t="s">
        <v>34</v>
      </c>
      <c r="J2" t="s">
        <v>40</v>
      </c>
      <c r="K2" t="s">
        <v>11</v>
      </c>
      <c r="L2" t="str">
        <f>T("9791191562439")</f>
        <v>9791191562439</v>
      </c>
    </row>
    <row r="3" spans="1:254">
      <c r="A3" s="2">
        <v>44774.013703703706</v>
      </c>
      <c r="B3">
        <v>297109357</v>
      </c>
      <c r="C3" t="s">
        <v>154</v>
      </c>
      <c r="D3" t="s">
        <v>9</v>
      </c>
      <c r="E3" s="3">
        <v>3600</v>
      </c>
      <c r="F3" s="3">
        <v>3600</v>
      </c>
      <c r="G3" s="3">
        <v>2520</v>
      </c>
      <c r="I3" t="s">
        <v>155</v>
      </c>
      <c r="J3" t="s">
        <v>40</v>
      </c>
      <c r="K3" t="s">
        <v>11</v>
      </c>
      <c r="L3" t="str">
        <f>T("9791191562774")</f>
        <v>9791191562774</v>
      </c>
    </row>
    <row r="4" spans="1:254">
      <c r="A4" s="2">
        <v>44774.020289351851</v>
      </c>
      <c r="B4">
        <v>289315562</v>
      </c>
      <c r="C4" t="s">
        <v>41</v>
      </c>
      <c r="D4" t="s">
        <v>9</v>
      </c>
      <c r="E4" s="3">
        <v>3000</v>
      </c>
      <c r="F4" s="3">
        <v>3000</v>
      </c>
      <c r="G4" s="3">
        <v>2100</v>
      </c>
      <c r="I4" t="s">
        <v>38</v>
      </c>
      <c r="J4" t="s">
        <v>40</v>
      </c>
      <c r="K4" t="s">
        <v>11</v>
      </c>
      <c r="L4" t="str">
        <f>T("9791191562101")</f>
        <v>9791191562101</v>
      </c>
    </row>
    <row r="5" spans="1:254">
      <c r="A5" s="2">
        <v>44774.108622685184</v>
      </c>
      <c r="B5">
        <v>297620121</v>
      </c>
      <c r="C5" t="s">
        <v>205</v>
      </c>
      <c r="D5" t="s">
        <v>9</v>
      </c>
      <c r="E5" s="3">
        <v>2000</v>
      </c>
      <c r="F5" s="3">
        <v>2000</v>
      </c>
      <c r="G5" s="3">
        <v>1400</v>
      </c>
      <c r="I5" t="s">
        <v>29</v>
      </c>
      <c r="J5" t="s">
        <v>40</v>
      </c>
      <c r="K5" t="s">
        <v>11</v>
      </c>
      <c r="L5" t="str">
        <f>T("9791191562484")</f>
        <v>9791191562484</v>
      </c>
    </row>
    <row r="6" spans="1:254">
      <c r="A6" s="2">
        <v>44774.139525462961</v>
      </c>
      <c r="B6">
        <v>291088925</v>
      </c>
      <c r="C6" t="s">
        <v>58</v>
      </c>
      <c r="D6" t="s">
        <v>9</v>
      </c>
      <c r="E6" s="3">
        <v>2000</v>
      </c>
      <c r="F6" s="3">
        <v>2000</v>
      </c>
      <c r="G6" s="3">
        <v>1400</v>
      </c>
      <c r="I6" t="s">
        <v>59</v>
      </c>
      <c r="J6" t="s">
        <v>40</v>
      </c>
      <c r="K6" t="s">
        <v>11</v>
      </c>
      <c r="L6" t="str">
        <f>T("9791191562187")</f>
        <v>9791191562187</v>
      </c>
    </row>
    <row r="7" spans="1:254">
      <c r="A7" s="2">
        <v>44774.280347222222</v>
      </c>
      <c r="B7">
        <v>248690924</v>
      </c>
      <c r="C7" t="s">
        <v>263</v>
      </c>
      <c r="D7" t="s">
        <v>12</v>
      </c>
      <c r="E7">
        <v>900</v>
      </c>
      <c r="F7">
        <v>900</v>
      </c>
      <c r="G7">
        <v>630</v>
      </c>
      <c r="I7" t="s">
        <v>20</v>
      </c>
      <c r="J7" t="s">
        <v>17</v>
      </c>
      <c r="K7" t="s">
        <v>11</v>
      </c>
      <c r="L7" t="str">
        <f>T("9791166000270")</f>
        <v>9791166000270</v>
      </c>
    </row>
    <row r="8" spans="1:254">
      <c r="A8" s="2">
        <v>44774.317546296297</v>
      </c>
      <c r="B8">
        <v>297620121</v>
      </c>
      <c r="C8" t="s">
        <v>205</v>
      </c>
      <c r="D8" t="s">
        <v>9</v>
      </c>
      <c r="E8" s="3">
        <v>2000</v>
      </c>
      <c r="F8" s="3">
        <v>2000</v>
      </c>
      <c r="G8" s="3">
        <v>1400</v>
      </c>
      <c r="I8" t="s">
        <v>29</v>
      </c>
      <c r="J8" t="s">
        <v>40</v>
      </c>
      <c r="K8" t="s">
        <v>11</v>
      </c>
      <c r="L8" t="str">
        <f>T("9791191562484")</f>
        <v>9791191562484</v>
      </c>
    </row>
    <row r="9" spans="1:254">
      <c r="A9" s="2">
        <v>44774.396527777775</v>
      </c>
      <c r="B9">
        <v>298375208</v>
      </c>
      <c r="C9" t="s">
        <v>239</v>
      </c>
      <c r="D9" t="s">
        <v>9</v>
      </c>
      <c r="E9" s="3">
        <v>2500</v>
      </c>
      <c r="F9" s="3">
        <v>2500</v>
      </c>
      <c r="G9" s="3">
        <v>1750</v>
      </c>
      <c r="I9" t="s">
        <v>240</v>
      </c>
      <c r="J9" t="s">
        <v>40</v>
      </c>
      <c r="K9" t="s">
        <v>11</v>
      </c>
      <c r="L9" t="str">
        <f>T("9791191562842")</f>
        <v>9791191562842</v>
      </c>
    </row>
    <row r="10" spans="1:254">
      <c r="A10" s="2">
        <v>44774.427766203706</v>
      </c>
      <c r="B10">
        <v>291088925</v>
      </c>
      <c r="C10" t="s">
        <v>58</v>
      </c>
      <c r="D10" t="s">
        <v>9</v>
      </c>
      <c r="E10" s="3">
        <v>2000</v>
      </c>
      <c r="F10" s="3">
        <v>2000</v>
      </c>
      <c r="G10" s="3">
        <v>1400</v>
      </c>
      <c r="I10" t="s">
        <v>59</v>
      </c>
      <c r="J10" t="s">
        <v>40</v>
      </c>
      <c r="K10" t="s">
        <v>11</v>
      </c>
      <c r="L10" t="str">
        <f>T("9791191562187")</f>
        <v>9791191562187</v>
      </c>
    </row>
    <row r="11" spans="1:254">
      <c r="A11" s="2">
        <v>44774.451238425929</v>
      </c>
      <c r="B11">
        <v>298750948</v>
      </c>
      <c r="C11" t="s">
        <v>259</v>
      </c>
      <c r="D11" t="s">
        <v>9</v>
      </c>
      <c r="E11" s="3">
        <v>3500</v>
      </c>
      <c r="F11" s="3">
        <v>3500</v>
      </c>
      <c r="G11" s="3">
        <v>2450</v>
      </c>
      <c r="I11" t="s">
        <v>38</v>
      </c>
      <c r="J11" t="s">
        <v>40</v>
      </c>
      <c r="K11" t="s">
        <v>11</v>
      </c>
      <c r="L11" t="str">
        <f>T("9791191562866")</f>
        <v>9791191562866</v>
      </c>
    </row>
    <row r="12" spans="1:254">
      <c r="A12" s="2">
        <v>44774.453136574077</v>
      </c>
      <c r="B12">
        <v>296507184</v>
      </c>
      <c r="C12" t="s">
        <v>134</v>
      </c>
      <c r="D12" t="s">
        <v>9</v>
      </c>
      <c r="E12" s="3">
        <v>2000</v>
      </c>
      <c r="F12" s="3">
        <v>2000</v>
      </c>
      <c r="G12" s="3">
        <v>1400</v>
      </c>
      <c r="I12" t="s">
        <v>135</v>
      </c>
      <c r="J12" t="s">
        <v>40</v>
      </c>
      <c r="K12" t="s">
        <v>11</v>
      </c>
      <c r="L12" t="str">
        <f>T("9791191562828")</f>
        <v>9791191562828</v>
      </c>
    </row>
    <row r="13" spans="1:254">
      <c r="A13" s="2">
        <v>44774.470127314817</v>
      </c>
      <c r="B13">
        <v>297620121</v>
      </c>
      <c r="C13" t="s">
        <v>205</v>
      </c>
      <c r="D13" t="s">
        <v>9</v>
      </c>
      <c r="E13" s="3">
        <v>2000</v>
      </c>
      <c r="F13" s="3">
        <v>2000</v>
      </c>
      <c r="G13" s="3">
        <v>1400</v>
      </c>
      <c r="I13" t="s">
        <v>29</v>
      </c>
      <c r="J13" t="s">
        <v>40</v>
      </c>
      <c r="K13" t="s">
        <v>11</v>
      </c>
      <c r="L13" t="str">
        <f>T("9791191562484")</f>
        <v>9791191562484</v>
      </c>
    </row>
    <row r="14" spans="1:254">
      <c r="A14" s="2">
        <v>44774.482314814813</v>
      </c>
      <c r="B14">
        <v>287834730</v>
      </c>
      <c r="C14" t="s">
        <v>37</v>
      </c>
      <c r="D14" t="s">
        <v>9</v>
      </c>
      <c r="E14" s="3">
        <v>2000</v>
      </c>
      <c r="F14" s="3">
        <v>2000</v>
      </c>
      <c r="G14" s="3">
        <v>1400</v>
      </c>
      <c r="I14" t="s">
        <v>32</v>
      </c>
      <c r="J14" t="s">
        <v>40</v>
      </c>
      <c r="K14" t="s">
        <v>11</v>
      </c>
      <c r="L14" t="str">
        <f>T("9791191562019")</f>
        <v>9791191562019</v>
      </c>
    </row>
    <row r="15" spans="1:254">
      <c r="A15" s="2">
        <v>44774.491273148145</v>
      </c>
      <c r="B15">
        <v>274772658</v>
      </c>
      <c r="C15" t="s">
        <v>28</v>
      </c>
      <c r="D15" t="s">
        <v>9</v>
      </c>
      <c r="E15" s="3">
        <v>3000</v>
      </c>
      <c r="F15" s="3">
        <v>3000</v>
      </c>
      <c r="G15" s="3">
        <v>2100</v>
      </c>
      <c r="I15" t="s">
        <v>21</v>
      </c>
      <c r="J15" t="s">
        <v>45</v>
      </c>
      <c r="K15" t="s">
        <v>11</v>
      </c>
      <c r="L15" t="str">
        <f>T("9791166481710")</f>
        <v>9791166481710</v>
      </c>
    </row>
    <row r="16" spans="1:254">
      <c r="A16" s="2">
        <v>44774.510462962964</v>
      </c>
      <c r="B16">
        <v>298750948</v>
      </c>
      <c r="C16" t="s">
        <v>259</v>
      </c>
      <c r="D16" t="s">
        <v>9</v>
      </c>
      <c r="E16" s="3">
        <v>3500</v>
      </c>
      <c r="F16" s="3">
        <v>3500</v>
      </c>
      <c r="G16" s="3">
        <v>2450</v>
      </c>
      <c r="I16" t="s">
        <v>38</v>
      </c>
      <c r="J16" t="s">
        <v>40</v>
      </c>
      <c r="K16" t="s">
        <v>11</v>
      </c>
      <c r="L16" t="str">
        <f>T("9791191562866")</f>
        <v>9791191562866</v>
      </c>
    </row>
    <row r="17" spans="1:12">
      <c r="A17" s="2">
        <v>44774.518182870372</v>
      </c>
      <c r="B17">
        <v>295836446</v>
      </c>
      <c r="C17" t="s">
        <v>129</v>
      </c>
      <c r="D17" t="s">
        <v>9</v>
      </c>
      <c r="E17" s="3">
        <v>2000</v>
      </c>
      <c r="F17" s="3">
        <v>2000</v>
      </c>
      <c r="G17" s="3">
        <v>1400</v>
      </c>
      <c r="I17" t="s">
        <v>59</v>
      </c>
      <c r="J17" t="s">
        <v>40</v>
      </c>
      <c r="K17" t="s">
        <v>11</v>
      </c>
      <c r="L17" t="str">
        <f>T("9791191562798")</f>
        <v>9791191562798</v>
      </c>
    </row>
    <row r="18" spans="1:12">
      <c r="A18" s="2">
        <v>44774.54791666667</v>
      </c>
      <c r="B18">
        <v>295836446</v>
      </c>
      <c r="C18" t="s">
        <v>129</v>
      </c>
      <c r="D18" t="s">
        <v>9</v>
      </c>
      <c r="E18" s="3">
        <v>2000</v>
      </c>
      <c r="F18" s="3">
        <v>2000</v>
      </c>
      <c r="G18" s="3">
        <v>1400</v>
      </c>
      <c r="I18" t="s">
        <v>59</v>
      </c>
      <c r="J18" t="s">
        <v>40</v>
      </c>
      <c r="K18" t="s">
        <v>11</v>
      </c>
      <c r="L18" t="str">
        <f>T("9791191562798")</f>
        <v>9791191562798</v>
      </c>
    </row>
    <row r="19" spans="1:12">
      <c r="A19" s="2">
        <v>44774.554456018515</v>
      </c>
      <c r="B19">
        <v>295356530</v>
      </c>
      <c r="C19" t="s">
        <v>116</v>
      </c>
      <c r="D19" t="s">
        <v>9</v>
      </c>
      <c r="E19" s="3">
        <v>2500</v>
      </c>
      <c r="F19" s="3">
        <v>2500</v>
      </c>
      <c r="G19" s="3">
        <v>1750</v>
      </c>
      <c r="I19" t="s">
        <v>115</v>
      </c>
      <c r="J19" t="s">
        <v>40</v>
      </c>
      <c r="K19" t="s">
        <v>11</v>
      </c>
      <c r="L19" t="str">
        <f>T("9791191562460")</f>
        <v>9791191562460</v>
      </c>
    </row>
    <row r="20" spans="1:12">
      <c r="A20" s="2">
        <v>44774.554456018515</v>
      </c>
      <c r="B20">
        <v>293180467</v>
      </c>
      <c r="C20" t="s">
        <v>104</v>
      </c>
      <c r="D20" t="s">
        <v>9</v>
      </c>
      <c r="E20" s="3">
        <v>2000</v>
      </c>
      <c r="F20" s="3">
        <v>2000</v>
      </c>
      <c r="G20" s="3">
        <v>1400</v>
      </c>
      <c r="I20" t="s">
        <v>31</v>
      </c>
      <c r="J20" t="s">
        <v>40</v>
      </c>
      <c r="K20" t="s">
        <v>11</v>
      </c>
      <c r="L20" t="str">
        <f>T("9791191562293")</f>
        <v>9791191562293</v>
      </c>
    </row>
    <row r="21" spans="1:12">
      <c r="A21" s="2">
        <v>44774.554456018515</v>
      </c>
      <c r="B21">
        <v>297109357</v>
      </c>
      <c r="C21" t="s">
        <v>154</v>
      </c>
      <c r="D21" t="s">
        <v>9</v>
      </c>
      <c r="E21" s="3">
        <v>3600</v>
      </c>
      <c r="F21" s="3">
        <v>3600</v>
      </c>
      <c r="G21" s="3">
        <v>2520</v>
      </c>
      <c r="I21" t="s">
        <v>155</v>
      </c>
      <c r="J21" t="s">
        <v>40</v>
      </c>
      <c r="K21" t="s">
        <v>11</v>
      </c>
      <c r="L21" t="str">
        <f>T("9791191562774")</f>
        <v>9791191562774</v>
      </c>
    </row>
    <row r="22" spans="1:12">
      <c r="A22" s="2">
        <v>44774.554456018515</v>
      </c>
      <c r="B22">
        <v>291369647</v>
      </c>
      <c r="C22" t="s">
        <v>255</v>
      </c>
      <c r="D22" t="s">
        <v>9</v>
      </c>
      <c r="E22" s="3">
        <v>2000</v>
      </c>
      <c r="F22" s="3">
        <v>2000</v>
      </c>
      <c r="G22" s="3">
        <v>1400</v>
      </c>
      <c r="I22" t="s">
        <v>256</v>
      </c>
      <c r="J22" t="s">
        <v>40</v>
      </c>
      <c r="K22" t="s">
        <v>11</v>
      </c>
      <c r="L22" t="str">
        <f>T("9791191562194")</f>
        <v>9791191562194</v>
      </c>
    </row>
    <row r="23" spans="1:12">
      <c r="A23" s="2">
        <v>44774.557870370372</v>
      </c>
      <c r="B23">
        <v>293484295</v>
      </c>
      <c r="C23" t="s">
        <v>106</v>
      </c>
      <c r="D23" t="s">
        <v>9</v>
      </c>
      <c r="E23" s="3">
        <v>3500</v>
      </c>
      <c r="F23" s="3">
        <v>3500</v>
      </c>
      <c r="G23" s="3">
        <v>2450</v>
      </c>
      <c r="I23" t="s">
        <v>107</v>
      </c>
      <c r="J23" t="s">
        <v>40</v>
      </c>
      <c r="K23" t="s">
        <v>11</v>
      </c>
      <c r="L23" t="str">
        <f>T("9791191562330")</f>
        <v>9791191562330</v>
      </c>
    </row>
    <row r="24" spans="1:12">
      <c r="A24" s="2">
        <v>44774.570405092592</v>
      </c>
      <c r="B24">
        <v>293957286</v>
      </c>
      <c r="C24" t="s">
        <v>118</v>
      </c>
      <c r="D24" t="s">
        <v>9</v>
      </c>
      <c r="E24" s="3">
        <v>3200</v>
      </c>
      <c r="F24" s="3">
        <v>3200</v>
      </c>
      <c r="G24" s="3">
        <v>2240</v>
      </c>
      <c r="I24" t="s">
        <v>117</v>
      </c>
      <c r="J24" t="s">
        <v>40</v>
      </c>
      <c r="K24" t="s">
        <v>11</v>
      </c>
      <c r="L24" t="str">
        <f>T("9791191562347")</f>
        <v>9791191562347</v>
      </c>
    </row>
    <row r="25" spans="1:12">
      <c r="A25" s="2">
        <v>44774.607372685183</v>
      </c>
      <c r="B25">
        <v>298750948</v>
      </c>
      <c r="C25" t="s">
        <v>259</v>
      </c>
      <c r="D25" t="s">
        <v>9</v>
      </c>
      <c r="E25" s="3">
        <v>3500</v>
      </c>
      <c r="F25" s="3">
        <v>3500</v>
      </c>
      <c r="G25" s="3">
        <v>2450</v>
      </c>
      <c r="I25" t="s">
        <v>38</v>
      </c>
      <c r="J25" t="s">
        <v>40</v>
      </c>
      <c r="K25" t="s">
        <v>11</v>
      </c>
      <c r="L25" t="str">
        <f>T("9791191562866")</f>
        <v>9791191562866</v>
      </c>
    </row>
    <row r="26" spans="1:12">
      <c r="A26" s="2">
        <v>44774.61277777778</v>
      </c>
      <c r="B26">
        <v>295071451</v>
      </c>
      <c r="C26" t="s">
        <v>109</v>
      </c>
      <c r="D26" t="s">
        <v>9</v>
      </c>
      <c r="E26" s="3">
        <v>2500</v>
      </c>
      <c r="F26" s="3">
        <v>2500</v>
      </c>
      <c r="G26" s="3">
        <v>1750</v>
      </c>
      <c r="I26" t="s">
        <v>34</v>
      </c>
      <c r="J26" t="s">
        <v>40</v>
      </c>
      <c r="K26" t="s">
        <v>11</v>
      </c>
      <c r="L26" t="str">
        <f>T("9791191562439")</f>
        <v>9791191562439</v>
      </c>
    </row>
    <row r="27" spans="1:12">
      <c r="A27" s="2">
        <v>44774.61614583333</v>
      </c>
      <c r="B27">
        <v>298750948</v>
      </c>
      <c r="C27" t="s">
        <v>259</v>
      </c>
      <c r="D27" t="s">
        <v>9</v>
      </c>
      <c r="E27" s="3">
        <v>3500</v>
      </c>
      <c r="F27" s="3">
        <v>3500</v>
      </c>
      <c r="G27" s="3">
        <v>2450</v>
      </c>
      <c r="I27" t="s">
        <v>38</v>
      </c>
      <c r="J27" t="s">
        <v>40</v>
      </c>
      <c r="K27" t="s">
        <v>11</v>
      </c>
      <c r="L27" t="str">
        <f>T("9791191562866")</f>
        <v>9791191562866</v>
      </c>
    </row>
    <row r="28" spans="1:12">
      <c r="A28" s="2">
        <v>44774.634004629632</v>
      </c>
      <c r="B28">
        <v>294674998</v>
      </c>
      <c r="C28" t="s">
        <v>112</v>
      </c>
      <c r="D28" t="s">
        <v>9</v>
      </c>
      <c r="E28" s="3">
        <v>2000</v>
      </c>
      <c r="F28" s="3">
        <v>2000</v>
      </c>
      <c r="G28" s="3">
        <v>1400</v>
      </c>
      <c r="I28" t="s">
        <v>111</v>
      </c>
      <c r="J28" t="s">
        <v>40</v>
      </c>
      <c r="K28" t="s">
        <v>11</v>
      </c>
      <c r="L28" t="str">
        <f>T("9791191562385")</f>
        <v>9791191562385</v>
      </c>
    </row>
    <row r="29" spans="1:12">
      <c r="A29" s="2">
        <v>44774.635381944441</v>
      </c>
      <c r="B29">
        <v>297219988</v>
      </c>
      <c r="C29" t="s">
        <v>157</v>
      </c>
      <c r="D29" t="s">
        <v>9</v>
      </c>
      <c r="E29" s="3">
        <v>3000</v>
      </c>
      <c r="F29" s="3">
        <v>3000</v>
      </c>
      <c r="G29" s="3">
        <v>2100</v>
      </c>
      <c r="I29" t="s">
        <v>82</v>
      </c>
      <c r="J29" t="s">
        <v>40</v>
      </c>
      <c r="K29" t="s">
        <v>11</v>
      </c>
      <c r="L29" t="str">
        <f>T("9791191562811")</f>
        <v>9791191562811</v>
      </c>
    </row>
    <row r="30" spans="1:12">
      <c r="A30" s="2">
        <v>44774.635381944441</v>
      </c>
      <c r="B30">
        <v>287366429</v>
      </c>
      <c r="C30" t="s">
        <v>210</v>
      </c>
      <c r="D30" t="s">
        <v>9</v>
      </c>
      <c r="E30" s="3">
        <v>2000</v>
      </c>
      <c r="F30" s="3">
        <v>2000</v>
      </c>
      <c r="G30" s="3">
        <v>1400</v>
      </c>
      <c r="I30" t="s">
        <v>31</v>
      </c>
      <c r="J30" t="s">
        <v>40</v>
      </c>
      <c r="K30" t="s">
        <v>11</v>
      </c>
      <c r="L30" t="str">
        <f>T("9791196945299")</f>
        <v>9791196945299</v>
      </c>
    </row>
    <row r="31" spans="1:12">
      <c r="A31" s="2">
        <v>44774.697488425925</v>
      </c>
      <c r="B31">
        <v>298750948</v>
      </c>
      <c r="C31" t="s">
        <v>259</v>
      </c>
      <c r="D31" t="s">
        <v>9</v>
      </c>
      <c r="E31" s="3">
        <v>3500</v>
      </c>
      <c r="F31" s="3">
        <v>3500</v>
      </c>
      <c r="G31" s="3">
        <v>2450</v>
      </c>
      <c r="I31" t="s">
        <v>38</v>
      </c>
      <c r="J31" t="s">
        <v>40</v>
      </c>
      <c r="K31" t="s">
        <v>11</v>
      </c>
      <c r="L31" t="str">
        <f>T("9791191562866")</f>
        <v>9791191562866</v>
      </c>
    </row>
    <row r="32" spans="1:12">
      <c r="A32" s="2">
        <v>44774.712199074071</v>
      </c>
      <c r="B32">
        <v>254604238</v>
      </c>
      <c r="C32" t="s">
        <v>264</v>
      </c>
      <c r="D32" t="s">
        <v>9</v>
      </c>
      <c r="E32" s="3">
        <v>3200</v>
      </c>
      <c r="F32" s="3">
        <v>3200</v>
      </c>
      <c r="G32" s="3">
        <v>2240</v>
      </c>
      <c r="I32" t="s">
        <v>13</v>
      </c>
      <c r="J32" t="s">
        <v>11</v>
      </c>
      <c r="K32" t="s">
        <v>11</v>
      </c>
      <c r="L32" t="str">
        <f>T("9791166300202")</f>
        <v>9791166300202</v>
      </c>
    </row>
    <row r="33" spans="1:12">
      <c r="A33" s="2">
        <v>44774.712199074071</v>
      </c>
      <c r="B33">
        <v>254604233</v>
      </c>
      <c r="C33" t="s">
        <v>265</v>
      </c>
      <c r="D33" t="s">
        <v>9</v>
      </c>
      <c r="E33" s="3">
        <v>3200</v>
      </c>
      <c r="F33" s="3">
        <v>3200</v>
      </c>
      <c r="G33" s="3">
        <v>2240</v>
      </c>
      <c r="I33" t="s">
        <v>13</v>
      </c>
      <c r="J33" t="s">
        <v>11</v>
      </c>
      <c r="K33" t="s">
        <v>11</v>
      </c>
      <c r="L33" t="str">
        <f>T("9791166300196")</f>
        <v>9791166300196</v>
      </c>
    </row>
    <row r="34" spans="1:12">
      <c r="A34" s="2">
        <v>44774.721273148149</v>
      </c>
      <c r="B34">
        <v>295356530</v>
      </c>
      <c r="C34" t="s">
        <v>116</v>
      </c>
      <c r="D34" t="s">
        <v>9</v>
      </c>
      <c r="E34" s="3">
        <v>2500</v>
      </c>
      <c r="F34" s="3">
        <v>2500</v>
      </c>
      <c r="G34" s="3">
        <v>1750</v>
      </c>
      <c r="I34" t="s">
        <v>115</v>
      </c>
      <c r="J34" t="s">
        <v>40</v>
      </c>
      <c r="K34" t="s">
        <v>11</v>
      </c>
      <c r="L34" t="str">
        <f>T("9791191562460")</f>
        <v>9791191562460</v>
      </c>
    </row>
    <row r="35" spans="1:12">
      <c r="A35" s="2">
        <v>44774.736157407409</v>
      </c>
      <c r="B35">
        <v>298750948</v>
      </c>
      <c r="C35" t="s">
        <v>259</v>
      </c>
      <c r="D35" t="s">
        <v>9</v>
      </c>
      <c r="E35" s="3">
        <v>3500</v>
      </c>
      <c r="F35" s="3">
        <v>3500</v>
      </c>
      <c r="G35" s="3">
        <v>2450</v>
      </c>
      <c r="I35" t="s">
        <v>38</v>
      </c>
      <c r="J35" t="s">
        <v>40</v>
      </c>
      <c r="K35" t="s">
        <v>11</v>
      </c>
      <c r="L35" t="str">
        <f>T("9791191562866")</f>
        <v>9791191562866</v>
      </c>
    </row>
    <row r="36" spans="1:12">
      <c r="A36" s="2">
        <v>44774.738310185188</v>
      </c>
      <c r="B36">
        <v>297620121</v>
      </c>
      <c r="C36" t="s">
        <v>205</v>
      </c>
      <c r="D36" t="s">
        <v>9</v>
      </c>
      <c r="E36" s="3">
        <v>2000</v>
      </c>
      <c r="F36" s="3">
        <v>2000</v>
      </c>
      <c r="G36" s="3">
        <v>1400</v>
      </c>
      <c r="I36" t="s">
        <v>29</v>
      </c>
      <c r="J36" t="s">
        <v>40</v>
      </c>
      <c r="K36" t="s">
        <v>11</v>
      </c>
      <c r="L36" t="str">
        <f>T("9791191562484")</f>
        <v>9791191562484</v>
      </c>
    </row>
    <row r="37" spans="1:12">
      <c r="A37" s="2">
        <v>44774.739398148151</v>
      </c>
      <c r="B37">
        <v>295462572</v>
      </c>
      <c r="C37" t="s">
        <v>108</v>
      </c>
      <c r="D37" t="s">
        <v>9</v>
      </c>
      <c r="E37" s="3">
        <v>2000</v>
      </c>
      <c r="F37" s="3">
        <v>2000</v>
      </c>
      <c r="G37" s="3">
        <v>1400</v>
      </c>
      <c r="I37" t="s">
        <v>32</v>
      </c>
      <c r="J37" t="s">
        <v>40</v>
      </c>
      <c r="K37" t="s">
        <v>11</v>
      </c>
      <c r="L37" t="str">
        <f>T("9791191562361")</f>
        <v>9791191562361</v>
      </c>
    </row>
    <row r="38" spans="1:12">
      <c r="A38" s="2">
        <v>44774.755543981482</v>
      </c>
      <c r="B38">
        <v>298750948</v>
      </c>
      <c r="C38" t="s">
        <v>259</v>
      </c>
      <c r="D38" t="s">
        <v>9</v>
      </c>
      <c r="E38" s="3">
        <v>3500</v>
      </c>
      <c r="F38" s="3">
        <v>3500</v>
      </c>
      <c r="G38" s="3">
        <v>2450</v>
      </c>
      <c r="I38" t="s">
        <v>38</v>
      </c>
      <c r="J38" t="s">
        <v>40</v>
      </c>
      <c r="K38" t="s">
        <v>11</v>
      </c>
      <c r="L38" t="str">
        <f>T("9791191562866")</f>
        <v>9791191562866</v>
      </c>
    </row>
    <row r="39" spans="1:12">
      <c r="A39" s="2">
        <v>44774.760358796295</v>
      </c>
      <c r="B39">
        <v>291088925</v>
      </c>
      <c r="C39" t="s">
        <v>58</v>
      </c>
      <c r="D39" t="s">
        <v>9</v>
      </c>
      <c r="E39" s="3">
        <v>2000</v>
      </c>
      <c r="F39" s="3">
        <v>2000</v>
      </c>
      <c r="G39" s="3">
        <v>1400</v>
      </c>
      <c r="I39" t="s">
        <v>59</v>
      </c>
      <c r="J39" t="s">
        <v>40</v>
      </c>
      <c r="K39" t="s">
        <v>11</v>
      </c>
      <c r="L39" t="str">
        <f>T("9791191562187")</f>
        <v>9791191562187</v>
      </c>
    </row>
    <row r="40" spans="1:12">
      <c r="A40" s="2">
        <v>44774.765925925924</v>
      </c>
      <c r="B40">
        <v>297620121</v>
      </c>
      <c r="C40" t="s">
        <v>205</v>
      </c>
      <c r="D40" t="s">
        <v>9</v>
      </c>
      <c r="E40" s="3">
        <v>2000</v>
      </c>
      <c r="F40" s="3">
        <v>2000</v>
      </c>
      <c r="G40" s="3">
        <v>1400</v>
      </c>
      <c r="I40" t="s">
        <v>29</v>
      </c>
      <c r="J40" t="s">
        <v>40</v>
      </c>
      <c r="K40" t="s">
        <v>11</v>
      </c>
      <c r="L40" t="str">
        <f>T("9791191562484")</f>
        <v>9791191562484</v>
      </c>
    </row>
    <row r="41" spans="1:12">
      <c r="A41" s="2">
        <v>44774.782476851855</v>
      </c>
      <c r="B41">
        <v>298750948</v>
      </c>
      <c r="C41" t="s">
        <v>259</v>
      </c>
      <c r="D41" t="s">
        <v>9</v>
      </c>
      <c r="E41" s="3">
        <v>3500</v>
      </c>
      <c r="F41" s="3">
        <v>3500</v>
      </c>
      <c r="G41" s="3">
        <v>2450</v>
      </c>
      <c r="I41" t="s">
        <v>38</v>
      </c>
      <c r="J41" t="s">
        <v>40</v>
      </c>
      <c r="K41" t="s">
        <v>11</v>
      </c>
      <c r="L41" t="str">
        <f>T("9791191562866")</f>
        <v>9791191562866</v>
      </c>
    </row>
    <row r="42" spans="1:12">
      <c r="A42" s="2">
        <v>44774.824467592596</v>
      </c>
      <c r="B42">
        <v>291088925</v>
      </c>
      <c r="C42" t="s">
        <v>58</v>
      </c>
      <c r="D42" t="s">
        <v>9</v>
      </c>
      <c r="E42" s="3">
        <v>2000</v>
      </c>
      <c r="F42" s="3">
        <v>2000</v>
      </c>
      <c r="G42" s="3">
        <v>1400</v>
      </c>
      <c r="I42" t="s">
        <v>59</v>
      </c>
      <c r="J42" t="s">
        <v>40</v>
      </c>
      <c r="K42" t="s">
        <v>11</v>
      </c>
      <c r="L42" t="str">
        <f>T("9791191562187")</f>
        <v>9791191562187</v>
      </c>
    </row>
    <row r="43" spans="1:12">
      <c r="A43" s="2">
        <v>44774.846620370372</v>
      </c>
      <c r="B43">
        <v>297620121</v>
      </c>
      <c r="C43" t="s">
        <v>205</v>
      </c>
      <c r="D43" t="s">
        <v>9</v>
      </c>
      <c r="E43" s="3">
        <v>2000</v>
      </c>
      <c r="F43" s="3">
        <v>2000</v>
      </c>
      <c r="G43" s="3">
        <v>1400</v>
      </c>
      <c r="I43" t="s">
        <v>29</v>
      </c>
      <c r="J43" t="s">
        <v>40</v>
      </c>
      <c r="K43" t="s">
        <v>11</v>
      </c>
      <c r="L43" t="str">
        <f>T("9791191562484")</f>
        <v>9791191562484</v>
      </c>
    </row>
    <row r="44" spans="1:12">
      <c r="A44" s="2">
        <v>44774.856168981481</v>
      </c>
      <c r="B44">
        <v>298750948</v>
      </c>
      <c r="C44" t="s">
        <v>259</v>
      </c>
      <c r="D44" t="s">
        <v>9</v>
      </c>
      <c r="E44" s="3">
        <v>3500</v>
      </c>
      <c r="F44" s="3">
        <v>3500</v>
      </c>
      <c r="G44" s="3">
        <v>2450</v>
      </c>
      <c r="I44" t="s">
        <v>38</v>
      </c>
      <c r="J44" t="s">
        <v>40</v>
      </c>
      <c r="K44" t="s">
        <v>11</v>
      </c>
      <c r="L44" t="str">
        <f>T("9791191562866")</f>
        <v>9791191562866</v>
      </c>
    </row>
    <row r="45" spans="1:12">
      <c r="A45" s="2">
        <v>44774.856168981481</v>
      </c>
      <c r="B45">
        <v>289315562</v>
      </c>
      <c r="C45" t="s">
        <v>41</v>
      </c>
      <c r="D45" t="s">
        <v>9</v>
      </c>
      <c r="E45" s="3">
        <v>3000</v>
      </c>
      <c r="F45" s="3">
        <v>3000</v>
      </c>
      <c r="G45" s="3">
        <v>2100</v>
      </c>
      <c r="I45" t="s">
        <v>38</v>
      </c>
      <c r="J45" t="s">
        <v>40</v>
      </c>
      <c r="K45" t="s">
        <v>11</v>
      </c>
      <c r="L45" t="str">
        <f>T("9791191562101")</f>
        <v>9791191562101</v>
      </c>
    </row>
    <row r="46" spans="1:12">
      <c r="A46" s="2">
        <v>44774.875162037039</v>
      </c>
      <c r="B46">
        <v>292316442</v>
      </c>
      <c r="C46" t="s">
        <v>84</v>
      </c>
      <c r="D46" t="s">
        <v>9</v>
      </c>
      <c r="E46" s="3">
        <v>2500</v>
      </c>
      <c r="F46" s="3">
        <v>2500</v>
      </c>
      <c r="G46" s="3">
        <v>1750</v>
      </c>
      <c r="I46" t="s">
        <v>85</v>
      </c>
      <c r="J46" t="s">
        <v>40</v>
      </c>
      <c r="K46" t="s">
        <v>11</v>
      </c>
      <c r="L46" t="str">
        <f>T("9791191562309")</f>
        <v>9791191562309</v>
      </c>
    </row>
    <row r="47" spans="1:12">
      <c r="A47" s="2">
        <v>44774.884664351855</v>
      </c>
      <c r="B47">
        <v>297620121</v>
      </c>
      <c r="C47" t="s">
        <v>205</v>
      </c>
      <c r="D47" t="s">
        <v>9</v>
      </c>
      <c r="E47" s="3">
        <v>2000</v>
      </c>
      <c r="F47" s="3">
        <v>2000</v>
      </c>
      <c r="G47" s="3">
        <v>1400</v>
      </c>
      <c r="I47" t="s">
        <v>29</v>
      </c>
      <c r="J47" t="s">
        <v>40</v>
      </c>
      <c r="K47" t="s">
        <v>11</v>
      </c>
      <c r="L47" t="str">
        <f>T("9791191562484")</f>
        <v>9791191562484</v>
      </c>
    </row>
    <row r="48" spans="1:12">
      <c r="A48" s="2">
        <v>44774.895370370374</v>
      </c>
      <c r="B48">
        <v>297620121</v>
      </c>
      <c r="C48" t="s">
        <v>205</v>
      </c>
      <c r="D48" t="s">
        <v>9</v>
      </c>
      <c r="E48" s="3">
        <v>2000</v>
      </c>
      <c r="F48" s="3">
        <v>2000</v>
      </c>
      <c r="G48" s="3">
        <v>1400</v>
      </c>
      <c r="I48" t="s">
        <v>29</v>
      </c>
      <c r="J48" t="s">
        <v>40</v>
      </c>
      <c r="K48" t="s">
        <v>11</v>
      </c>
      <c r="L48" t="str">
        <f>T("9791191562484")</f>
        <v>9791191562484</v>
      </c>
    </row>
    <row r="49" spans="1:12">
      <c r="A49" s="2">
        <v>44774.906041666669</v>
      </c>
      <c r="B49">
        <v>292316442</v>
      </c>
      <c r="C49" t="s">
        <v>84</v>
      </c>
      <c r="D49" t="s">
        <v>9</v>
      </c>
      <c r="E49" s="3">
        <v>2500</v>
      </c>
      <c r="F49" s="3">
        <v>2500</v>
      </c>
      <c r="G49" s="3">
        <v>1750</v>
      </c>
      <c r="I49" t="s">
        <v>85</v>
      </c>
      <c r="J49" t="s">
        <v>40</v>
      </c>
      <c r="K49" t="s">
        <v>11</v>
      </c>
      <c r="L49" t="str">
        <f>T("9791191562309")</f>
        <v>9791191562309</v>
      </c>
    </row>
    <row r="50" spans="1:12">
      <c r="A50" s="2">
        <v>44774.908842592595</v>
      </c>
      <c r="B50">
        <v>298014671</v>
      </c>
      <c r="C50" t="s">
        <v>231</v>
      </c>
      <c r="D50" t="s">
        <v>9</v>
      </c>
      <c r="E50" s="3">
        <v>2500</v>
      </c>
      <c r="F50" s="3">
        <v>2500</v>
      </c>
      <c r="G50" s="3">
        <v>1750</v>
      </c>
      <c r="I50" t="s">
        <v>100</v>
      </c>
      <c r="J50" t="s">
        <v>40</v>
      </c>
      <c r="K50" t="s">
        <v>11</v>
      </c>
      <c r="L50" t="str">
        <f>T("9791191562835")</f>
        <v>9791191562835</v>
      </c>
    </row>
    <row r="51" spans="1:12">
      <c r="A51" s="2">
        <v>44774.913865740738</v>
      </c>
      <c r="B51">
        <v>298750948</v>
      </c>
      <c r="C51" t="s">
        <v>259</v>
      </c>
      <c r="D51" t="s">
        <v>9</v>
      </c>
      <c r="E51" s="3">
        <v>3500</v>
      </c>
      <c r="F51" s="3">
        <v>3500</v>
      </c>
      <c r="G51" s="3">
        <v>2450</v>
      </c>
      <c r="I51" t="s">
        <v>38</v>
      </c>
      <c r="J51" t="s">
        <v>40</v>
      </c>
      <c r="K51" t="s">
        <v>11</v>
      </c>
      <c r="L51" t="str">
        <f>T("9791191562866")</f>
        <v>9791191562866</v>
      </c>
    </row>
    <row r="52" spans="1:12">
      <c r="A52" s="2">
        <v>44774.929328703707</v>
      </c>
      <c r="B52">
        <v>297620121</v>
      </c>
      <c r="C52" t="s">
        <v>205</v>
      </c>
      <c r="D52" t="s">
        <v>9</v>
      </c>
      <c r="E52" s="3">
        <v>2000</v>
      </c>
      <c r="F52" s="3">
        <v>2000</v>
      </c>
      <c r="G52" s="3">
        <v>1400</v>
      </c>
      <c r="I52" t="s">
        <v>29</v>
      </c>
      <c r="J52" t="s">
        <v>40</v>
      </c>
      <c r="K52" t="s">
        <v>11</v>
      </c>
      <c r="L52" t="str">
        <f>T("9791191562484")</f>
        <v>9791191562484</v>
      </c>
    </row>
    <row r="53" spans="1:12">
      <c r="A53" s="2">
        <v>44774.957118055558</v>
      </c>
      <c r="B53">
        <v>291088925</v>
      </c>
      <c r="C53" t="s">
        <v>58</v>
      </c>
      <c r="D53" t="s">
        <v>9</v>
      </c>
      <c r="E53" s="3">
        <v>2000</v>
      </c>
      <c r="F53" s="3">
        <v>2000</v>
      </c>
      <c r="G53" s="3">
        <v>1400</v>
      </c>
      <c r="I53" t="s">
        <v>59</v>
      </c>
      <c r="J53" t="s">
        <v>40</v>
      </c>
      <c r="K53" t="s">
        <v>11</v>
      </c>
      <c r="L53" t="str">
        <f>T("9791191562187")</f>
        <v>9791191562187</v>
      </c>
    </row>
    <row r="54" spans="1:12">
      <c r="A54" s="2">
        <v>44774.963842592595</v>
      </c>
      <c r="B54">
        <v>291088925</v>
      </c>
      <c r="C54" t="s">
        <v>58</v>
      </c>
      <c r="D54" t="s">
        <v>9</v>
      </c>
      <c r="E54" s="3">
        <v>2000</v>
      </c>
      <c r="F54" s="3">
        <v>2000</v>
      </c>
      <c r="G54" s="3">
        <v>1400</v>
      </c>
      <c r="I54" t="s">
        <v>59</v>
      </c>
      <c r="J54" t="s">
        <v>40</v>
      </c>
      <c r="K54" t="s">
        <v>11</v>
      </c>
      <c r="L54" t="str">
        <f>T("9791191562187")</f>
        <v>9791191562187</v>
      </c>
    </row>
    <row r="55" spans="1:12">
      <c r="A55" s="2">
        <v>44774.970405092594</v>
      </c>
      <c r="B55">
        <v>291088925</v>
      </c>
      <c r="C55" t="s">
        <v>58</v>
      </c>
      <c r="D55" t="s">
        <v>9</v>
      </c>
      <c r="E55" s="3">
        <v>2000</v>
      </c>
      <c r="F55" s="3">
        <v>2000</v>
      </c>
      <c r="G55" s="3">
        <v>1400</v>
      </c>
      <c r="I55" t="s">
        <v>59</v>
      </c>
      <c r="J55" t="s">
        <v>40</v>
      </c>
      <c r="K55" t="s">
        <v>11</v>
      </c>
      <c r="L55" t="str">
        <f>T("9791191562187")</f>
        <v>9791191562187</v>
      </c>
    </row>
    <row r="56" spans="1:12">
      <c r="A56" s="2">
        <v>44774.982858796298</v>
      </c>
      <c r="B56">
        <v>297109357</v>
      </c>
      <c r="C56" t="s">
        <v>154</v>
      </c>
      <c r="D56" t="s">
        <v>9</v>
      </c>
      <c r="E56" s="3">
        <v>3600</v>
      </c>
      <c r="F56" s="3">
        <v>3600</v>
      </c>
      <c r="G56" s="3">
        <v>2520</v>
      </c>
      <c r="I56" t="s">
        <v>155</v>
      </c>
      <c r="J56" t="s">
        <v>40</v>
      </c>
      <c r="K56" t="s">
        <v>11</v>
      </c>
      <c r="L56" t="str">
        <f>T("9791191562774")</f>
        <v>9791191562774</v>
      </c>
    </row>
    <row r="57" spans="1:12">
      <c r="A57" s="2">
        <v>44774.994027777779</v>
      </c>
      <c r="B57">
        <v>282585762</v>
      </c>
      <c r="C57" t="s">
        <v>75</v>
      </c>
      <c r="D57" t="s">
        <v>9</v>
      </c>
      <c r="E57" s="3">
        <v>3000</v>
      </c>
      <c r="F57" s="3">
        <v>3000</v>
      </c>
      <c r="G57" s="3">
        <v>2100</v>
      </c>
      <c r="I57" t="s">
        <v>30</v>
      </c>
      <c r="J57" t="s">
        <v>71</v>
      </c>
      <c r="K57" t="s">
        <v>11</v>
      </c>
      <c r="L57" t="str">
        <f>T("9791164374625")</f>
        <v>9791164374625</v>
      </c>
    </row>
    <row r="58" spans="1:12">
      <c r="A58" s="2">
        <v>44775.019120370373</v>
      </c>
      <c r="B58">
        <v>297620121</v>
      </c>
      <c r="C58" t="s">
        <v>205</v>
      </c>
      <c r="D58" t="s">
        <v>9</v>
      </c>
      <c r="E58" s="3">
        <v>2000</v>
      </c>
      <c r="F58" s="3">
        <v>2000</v>
      </c>
      <c r="G58" s="3">
        <v>1400</v>
      </c>
      <c r="I58" t="s">
        <v>29</v>
      </c>
      <c r="J58" t="s">
        <v>40</v>
      </c>
      <c r="K58" t="s">
        <v>11</v>
      </c>
      <c r="L58" t="str">
        <f>T("9791191562484")</f>
        <v>9791191562484</v>
      </c>
    </row>
    <row r="59" spans="1:12">
      <c r="A59" s="2">
        <v>44775.019270833334</v>
      </c>
      <c r="B59">
        <v>295356530</v>
      </c>
      <c r="C59" t="s">
        <v>116</v>
      </c>
      <c r="D59" t="s">
        <v>9</v>
      </c>
      <c r="E59" s="3">
        <v>2500</v>
      </c>
      <c r="F59" s="3">
        <v>2500</v>
      </c>
      <c r="G59" s="3">
        <v>1750</v>
      </c>
      <c r="I59" t="s">
        <v>115</v>
      </c>
      <c r="J59" t="s">
        <v>40</v>
      </c>
      <c r="K59" t="s">
        <v>11</v>
      </c>
      <c r="L59" t="str">
        <f>T("9791191562460")</f>
        <v>9791191562460</v>
      </c>
    </row>
    <row r="60" spans="1:12">
      <c r="A60" s="2">
        <v>44775.058912037035</v>
      </c>
      <c r="B60">
        <v>298750948</v>
      </c>
      <c r="C60" t="s">
        <v>259</v>
      </c>
      <c r="D60" t="s">
        <v>9</v>
      </c>
      <c r="E60" s="3">
        <v>3500</v>
      </c>
      <c r="F60" s="3">
        <v>3500</v>
      </c>
      <c r="G60" s="3">
        <v>2450</v>
      </c>
      <c r="I60" t="s">
        <v>38</v>
      </c>
      <c r="J60" t="s">
        <v>40</v>
      </c>
      <c r="K60" t="s">
        <v>11</v>
      </c>
      <c r="L60" t="str">
        <f>T("9791191562866")</f>
        <v>9791191562866</v>
      </c>
    </row>
    <row r="61" spans="1:12">
      <c r="A61" s="2">
        <v>44775.157835648148</v>
      </c>
      <c r="B61">
        <v>295836446</v>
      </c>
      <c r="C61" t="s">
        <v>129</v>
      </c>
      <c r="D61" t="s">
        <v>9</v>
      </c>
      <c r="E61" s="3">
        <v>2000</v>
      </c>
      <c r="F61" s="3">
        <v>2000</v>
      </c>
      <c r="G61" s="3">
        <v>1400</v>
      </c>
      <c r="I61" t="s">
        <v>59</v>
      </c>
      <c r="J61" t="s">
        <v>40</v>
      </c>
      <c r="K61" t="s">
        <v>11</v>
      </c>
      <c r="L61" t="str">
        <f>T("9791191562798")</f>
        <v>9791191562798</v>
      </c>
    </row>
    <row r="62" spans="1:12">
      <c r="A62" s="2">
        <v>44775.265034722222</v>
      </c>
      <c r="B62">
        <v>297620121</v>
      </c>
      <c r="C62" t="s">
        <v>205</v>
      </c>
      <c r="D62" t="s">
        <v>9</v>
      </c>
      <c r="E62" s="3">
        <v>2000</v>
      </c>
      <c r="F62" s="3">
        <v>2000</v>
      </c>
      <c r="G62" s="3">
        <v>1400</v>
      </c>
      <c r="I62" t="s">
        <v>29</v>
      </c>
      <c r="J62" t="s">
        <v>40</v>
      </c>
      <c r="K62" t="s">
        <v>11</v>
      </c>
      <c r="L62" t="str">
        <f>T("9791191562484")</f>
        <v>9791191562484</v>
      </c>
    </row>
    <row r="63" spans="1:12">
      <c r="A63" s="2">
        <v>44775.265034722222</v>
      </c>
      <c r="B63">
        <v>298375208</v>
      </c>
      <c r="C63" t="s">
        <v>239</v>
      </c>
      <c r="D63" t="s">
        <v>9</v>
      </c>
      <c r="E63" s="3">
        <v>2500</v>
      </c>
      <c r="F63" s="3">
        <v>2500</v>
      </c>
      <c r="G63" s="3">
        <v>1750</v>
      </c>
      <c r="I63" t="s">
        <v>240</v>
      </c>
      <c r="J63" t="s">
        <v>40</v>
      </c>
      <c r="K63" t="s">
        <v>11</v>
      </c>
      <c r="L63" t="str">
        <f>T("9791191562842")</f>
        <v>9791191562842</v>
      </c>
    </row>
    <row r="64" spans="1:12">
      <c r="A64" s="2">
        <v>44775.294710648152</v>
      </c>
      <c r="B64">
        <v>298750948</v>
      </c>
      <c r="C64" t="s">
        <v>259</v>
      </c>
      <c r="D64" t="s">
        <v>9</v>
      </c>
      <c r="E64" s="3">
        <v>3500</v>
      </c>
      <c r="F64" s="3">
        <v>3500</v>
      </c>
      <c r="G64" s="3">
        <v>2450</v>
      </c>
      <c r="I64" t="s">
        <v>38</v>
      </c>
      <c r="J64" t="s">
        <v>40</v>
      </c>
      <c r="K64" t="s">
        <v>11</v>
      </c>
      <c r="L64" t="str">
        <f>T("9791191562866")</f>
        <v>9791191562866</v>
      </c>
    </row>
    <row r="65" spans="1:12">
      <c r="A65" s="2">
        <v>44775.407696759263</v>
      </c>
      <c r="B65">
        <v>298750948</v>
      </c>
      <c r="C65" t="s">
        <v>259</v>
      </c>
      <c r="D65" t="s">
        <v>9</v>
      </c>
      <c r="E65" s="3">
        <v>3500</v>
      </c>
      <c r="F65" s="3">
        <v>3500</v>
      </c>
      <c r="G65" s="3">
        <v>2450</v>
      </c>
      <c r="I65" t="s">
        <v>38</v>
      </c>
      <c r="J65" t="s">
        <v>40</v>
      </c>
      <c r="K65" t="s">
        <v>11</v>
      </c>
      <c r="L65" t="str">
        <f>T("9791191562866")</f>
        <v>9791191562866</v>
      </c>
    </row>
    <row r="66" spans="1:12">
      <c r="A66" s="2">
        <v>44775.411539351851</v>
      </c>
      <c r="B66">
        <v>298750948</v>
      </c>
      <c r="C66" t="s">
        <v>259</v>
      </c>
      <c r="D66" t="s">
        <v>9</v>
      </c>
      <c r="E66" s="3">
        <v>3500</v>
      </c>
      <c r="F66" s="3">
        <v>3500</v>
      </c>
      <c r="G66" s="3">
        <v>2450</v>
      </c>
      <c r="I66" t="s">
        <v>38</v>
      </c>
      <c r="J66" t="s">
        <v>40</v>
      </c>
      <c r="K66" t="s">
        <v>11</v>
      </c>
      <c r="L66" t="str">
        <f>T("9791191562866")</f>
        <v>9791191562866</v>
      </c>
    </row>
    <row r="67" spans="1:12">
      <c r="A67" s="2">
        <v>44775.418414351851</v>
      </c>
      <c r="B67">
        <v>298750948</v>
      </c>
      <c r="C67" t="s">
        <v>259</v>
      </c>
      <c r="D67" t="s">
        <v>9</v>
      </c>
      <c r="E67" s="3">
        <v>3500</v>
      </c>
      <c r="F67" s="3">
        <v>3500</v>
      </c>
      <c r="G67" s="3">
        <v>2450</v>
      </c>
      <c r="I67" t="s">
        <v>38</v>
      </c>
      <c r="J67" t="s">
        <v>40</v>
      </c>
      <c r="K67" t="s">
        <v>11</v>
      </c>
      <c r="L67" t="str">
        <f>T("9791191562866")</f>
        <v>9791191562866</v>
      </c>
    </row>
    <row r="68" spans="1:12">
      <c r="A68" s="2">
        <v>44775.418680555558</v>
      </c>
      <c r="B68">
        <v>248690927</v>
      </c>
      <c r="C68" t="s">
        <v>266</v>
      </c>
      <c r="D68" t="s">
        <v>12</v>
      </c>
      <c r="E68">
        <v>900</v>
      </c>
      <c r="F68">
        <v>900</v>
      </c>
      <c r="G68">
        <v>630</v>
      </c>
      <c r="I68" t="s">
        <v>20</v>
      </c>
      <c r="J68" t="s">
        <v>17</v>
      </c>
      <c r="K68" t="s">
        <v>11</v>
      </c>
      <c r="L68" t="str">
        <f>T("9791166000287")</f>
        <v>9791166000287</v>
      </c>
    </row>
    <row r="69" spans="1:12">
      <c r="A69" s="2">
        <v>44775.432187500002</v>
      </c>
      <c r="B69">
        <v>298750948</v>
      </c>
      <c r="C69" t="s">
        <v>259</v>
      </c>
      <c r="D69" t="s">
        <v>9</v>
      </c>
      <c r="E69" s="3">
        <v>3500</v>
      </c>
      <c r="F69" s="3">
        <v>3500</v>
      </c>
      <c r="G69" s="3">
        <v>2450</v>
      </c>
      <c r="I69" t="s">
        <v>38</v>
      </c>
      <c r="J69" t="s">
        <v>40</v>
      </c>
      <c r="K69" t="s">
        <v>11</v>
      </c>
      <c r="L69" t="str">
        <f>T("9791191562866")</f>
        <v>9791191562866</v>
      </c>
    </row>
    <row r="70" spans="1:12">
      <c r="A70" s="2">
        <v>44775.470543981479</v>
      </c>
      <c r="B70">
        <v>282585762</v>
      </c>
      <c r="C70" t="s">
        <v>75</v>
      </c>
      <c r="D70" t="s">
        <v>9</v>
      </c>
      <c r="E70" s="3">
        <v>3000</v>
      </c>
      <c r="F70" s="3">
        <v>3000</v>
      </c>
      <c r="G70" s="3">
        <v>2100</v>
      </c>
      <c r="I70" t="s">
        <v>30</v>
      </c>
      <c r="J70" t="s">
        <v>71</v>
      </c>
      <c r="K70" t="s">
        <v>11</v>
      </c>
      <c r="L70" t="str">
        <f>T("9791164374625")</f>
        <v>9791164374625</v>
      </c>
    </row>
    <row r="71" spans="1:12">
      <c r="A71" s="2">
        <v>44775.470543981479</v>
      </c>
      <c r="B71">
        <v>282585770</v>
      </c>
      <c r="C71" t="s">
        <v>74</v>
      </c>
      <c r="D71" t="s">
        <v>9</v>
      </c>
      <c r="E71" s="3">
        <v>3000</v>
      </c>
      <c r="F71" s="3">
        <v>3000</v>
      </c>
      <c r="G71" s="3">
        <v>2100</v>
      </c>
      <c r="I71" t="s">
        <v>30</v>
      </c>
      <c r="J71" t="s">
        <v>71</v>
      </c>
      <c r="K71" t="s">
        <v>11</v>
      </c>
      <c r="L71" t="str">
        <f>T("9791164374618")</f>
        <v>9791164374618</v>
      </c>
    </row>
    <row r="72" spans="1:12">
      <c r="A72" s="2">
        <v>44775.503275462965</v>
      </c>
      <c r="B72">
        <v>291088925</v>
      </c>
      <c r="C72" t="s">
        <v>58</v>
      </c>
      <c r="D72" t="s">
        <v>9</v>
      </c>
      <c r="E72" s="3">
        <v>2000</v>
      </c>
      <c r="F72" s="3">
        <v>2000</v>
      </c>
      <c r="G72" s="3">
        <v>1400</v>
      </c>
      <c r="I72" t="s">
        <v>59</v>
      </c>
      <c r="J72" t="s">
        <v>40</v>
      </c>
      <c r="K72" t="s">
        <v>11</v>
      </c>
      <c r="L72" t="str">
        <f>T("9791191562187")</f>
        <v>9791191562187</v>
      </c>
    </row>
    <row r="73" spans="1:12">
      <c r="A73" s="2">
        <v>44775.505601851852</v>
      </c>
      <c r="B73">
        <v>297620121</v>
      </c>
      <c r="C73" t="s">
        <v>205</v>
      </c>
      <c r="D73" t="s">
        <v>9</v>
      </c>
      <c r="E73" s="3">
        <v>2000</v>
      </c>
      <c r="F73" s="3">
        <v>2000</v>
      </c>
      <c r="G73" s="3">
        <v>1400</v>
      </c>
      <c r="I73" t="s">
        <v>29</v>
      </c>
      <c r="J73" t="s">
        <v>40</v>
      </c>
      <c r="K73" t="s">
        <v>11</v>
      </c>
      <c r="L73" t="str">
        <f>T("9791191562484")</f>
        <v>9791191562484</v>
      </c>
    </row>
    <row r="74" spans="1:12">
      <c r="A74" s="2">
        <v>44775.515347222223</v>
      </c>
      <c r="B74">
        <v>291088925</v>
      </c>
      <c r="C74" t="s">
        <v>58</v>
      </c>
      <c r="D74" t="s">
        <v>9</v>
      </c>
      <c r="E74" s="3">
        <v>2000</v>
      </c>
      <c r="F74" s="3">
        <v>2000</v>
      </c>
      <c r="G74" s="3">
        <v>1400</v>
      </c>
      <c r="I74" t="s">
        <v>59</v>
      </c>
      <c r="J74" t="s">
        <v>40</v>
      </c>
      <c r="K74" t="s">
        <v>11</v>
      </c>
      <c r="L74" t="str">
        <f>T("9791191562187")</f>
        <v>9791191562187</v>
      </c>
    </row>
    <row r="75" spans="1:12">
      <c r="A75" s="2">
        <v>44775.540011574078</v>
      </c>
      <c r="B75">
        <v>295462572</v>
      </c>
      <c r="C75" t="s">
        <v>108</v>
      </c>
      <c r="D75" t="s">
        <v>9</v>
      </c>
      <c r="E75" s="3">
        <v>2000</v>
      </c>
      <c r="F75" s="3">
        <v>2000</v>
      </c>
      <c r="G75" s="3">
        <v>1400</v>
      </c>
      <c r="I75" t="s">
        <v>32</v>
      </c>
      <c r="J75" t="s">
        <v>40</v>
      </c>
      <c r="K75" t="s">
        <v>11</v>
      </c>
      <c r="L75" t="str">
        <f>T("9791191562361")</f>
        <v>9791191562361</v>
      </c>
    </row>
    <row r="76" spans="1:12">
      <c r="A76" s="2">
        <v>44775.627199074072</v>
      </c>
      <c r="B76">
        <v>221767247</v>
      </c>
      <c r="C76" t="s">
        <v>136</v>
      </c>
      <c r="D76" t="s">
        <v>9</v>
      </c>
      <c r="E76">
        <v>300</v>
      </c>
      <c r="F76">
        <v>300</v>
      </c>
      <c r="G76">
        <v>210</v>
      </c>
      <c r="I76" t="s">
        <v>137</v>
      </c>
      <c r="J76" t="s">
        <v>71</v>
      </c>
      <c r="K76" t="s">
        <v>11</v>
      </c>
      <c r="L76" t="str">
        <f>T("9791164371303")</f>
        <v>9791164371303</v>
      </c>
    </row>
    <row r="77" spans="1:12">
      <c r="A77" s="2">
        <v>44775.636041666665</v>
      </c>
      <c r="B77">
        <v>298375208</v>
      </c>
      <c r="C77" t="s">
        <v>239</v>
      </c>
      <c r="D77" t="s">
        <v>9</v>
      </c>
      <c r="E77" s="3">
        <v>2500</v>
      </c>
      <c r="F77" s="3">
        <v>2500</v>
      </c>
      <c r="G77" s="3">
        <v>1750</v>
      </c>
      <c r="I77" t="s">
        <v>240</v>
      </c>
      <c r="J77" t="s">
        <v>40</v>
      </c>
      <c r="K77" t="s">
        <v>11</v>
      </c>
      <c r="L77" t="str">
        <f>T("9791191562842")</f>
        <v>9791191562842</v>
      </c>
    </row>
    <row r="78" spans="1:12">
      <c r="A78" s="2">
        <v>44775.67454861111</v>
      </c>
      <c r="B78">
        <v>297620121</v>
      </c>
      <c r="C78" t="s">
        <v>205</v>
      </c>
      <c r="D78" t="s">
        <v>9</v>
      </c>
      <c r="E78" s="3">
        <v>2000</v>
      </c>
      <c r="F78" s="3">
        <v>2000</v>
      </c>
      <c r="G78" s="3">
        <v>1400</v>
      </c>
      <c r="I78" t="s">
        <v>29</v>
      </c>
      <c r="J78" t="s">
        <v>40</v>
      </c>
      <c r="K78" t="s">
        <v>11</v>
      </c>
      <c r="L78" t="str">
        <f>T("9791191562484")</f>
        <v>9791191562484</v>
      </c>
    </row>
    <row r="79" spans="1:12">
      <c r="A79" s="2">
        <v>44775.726493055554</v>
      </c>
      <c r="B79">
        <v>297319246</v>
      </c>
      <c r="C79" t="s">
        <v>168</v>
      </c>
      <c r="D79" t="s">
        <v>9</v>
      </c>
      <c r="E79" s="3">
        <v>2700</v>
      </c>
      <c r="F79" s="3">
        <v>2700</v>
      </c>
      <c r="G79" s="3">
        <v>1890</v>
      </c>
      <c r="I79" t="s">
        <v>165</v>
      </c>
      <c r="J79" t="s">
        <v>267</v>
      </c>
      <c r="K79" t="s">
        <v>11</v>
      </c>
      <c r="L79" t="str">
        <f>T("9791137604247")</f>
        <v>9791137604247</v>
      </c>
    </row>
    <row r="80" spans="1:12">
      <c r="A80" s="2">
        <v>44775.734722222223</v>
      </c>
      <c r="B80">
        <v>284241808</v>
      </c>
      <c r="C80" t="s">
        <v>27</v>
      </c>
      <c r="D80" t="s">
        <v>9</v>
      </c>
      <c r="E80" s="3">
        <v>3600</v>
      </c>
      <c r="F80" s="3">
        <v>3600</v>
      </c>
      <c r="G80" s="3">
        <v>2520</v>
      </c>
      <c r="I80" t="s">
        <v>21</v>
      </c>
      <c r="J80" t="s">
        <v>45</v>
      </c>
      <c r="K80" t="s">
        <v>11</v>
      </c>
      <c r="L80" t="str">
        <f>T("9791166482557")</f>
        <v>9791166482557</v>
      </c>
    </row>
    <row r="81" spans="1:12">
      <c r="A81" s="2">
        <v>44775.745162037034</v>
      </c>
      <c r="B81">
        <v>297620121</v>
      </c>
      <c r="C81" t="s">
        <v>205</v>
      </c>
      <c r="D81" t="s">
        <v>9</v>
      </c>
      <c r="E81" s="3">
        <v>2000</v>
      </c>
      <c r="F81" s="3">
        <v>2000</v>
      </c>
      <c r="G81" s="3">
        <v>1400</v>
      </c>
      <c r="I81" t="s">
        <v>29</v>
      </c>
      <c r="J81" t="s">
        <v>40</v>
      </c>
      <c r="K81" t="s">
        <v>11</v>
      </c>
      <c r="L81" t="str">
        <f>T("9791191562484")</f>
        <v>9791191562484</v>
      </c>
    </row>
    <row r="82" spans="1:12">
      <c r="A82" s="2">
        <v>44775.788564814815</v>
      </c>
      <c r="B82">
        <v>254604246</v>
      </c>
      <c r="C82" t="s">
        <v>268</v>
      </c>
      <c r="D82" t="s">
        <v>9</v>
      </c>
      <c r="E82" s="3">
        <v>3200</v>
      </c>
      <c r="F82" s="3">
        <v>3200</v>
      </c>
      <c r="G82" s="3">
        <v>2240</v>
      </c>
      <c r="I82" t="s">
        <v>13</v>
      </c>
      <c r="J82" t="s">
        <v>11</v>
      </c>
      <c r="K82" t="s">
        <v>11</v>
      </c>
      <c r="L82" t="str">
        <f>T("9791166300219")</f>
        <v>9791166300219</v>
      </c>
    </row>
    <row r="83" spans="1:12">
      <c r="A83" s="2">
        <v>44775.788564814815</v>
      </c>
      <c r="B83">
        <v>254604255</v>
      </c>
      <c r="C83" t="s">
        <v>269</v>
      </c>
      <c r="D83" t="s">
        <v>9</v>
      </c>
      <c r="E83" s="3">
        <v>3200</v>
      </c>
      <c r="F83" s="3">
        <v>3200</v>
      </c>
      <c r="G83" s="3">
        <v>2240</v>
      </c>
      <c r="I83" t="s">
        <v>13</v>
      </c>
      <c r="J83" t="s">
        <v>11</v>
      </c>
      <c r="K83" t="s">
        <v>11</v>
      </c>
      <c r="L83" t="str">
        <f>T("9791166300226")</f>
        <v>9791166300226</v>
      </c>
    </row>
    <row r="84" spans="1:12">
      <c r="A84" s="2">
        <v>44775.804456018515</v>
      </c>
      <c r="B84">
        <v>286120639</v>
      </c>
      <c r="C84" t="s">
        <v>270</v>
      </c>
      <c r="D84" t="s">
        <v>9</v>
      </c>
      <c r="E84" s="3">
        <v>3200</v>
      </c>
      <c r="F84" s="3">
        <v>3200</v>
      </c>
      <c r="G84" s="3">
        <v>2240</v>
      </c>
      <c r="I84" t="s">
        <v>244</v>
      </c>
      <c r="J84" t="s">
        <v>45</v>
      </c>
      <c r="K84" t="s">
        <v>11</v>
      </c>
      <c r="L84" t="str">
        <f>T("9791166482663")</f>
        <v>9791166482663</v>
      </c>
    </row>
    <row r="85" spans="1:12">
      <c r="A85" s="2">
        <v>44775.826006944444</v>
      </c>
      <c r="B85">
        <v>295216088</v>
      </c>
      <c r="C85" t="s">
        <v>114</v>
      </c>
      <c r="D85" t="s">
        <v>9</v>
      </c>
      <c r="E85" s="3">
        <v>2500</v>
      </c>
      <c r="F85" s="3">
        <v>2500</v>
      </c>
      <c r="G85" s="3">
        <v>1750</v>
      </c>
      <c r="I85" t="s">
        <v>113</v>
      </c>
      <c r="J85" t="s">
        <v>40</v>
      </c>
      <c r="K85" t="s">
        <v>11</v>
      </c>
      <c r="L85" t="str">
        <f>T("9791191562453")</f>
        <v>9791191562453</v>
      </c>
    </row>
    <row r="86" spans="1:12">
      <c r="A86" s="2">
        <v>44775.827002314814</v>
      </c>
      <c r="B86">
        <v>295216088</v>
      </c>
      <c r="C86" t="s">
        <v>114</v>
      </c>
      <c r="D86" t="s">
        <v>9</v>
      </c>
      <c r="E86" s="3">
        <v>-2500</v>
      </c>
      <c r="F86" s="3">
        <v>-2500</v>
      </c>
      <c r="G86" s="3">
        <v>-1750</v>
      </c>
      <c r="H86" s="2">
        <v>44775.826006944444</v>
      </c>
      <c r="I86" t="s">
        <v>113</v>
      </c>
      <c r="J86" t="s">
        <v>40</v>
      </c>
      <c r="K86" t="s">
        <v>11</v>
      </c>
      <c r="L86" t="str">
        <f>T("9791191562453")</f>
        <v>9791191562453</v>
      </c>
    </row>
    <row r="87" spans="1:12">
      <c r="A87" s="2">
        <v>44775.829942129632</v>
      </c>
      <c r="B87">
        <v>295216088</v>
      </c>
      <c r="C87" t="s">
        <v>114</v>
      </c>
      <c r="D87" t="s">
        <v>9</v>
      </c>
      <c r="E87" s="3">
        <v>2500</v>
      </c>
      <c r="F87" s="3">
        <v>2500</v>
      </c>
      <c r="G87" s="3">
        <v>1750</v>
      </c>
      <c r="I87" t="s">
        <v>113</v>
      </c>
      <c r="J87" t="s">
        <v>40</v>
      </c>
      <c r="K87" t="s">
        <v>11</v>
      </c>
      <c r="L87" t="str">
        <f>T("9791191562453")</f>
        <v>9791191562453</v>
      </c>
    </row>
    <row r="88" spans="1:12">
      <c r="A88" s="2">
        <v>44775.852106481485</v>
      </c>
      <c r="B88">
        <v>297620121</v>
      </c>
      <c r="C88" t="s">
        <v>205</v>
      </c>
      <c r="D88" t="s">
        <v>9</v>
      </c>
      <c r="E88" s="3">
        <v>2000</v>
      </c>
      <c r="F88" s="3">
        <v>2000</v>
      </c>
      <c r="G88" s="3">
        <v>1400</v>
      </c>
      <c r="I88" t="s">
        <v>29</v>
      </c>
      <c r="J88" t="s">
        <v>40</v>
      </c>
      <c r="K88" t="s">
        <v>11</v>
      </c>
      <c r="L88" t="str">
        <f>T("9791191562484")</f>
        <v>9791191562484</v>
      </c>
    </row>
    <row r="89" spans="1:12">
      <c r="A89" s="2">
        <v>44775.858032407406</v>
      </c>
      <c r="B89">
        <v>298750948</v>
      </c>
      <c r="C89" t="s">
        <v>259</v>
      </c>
      <c r="D89" t="s">
        <v>9</v>
      </c>
      <c r="E89" s="3">
        <v>3500</v>
      </c>
      <c r="F89" s="3">
        <v>3500</v>
      </c>
      <c r="G89" s="3">
        <v>2450</v>
      </c>
      <c r="I89" t="s">
        <v>38</v>
      </c>
      <c r="J89" t="s">
        <v>40</v>
      </c>
      <c r="K89" t="s">
        <v>11</v>
      </c>
      <c r="L89" t="str">
        <f>T("9791191562866")</f>
        <v>9791191562866</v>
      </c>
    </row>
    <row r="90" spans="1:12">
      <c r="A90" s="2">
        <v>44775.872384259259</v>
      </c>
      <c r="B90">
        <v>254628542</v>
      </c>
      <c r="C90" t="s">
        <v>156</v>
      </c>
      <c r="D90" t="s">
        <v>9</v>
      </c>
      <c r="E90" s="3">
        <v>22400</v>
      </c>
      <c r="F90" s="3">
        <v>22400</v>
      </c>
      <c r="G90" s="3">
        <v>15680</v>
      </c>
      <c r="I90" t="s">
        <v>124</v>
      </c>
      <c r="J90" t="s">
        <v>11</v>
      </c>
      <c r="K90" t="s">
        <v>11</v>
      </c>
      <c r="L90" t="str">
        <f>T("9791166069260")</f>
        <v>9791166069260</v>
      </c>
    </row>
    <row r="91" spans="1:12">
      <c r="A91" s="2">
        <v>44775.876921296294</v>
      </c>
      <c r="B91">
        <v>298750948</v>
      </c>
      <c r="C91" t="s">
        <v>259</v>
      </c>
      <c r="D91" t="s">
        <v>9</v>
      </c>
      <c r="E91" s="3">
        <v>3500</v>
      </c>
      <c r="F91" s="3">
        <v>3500</v>
      </c>
      <c r="G91" s="3">
        <v>2450</v>
      </c>
      <c r="I91" t="s">
        <v>38</v>
      </c>
      <c r="J91" t="s">
        <v>40</v>
      </c>
      <c r="K91" t="s">
        <v>11</v>
      </c>
      <c r="L91" t="str">
        <f>T("9791191562866")</f>
        <v>9791191562866</v>
      </c>
    </row>
    <row r="92" spans="1:12">
      <c r="A92" s="2">
        <v>44775.877893518518</v>
      </c>
      <c r="B92">
        <v>287367240</v>
      </c>
      <c r="C92" t="s">
        <v>257</v>
      </c>
      <c r="D92" t="s">
        <v>9</v>
      </c>
      <c r="E92" s="3">
        <v>6600</v>
      </c>
      <c r="F92" s="3">
        <v>6600</v>
      </c>
      <c r="G92" s="3">
        <v>4620</v>
      </c>
      <c r="I92" t="s">
        <v>258</v>
      </c>
      <c r="J92" t="s">
        <v>71</v>
      </c>
      <c r="K92" t="s">
        <v>11</v>
      </c>
      <c r="L92" t="str">
        <f>T("9791164374793")</f>
        <v>9791164374793</v>
      </c>
    </row>
    <row r="93" spans="1:12">
      <c r="A93" s="2">
        <v>44775.885023148148</v>
      </c>
      <c r="B93">
        <v>298750948</v>
      </c>
      <c r="C93" t="s">
        <v>259</v>
      </c>
      <c r="D93" t="s">
        <v>9</v>
      </c>
      <c r="E93" s="3">
        <v>3500</v>
      </c>
      <c r="F93" s="3">
        <v>3500</v>
      </c>
      <c r="G93" s="3">
        <v>2450</v>
      </c>
      <c r="I93" t="s">
        <v>38</v>
      </c>
      <c r="J93" t="s">
        <v>40</v>
      </c>
      <c r="K93" t="s">
        <v>11</v>
      </c>
      <c r="L93" t="str">
        <f>T("9791191562866")</f>
        <v>9791191562866</v>
      </c>
    </row>
    <row r="94" spans="1:12">
      <c r="A94" s="2">
        <v>44775.937881944446</v>
      </c>
      <c r="B94">
        <v>202643281</v>
      </c>
      <c r="C94" t="s">
        <v>238</v>
      </c>
      <c r="D94" t="s">
        <v>9</v>
      </c>
      <c r="E94" s="3">
        <v>6100</v>
      </c>
      <c r="F94" s="3">
        <v>6100</v>
      </c>
      <c r="G94" s="3">
        <v>4270</v>
      </c>
      <c r="I94" t="s">
        <v>77</v>
      </c>
      <c r="J94" t="s">
        <v>71</v>
      </c>
      <c r="K94" t="s">
        <v>11</v>
      </c>
      <c r="L94" t="str">
        <f>T("9791164370726")</f>
        <v>9791164370726</v>
      </c>
    </row>
    <row r="95" spans="1:12">
      <c r="A95" s="2">
        <v>44775.93855324074</v>
      </c>
      <c r="B95">
        <v>290197934</v>
      </c>
      <c r="C95" t="s">
        <v>48</v>
      </c>
      <c r="D95" t="s">
        <v>9</v>
      </c>
      <c r="E95" s="3">
        <v>2000</v>
      </c>
      <c r="F95" s="3">
        <v>2000</v>
      </c>
      <c r="G95" s="3">
        <v>1400</v>
      </c>
      <c r="I95" t="s">
        <v>49</v>
      </c>
      <c r="J95" t="s">
        <v>40</v>
      </c>
      <c r="K95" t="s">
        <v>11</v>
      </c>
      <c r="L95" t="str">
        <f>T("9791191562163")</f>
        <v>9791191562163</v>
      </c>
    </row>
    <row r="96" spans="1:12">
      <c r="A96" s="2">
        <v>44775.9452662037</v>
      </c>
      <c r="B96">
        <v>294674998</v>
      </c>
      <c r="C96" t="s">
        <v>112</v>
      </c>
      <c r="D96" t="s">
        <v>9</v>
      </c>
      <c r="E96" s="3">
        <v>2000</v>
      </c>
      <c r="F96" s="3">
        <v>2000</v>
      </c>
      <c r="G96" s="3">
        <v>1400</v>
      </c>
      <c r="I96" t="s">
        <v>111</v>
      </c>
      <c r="J96" t="s">
        <v>40</v>
      </c>
      <c r="K96" t="s">
        <v>11</v>
      </c>
      <c r="L96" t="str">
        <f>T("9791191562385")</f>
        <v>9791191562385</v>
      </c>
    </row>
    <row r="97" spans="1:12">
      <c r="A97" s="2">
        <v>44775.949016203704</v>
      </c>
      <c r="B97">
        <v>291088925</v>
      </c>
      <c r="C97" t="s">
        <v>58</v>
      </c>
      <c r="D97" t="s">
        <v>9</v>
      </c>
      <c r="E97" s="3">
        <v>2000</v>
      </c>
      <c r="F97" s="3">
        <v>2000</v>
      </c>
      <c r="G97" s="3">
        <v>1400</v>
      </c>
      <c r="I97" t="s">
        <v>59</v>
      </c>
      <c r="J97" t="s">
        <v>40</v>
      </c>
      <c r="K97" t="s">
        <v>11</v>
      </c>
      <c r="L97" t="str">
        <f>T("9791191562187")</f>
        <v>9791191562187</v>
      </c>
    </row>
    <row r="98" spans="1:12">
      <c r="A98" s="2">
        <v>44775.964062500003</v>
      </c>
      <c r="B98">
        <v>293484295</v>
      </c>
      <c r="C98" t="s">
        <v>106</v>
      </c>
      <c r="D98" t="s">
        <v>9</v>
      </c>
      <c r="E98" s="3">
        <v>3500</v>
      </c>
      <c r="F98" s="3">
        <v>3500</v>
      </c>
      <c r="G98" s="3">
        <v>2450</v>
      </c>
      <c r="I98" t="s">
        <v>107</v>
      </c>
      <c r="J98" t="s">
        <v>40</v>
      </c>
      <c r="K98" t="s">
        <v>11</v>
      </c>
      <c r="L98" t="str">
        <f>T("9791191562330")</f>
        <v>9791191562330</v>
      </c>
    </row>
    <row r="99" spans="1:12">
      <c r="A99" s="2">
        <v>44775.978634259256</v>
      </c>
      <c r="B99">
        <v>297109357</v>
      </c>
      <c r="C99" t="s">
        <v>154</v>
      </c>
      <c r="D99" t="s">
        <v>9</v>
      </c>
      <c r="E99" s="3">
        <v>3600</v>
      </c>
      <c r="F99" s="3">
        <v>3600</v>
      </c>
      <c r="G99" s="3">
        <v>2520</v>
      </c>
      <c r="I99" t="s">
        <v>155</v>
      </c>
      <c r="J99" t="s">
        <v>40</v>
      </c>
      <c r="K99" t="s">
        <v>11</v>
      </c>
      <c r="L99" t="str">
        <f>T("9791191562774")</f>
        <v>9791191562774</v>
      </c>
    </row>
    <row r="100" spans="1:12">
      <c r="A100" s="2">
        <v>44775.97865740741</v>
      </c>
      <c r="B100">
        <v>298375208</v>
      </c>
      <c r="C100" t="s">
        <v>239</v>
      </c>
      <c r="D100" t="s">
        <v>9</v>
      </c>
      <c r="E100" s="3">
        <v>2500</v>
      </c>
      <c r="F100" s="3">
        <v>2500</v>
      </c>
      <c r="G100" s="3">
        <v>1750</v>
      </c>
      <c r="I100" t="s">
        <v>240</v>
      </c>
      <c r="J100" t="s">
        <v>40</v>
      </c>
      <c r="K100" t="s">
        <v>11</v>
      </c>
      <c r="L100" t="str">
        <f>T("9791191562842")</f>
        <v>9791191562842</v>
      </c>
    </row>
    <row r="101" spans="1:12">
      <c r="A101" s="2">
        <v>44775.996087962965</v>
      </c>
      <c r="B101">
        <v>291088925</v>
      </c>
      <c r="C101" t="s">
        <v>58</v>
      </c>
      <c r="D101" t="s">
        <v>9</v>
      </c>
      <c r="E101" s="3">
        <v>2000</v>
      </c>
      <c r="F101" s="3">
        <v>2000</v>
      </c>
      <c r="G101" s="3">
        <v>1400</v>
      </c>
      <c r="I101" t="s">
        <v>59</v>
      </c>
      <c r="J101" t="s">
        <v>40</v>
      </c>
      <c r="K101" t="s">
        <v>11</v>
      </c>
      <c r="L101" t="str">
        <f>T("9791191562187")</f>
        <v>9791191562187</v>
      </c>
    </row>
    <row r="102" spans="1:12">
      <c r="A102" s="2">
        <v>44775.997418981482</v>
      </c>
      <c r="B102">
        <v>295356530</v>
      </c>
      <c r="C102" t="s">
        <v>116</v>
      </c>
      <c r="D102" t="s">
        <v>9</v>
      </c>
      <c r="E102" s="3">
        <v>2500</v>
      </c>
      <c r="F102" s="3">
        <v>2500</v>
      </c>
      <c r="G102" s="3">
        <v>1750</v>
      </c>
      <c r="I102" t="s">
        <v>115</v>
      </c>
      <c r="J102" t="s">
        <v>40</v>
      </c>
      <c r="K102" t="s">
        <v>11</v>
      </c>
      <c r="L102" t="str">
        <f>T("9791191562460")</f>
        <v>9791191562460</v>
      </c>
    </row>
    <row r="103" spans="1:12">
      <c r="A103" s="2">
        <v>44775.997442129628</v>
      </c>
      <c r="B103">
        <v>298750948</v>
      </c>
      <c r="C103" t="s">
        <v>259</v>
      </c>
      <c r="D103" t="s">
        <v>9</v>
      </c>
      <c r="E103" s="3">
        <v>3500</v>
      </c>
      <c r="F103" s="3">
        <v>3500</v>
      </c>
      <c r="G103" s="3">
        <v>2450</v>
      </c>
      <c r="I103" t="s">
        <v>38</v>
      </c>
      <c r="J103" t="s">
        <v>40</v>
      </c>
      <c r="K103" t="s">
        <v>11</v>
      </c>
      <c r="L103" t="str">
        <f>T("9791191562866")</f>
        <v>9791191562866</v>
      </c>
    </row>
    <row r="104" spans="1:12">
      <c r="A104" s="2">
        <v>44775.997604166667</v>
      </c>
      <c r="B104">
        <v>292316442</v>
      </c>
      <c r="C104" t="s">
        <v>84</v>
      </c>
      <c r="D104" t="s">
        <v>9</v>
      </c>
      <c r="E104" s="3">
        <v>2500</v>
      </c>
      <c r="F104" s="3">
        <v>2500</v>
      </c>
      <c r="G104" s="3">
        <v>1750</v>
      </c>
      <c r="I104" t="s">
        <v>85</v>
      </c>
      <c r="J104" t="s">
        <v>40</v>
      </c>
      <c r="K104" t="s">
        <v>11</v>
      </c>
      <c r="L104" t="str">
        <f>T("9791191562309")</f>
        <v>9791191562309</v>
      </c>
    </row>
    <row r="105" spans="1:12">
      <c r="A105" s="2">
        <v>44776.015162037038</v>
      </c>
      <c r="B105">
        <v>282585770</v>
      </c>
      <c r="C105" t="s">
        <v>74</v>
      </c>
      <c r="D105" t="s">
        <v>9</v>
      </c>
      <c r="E105" s="3">
        <v>3000</v>
      </c>
      <c r="F105" s="3">
        <v>3000</v>
      </c>
      <c r="G105" s="3">
        <v>2100</v>
      </c>
      <c r="I105" t="s">
        <v>30</v>
      </c>
      <c r="J105" t="s">
        <v>71</v>
      </c>
      <c r="K105" t="s">
        <v>11</v>
      </c>
      <c r="L105" t="str">
        <f>T("9791164374618")</f>
        <v>9791164374618</v>
      </c>
    </row>
    <row r="106" spans="1:12">
      <c r="A106" s="2">
        <v>44776.023819444446</v>
      </c>
      <c r="B106">
        <v>287703886</v>
      </c>
      <c r="C106" t="s">
        <v>72</v>
      </c>
      <c r="D106" t="s">
        <v>9</v>
      </c>
      <c r="E106" s="3">
        <v>2500</v>
      </c>
      <c r="F106" s="3">
        <v>2500</v>
      </c>
      <c r="G106" s="3">
        <v>1750</v>
      </c>
      <c r="I106" t="s">
        <v>73</v>
      </c>
      <c r="J106" t="s">
        <v>40</v>
      </c>
      <c r="K106" t="s">
        <v>11</v>
      </c>
      <c r="L106" t="str">
        <f>T("9791196945275")</f>
        <v>9791196945275</v>
      </c>
    </row>
    <row r="107" spans="1:12">
      <c r="A107" s="2">
        <v>44776.050740740742</v>
      </c>
      <c r="B107">
        <v>287834730</v>
      </c>
      <c r="C107" t="s">
        <v>37</v>
      </c>
      <c r="D107" t="s">
        <v>9</v>
      </c>
      <c r="E107" s="3">
        <v>2000</v>
      </c>
      <c r="F107" s="3">
        <v>2000</v>
      </c>
      <c r="G107" s="3">
        <v>1400</v>
      </c>
      <c r="I107" t="s">
        <v>32</v>
      </c>
      <c r="J107" t="s">
        <v>40</v>
      </c>
      <c r="K107" t="s">
        <v>11</v>
      </c>
      <c r="L107" t="str">
        <f>T("9791191562019")</f>
        <v>9791191562019</v>
      </c>
    </row>
    <row r="108" spans="1:12">
      <c r="A108" s="2">
        <v>44776.060243055559</v>
      </c>
      <c r="B108">
        <v>170138826</v>
      </c>
      <c r="C108" t="s">
        <v>186</v>
      </c>
      <c r="D108" t="s">
        <v>9</v>
      </c>
      <c r="E108">
        <v>0</v>
      </c>
      <c r="F108">
        <v>0</v>
      </c>
      <c r="G108">
        <v>0</v>
      </c>
      <c r="I108" t="s">
        <v>14</v>
      </c>
      <c r="J108" t="s">
        <v>11</v>
      </c>
      <c r="K108" t="s">
        <v>11</v>
      </c>
      <c r="L108" t="str">
        <f>T("9788928091126")</f>
        <v>9788928091126</v>
      </c>
    </row>
    <row r="109" spans="1:12">
      <c r="A109" s="2">
        <v>44776.118483796294</v>
      </c>
      <c r="B109">
        <v>298750948</v>
      </c>
      <c r="C109" t="s">
        <v>259</v>
      </c>
      <c r="D109" t="s">
        <v>9</v>
      </c>
      <c r="E109" s="3">
        <v>3500</v>
      </c>
      <c r="F109" s="3">
        <v>3500</v>
      </c>
      <c r="G109" s="3">
        <v>2450</v>
      </c>
      <c r="I109" t="s">
        <v>38</v>
      </c>
      <c r="J109" t="s">
        <v>40</v>
      </c>
      <c r="K109" t="s">
        <v>11</v>
      </c>
      <c r="L109" t="str">
        <f>T("9791191562866")</f>
        <v>9791191562866</v>
      </c>
    </row>
    <row r="110" spans="1:12">
      <c r="A110" s="2">
        <v>44776.193020833336</v>
      </c>
      <c r="B110">
        <v>186276470</v>
      </c>
      <c r="C110" t="s">
        <v>103</v>
      </c>
      <c r="D110" t="s">
        <v>9</v>
      </c>
      <c r="E110" s="3">
        <v>3500</v>
      </c>
      <c r="F110" s="3">
        <v>3500</v>
      </c>
      <c r="G110" s="3">
        <v>2450</v>
      </c>
      <c r="I110" t="s">
        <v>19</v>
      </c>
      <c r="J110" t="s">
        <v>271</v>
      </c>
      <c r="K110" t="s">
        <v>11</v>
      </c>
      <c r="L110" t="str">
        <f>T("9791159286797")</f>
        <v>9791159286797</v>
      </c>
    </row>
    <row r="111" spans="1:12">
      <c r="A111" s="2">
        <v>44776.627905092595</v>
      </c>
      <c r="B111">
        <v>186276470</v>
      </c>
      <c r="C111" t="s">
        <v>103</v>
      </c>
      <c r="D111" t="s">
        <v>9</v>
      </c>
      <c r="E111" s="3">
        <v>-3500</v>
      </c>
      <c r="F111" s="3">
        <v>-3500</v>
      </c>
      <c r="G111" s="3">
        <v>-2450</v>
      </c>
      <c r="H111" s="2">
        <v>44776.193020833336</v>
      </c>
      <c r="I111" t="s">
        <v>19</v>
      </c>
      <c r="J111" t="s">
        <v>271</v>
      </c>
      <c r="K111" t="s">
        <v>11</v>
      </c>
      <c r="L111" t="str">
        <f>T("9791159286797")</f>
        <v>9791159286797</v>
      </c>
    </row>
    <row r="112" spans="1:12">
      <c r="A112" s="2">
        <v>44776.627905092595</v>
      </c>
      <c r="B112">
        <v>186276472</v>
      </c>
      <c r="C112" t="s">
        <v>95</v>
      </c>
      <c r="D112" t="s">
        <v>9</v>
      </c>
      <c r="E112" s="3">
        <v>-3500</v>
      </c>
      <c r="F112" s="3">
        <v>-3500</v>
      </c>
      <c r="G112" s="3">
        <v>-2450</v>
      </c>
      <c r="H112" s="2">
        <v>44776.193020833336</v>
      </c>
      <c r="I112" t="s">
        <v>19</v>
      </c>
      <c r="J112" t="s">
        <v>271</v>
      </c>
      <c r="K112" t="s">
        <v>11</v>
      </c>
      <c r="L112" t="str">
        <f>T("9791159286780")</f>
        <v>9791159286780</v>
      </c>
    </row>
    <row r="113" spans="1:12">
      <c r="A113" s="2">
        <v>44776.193020833336</v>
      </c>
      <c r="B113">
        <v>186276472</v>
      </c>
      <c r="C113" t="s">
        <v>95</v>
      </c>
      <c r="D113" t="s">
        <v>9</v>
      </c>
      <c r="E113" s="3">
        <v>3500</v>
      </c>
      <c r="F113" s="3">
        <v>3500</v>
      </c>
      <c r="G113" s="3">
        <v>2450</v>
      </c>
      <c r="I113" t="s">
        <v>19</v>
      </c>
      <c r="J113" t="s">
        <v>271</v>
      </c>
      <c r="K113" t="s">
        <v>11</v>
      </c>
      <c r="L113" t="str">
        <f>T("9791159286780")</f>
        <v>9791159286780</v>
      </c>
    </row>
    <row r="114" spans="1:12">
      <c r="A114" s="2">
        <v>44776.251226851855</v>
      </c>
      <c r="B114">
        <v>282585762</v>
      </c>
      <c r="C114" t="s">
        <v>75</v>
      </c>
      <c r="D114" t="s">
        <v>9</v>
      </c>
      <c r="E114" s="3">
        <v>3000</v>
      </c>
      <c r="F114" s="3">
        <v>3000</v>
      </c>
      <c r="G114" s="3">
        <v>2100</v>
      </c>
      <c r="I114" t="s">
        <v>30</v>
      </c>
      <c r="J114" t="s">
        <v>71</v>
      </c>
      <c r="K114" t="s">
        <v>11</v>
      </c>
      <c r="L114" t="str">
        <f>T("9791164374625")</f>
        <v>9791164374625</v>
      </c>
    </row>
    <row r="115" spans="1:12">
      <c r="A115" s="2">
        <v>44776.36855324074</v>
      </c>
      <c r="B115">
        <v>297620121</v>
      </c>
      <c r="C115" t="s">
        <v>205</v>
      </c>
      <c r="D115" t="s">
        <v>9</v>
      </c>
      <c r="E115" s="3">
        <v>2000</v>
      </c>
      <c r="F115" s="3">
        <v>2000</v>
      </c>
      <c r="G115" s="3">
        <v>1400</v>
      </c>
      <c r="I115" t="s">
        <v>29</v>
      </c>
      <c r="J115" t="s">
        <v>40</v>
      </c>
      <c r="K115" t="s">
        <v>11</v>
      </c>
      <c r="L115" t="str">
        <f>T("9791191562484")</f>
        <v>9791191562484</v>
      </c>
    </row>
    <row r="116" spans="1:12">
      <c r="A116" s="2">
        <v>44776.408449074072</v>
      </c>
      <c r="B116">
        <v>201064738</v>
      </c>
      <c r="C116" t="s">
        <v>183</v>
      </c>
      <c r="D116" t="s">
        <v>9</v>
      </c>
      <c r="E116" s="3">
        <v>3200</v>
      </c>
      <c r="F116" s="3">
        <v>3200</v>
      </c>
      <c r="G116" s="3">
        <v>2240</v>
      </c>
      <c r="I116" t="s">
        <v>14</v>
      </c>
      <c r="J116" t="s">
        <v>11</v>
      </c>
      <c r="K116" t="s">
        <v>11</v>
      </c>
      <c r="L116" t="str">
        <f>T("9788928097951")</f>
        <v>9788928097951</v>
      </c>
    </row>
    <row r="117" spans="1:12">
      <c r="A117" s="2">
        <v>44776.460231481484</v>
      </c>
      <c r="B117">
        <v>298750948</v>
      </c>
      <c r="C117" t="s">
        <v>259</v>
      </c>
      <c r="D117" t="s">
        <v>9</v>
      </c>
      <c r="E117" s="3">
        <v>3500</v>
      </c>
      <c r="F117" s="3">
        <v>3500</v>
      </c>
      <c r="G117" s="3">
        <v>2450</v>
      </c>
      <c r="I117" t="s">
        <v>38</v>
      </c>
      <c r="J117" t="s">
        <v>40</v>
      </c>
      <c r="K117" t="s">
        <v>11</v>
      </c>
      <c r="L117" t="str">
        <f>T("9791191562866")</f>
        <v>9791191562866</v>
      </c>
    </row>
    <row r="118" spans="1:12">
      <c r="A118" s="2">
        <v>44776.52484953704</v>
      </c>
      <c r="B118">
        <v>298750948</v>
      </c>
      <c r="C118" t="s">
        <v>259</v>
      </c>
      <c r="D118" t="s">
        <v>9</v>
      </c>
      <c r="E118" s="3">
        <v>3500</v>
      </c>
      <c r="F118" s="3">
        <v>3500</v>
      </c>
      <c r="G118" s="3">
        <v>2450</v>
      </c>
      <c r="I118" t="s">
        <v>38</v>
      </c>
      <c r="J118" t="s">
        <v>40</v>
      </c>
      <c r="K118" t="s">
        <v>11</v>
      </c>
      <c r="L118" t="str">
        <f>T("9791191562866")</f>
        <v>9791191562866</v>
      </c>
    </row>
    <row r="119" spans="1:12">
      <c r="A119" s="2">
        <v>44776.597418981481</v>
      </c>
      <c r="B119">
        <v>298750948</v>
      </c>
      <c r="C119" t="s">
        <v>259</v>
      </c>
      <c r="D119" t="s">
        <v>9</v>
      </c>
      <c r="E119" s="3">
        <v>3500</v>
      </c>
      <c r="F119" s="3">
        <v>3500</v>
      </c>
      <c r="G119" s="3">
        <v>2450</v>
      </c>
      <c r="I119" t="s">
        <v>38</v>
      </c>
      <c r="J119" t="s">
        <v>40</v>
      </c>
      <c r="K119" t="s">
        <v>11</v>
      </c>
      <c r="L119" t="str">
        <f>T("9791191562866")</f>
        <v>9791191562866</v>
      </c>
    </row>
    <row r="120" spans="1:12">
      <c r="A120" s="2">
        <v>44776.599560185183</v>
      </c>
      <c r="B120">
        <v>279761158</v>
      </c>
      <c r="C120" t="s">
        <v>272</v>
      </c>
      <c r="D120" t="s">
        <v>12</v>
      </c>
      <c r="E120" s="3">
        <v>9900</v>
      </c>
      <c r="F120" s="3">
        <v>9900</v>
      </c>
      <c r="G120" s="3">
        <v>6930</v>
      </c>
      <c r="I120" t="s">
        <v>10</v>
      </c>
      <c r="J120" t="s">
        <v>11</v>
      </c>
      <c r="K120" t="s">
        <v>11</v>
      </c>
      <c r="L120" t="str">
        <f>T("9791166068706")</f>
        <v>9791166068706</v>
      </c>
    </row>
    <row r="121" spans="1:12">
      <c r="A121" s="2">
        <v>44776.60796296296</v>
      </c>
      <c r="B121">
        <v>292179681</v>
      </c>
      <c r="C121" t="s">
        <v>81</v>
      </c>
      <c r="D121" t="s">
        <v>9</v>
      </c>
      <c r="E121" s="3">
        <v>2500</v>
      </c>
      <c r="F121" s="3">
        <v>2500</v>
      </c>
      <c r="G121" s="3">
        <v>1750</v>
      </c>
      <c r="I121" t="s">
        <v>82</v>
      </c>
      <c r="J121" t="s">
        <v>40</v>
      </c>
      <c r="K121" t="s">
        <v>11</v>
      </c>
      <c r="L121" t="str">
        <f>T("9791191562224")</f>
        <v>9791191562224</v>
      </c>
    </row>
    <row r="122" spans="1:12">
      <c r="A122" s="2">
        <v>44776.61010416667</v>
      </c>
      <c r="B122">
        <v>295071451</v>
      </c>
      <c r="C122" t="s">
        <v>109</v>
      </c>
      <c r="D122" t="s">
        <v>9</v>
      </c>
      <c r="E122" s="3">
        <v>2500</v>
      </c>
      <c r="F122" s="3">
        <v>2500</v>
      </c>
      <c r="G122" s="3">
        <v>1750</v>
      </c>
      <c r="I122" t="s">
        <v>34</v>
      </c>
      <c r="J122" t="s">
        <v>40</v>
      </c>
      <c r="K122" t="s">
        <v>11</v>
      </c>
      <c r="L122" t="str">
        <f>T("9791191562439")</f>
        <v>9791191562439</v>
      </c>
    </row>
    <row r="123" spans="1:12">
      <c r="A123" s="2">
        <v>44776.63008101852</v>
      </c>
      <c r="B123">
        <v>186276470</v>
      </c>
      <c r="C123" t="s">
        <v>103</v>
      </c>
      <c r="D123" t="s">
        <v>9</v>
      </c>
      <c r="E123" s="3">
        <v>3500</v>
      </c>
      <c r="F123" s="3">
        <v>3500</v>
      </c>
      <c r="G123" s="3">
        <v>2450</v>
      </c>
      <c r="I123" t="s">
        <v>19</v>
      </c>
      <c r="J123" t="s">
        <v>271</v>
      </c>
      <c r="K123" t="s">
        <v>11</v>
      </c>
      <c r="L123" t="str">
        <f>T("9791159286797")</f>
        <v>9791159286797</v>
      </c>
    </row>
    <row r="124" spans="1:12">
      <c r="A124" s="2">
        <v>44776.63008101852</v>
      </c>
      <c r="B124">
        <v>186276472</v>
      </c>
      <c r="C124" t="s">
        <v>95</v>
      </c>
      <c r="D124" t="s">
        <v>9</v>
      </c>
      <c r="E124" s="3">
        <v>3500</v>
      </c>
      <c r="F124" s="3">
        <v>3500</v>
      </c>
      <c r="G124" s="3">
        <v>2450</v>
      </c>
      <c r="I124" t="s">
        <v>19</v>
      </c>
      <c r="J124" t="s">
        <v>271</v>
      </c>
      <c r="K124" t="s">
        <v>11</v>
      </c>
      <c r="L124" t="str">
        <f>T("9791159286780")</f>
        <v>9791159286780</v>
      </c>
    </row>
    <row r="125" spans="1:12">
      <c r="A125" s="2">
        <v>44776.63490740741</v>
      </c>
      <c r="B125">
        <v>289956908</v>
      </c>
      <c r="C125" t="s">
        <v>273</v>
      </c>
      <c r="D125" t="s">
        <v>9</v>
      </c>
      <c r="E125" s="3">
        <v>2000</v>
      </c>
      <c r="F125" s="3">
        <v>2000</v>
      </c>
      <c r="G125" s="3">
        <v>1400</v>
      </c>
      <c r="I125" t="s">
        <v>274</v>
      </c>
      <c r="J125" t="s">
        <v>40</v>
      </c>
      <c r="K125" t="s">
        <v>11</v>
      </c>
      <c r="L125" t="str">
        <f>T("9791191562040")</f>
        <v>9791191562040</v>
      </c>
    </row>
    <row r="126" spans="1:12">
      <c r="A126" s="2">
        <v>44776.636134259257</v>
      </c>
      <c r="B126">
        <v>298750948</v>
      </c>
      <c r="C126" t="s">
        <v>259</v>
      </c>
      <c r="D126" t="s">
        <v>9</v>
      </c>
      <c r="E126" s="3">
        <v>3500</v>
      </c>
      <c r="F126" s="3">
        <v>3500</v>
      </c>
      <c r="G126" s="3">
        <v>2450</v>
      </c>
      <c r="I126" t="s">
        <v>38</v>
      </c>
      <c r="J126" t="s">
        <v>40</v>
      </c>
      <c r="K126" t="s">
        <v>11</v>
      </c>
      <c r="L126" t="str">
        <f>T("9791191562866")</f>
        <v>9791191562866</v>
      </c>
    </row>
    <row r="127" spans="1:12">
      <c r="A127" s="2">
        <v>44776.643020833333</v>
      </c>
      <c r="B127">
        <v>294228911</v>
      </c>
      <c r="C127" t="s">
        <v>110</v>
      </c>
      <c r="D127" t="s">
        <v>9</v>
      </c>
      <c r="E127" s="3">
        <v>2000</v>
      </c>
      <c r="F127" s="3">
        <v>2000</v>
      </c>
      <c r="G127" s="3">
        <v>1400</v>
      </c>
      <c r="I127" t="s">
        <v>49</v>
      </c>
      <c r="J127" t="s">
        <v>40</v>
      </c>
      <c r="K127" t="s">
        <v>11</v>
      </c>
      <c r="L127" t="str">
        <f>T("9791191562408")</f>
        <v>9791191562408</v>
      </c>
    </row>
    <row r="128" spans="1:12">
      <c r="A128" s="2">
        <v>44776.676412037035</v>
      </c>
      <c r="B128">
        <v>298750948</v>
      </c>
      <c r="C128" t="s">
        <v>259</v>
      </c>
      <c r="D128" t="s">
        <v>9</v>
      </c>
      <c r="E128" s="3">
        <v>3500</v>
      </c>
      <c r="F128" s="3">
        <v>3500</v>
      </c>
      <c r="G128" s="3">
        <v>2450</v>
      </c>
      <c r="I128" t="s">
        <v>38</v>
      </c>
      <c r="J128" t="s">
        <v>40</v>
      </c>
      <c r="K128" t="s">
        <v>11</v>
      </c>
      <c r="L128" t="str">
        <f>T("9791191562866")</f>
        <v>9791191562866</v>
      </c>
    </row>
    <row r="129" spans="1:12">
      <c r="A129" s="2">
        <v>44776.698819444442</v>
      </c>
      <c r="B129">
        <v>298750948</v>
      </c>
      <c r="C129" t="s">
        <v>259</v>
      </c>
      <c r="D129" t="s">
        <v>9</v>
      </c>
      <c r="E129" s="3">
        <v>3500</v>
      </c>
      <c r="F129" s="3">
        <v>3500</v>
      </c>
      <c r="G129" s="3">
        <v>2450</v>
      </c>
      <c r="I129" t="s">
        <v>38</v>
      </c>
      <c r="J129" t="s">
        <v>40</v>
      </c>
      <c r="K129" t="s">
        <v>11</v>
      </c>
      <c r="L129" t="str">
        <f>T("9791191562866")</f>
        <v>9791191562866</v>
      </c>
    </row>
    <row r="130" spans="1:12">
      <c r="A130" s="2">
        <v>44776.701782407406</v>
      </c>
      <c r="B130">
        <v>288284536</v>
      </c>
      <c r="C130" t="s">
        <v>275</v>
      </c>
      <c r="D130" t="s">
        <v>9</v>
      </c>
      <c r="E130" s="3">
        <v>2000</v>
      </c>
      <c r="F130" s="3">
        <v>2000</v>
      </c>
      <c r="G130" s="3">
        <v>1400</v>
      </c>
      <c r="I130" t="s">
        <v>276</v>
      </c>
      <c r="J130" t="s">
        <v>40</v>
      </c>
      <c r="K130" t="s">
        <v>11</v>
      </c>
      <c r="L130" t="str">
        <f>T("9791191562071")</f>
        <v>9791191562071</v>
      </c>
    </row>
    <row r="131" spans="1:12">
      <c r="A131" s="2">
        <v>44776.737500000003</v>
      </c>
      <c r="B131">
        <v>284241886</v>
      </c>
      <c r="C131" t="s">
        <v>26</v>
      </c>
      <c r="D131" t="s">
        <v>9</v>
      </c>
      <c r="E131" s="3">
        <v>3600</v>
      </c>
      <c r="F131" s="3">
        <v>3600</v>
      </c>
      <c r="G131" s="3">
        <v>2520</v>
      </c>
      <c r="I131" t="s">
        <v>21</v>
      </c>
      <c r="J131" t="s">
        <v>45</v>
      </c>
      <c r="K131" t="s">
        <v>11</v>
      </c>
      <c r="L131" t="str">
        <f>T("9791166482564")</f>
        <v>9791166482564</v>
      </c>
    </row>
    <row r="132" spans="1:12">
      <c r="A132" s="2">
        <v>44776.754236111112</v>
      </c>
      <c r="B132">
        <v>287235707</v>
      </c>
      <c r="C132" t="s">
        <v>277</v>
      </c>
      <c r="D132" t="s">
        <v>9</v>
      </c>
      <c r="E132" s="3">
        <v>2000</v>
      </c>
      <c r="F132" s="3">
        <v>2000</v>
      </c>
      <c r="G132" s="3">
        <v>1400</v>
      </c>
      <c r="I132" t="s">
        <v>278</v>
      </c>
      <c r="J132" t="s">
        <v>40</v>
      </c>
      <c r="K132" t="s">
        <v>11</v>
      </c>
      <c r="L132" t="str">
        <f>T("9791191562026")</f>
        <v>9791191562026</v>
      </c>
    </row>
    <row r="133" spans="1:12">
      <c r="A133" s="2">
        <v>44776.785011574073</v>
      </c>
      <c r="B133">
        <v>295071451</v>
      </c>
      <c r="C133" t="s">
        <v>109</v>
      </c>
      <c r="D133" t="s">
        <v>9</v>
      </c>
      <c r="E133" s="3">
        <v>2500</v>
      </c>
      <c r="F133" s="3">
        <v>2500</v>
      </c>
      <c r="G133" s="3">
        <v>1750</v>
      </c>
      <c r="I133" t="s">
        <v>34</v>
      </c>
      <c r="J133" t="s">
        <v>40</v>
      </c>
      <c r="K133" t="s">
        <v>11</v>
      </c>
      <c r="L133" t="str">
        <f>T("9791191562439")</f>
        <v>9791191562439</v>
      </c>
    </row>
    <row r="134" spans="1:12">
      <c r="A134" s="2">
        <v>44776.796319444446</v>
      </c>
      <c r="B134">
        <v>297620121</v>
      </c>
      <c r="C134" t="s">
        <v>205</v>
      </c>
      <c r="D134" t="s">
        <v>9</v>
      </c>
      <c r="E134" s="3">
        <v>2000</v>
      </c>
      <c r="F134" s="3">
        <v>2000</v>
      </c>
      <c r="G134" s="3">
        <v>1400</v>
      </c>
      <c r="I134" t="s">
        <v>29</v>
      </c>
      <c r="J134" t="s">
        <v>40</v>
      </c>
      <c r="K134" t="s">
        <v>11</v>
      </c>
      <c r="L134" t="str">
        <f>T("9791191562484")</f>
        <v>9791191562484</v>
      </c>
    </row>
    <row r="135" spans="1:12">
      <c r="A135" s="2">
        <v>44776.809942129628</v>
      </c>
      <c r="B135">
        <v>298750948</v>
      </c>
      <c r="C135" t="s">
        <v>259</v>
      </c>
      <c r="D135" t="s">
        <v>9</v>
      </c>
      <c r="E135" s="3">
        <v>3500</v>
      </c>
      <c r="F135" s="3">
        <v>3500</v>
      </c>
      <c r="G135" s="3">
        <v>2450</v>
      </c>
      <c r="I135" t="s">
        <v>38</v>
      </c>
      <c r="J135" t="s">
        <v>40</v>
      </c>
      <c r="K135" t="s">
        <v>11</v>
      </c>
      <c r="L135" t="str">
        <f>T("9791191562866")</f>
        <v>9791191562866</v>
      </c>
    </row>
    <row r="136" spans="1:12">
      <c r="A136" s="2">
        <v>44776.834074074075</v>
      </c>
      <c r="B136">
        <v>295356530</v>
      </c>
      <c r="C136" t="s">
        <v>116</v>
      </c>
      <c r="D136" t="s">
        <v>9</v>
      </c>
      <c r="E136" s="3">
        <v>2500</v>
      </c>
      <c r="F136" s="3">
        <v>2500</v>
      </c>
      <c r="G136" s="3">
        <v>1750</v>
      </c>
      <c r="I136" t="s">
        <v>115</v>
      </c>
      <c r="J136" t="s">
        <v>40</v>
      </c>
      <c r="K136" t="s">
        <v>11</v>
      </c>
      <c r="L136" t="str">
        <f>T("9791191562460")</f>
        <v>9791191562460</v>
      </c>
    </row>
    <row r="137" spans="1:12">
      <c r="A137" s="2">
        <v>44776.836076388892</v>
      </c>
      <c r="B137">
        <v>298750948</v>
      </c>
      <c r="C137" t="s">
        <v>259</v>
      </c>
      <c r="D137" t="s">
        <v>9</v>
      </c>
      <c r="E137" s="3">
        <v>3500</v>
      </c>
      <c r="F137" s="3">
        <v>3500</v>
      </c>
      <c r="G137" s="3">
        <v>2450</v>
      </c>
      <c r="I137" t="s">
        <v>38</v>
      </c>
      <c r="J137" t="s">
        <v>40</v>
      </c>
      <c r="K137" t="s">
        <v>11</v>
      </c>
      <c r="L137" t="str">
        <f>T("9791191562866")</f>
        <v>9791191562866</v>
      </c>
    </row>
    <row r="138" spans="1:12">
      <c r="A138" s="2">
        <v>44776.836261574077</v>
      </c>
      <c r="B138">
        <v>298750948</v>
      </c>
      <c r="C138" t="s">
        <v>259</v>
      </c>
      <c r="D138" t="s">
        <v>9</v>
      </c>
      <c r="E138" s="3">
        <v>3500</v>
      </c>
      <c r="F138" s="3">
        <v>3500</v>
      </c>
      <c r="G138" s="3">
        <v>2450</v>
      </c>
      <c r="I138" t="s">
        <v>38</v>
      </c>
      <c r="J138" t="s">
        <v>40</v>
      </c>
      <c r="K138" t="s">
        <v>11</v>
      </c>
      <c r="L138" t="str">
        <f>T("9791191562866")</f>
        <v>9791191562866</v>
      </c>
    </row>
    <row r="139" spans="1:12">
      <c r="A139" s="2">
        <v>44776.858634259261</v>
      </c>
      <c r="B139">
        <v>298750948</v>
      </c>
      <c r="C139" t="s">
        <v>259</v>
      </c>
      <c r="D139" t="s">
        <v>9</v>
      </c>
      <c r="E139" s="3">
        <v>3500</v>
      </c>
      <c r="F139" s="3">
        <v>3500</v>
      </c>
      <c r="G139" s="3">
        <v>2450</v>
      </c>
      <c r="I139" t="s">
        <v>38</v>
      </c>
      <c r="J139" t="s">
        <v>40</v>
      </c>
      <c r="K139" t="s">
        <v>11</v>
      </c>
      <c r="L139" t="str">
        <f>T("9791191562866")</f>
        <v>9791191562866</v>
      </c>
    </row>
    <row r="140" spans="1:12">
      <c r="A140" s="2">
        <v>44776.860844907409</v>
      </c>
      <c r="B140">
        <v>298014671</v>
      </c>
      <c r="C140" t="s">
        <v>231</v>
      </c>
      <c r="D140" t="s">
        <v>9</v>
      </c>
      <c r="E140" s="3">
        <v>2500</v>
      </c>
      <c r="F140" s="3">
        <v>2500</v>
      </c>
      <c r="G140" s="3">
        <v>1750</v>
      </c>
      <c r="I140" t="s">
        <v>100</v>
      </c>
      <c r="J140" t="s">
        <v>40</v>
      </c>
      <c r="K140" t="s">
        <v>11</v>
      </c>
      <c r="L140" t="str">
        <f>T("9791191562835")</f>
        <v>9791191562835</v>
      </c>
    </row>
    <row r="141" spans="1:12">
      <c r="A141" s="2">
        <v>44776.865416666667</v>
      </c>
      <c r="B141">
        <v>297620121</v>
      </c>
      <c r="C141" t="s">
        <v>205</v>
      </c>
      <c r="D141" t="s">
        <v>9</v>
      </c>
      <c r="E141" s="3">
        <v>2000</v>
      </c>
      <c r="F141" s="3">
        <v>2000</v>
      </c>
      <c r="G141" s="3">
        <v>1400</v>
      </c>
      <c r="I141" t="s">
        <v>29</v>
      </c>
      <c r="J141" t="s">
        <v>40</v>
      </c>
      <c r="K141" t="s">
        <v>11</v>
      </c>
      <c r="L141" t="str">
        <f>T("9791191562484")</f>
        <v>9791191562484</v>
      </c>
    </row>
    <row r="142" spans="1:12">
      <c r="A142" s="2">
        <v>44779.818831018521</v>
      </c>
      <c r="B142">
        <v>297620121</v>
      </c>
      <c r="C142" t="s">
        <v>205</v>
      </c>
      <c r="D142" t="s">
        <v>9</v>
      </c>
      <c r="E142" s="3">
        <v>-2000</v>
      </c>
      <c r="F142" s="3">
        <v>-2000</v>
      </c>
      <c r="G142" s="3">
        <v>-1400</v>
      </c>
      <c r="H142" s="2">
        <v>44776.865416666667</v>
      </c>
      <c r="I142" t="s">
        <v>29</v>
      </c>
      <c r="J142" t="s">
        <v>40</v>
      </c>
      <c r="K142" t="s">
        <v>11</v>
      </c>
      <c r="L142" t="str">
        <f>T("9791191562484")</f>
        <v>9791191562484</v>
      </c>
    </row>
    <row r="143" spans="1:12">
      <c r="A143" s="2">
        <v>44776.873240740744</v>
      </c>
      <c r="B143">
        <v>287834730</v>
      </c>
      <c r="C143" t="s">
        <v>37</v>
      </c>
      <c r="D143" t="s">
        <v>9</v>
      </c>
      <c r="E143" s="3">
        <v>2000</v>
      </c>
      <c r="F143" s="3">
        <v>2000</v>
      </c>
      <c r="G143" s="3">
        <v>1400</v>
      </c>
      <c r="I143" t="s">
        <v>32</v>
      </c>
      <c r="J143" t="s">
        <v>40</v>
      </c>
      <c r="K143" t="s">
        <v>11</v>
      </c>
      <c r="L143" t="str">
        <f>T("9791191562019")</f>
        <v>9791191562019</v>
      </c>
    </row>
    <row r="144" spans="1:12">
      <c r="A144" s="2">
        <v>44776.899756944447</v>
      </c>
      <c r="B144">
        <v>116447179</v>
      </c>
      <c r="C144" t="s">
        <v>279</v>
      </c>
      <c r="D144" t="s">
        <v>9</v>
      </c>
      <c r="E144" s="3">
        <v>3200</v>
      </c>
      <c r="F144" s="3">
        <v>3200</v>
      </c>
      <c r="G144" s="3">
        <v>2240</v>
      </c>
      <c r="I144" t="s">
        <v>127</v>
      </c>
      <c r="J144" t="s">
        <v>11</v>
      </c>
      <c r="K144" t="s">
        <v>11</v>
      </c>
      <c r="L144" t="str">
        <f>T("9791159283123")</f>
        <v>9791159283123</v>
      </c>
    </row>
    <row r="145" spans="1:12">
      <c r="A145" s="2">
        <v>44776.916203703702</v>
      </c>
      <c r="B145">
        <v>298750948</v>
      </c>
      <c r="C145" t="s">
        <v>259</v>
      </c>
      <c r="D145" t="s">
        <v>9</v>
      </c>
      <c r="E145" s="3">
        <v>3500</v>
      </c>
      <c r="F145" s="3">
        <v>3500</v>
      </c>
      <c r="G145" s="3">
        <v>2450</v>
      </c>
      <c r="I145" t="s">
        <v>38</v>
      </c>
      <c r="J145" t="s">
        <v>40</v>
      </c>
      <c r="K145" t="s">
        <v>11</v>
      </c>
      <c r="L145" t="str">
        <f>T("9791191562866")</f>
        <v>9791191562866</v>
      </c>
    </row>
    <row r="146" spans="1:12">
      <c r="A146" s="2">
        <v>44776.91915509259</v>
      </c>
      <c r="B146">
        <v>297109357</v>
      </c>
      <c r="C146" t="s">
        <v>154</v>
      </c>
      <c r="D146" t="s">
        <v>9</v>
      </c>
      <c r="E146" s="3">
        <v>3600</v>
      </c>
      <c r="F146" s="3">
        <v>3600</v>
      </c>
      <c r="G146" s="3">
        <v>2520</v>
      </c>
      <c r="I146" t="s">
        <v>155</v>
      </c>
      <c r="J146" t="s">
        <v>40</v>
      </c>
      <c r="K146" t="s">
        <v>11</v>
      </c>
      <c r="L146" t="str">
        <f>T("9791191562774")</f>
        <v>9791191562774</v>
      </c>
    </row>
    <row r="147" spans="1:12">
      <c r="A147" s="2">
        <v>44776.921631944446</v>
      </c>
      <c r="B147">
        <v>296507184</v>
      </c>
      <c r="C147" t="s">
        <v>134</v>
      </c>
      <c r="D147" t="s">
        <v>9</v>
      </c>
      <c r="E147" s="3">
        <v>2000</v>
      </c>
      <c r="F147" s="3">
        <v>2000</v>
      </c>
      <c r="G147" s="3">
        <v>1400</v>
      </c>
      <c r="I147" t="s">
        <v>135</v>
      </c>
      <c r="J147" t="s">
        <v>40</v>
      </c>
      <c r="K147" t="s">
        <v>11</v>
      </c>
      <c r="L147" t="str">
        <f>T("9791191562828")</f>
        <v>9791191562828</v>
      </c>
    </row>
    <row r="148" spans="1:12">
      <c r="A148" s="2">
        <v>44776.933796296296</v>
      </c>
      <c r="B148">
        <v>295462572</v>
      </c>
      <c r="C148" t="s">
        <v>108</v>
      </c>
      <c r="D148" t="s">
        <v>9</v>
      </c>
      <c r="E148" s="3">
        <v>2000</v>
      </c>
      <c r="F148" s="3">
        <v>2000</v>
      </c>
      <c r="G148" s="3">
        <v>1400</v>
      </c>
      <c r="I148" t="s">
        <v>32</v>
      </c>
      <c r="J148" t="s">
        <v>40</v>
      </c>
      <c r="K148" t="s">
        <v>11</v>
      </c>
      <c r="L148" t="str">
        <f>T("9791191562361")</f>
        <v>9791191562361</v>
      </c>
    </row>
    <row r="149" spans="1:12">
      <c r="A149" s="2">
        <v>44776.946134259262</v>
      </c>
      <c r="B149">
        <v>292681653</v>
      </c>
      <c r="C149" t="s">
        <v>92</v>
      </c>
      <c r="D149" t="s">
        <v>9</v>
      </c>
      <c r="E149" s="3">
        <v>2500</v>
      </c>
      <c r="F149" s="3">
        <v>2500</v>
      </c>
      <c r="G149" s="3">
        <v>1750</v>
      </c>
      <c r="I149" t="s">
        <v>93</v>
      </c>
      <c r="J149" t="s">
        <v>40</v>
      </c>
      <c r="K149" t="s">
        <v>11</v>
      </c>
      <c r="L149" t="str">
        <f>T("9791191562316")</f>
        <v>9791191562316</v>
      </c>
    </row>
    <row r="150" spans="1:12">
      <c r="A150" s="2">
        <v>44776.949201388888</v>
      </c>
      <c r="B150">
        <v>295356530</v>
      </c>
      <c r="C150" t="s">
        <v>116</v>
      </c>
      <c r="D150" t="s">
        <v>9</v>
      </c>
      <c r="E150" s="3">
        <v>2500</v>
      </c>
      <c r="F150" s="3">
        <v>2500</v>
      </c>
      <c r="G150" s="3">
        <v>1750</v>
      </c>
      <c r="I150" t="s">
        <v>115</v>
      </c>
      <c r="J150" t="s">
        <v>40</v>
      </c>
      <c r="K150" t="s">
        <v>11</v>
      </c>
      <c r="L150" t="str">
        <f>T("9791191562460")</f>
        <v>9791191562460</v>
      </c>
    </row>
    <row r="151" spans="1:12">
      <c r="A151" s="2">
        <v>44776.952118055553</v>
      </c>
      <c r="B151">
        <v>287834730</v>
      </c>
      <c r="C151" t="s">
        <v>37</v>
      </c>
      <c r="D151" t="s">
        <v>9</v>
      </c>
      <c r="E151" s="3">
        <v>2000</v>
      </c>
      <c r="F151" s="3">
        <v>2000</v>
      </c>
      <c r="G151" s="3">
        <v>1400</v>
      </c>
      <c r="I151" t="s">
        <v>32</v>
      </c>
      <c r="J151" t="s">
        <v>40</v>
      </c>
      <c r="K151" t="s">
        <v>11</v>
      </c>
      <c r="L151" t="str">
        <f>T("9791191562019")</f>
        <v>9791191562019</v>
      </c>
    </row>
    <row r="152" spans="1:12">
      <c r="A152" s="2">
        <v>44776.952974537038</v>
      </c>
      <c r="B152">
        <v>296507184</v>
      </c>
      <c r="C152" t="s">
        <v>134</v>
      </c>
      <c r="D152" t="s">
        <v>9</v>
      </c>
      <c r="E152" s="3">
        <v>2000</v>
      </c>
      <c r="F152" s="3">
        <v>2000</v>
      </c>
      <c r="G152" s="3">
        <v>1400</v>
      </c>
      <c r="I152" t="s">
        <v>135</v>
      </c>
      <c r="J152" t="s">
        <v>40</v>
      </c>
      <c r="K152" t="s">
        <v>11</v>
      </c>
      <c r="L152" t="str">
        <f>T("9791191562828")</f>
        <v>9791191562828</v>
      </c>
    </row>
    <row r="153" spans="1:12">
      <c r="A153" s="2">
        <v>44776.954201388886</v>
      </c>
      <c r="B153">
        <v>297620121</v>
      </c>
      <c r="C153" t="s">
        <v>205</v>
      </c>
      <c r="D153" t="s">
        <v>9</v>
      </c>
      <c r="E153" s="3">
        <v>2000</v>
      </c>
      <c r="F153" s="3">
        <v>2000</v>
      </c>
      <c r="G153" s="3">
        <v>1400</v>
      </c>
      <c r="I153" t="s">
        <v>29</v>
      </c>
      <c r="J153" t="s">
        <v>40</v>
      </c>
      <c r="K153" t="s">
        <v>11</v>
      </c>
      <c r="L153" t="str">
        <f>T("9791191562484")</f>
        <v>9791191562484</v>
      </c>
    </row>
    <row r="154" spans="1:12">
      <c r="A154" s="2">
        <v>44776.958425925928</v>
      </c>
      <c r="B154">
        <v>295836446</v>
      </c>
      <c r="C154" t="s">
        <v>129</v>
      </c>
      <c r="D154" t="s">
        <v>9</v>
      </c>
      <c r="E154" s="3">
        <v>2000</v>
      </c>
      <c r="F154" s="3">
        <v>2000</v>
      </c>
      <c r="G154" s="3">
        <v>1400</v>
      </c>
      <c r="I154" t="s">
        <v>59</v>
      </c>
      <c r="J154" t="s">
        <v>40</v>
      </c>
      <c r="K154" t="s">
        <v>11</v>
      </c>
      <c r="L154" t="str">
        <f>T("9791191562798")</f>
        <v>9791191562798</v>
      </c>
    </row>
    <row r="155" spans="1:12">
      <c r="A155" s="2">
        <v>44776.95857638889</v>
      </c>
      <c r="B155">
        <v>297620121</v>
      </c>
      <c r="C155" t="s">
        <v>205</v>
      </c>
      <c r="D155" t="s">
        <v>9</v>
      </c>
      <c r="E155" s="3">
        <v>2000</v>
      </c>
      <c r="F155" s="3">
        <v>2000</v>
      </c>
      <c r="G155" s="3">
        <v>1400</v>
      </c>
      <c r="I155" t="s">
        <v>29</v>
      </c>
      <c r="J155" t="s">
        <v>40</v>
      </c>
      <c r="K155" t="s">
        <v>11</v>
      </c>
      <c r="L155" t="str">
        <f>T("9791191562484")</f>
        <v>9791191562484</v>
      </c>
    </row>
    <row r="156" spans="1:12">
      <c r="A156" s="2">
        <v>44776.958981481483</v>
      </c>
      <c r="B156">
        <v>287834730</v>
      </c>
      <c r="C156" t="s">
        <v>37</v>
      </c>
      <c r="D156" t="s">
        <v>9</v>
      </c>
      <c r="E156" s="3">
        <v>2000</v>
      </c>
      <c r="F156" s="3">
        <v>2000</v>
      </c>
      <c r="G156" s="3">
        <v>1400</v>
      </c>
      <c r="I156" t="s">
        <v>32</v>
      </c>
      <c r="J156" t="s">
        <v>40</v>
      </c>
      <c r="K156" t="s">
        <v>11</v>
      </c>
      <c r="L156" t="str">
        <f>T("9791191562019")</f>
        <v>9791191562019</v>
      </c>
    </row>
    <row r="157" spans="1:12">
      <c r="A157" s="2">
        <v>44776.961562500001</v>
      </c>
      <c r="B157">
        <v>296507184</v>
      </c>
      <c r="C157" t="s">
        <v>134</v>
      </c>
      <c r="D157" t="s">
        <v>9</v>
      </c>
      <c r="E157" s="3">
        <v>2000</v>
      </c>
      <c r="F157" s="3">
        <v>2000</v>
      </c>
      <c r="G157" s="3">
        <v>1400</v>
      </c>
      <c r="I157" t="s">
        <v>135</v>
      </c>
      <c r="J157" t="s">
        <v>40</v>
      </c>
      <c r="K157" t="s">
        <v>11</v>
      </c>
      <c r="L157" t="str">
        <f>T("9791191562828")</f>
        <v>9791191562828</v>
      </c>
    </row>
    <row r="158" spans="1:12">
      <c r="A158" s="2">
        <v>44776.97314814815</v>
      </c>
      <c r="B158">
        <v>286896672</v>
      </c>
      <c r="C158" t="s">
        <v>175</v>
      </c>
      <c r="D158" t="s">
        <v>9</v>
      </c>
      <c r="E158" s="3">
        <v>2500</v>
      </c>
      <c r="F158" s="3">
        <v>2500</v>
      </c>
      <c r="G158" s="3">
        <v>1750</v>
      </c>
      <c r="I158" t="s">
        <v>176</v>
      </c>
      <c r="J158" t="s">
        <v>40</v>
      </c>
      <c r="K158" t="s">
        <v>11</v>
      </c>
      <c r="L158" t="str">
        <f>T("9791191562002")</f>
        <v>9791191562002</v>
      </c>
    </row>
    <row r="159" spans="1:12">
      <c r="A159" s="2">
        <v>44776.974247685182</v>
      </c>
      <c r="B159">
        <v>293180467</v>
      </c>
      <c r="C159" t="s">
        <v>104</v>
      </c>
      <c r="D159" t="s">
        <v>9</v>
      </c>
      <c r="E159" s="3">
        <v>2000</v>
      </c>
      <c r="F159" s="3">
        <v>2000</v>
      </c>
      <c r="G159" s="3">
        <v>1400</v>
      </c>
      <c r="I159" t="s">
        <v>31</v>
      </c>
      <c r="J159" t="s">
        <v>40</v>
      </c>
      <c r="K159" t="s">
        <v>11</v>
      </c>
      <c r="L159" t="str">
        <f>T("9791191562293")</f>
        <v>9791191562293</v>
      </c>
    </row>
    <row r="160" spans="1:12">
      <c r="A160" s="2">
        <v>44776.981423611112</v>
      </c>
      <c r="B160">
        <v>297109357</v>
      </c>
      <c r="C160" t="s">
        <v>154</v>
      </c>
      <c r="D160" t="s">
        <v>9</v>
      </c>
      <c r="E160" s="3">
        <v>3600</v>
      </c>
      <c r="F160" s="3">
        <v>3600</v>
      </c>
      <c r="G160" s="3">
        <v>2520</v>
      </c>
      <c r="I160" t="s">
        <v>155</v>
      </c>
      <c r="J160" t="s">
        <v>40</v>
      </c>
      <c r="K160" t="s">
        <v>11</v>
      </c>
      <c r="L160" t="str">
        <f>T("9791191562774")</f>
        <v>9791191562774</v>
      </c>
    </row>
    <row r="161" spans="1:12">
      <c r="A161" s="2">
        <v>44776.983055555553</v>
      </c>
      <c r="B161">
        <v>297620121</v>
      </c>
      <c r="C161" t="s">
        <v>205</v>
      </c>
      <c r="D161" t="s">
        <v>9</v>
      </c>
      <c r="E161" s="3">
        <v>2000</v>
      </c>
      <c r="F161" s="3">
        <v>2000</v>
      </c>
      <c r="G161" s="3">
        <v>1400</v>
      </c>
      <c r="I161" t="s">
        <v>29</v>
      </c>
      <c r="J161" t="s">
        <v>40</v>
      </c>
      <c r="K161" t="s">
        <v>11</v>
      </c>
      <c r="L161" t="str">
        <f>T("9791191562484")</f>
        <v>9791191562484</v>
      </c>
    </row>
    <row r="162" spans="1:12">
      <c r="A162" s="2">
        <v>44776.985266203701</v>
      </c>
      <c r="B162">
        <v>284241808</v>
      </c>
      <c r="C162" t="s">
        <v>27</v>
      </c>
      <c r="D162" t="s">
        <v>9</v>
      </c>
      <c r="E162" s="3">
        <v>3600</v>
      </c>
      <c r="F162" s="3">
        <v>3600</v>
      </c>
      <c r="G162" s="3">
        <v>2520</v>
      </c>
      <c r="I162" t="s">
        <v>21</v>
      </c>
      <c r="J162" t="s">
        <v>45</v>
      </c>
      <c r="K162" t="s">
        <v>11</v>
      </c>
      <c r="L162" t="str">
        <f>T("9791166482557")</f>
        <v>9791166482557</v>
      </c>
    </row>
    <row r="163" spans="1:12">
      <c r="A163" s="2">
        <v>44776.990358796298</v>
      </c>
      <c r="B163">
        <v>297620121</v>
      </c>
      <c r="C163" t="s">
        <v>205</v>
      </c>
      <c r="D163" t="s">
        <v>9</v>
      </c>
      <c r="E163" s="3">
        <v>2000</v>
      </c>
      <c r="F163" s="3">
        <v>2000</v>
      </c>
      <c r="G163" s="3">
        <v>1400</v>
      </c>
      <c r="I163" t="s">
        <v>29</v>
      </c>
      <c r="J163" t="s">
        <v>40</v>
      </c>
      <c r="K163" t="s">
        <v>11</v>
      </c>
      <c r="L163" t="str">
        <f>T("9791191562484")</f>
        <v>9791191562484</v>
      </c>
    </row>
    <row r="164" spans="1:12">
      <c r="A164" s="2">
        <v>44776.992349537039</v>
      </c>
      <c r="B164">
        <v>297620121</v>
      </c>
      <c r="C164" t="s">
        <v>205</v>
      </c>
      <c r="D164" t="s">
        <v>9</v>
      </c>
      <c r="E164" s="3">
        <v>2000</v>
      </c>
      <c r="F164" s="3">
        <v>2000</v>
      </c>
      <c r="G164" s="3">
        <v>1400</v>
      </c>
      <c r="I164" t="s">
        <v>29</v>
      </c>
      <c r="J164" t="s">
        <v>40</v>
      </c>
      <c r="K164" t="s">
        <v>11</v>
      </c>
      <c r="L164" t="str">
        <f>T("9791191562484")</f>
        <v>9791191562484</v>
      </c>
    </row>
    <row r="165" spans="1:12">
      <c r="A165" s="2">
        <v>44776.99658564815</v>
      </c>
      <c r="B165">
        <v>295836446</v>
      </c>
      <c r="C165" t="s">
        <v>129</v>
      </c>
      <c r="D165" t="s">
        <v>9</v>
      </c>
      <c r="E165" s="3">
        <v>2000</v>
      </c>
      <c r="F165" s="3">
        <v>2000</v>
      </c>
      <c r="G165" s="3">
        <v>1400</v>
      </c>
      <c r="I165" t="s">
        <v>59</v>
      </c>
      <c r="J165" t="s">
        <v>40</v>
      </c>
      <c r="K165" t="s">
        <v>11</v>
      </c>
      <c r="L165" t="str">
        <f>T("9791191562798")</f>
        <v>9791191562798</v>
      </c>
    </row>
    <row r="166" spans="1:12">
      <c r="A166" s="2">
        <v>44777.025590277779</v>
      </c>
      <c r="B166">
        <v>201064767</v>
      </c>
      <c r="C166" t="s">
        <v>182</v>
      </c>
      <c r="D166" t="s">
        <v>9</v>
      </c>
      <c r="E166" s="3">
        <v>3200</v>
      </c>
      <c r="F166" s="3">
        <v>3200</v>
      </c>
      <c r="G166" s="3">
        <v>2240</v>
      </c>
      <c r="I166" t="s">
        <v>14</v>
      </c>
      <c r="J166" t="s">
        <v>11</v>
      </c>
      <c r="K166" t="s">
        <v>11</v>
      </c>
      <c r="L166" t="str">
        <f>T("9788928097982")</f>
        <v>9788928097982</v>
      </c>
    </row>
    <row r="167" spans="1:12">
      <c r="A167" s="2">
        <v>44777.025590277779</v>
      </c>
      <c r="B167">
        <v>201064736</v>
      </c>
      <c r="C167" t="s">
        <v>185</v>
      </c>
      <c r="D167" t="s">
        <v>9</v>
      </c>
      <c r="E167" s="3">
        <v>3200</v>
      </c>
      <c r="F167" s="3">
        <v>3200</v>
      </c>
      <c r="G167" s="3">
        <v>2240</v>
      </c>
      <c r="I167" t="s">
        <v>14</v>
      </c>
      <c r="J167" t="s">
        <v>11</v>
      </c>
      <c r="K167" t="s">
        <v>11</v>
      </c>
      <c r="L167" t="str">
        <f>T("9788928097975")</f>
        <v>9788928097975</v>
      </c>
    </row>
    <row r="168" spans="1:12">
      <c r="A168" s="2">
        <v>44777.025590277779</v>
      </c>
      <c r="B168">
        <v>201064737</v>
      </c>
      <c r="C168" t="s">
        <v>184</v>
      </c>
      <c r="D168" t="s">
        <v>9</v>
      </c>
      <c r="E168" s="3">
        <v>3200</v>
      </c>
      <c r="F168" s="3">
        <v>3200</v>
      </c>
      <c r="G168" s="3">
        <v>2240</v>
      </c>
      <c r="I168" t="s">
        <v>14</v>
      </c>
      <c r="J168" t="s">
        <v>11</v>
      </c>
      <c r="K168" t="s">
        <v>11</v>
      </c>
      <c r="L168" t="str">
        <f>T("9788928097968")</f>
        <v>9788928097968</v>
      </c>
    </row>
    <row r="169" spans="1:12">
      <c r="A169" s="2">
        <v>44777.051793981482</v>
      </c>
      <c r="B169">
        <v>286755913</v>
      </c>
      <c r="C169" t="s">
        <v>35</v>
      </c>
      <c r="D169" t="s">
        <v>9</v>
      </c>
      <c r="E169" s="3">
        <v>2000</v>
      </c>
      <c r="F169" s="3">
        <v>2000</v>
      </c>
      <c r="G169" s="3">
        <v>1400</v>
      </c>
      <c r="I169" t="s">
        <v>29</v>
      </c>
      <c r="J169" t="s">
        <v>40</v>
      </c>
      <c r="K169" t="s">
        <v>11</v>
      </c>
      <c r="L169" t="str">
        <f>T("9791196945251")</f>
        <v>9791196945251</v>
      </c>
    </row>
    <row r="170" spans="1:12">
      <c r="A170" s="2">
        <v>44777.127175925925</v>
      </c>
      <c r="B170">
        <v>298750948</v>
      </c>
      <c r="C170" t="s">
        <v>259</v>
      </c>
      <c r="D170" t="s">
        <v>9</v>
      </c>
      <c r="E170" s="3">
        <v>3500</v>
      </c>
      <c r="F170" s="3">
        <v>3500</v>
      </c>
      <c r="G170" s="3">
        <v>2450</v>
      </c>
      <c r="I170" t="s">
        <v>38</v>
      </c>
      <c r="J170" t="s">
        <v>40</v>
      </c>
      <c r="K170" t="s">
        <v>11</v>
      </c>
      <c r="L170" t="str">
        <f>T("9791191562866")</f>
        <v>9791191562866</v>
      </c>
    </row>
    <row r="171" spans="1:12">
      <c r="A171" s="2">
        <v>44777.275104166663</v>
      </c>
      <c r="B171">
        <v>298750948</v>
      </c>
      <c r="C171" t="s">
        <v>259</v>
      </c>
      <c r="D171" t="s">
        <v>9</v>
      </c>
      <c r="E171" s="3">
        <v>3500</v>
      </c>
      <c r="F171" s="3">
        <v>3500</v>
      </c>
      <c r="G171" s="3">
        <v>2450</v>
      </c>
      <c r="I171" t="s">
        <v>38</v>
      </c>
      <c r="J171" t="s">
        <v>40</v>
      </c>
      <c r="K171" t="s">
        <v>11</v>
      </c>
      <c r="L171" t="str">
        <f>T("9791191562866")</f>
        <v>9791191562866</v>
      </c>
    </row>
    <row r="172" spans="1:12">
      <c r="A172" s="2">
        <v>44777.288043981483</v>
      </c>
      <c r="B172">
        <v>271217202</v>
      </c>
      <c r="C172" t="s">
        <v>280</v>
      </c>
      <c r="D172" t="s">
        <v>9</v>
      </c>
      <c r="E172" s="3">
        <v>9400</v>
      </c>
      <c r="F172" s="3">
        <v>9400</v>
      </c>
      <c r="G172" s="3">
        <v>6580</v>
      </c>
      <c r="I172" t="s">
        <v>44</v>
      </c>
      <c r="J172" t="s">
        <v>267</v>
      </c>
      <c r="K172" t="s">
        <v>11</v>
      </c>
      <c r="L172" t="str">
        <f>T("9791137601185")</f>
        <v>9791137601185</v>
      </c>
    </row>
    <row r="173" spans="1:12">
      <c r="A173" s="2">
        <v>44777.431446759256</v>
      </c>
      <c r="B173">
        <v>268648842</v>
      </c>
      <c r="C173" t="s">
        <v>133</v>
      </c>
      <c r="D173" t="s">
        <v>9</v>
      </c>
      <c r="E173" s="3">
        <v>5600</v>
      </c>
      <c r="F173" s="3">
        <v>5600</v>
      </c>
      <c r="G173" s="3">
        <v>3920</v>
      </c>
      <c r="I173" t="s">
        <v>76</v>
      </c>
      <c r="J173" t="s">
        <v>71</v>
      </c>
      <c r="K173" t="s">
        <v>11</v>
      </c>
      <c r="L173" t="str">
        <f>T("9791164374458")</f>
        <v>9791164374458</v>
      </c>
    </row>
    <row r="174" spans="1:12">
      <c r="A174" s="2">
        <v>44777.446620370371</v>
      </c>
      <c r="B174">
        <v>286896672</v>
      </c>
      <c r="C174" t="s">
        <v>175</v>
      </c>
      <c r="D174" t="s">
        <v>9</v>
      </c>
      <c r="E174" s="3">
        <v>2500</v>
      </c>
      <c r="F174" s="3">
        <v>2500</v>
      </c>
      <c r="G174" s="3">
        <v>1750</v>
      </c>
      <c r="I174" t="s">
        <v>176</v>
      </c>
      <c r="J174" t="s">
        <v>40</v>
      </c>
      <c r="K174" t="s">
        <v>11</v>
      </c>
      <c r="L174" t="str">
        <f>T("9791191562002")</f>
        <v>9791191562002</v>
      </c>
    </row>
    <row r="175" spans="1:12">
      <c r="A175" s="2">
        <v>44777.448587962965</v>
      </c>
      <c r="B175">
        <v>286896672</v>
      </c>
      <c r="C175" t="s">
        <v>175</v>
      </c>
      <c r="D175" t="s">
        <v>9</v>
      </c>
      <c r="E175" s="3">
        <v>-2500</v>
      </c>
      <c r="F175" s="3">
        <v>-2500</v>
      </c>
      <c r="G175" s="3">
        <v>-1750</v>
      </c>
      <c r="H175" s="2">
        <v>44777.446620370371</v>
      </c>
      <c r="I175" t="s">
        <v>176</v>
      </c>
      <c r="J175" t="s">
        <v>40</v>
      </c>
      <c r="K175" t="s">
        <v>11</v>
      </c>
      <c r="L175" t="str">
        <f>T("9791191562002")</f>
        <v>9791191562002</v>
      </c>
    </row>
    <row r="176" spans="1:12">
      <c r="A176" s="2">
        <v>44777.454074074078</v>
      </c>
      <c r="B176">
        <v>286896672</v>
      </c>
      <c r="C176" t="s">
        <v>175</v>
      </c>
      <c r="D176" t="s">
        <v>9</v>
      </c>
      <c r="E176" s="3">
        <v>2500</v>
      </c>
      <c r="F176" s="3">
        <v>2500</v>
      </c>
      <c r="G176" s="3">
        <v>1750</v>
      </c>
      <c r="I176" t="s">
        <v>176</v>
      </c>
      <c r="J176" t="s">
        <v>40</v>
      </c>
      <c r="K176" t="s">
        <v>11</v>
      </c>
      <c r="L176" t="str">
        <f>T("9791191562002")</f>
        <v>9791191562002</v>
      </c>
    </row>
    <row r="177" spans="1:12">
      <c r="A177" s="2">
        <v>44777.456493055557</v>
      </c>
      <c r="B177">
        <v>296103744</v>
      </c>
      <c r="C177" t="s">
        <v>130</v>
      </c>
      <c r="D177" t="s">
        <v>9</v>
      </c>
      <c r="E177" s="3">
        <v>2000</v>
      </c>
      <c r="F177" s="3">
        <v>2000</v>
      </c>
      <c r="G177" s="3">
        <v>1400</v>
      </c>
      <c r="I177" t="s">
        <v>30</v>
      </c>
      <c r="J177" t="s">
        <v>40</v>
      </c>
      <c r="K177" t="s">
        <v>11</v>
      </c>
      <c r="L177" t="str">
        <f>T("9791191562538")</f>
        <v>9791191562538</v>
      </c>
    </row>
    <row r="178" spans="1:12">
      <c r="A178" s="2">
        <v>44777.462777777779</v>
      </c>
      <c r="B178">
        <v>263958836</v>
      </c>
      <c r="C178" t="s">
        <v>281</v>
      </c>
      <c r="D178" t="s">
        <v>9</v>
      </c>
      <c r="E178" s="3">
        <v>3200</v>
      </c>
      <c r="F178" s="3">
        <v>3200</v>
      </c>
      <c r="G178" s="3">
        <v>2240</v>
      </c>
      <c r="I178" t="s">
        <v>13</v>
      </c>
      <c r="J178" t="s">
        <v>11</v>
      </c>
      <c r="K178" t="s">
        <v>11</v>
      </c>
      <c r="L178" t="str">
        <f>T("9791166300653")</f>
        <v>9791166300653</v>
      </c>
    </row>
    <row r="179" spans="1:12">
      <c r="A179" s="2">
        <v>44777.462777777779</v>
      </c>
      <c r="B179">
        <v>263958838</v>
      </c>
      <c r="C179" t="s">
        <v>282</v>
      </c>
      <c r="D179" t="s">
        <v>9</v>
      </c>
      <c r="E179" s="3">
        <v>3200</v>
      </c>
      <c r="F179" s="3">
        <v>3200</v>
      </c>
      <c r="G179" s="3">
        <v>2240</v>
      </c>
      <c r="I179" t="s">
        <v>13</v>
      </c>
      <c r="J179" t="s">
        <v>11</v>
      </c>
      <c r="K179" t="s">
        <v>11</v>
      </c>
      <c r="L179" t="str">
        <f>T("9791166300691")</f>
        <v>9791166300691</v>
      </c>
    </row>
    <row r="180" spans="1:12">
      <c r="A180" s="2">
        <v>44777.462777777779</v>
      </c>
      <c r="B180">
        <v>263958848</v>
      </c>
      <c r="C180" t="s">
        <v>283</v>
      </c>
      <c r="D180" t="s">
        <v>9</v>
      </c>
      <c r="E180" s="3">
        <v>3200</v>
      </c>
      <c r="F180" s="3">
        <v>3200</v>
      </c>
      <c r="G180" s="3">
        <v>2240</v>
      </c>
      <c r="I180" t="s">
        <v>13</v>
      </c>
      <c r="J180" t="s">
        <v>11</v>
      </c>
      <c r="K180" t="s">
        <v>11</v>
      </c>
      <c r="L180" t="str">
        <f>T("9791166300660")</f>
        <v>9791166300660</v>
      </c>
    </row>
    <row r="181" spans="1:12">
      <c r="A181" s="2">
        <v>44777.536192129628</v>
      </c>
      <c r="B181">
        <v>254604237</v>
      </c>
      <c r="C181" t="s">
        <v>284</v>
      </c>
      <c r="D181" t="s">
        <v>9</v>
      </c>
      <c r="E181" s="3">
        <v>3200</v>
      </c>
      <c r="F181" s="3">
        <v>3200</v>
      </c>
      <c r="G181" s="3">
        <v>2240</v>
      </c>
      <c r="I181" t="s">
        <v>13</v>
      </c>
      <c r="J181" t="s">
        <v>11</v>
      </c>
      <c r="K181" t="s">
        <v>11</v>
      </c>
      <c r="L181" t="str">
        <f>T("9791166300240")</f>
        <v>9791166300240</v>
      </c>
    </row>
    <row r="182" spans="1:12">
      <c r="A182" s="2">
        <v>44777.536192129628</v>
      </c>
      <c r="B182">
        <v>254604239</v>
      </c>
      <c r="C182" t="s">
        <v>285</v>
      </c>
      <c r="D182" t="s">
        <v>9</v>
      </c>
      <c r="E182" s="3">
        <v>3200</v>
      </c>
      <c r="F182" s="3">
        <v>3200</v>
      </c>
      <c r="G182" s="3">
        <v>2240</v>
      </c>
      <c r="I182" t="s">
        <v>13</v>
      </c>
      <c r="J182" t="s">
        <v>11</v>
      </c>
      <c r="K182" t="s">
        <v>11</v>
      </c>
      <c r="L182" t="str">
        <f>T("9791166300233")</f>
        <v>9791166300233</v>
      </c>
    </row>
    <row r="183" spans="1:12">
      <c r="A183" s="2">
        <v>44777.553993055553</v>
      </c>
      <c r="B183">
        <v>284241886</v>
      </c>
      <c r="C183" t="s">
        <v>26</v>
      </c>
      <c r="D183" t="s">
        <v>9</v>
      </c>
      <c r="E183" s="3">
        <v>3600</v>
      </c>
      <c r="F183" s="3">
        <v>3600</v>
      </c>
      <c r="G183" s="3">
        <v>2520</v>
      </c>
      <c r="I183" t="s">
        <v>21</v>
      </c>
      <c r="J183" t="s">
        <v>45</v>
      </c>
      <c r="K183" t="s">
        <v>11</v>
      </c>
      <c r="L183" t="str">
        <f>T("9791166482564")</f>
        <v>9791166482564</v>
      </c>
    </row>
    <row r="184" spans="1:12">
      <c r="A184" s="2">
        <v>44777.558518518519</v>
      </c>
      <c r="B184">
        <v>48799490</v>
      </c>
      <c r="C184" t="s">
        <v>242</v>
      </c>
      <c r="D184" t="s">
        <v>9</v>
      </c>
      <c r="E184">
        <v>0</v>
      </c>
      <c r="F184">
        <v>0</v>
      </c>
      <c r="G184">
        <v>0</v>
      </c>
      <c r="I184" t="s">
        <v>10</v>
      </c>
      <c r="J184" t="s">
        <v>11</v>
      </c>
      <c r="K184" t="s">
        <v>11</v>
      </c>
      <c r="L184" t="str">
        <f>T("9791159283468")</f>
        <v>9791159283468</v>
      </c>
    </row>
    <row r="185" spans="1:12">
      <c r="A185" s="2">
        <v>44777.560173611113</v>
      </c>
      <c r="B185">
        <v>297620121</v>
      </c>
      <c r="C185" t="s">
        <v>205</v>
      </c>
      <c r="D185" t="s">
        <v>9</v>
      </c>
      <c r="E185" s="3">
        <v>2000</v>
      </c>
      <c r="F185" s="3">
        <v>2000</v>
      </c>
      <c r="G185" s="3">
        <v>1400</v>
      </c>
      <c r="I185" t="s">
        <v>29</v>
      </c>
      <c r="J185" t="s">
        <v>40</v>
      </c>
      <c r="K185" t="s">
        <v>11</v>
      </c>
      <c r="L185" t="str">
        <f>T("9791191562484")</f>
        <v>9791191562484</v>
      </c>
    </row>
    <row r="186" spans="1:12">
      <c r="A186" s="2">
        <v>44777.616643518515</v>
      </c>
      <c r="B186">
        <v>284241808</v>
      </c>
      <c r="C186" t="s">
        <v>27</v>
      </c>
      <c r="D186" t="s">
        <v>9</v>
      </c>
      <c r="E186" s="3">
        <v>3600</v>
      </c>
      <c r="F186" s="3">
        <v>3600</v>
      </c>
      <c r="G186" s="3">
        <v>2520</v>
      </c>
      <c r="I186" t="s">
        <v>21</v>
      </c>
      <c r="J186" t="s">
        <v>45</v>
      </c>
      <c r="K186" t="s">
        <v>11</v>
      </c>
      <c r="L186" t="str">
        <f>T("9791166482557")</f>
        <v>9791166482557</v>
      </c>
    </row>
    <row r="187" spans="1:12">
      <c r="A187" s="2">
        <v>44777.63795138889</v>
      </c>
      <c r="B187">
        <v>186276468</v>
      </c>
      <c r="C187" t="s">
        <v>102</v>
      </c>
      <c r="D187" t="s">
        <v>9</v>
      </c>
      <c r="E187" s="3">
        <v>3500</v>
      </c>
      <c r="F187" s="3">
        <v>3500</v>
      </c>
      <c r="G187" s="3">
        <v>2450</v>
      </c>
      <c r="I187" t="s">
        <v>19</v>
      </c>
      <c r="J187" t="s">
        <v>271</v>
      </c>
      <c r="K187" t="s">
        <v>11</v>
      </c>
      <c r="L187" t="str">
        <f>T("9791159286803")</f>
        <v>9791159286803</v>
      </c>
    </row>
    <row r="188" spans="1:12">
      <c r="A188" s="2">
        <v>44777.646168981482</v>
      </c>
      <c r="B188">
        <v>297620121</v>
      </c>
      <c r="C188" t="s">
        <v>205</v>
      </c>
      <c r="D188" t="s">
        <v>9</v>
      </c>
      <c r="E188" s="3">
        <v>2000</v>
      </c>
      <c r="F188" s="3">
        <v>2000</v>
      </c>
      <c r="G188" s="3">
        <v>1400</v>
      </c>
      <c r="I188" t="s">
        <v>29</v>
      </c>
      <c r="J188" t="s">
        <v>40</v>
      </c>
      <c r="K188" t="s">
        <v>11</v>
      </c>
      <c r="L188" t="str">
        <f>T("9791191562484")</f>
        <v>9791191562484</v>
      </c>
    </row>
    <row r="189" spans="1:12">
      <c r="A189" s="2">
        <v>44777.649305555555</v>
      </c>
      <c r="B189">
        <v>295356530</v>
      </c>
      <c r="C189" t="s">
        <v>116</v>
      </c>
      <c r="D189" t="s">
        <v>9</v>
      </c>
      <c r="E189" s="3">
        <v>2500</v>
      </c>
      <c r="F189" s="3">
        <v>2500</v>
      </c>
      <c r="G189" s="3">
        <v>1750</v>
      </c>
      <c r="I189" t="s">
        <v>115</v>
      </c>
      <c r="J189" t="s">
        <v>40</v>
      </c>
      <c r="K189" t="s">
        <v>11</v>
      </c>
      <c r="L189" t="str">
        <f>T("9791191562460")</f>
        <v>9791191562460</v>
      </c>
    </row>
    <row r="190" spans="1:12">
      <c r="A190" s="2">
        <v>44777.669027777774</v>
      </c>
      <c r="B190">
        <v>297318349</v>
      </c>
      <c r="C190" t="s">
        <v>169</v>
      </c>
      <c r="D190" t="s">
        <v>9</v>
      </c>
      <c r="E190" s="3">
        <v>22400</v>
      </c>
      <c r="F190" s="3">
        <v>22400</v>
      </c>
      <c r="G190" s="3">
        <v>15680</v>
      </c>
      <c r="I190" t="s">
        <v>150</v>
      </c>
      <c r="J190" t="s">
        <v>11</v>
      </c>
      <c r="K190" t="s">
        <v>11</v>
      </c>
      <c r="L190" t="str">
        <f>T("9791137602847")</f>
        <v>9791137602847</v>
      </c>
    </row>
    <row r="191" spans="1:12">
      <c r="A191" s="2">
        <v>44777.671643518515</v>
      </c>
      <c r="B191">
        <v>287834730</v>
      </c>
      <c r="C191" t="s">
        <v>37</v>
      </c>
      <c r="D191" t="s">
        <v>9</v>
      </c>
      <c r="E191" s="3">
        <v>2000</v>
      </c>
      <c r="F191" s="3">
        <v>2000</v>
      </c>
      <c r="G191" s="3">
        <v>1400</v>
      </c>
      <c r="I191" t="s">
        <v>32</v>
      </c>
      <c r="J191" t="s">
        <v>40</v>
      </c>
      <c r="K191" t="s">
        <v>11</v>
      </c>
      <c r="L191" t="str">
        <f>T("9791191562019")</f>
        <v>9791191562019</v>
      </c>
    </row>
    <row r="192" spans="1:12">
      <c r="A192" s="2">
        <v>44777.681261574071</v>
      </c>
      <c r="B192">
        <v>298750948</v>
      </c>
      <c r="C192" t="s">
        <v>259</v>
      </c>
      <c r="D192" t="s">
        <v>9</v>
      </c>
      <c r="E192" s="3">
        <v>3500</v>
      </c>
      <c r="F192" s="3">
        <v>3500</v>
      </c>
      <c r="G192" s="3">
        <v>2450</v>
      </c>
      <c r="I192" t="s">
        <v>38</v>
      </c>
      <c r="J192" t="s">
        <v>40</v>
      </c>
      <c r="K192" t="s">
        <v>11</v>
      </c>
      <c r="L192" t="str">
        <f>T("9791191562866")</f>
        <v>9791191562866</v>
      </c>
    </row>
    <row r="193" spans="1:12">
      <c r="A193" s="2">
        <v>44777.68650462963</v>
      </c>
      <c r="B193">
        <v>284241886</v>
      </c>
      <c r="C193" t="s">
        <v>26</v>
      </c>
      <c r="D193" t="s">
        <v>9</v>
      </c>
      <c r="E193" s="3">
        <v>3600</v>
      </c>
      <c r="F193" s="3">
        <v>3600</v>
      </c>
      <c r="G193" s="3">
        <v>2520</v>
      </c>
      <c r="I193" t="s">
        <v>21</v>
      </c>
      <c r="J193" t="s">
        <v>45</v>
      </c>
      <c r="K193" t="s">
        <v>11</v>
      </c>
      <c r="L193" t="str">
        <f>T("9791166482564")</f>
        <v>9791166482564</v>
      </c>
    </row>
    <row r="194" spans="1:12">
      <c r="A194" s="2">
        <v>44777.690023148149</v>
      </c>
      <c r="B194">
        <v>295836446</v>
      </c>
      <c r="C194" t="s">
        <v>129</v>
      </c>
      <c r="D194" t="s">
        <v>9</v>
      </c>
      <c r="E194" s="3">
        <v>2000</v>
      </c>
      <c r="F194" s="3">
        <v>2000</v>
      </c>
      <c r="G194" s="3">
        <v>1400</v>
      </c>
      <c r="I194" t="s">
        <v>59</v>
      </c>
      <c r="J194" t="s">
        <v>40</v>
      </c>
      <c r="K194" t="s">
        <v>11</v>
      </c>
      <c r="L194" t="str">
        <f>T("9791191562798")</f>
        <v>9791191562798</v>
      </c>
    </row>
    <row r="195" spans="1:12">
      <c r="A195" s="2">
        <v>44777.70212962963</v>
      </c>
      <c r="B195">
        <v>282585770</v>
      </c>
      <c r="C195" t="s">
        <v>74</v>
      </c>
      <c r="D195" t="s">
        <v>9</v>
      </c>
      <c r="E195" s="3">
        <v>3000</v>
      </c>
      <c r="F195" s="3">
        <v>3000</v>
      </c>
      <c r="G195" s="3">
        <v>2100</v>
      </c>
      <c r="I195" t="s">
        <v>30</v>
      </c>
      <c r="J195" t="s">
        <v>71</v>
      </c>
      <c r="K195" t="s">
        <v>11</v>
      </c>
      <c r="L195" t="str">
        <f>T("9791164374618")</f>
        <v>9791164374618</v>
      </c>
    </row>
    <row r="196" spans="1:12">
      <c r="A196" s="2">
        <v>44777.747442129628</v>
      </c>
      <c r="B196">
        <v>298750948</v>
      </c>
      <c r="C196" t="s">
        <v>259</v>
      </c>
      <c r="D196" t="s">
        <v>9</v>
      </c>
      <c r="E196" s="3">
        <v>3500</v>
      </c>
      <c r="F196" s="3">
        <v>3500</v>
      </c>
      <c r="G196" s="3">
        <v>2450</v>
      </c>
      <c r="I196" t="s">
        <v>38</v>
      </c>
      <c r="J196" t="s">
        <v>40</v>
      </c>
      <c r="K196" t="s">
        <v>11</v>
      </c>
      <c r="L196" t="str">
        <f>T("9791191562866")</f>
        <v>9791191562866</v>
      </c>
    </row>
    <row r="197" spans="1:12">
      <c r="A197" s="2">
        <v>44777.767847222225</v>
      </c>
      <c r="B197">
        <v>290197934</v>
      </c>
      <c r="C197" t="s">
        <v>48</v>
      </c>
      <c r="D197" t="s">
        <v>9</v>
      </c>
      <c r="E197" s="3">
        <v>2000</v>
      </c>
      <c r="F197" s="3">
        <v>2000</v>
      </c>
      <c r="G197" s="3">
        <v>1400</v>
      </c>
      <c r="I197" t="s">
        <v>49</v>
      </c>
      <c r="J197" t="s">
        <v>40</v>
      </c>
      <c r="K197" t="s">
        <v>11</v>
      </c>
      <c r="L197" t="str">
        <f>T("9791191562163")</f>
        <v>9791191562163</v>
      </c>
    </row>
    <row r="198" spans="1:12">
      <c r="A198" s="2">
        <v>44777.787291666667</v>
      </c>
      <c r="B198">
        <v>297620121</v>
      </c>
      <c r="C198" t="s">
        <v>205</v>
      </c>
      <c r="D198" t="s">
        <v>9</v>
      </c>
      <c r="E198" s="3">
        <v>2000</v>
      </c>
      <c r="F198" s="3">
        <v>2000</v>
      </c>
      <c r="G198" s="3">
        <v>1400</v>
      </c>
      <c r="I198" t="s">
        <v>29</v>
      </c>
      <c r="J198" t="s">
        <v>40</v>
      </c>
      <c r="K198" t="s">
        <v>11</v>
      </c>
      <c r="L198" t="str">
        <f>T("9791191562484")</f>
        <v>9791191562484</v>
      </c>
    </row>
    <row r="199" spans="1:12">
      <c r="A199" s="2">
        <v>44777.792546296296</v>
      </c>
      <c r="B199">
        <v>290197934</v>
      </c>
      <c r="C199" t="s">
        <v>48</v>
      </c>
      <c r="D199" t="s">
        <v>9</v>
      </c>
      <c r="E199" s="3">
        <v>2000</v>
      </c>
      <c r="F199" s="3">
        <v>2000</v>
      </c>
      <c r="G199" s="3">
        <v>1400</v>
      </c>
      <c r="I199" t="s">
        <v>49</v>
      </c>
      <c r="J199" t="s">
        <v>40</v>
      </c>
      <c r="K199" t="s">
        <v>11</v>
      </c>
      <c r="L199" t="str">
        <f>T("9791191562163")</f>
        <v>9791191562163</v>
      </c>
    </row>
    <row r="200" spans="1:12">
      <c r="A200" s="2">
        <v>44777.856400462966</v>
      </c>
      <c r="B200">
        <v>294228911</v>
      </c>
      <c r="C200" t="s">
        <v>110</v>
      </c>
      <c r="D200" t="s">
        <v>9</v>
      </c>
      <c r="E200" s="3">
        <v>2000</v>
      </c>
      <c r="F200" s="3">
        <v>2000</v>
      </c>
      <c r="G200" s="3">
        <v>1400</v>
      </c>
      <c r="I200" t="s">
        <v>49</v>
      </c>
      <c r="J200" t="s">
        <v>40</v>
      </c>
      <c r="K200" t="s">
        <v>11</v>
      </c>
      <c r="L200" t="str">
        <f>T("9791191562408")</f>
        <v>9791191562408</v>
      </c>
    </row>
    <row r="201" spans="1:12">
      <c r="A201" s="2">
        <v>44777.882905092592</v>
      </c>
      <c r="B201">
        <v>295836446</v>
      </c>
      <c r="C201" t="s">
        <v>129</v>
      </c>
      <c r="D201" t="s">
        <v>9</v>
      </c>
      <c r="E201" s="3">
        <v>2000</v>
      </c>
      <c r="F201" s="3">
        <v>2000</v>
      </c>
      <c r="G201" s="3">
        <v>1400</v>
      </c>
      <c r="I201" t="s">
        <v>59</v>
      </c>
      <c r="J201" t="s">
        <v>40</v>
      </c>
      <c r="K201" t="s">
        <v>11</v>
      </c>
      <c r="L201" t="str">
        <f>T("9791191562798")</f>
        <v>9791191562798</v>
      </c>
    </row>
    <row r="202" spans="1:12">
      <c r="A202" s="2">
        <v>44777.915810185186</v>
      </c>
      <c r="B202">
        <v>298750948</v>
      </c>
      <c r="C202" t="s">
        <v>259</v>
      </c>
      <c r="D202" t="s">
        <v>9</v>
      </c>
      <c r="E202" s="3">
        <v>3500</v>
      </c>
      <c r="F202" s="3">
        <v>3500</v>
      </c>
      <c r="G202" s="3">
        <v>2450</v>
      </c>
      <c r="I202" t="s">
        <v>38</v>
      </c>
      <c r="J202" t="s">
        <v>40</v>
      </c>
      <c r="K202" t="s">
        <v>11</v>
      </c>
      <c r="L202" t="str">
        <f>T("9791191562866")</f>
        <v>9791191562866</v>
      </c>
    </row>
    <row r="203" spans="1:12">
      <c r="A203" s="2">
        <v>44777.926874999997</v>
      </c>
      <c r="B203">
        <v>298750948</v>
      </c>
      <c r="C203" t="s">
        <v>259</v>
      </c>
      <c r="D203" t="s">
        <v>9</v>
      </c>
      <c r="E203" s="3">
        <v>3500</v>
      </c>
      <c r="F203" s="3">
        <v>3500</v>
      </c>
      <c r="G203" s="3">
        <v>2450</v>
      </c>
      <c r="I203" t="s">
        <v>38</v>
      </c>
      <c r="J203" t="s">
        <v>40</v>
      </c>
      <c r="K203" t="s">
        <v>11</v>
      </c>
      <c r="L203" t="str">
        <f>T("9791191562866")</f>
        <v>9791191562866</v>
      </c>
    </row>
    <row r="204" spans="1:12">
      <c r="A204" s="2">
        <v>44777.934479166666</v>
      </c>
      <c r="B204">
        <v>290827241</v>
      </c>
      <c r="C204" t="s">
        <v>53</v>
      </c>
      <c r="D204" t="s">
        <v>9</v>
      </c>
      <c r="E204" s="3">
        <v>2000</v>
      </c>
      <c r="F204" s="3">
        <v>2000</v>
      </c>
      <c r="G204" s="3">
        <v>1400</v>
      </c>
      <c r="I204" t="s">
        <v>54</v>
      </c>
      <c r="J204" t="s">
        <v>40</v>
      </c>
      <c r="K204" t="s">
        <v>11</v>
      </c>
      <c r="L204" t="str">
        <f>T("9791191562149")</f>
        <v>9791191562149</v>
      </c>
    </row>
    <row r="205" spans="1:12">
      <c r="A205" s="2">
        <v>44777.951388888891</v>
      </c>
      <c r="B205">
        <v>295356530</v>
      </c>
      <c r="C205" t="s">
        <v>116</v>
      </c>
      <c r="D205" t="s">
        <v>9</v>
      </c>
      <c r="E205" s="3">
        <v>2500</v>
      </c>
      <c r="F205" s="3">
        <v>2500</v>
      </c>
      <c r="G205" s="3">
        <v>1750</v>
      </c>
      <c r="I205" t="s">
        <v>115</v>
      </c>
      <c r="J205" t="s">
        <v>40</v>
      </c>
      <c r="K205" t="s">
        <v>11</v>
      </c>
      <c r="L205" t="str">
        <f>T("9791191562460")</f>
        <v>9791191562460</v>
      </c>
    </row>
    <row r="206" spans="1:12">
      <c r="A206" s="2">
        <v>44777.960289351853</v>
      </c>
      <c r="B206">
        <v>295071451</v>
      </c>
      <c r="C206" t="s">
        <v>109</v>
      </c>
      <c r="D206" t="s">
        <v>9</v>
      </c>
      <c r="E206" s="3">
        <v>2500</v>
      </c>
      <c r="F206" s="3">
        <v>2500</v>
      </c>
      <c r="G206" s="3">
        <v>1750</v>
      </c>
      <c r="I206" t="s">
        <v>34</v>
      </c>
      <c r="J206" t="s">
        <v>40</v>
      </c>
      <c r="K206" t="s">
        <v>11</v>
      </c>
      <c r="L206" t="str">
        <f>T("9791191562439")</f>
        <v>9791191562439</v>
      </c>
    </row>
    <row r="207" spans="1:12">
      <c r="A207" s="2">
        <v>44777.960590277777</v>
      </c>
      <c r="B207">
        <v>296612458</v>
      </c>
      <c r="C207" t="s">
        <v>138</v>
      </c>
      <c r="D207" t="s">
        <v>9</v>
      </c>
      <c r="E207" s="3">
        <v>2000</v>
      </c>
      <c r="F207" s="3">
        <v>2000</v>
      </c>
      <c r="G207" s="3">
        <v>1400</v>
      </c>
      <c r="I207" t="s">
        <v>139</v>
      </c>
      <c r="J207" t="s">
        <v>40</v>
      </c>
      <c r="K207" t="s">
        <v>11</v>
      </c>
      <c r="L207" t="str">
        <f>T("9791191562545")</f>
        <v>9791191562545</v>
      </c>
    </row>
    <row r="208" spans="1:12">
      <c r="A208" s="2">
        <v>44777.974722222221</v>
      </c>
      <c r="B208">
        <v>298750948</v>
      </c>
      <c r="C208" t="s">
        <v>259</v>
      </c>
      <c r="D208" t="s">
        <v>9</v>
      </c>
      <c r="E208" s="3">
        <v>3500</v>
      </c>
      <c r="F208" s="3">
        <v>3500</v>
      </c>
      <c r="G208" s="3">
        <v>2450</v>
      </c>
      <c r="I208" t="s">
        <v>38</v>
      </c>
      <c r="J208" t="s">
        <v>40</v>
      </c>
      <c r="K208" t="s">
        <v>11</v>
      </c>
      <c r="L208" t="str">
        <f>T("9791191562866")</f>
        <v>9791191562866</v>
      </c>
    </row>
    <row r="209" spans="1:12">
      <c r="A209" s="2">
        <v>44777.980879629627</v>
      </c>
      <c r="B209">
        <v>297620121</v>
      </c>
      <c r="C209" t="s">
        <v>205</v>
      </c>
      <c r="D209" t="s">
        <v>9</v>
      </c>
      <c r="E209" s="3">
        <v>2000</v>
      </c>
      <c r="F209" s="3">
        <v>2000</v>
      </c>
      <c r="G209" s="3">
        <v>1400</v>
      </c>
      <c r="I209" t="s">
        <v>29</v>
      </c>
      <c r="J209" t="s">
        <v>40</v>
      </c>
      <c r="K209" t="s">
        <v>11</v>
      </c>
      <c r="L209" t="str">
        <f>T("9791191562484")</f>
        <v>9791191562484</v>
      </c>
    </row>
    <row r="210" spans="1:12">
      <c r="A210" s="2">
        <v>44777.984803240739</v>
      </c>
      <c r="B210">
        <v>298750948</v>
      </c>
      <c r="C210" t="s">
        <v>259</v>
      </c>
      <c r="D210" t="s">
        <v>9</v>
      </c>
      <c r="E210" s="3">
        <v>3500</v>
      </c>
      <c r="F210" s="3">
        <v>3500</v>
      </c>
      <c r="G210" s="3">
        <v>2450</v>
      </c>
      <c r="I210" t="s">
        <v>38</v>
      </c>
      <c r="J210" t="s">
        <v>40</v>
      </c>
      <c r="K210" t="s">
        <v>11</v>
      </c>
      <c r="L210" t="str">
        <f>T("9791191562866")</f>
        <v>9791191562866</v>
      </c>
    </row>
    <row r="211" spans="1:12">
      <c r="A211" s="2">
        <v>44777.989872685182</v>
      </c>
      <c r="B211">
        <v>296612458</v>
      </c>
      <c r="C211" t="s">
        <v>138</v>
      </c>
      <c r="D211" t="s">
        <v>9</v>
      </c>
      <c r="E211" s="3">
        <v>2000</v>
      </c>
      <c r="F211" s="3">
        <v>2000</v>
      </c>
      <c r="G211" s="3">
        <v>1400</v>
      </c>
      <c r="I211" t="s">
        <v>139</v>
      </c>
      <c r="J211" t="s">
        <v>40</v>
      </c>
      <c r="K211" t="s">
        <v>11</v>
      </c>
      <c r="L211" t="str">
        <f>T("9791191562545")</f>
        <v>9791191562545</v>
      </c>
    </row>
    <row r="212" spans="1:12">
      <c r="A212" s="2">
        <v>44777.998541666668</v>
      </c>
      <c r="B212">
        <v>107413064</v>
      </c>
      <c r="C212" t="s">
        <v>286</v>
      </c>
      <c r="D212" t="s">
        <v>9</v>
      </c>
      <c r="E212">
        <v>0</v>
      </c>
      <c r="F212">
        <v>0</v>
      </c>
      <c r="G212">
        <v>0</v>
      </c>
      <c r="I212" t="s">
        <v>10</v>
      </c>
      <c r="J212" t="s">
        <v>11</v>
      </c>
      <c r="K212" t="s">
        <v>11</v>
      </c>
      <c r="L212" t="str">
        <f>T("9791159285226")</f>
        <v>9791159285226</v>
      </c>
    </row>
    <row r="213" spans="1:12">
      <c r="A213" s="2">
        <v>44778.105821759258</v>
      </c>
      <c r="B213">
        <v>298750948</v>
      </c>
      <c r="C213" t="s">
        <v>259</v>
      </c>
      <c r="D213" t="s">
        <v>9</v>
      </c>
      <c r="E213" s="3">
        <v>3500</v>
      </c>
      <c r="F213" s="3">
        <v>3500</v>
      </c>
      <c r="G213" s="3">
        <v>2450</v>
      </c>
      <c r="I213" t="s">
        <v>38</v>
      </c>
      <c r="J213" t="s">
        <v>40</v>
      </c>
      <c r="K213" t="s">
        <v>11</v>
      </c>
      <c r="L213" t="str">
        <f>T("9791191562866")</f>
        <v>9791191562866</v>
      </c>
    </row>
    <row r="214" spans="1:12">
      <c r="A214" s="2">
        <v>44778.421724537038</v>
      </c>
      <c r="B214">
        <v>298750948</v>
      </c>
      <c r="C214" t="s">
        <v>259</v>
      </c>
      <c r="D214" t="s">
        <v>9</v>
      </c>
      <c r="E214" s="3">
        <v>3500</v>
      </c>
      <c r="F214" s="3">
        <v>3500</v>
      </c>
      <c r="G214" s="3">
        <v>2450</v>
      </c>
      <c r="I214" t="s">
        <v>38</v>
      </c>
      <c r="J214" t="s">
        <v>40</v>
      </c>
      <c r="K214" t="s">
        <v>11</v>
      </c>
      <c r="L214" t="str">
        <f>T("9791191562866")</f>
        <v>9791191562866</v>
      </c>
    </row>
    <row r="215" spans="1:12">
      <c r="A215" s="2">
        <v>44778.424756944441</v>
      </c>
      <c r="B215">
        <v>298750948</v>
      </c>
      <c r="C215" t="s">
        <v>259</v>
      </c>
      <c r="D215" t="s">
        <v>9</v>
      </c>
      <c r="E215" s="3">
        <v>3500</v>
      </c>
      <c r="F215" s="3">
        <v>3500</v>
      </c>
      <c r="G215" s="3">
        <v>2450</v>
      </c>
      <c r="I215" t="s">
        <v>38</v>
      </c>
      <c r="J215" t="s">
        <v>40</v>
      </c>
      <c r="K215" t="s">
        <v>11</v>
      </c>
      <c r="L215" t="str">
        <f>T("9791191562866")</f>
        <v>9791191562866</v>
      </c>
    </row>
    <row r="216" spans="1:12">
      <c r="A216" s="2">
        <v>44778.431122685186</v>
      </c>
      <c r="B216">
        <v>299154500</v>
      </c>
      <c r="C216" t="s">
        <v>287</v>
      </c>
      <c r="D216" t="s">
        <v>9</v>
      </c>
      <c r="E216" s="3">
        <v>2500</v>
      </c>
      <c r="F216" s="3">
        <v>2500</v>
      </c>
      <c r="G216" s="3">
        <v>1750</v>
      </c>
      <c r="I216" t="s">
        <v>220</v>
      </c>
      <c r="J216" t="s">
        <v>40</v>
      </c>
      <c r="K216" t="s">
        <v>11</v>
      </c>
      <c r="L216" t="str">
        <f>T("9791191562859")</f>
        <v>9791191562859</v>
      </c>
    </row>
    <row r="217" spans="1:12">
      <c r="A217" s="2">
        <v>44778.464513888888</v>
      </c>
      <c r="B217">
        <v>291088925</v>
      </c>
      <c r="C217" t="s">
        <v>58</v>
      </c>
      <c r="D217" t="s">
        <v>9</v>
      </c>
      <c r="E217" s="3">
        <v>2000</v>
      </c>
      <c r="F217" s="3">
        <v>2000</v>
      </c>
      <c r="G217" s="3">
        <v>1400</v>
      </c>
      <c r="I217" t="s">
        <v>59</v>
      </c>
      <c r="J217" t="s">
        <v>40</v>
      </c>
      <c r="K217" t="s">
        <v>11</v>
      </c>
      <c r="L217" t="str">
        <f>T("9791191562187")</f>
        <v>9791191562187</v>
      </c>
    </row>
    <row r="218" spans="1:12">
      <c r="A218" s="2">
        <v>44778.513437499998</v>
      </c>
      <c r="B218">
        <v>254604244</v>
      </c>
      <c r="C218" t="s">
        <v>288</v>
      </c>
      <c r="D218" t="s">
        <v>9</v>
      </c>
      <c r="E218" s="3">
        <v>3200</v>
      </c>
      <c r="F218" s="3">
        <v>3200</v>
      </c>
      <c r="G218" s="3">
        <v>2240</v>
      </c>
      <c r="I218" t="s">
        <v>13</v>
      </c>
      <c r="J218" t="s">
        <v>11</v>
      </c>
      <c r="K218" t="s">
        <v>11</v>
      </c>
      <c r="L218" t="str">
        <f>T("9791166300257")</f>
        <v>9791166300257</v>
      </c>
    </row>
    <row r="219" spans="1:12">
      <c r="A219" s="2">
        <v>44778.513437499998</v>
      </c>
      <c r="B219">
        <v>254604256</v>
      </c>
      <c r="C219" t="s">
        <v>289</v>
      </c>
      <c r="D219" t="s">
        <v>9</v>
      </c>
      <c r="E219" s="3">
        <v>3200</v>
      </c>
      <c r="F219" s="3">
        <v>3200</v>
      </c>
      <c r="G219" s="3">
        <v>2240</v>
      </c>
      <c r="I219" t="s">
        <v>13</v>
      </c>
      <c r="J219" t="s">
        <v>11</v>
      </c>
      <c r="K219" t="s">
        <v>11</v>
      </c>
      <c r="L219" t="str">
        <f>T("9791166300271")</f>
        <v>9791166300271</v>
      </c>
    </row>
    <row r="220" spans="1:12">
      <c r="A220" s="2">
        <v>44778.513437499998</v>
      </c>
      <c r="B220">
        <v>254604247</v>
      </c>
      <c r="C220" t="s">
        <v>290</v>
      </c>
      <c r="D220" t="s">
        <v>9</v>
      </c>
      <c r="E220" s="3">
        <v>3200</v>
      </c>
      <c r="F220" s="3">
        <v>3200</v>
      </c>
      <c r="G220" s="3">
        <v>2240</v>
      </c>
      <c r="I220" t="s">
        <v>13</v>
      </c>
      <c r="J220" t="s">
        <v>11</v>
      </c>
      <c r="K220" t="s">
        <v>11</v>
      </c>
      <c r="L220" t="str">
        <f>T("9791166300264")</f>
        <v>9791166300264</v>
      </c>
    </row>
    <row r="221" spans="1:12">
      <c r="A221" s="2">
        <v>44778.60365740741</v>
      </c>
      <c r="B221">
        <v>298014671</v>
      </c>
      <c r="C221" t="s">
        <v>231</v>
      </c>
      <c r="D221" t="s">
        <v>9</v>
      </c>
      <c r="E221" s="3">
        <v>2500</v>
      </c>
      <c r="F221" s="3">
        <v>2500</v>
      </c>
      <c r="G221" s="3">
        <v>1750</v>
      </c>
      <c r="I221" t="s">
        <v>100</v>
      </c>
      <c r="J221" t="s">
        <v>40</v>
      </c>
      <c r="K221" t="s">
        <v>11</v>
      </c>
      <c r="L221" t="str">
        <f>T("9791191562835")</f>
        <v>9791191562835</v>
      </c>
    </row>
    <row r="222" spans="1:12">
      <c r="A222" s="2">
        <v>44778.611539351848</v>
      </c>
      <c r="B222">
        <v>276845689</v>
      </c>
      <c r="C222" t="s">
        <v>291</v>
      </c>
      <c r="D222" t="s">
        <v>9</v>
      </c>
      <c r="E222" s="3">
        <v>2800</v>
      </c>
      <c r="F222" s="3">
        <v>2800</v>
      </c>
      <c r="G222" s="3">
        <v>1960</v>
      </c>
      <c r="I222" t="s">
        <v>16</v>
      </c>
      <c r="J222" t="s">
        <v>45</v>
      </c>
      <c r="K222" t="s">
        <v>11</v>
      </c>
      <c r="L222" t="str">
        <f>T("9791166481871")</f>
        <v>9791166481871</v>
      </c>
    </row>
    <row r="223" spans="1:12">
      <c r="A223" s="2">
        <v>44778.627708333333</v>
      </c>
      <c r="B223">
        <v>294228911</v>
      </c>
      <c r="C223" t="s">
        <v>110</v>
      </c>
      <c r="D223" t="s">
        <v>9</v>
      </c>
      <c r="E223" s="3">
        <v>2000</v>
      </c>
      <c r="F223" s="3">
        <v>2000</v>
      </c>
      <c r="G223" s="3">
        <v>1400</v>
      </c>
      <c r="I223" t="s">
        <v>49</v>
      </c>
      <c r="J223" t="s">
        <v>40</v>
      </c>
      <c r="K223" t="s">
        <v>11</v>
      </c>
      <c r="L223" t="str">
        <f>T("9791191562408")</f>
        <v>9791191562408</v>
      </c>
    </row>
    <row r="224" spans="1:12">
      <c r="A224" s="2">
        <v>44778.629143518519</v>
      </c>
      <c r="B224">
        <v>291088925</v>
      </c>
      <c r="C224" t="s">
        <v>58</v>
      </c>
      <c r="D224" t="s">
        <v>9</v>
      </c>
      <c r="E224" s="3">
        <v>2000</v>
      </c>
      <c r="F224" s="3">
        <v>2000</v>
      </c>
      <c r="G224" s="3">
        <v>1400</v>
      </c>
      <c r="I224" t="s">
        <v>59</v>
      </c>
      <c r="J224" t="s">
        <v>40</v>
      </c>
      <c r="K224" t="s">
        <v>11</v>
      </c>
      <c r="L224" t="str">
        <f>T("9791191562187")</f>
        <v>9791191562187</v>
      </c>
    </row>
    <row r="225" spans="1:12">
      <c r="A225" s="2">
        <v>44778.634988425925</v>
      </c>
      <c r="B225">
        <v>282585762</v>
      </c>
      <c r="C225" t="s">
        <v>75</v>
      </c>
      <c r="D225" t="s">
        <v>9</v>
      </c>
      <c r="E225" s="3">
        <v>3000</v>
      </c>
      <c r="F225" s="3">
        <v>3000</v>
      </c>
      <c r="G225" s="3">
        <v>2100</v>
      </c>
      <c r="I225" t="s">
        <v>30</v>
      </c>
      <c r="J225" t="s">
        <v>71</v>
      </c>
      <c r="K225" t="s">
        <v>11</v>
      </c>
      <c r="L225" t="str">
        <f>T("9791164374625")</f>
        <v>9791164374625</v>
      </c>
    </row>
    <row r="226" spans="1:12">
      <c r="A226" s="2">
        <v>44778.635439814818</v>
      </c>
      <c r="B226">
        <v>282585762</v>
      </c>
      <c r="C226" t="s">
        <v>75</v>
      </c>
      <c r="D226" t="s">
        <v>9</v>
      </c>
      <c r="E226" s="3">
        <v>-3000</v>
      </c>
      <c r="F226" s="3">
        <v>-3000</v>
      </c>
      <c r="G226" s="3">
        <v>-2100</v>
      </c>
      <c r="H226" s="2">
        <v>44778.634988425925</v>
      </c>
      <c r="I226" t="s">
        <v>30</v>
      </c>
      <c r="J226" t="s">
        <v>71</v>
      </c>
      <c r="K226" t="s">
        <v>11</v>
      </c>
      <c r="L226" t="str">
        <f>T("9791164374625")</f>
        <v>9791164374625</v>
      </c>
    </row>
    <row r="227" spans="1:12">
      <c r="A227" s="2">
        <v>44778.636481481481</v>
      </c>
      <c r="B227">
        <v>282585762</v>
      </c>
      <c r="C227" t="s">
        <v>75</v>
      </c>
      <c r="D227" t="s">
        <v>9</v>
      </c>
      <c r="E227" s="3">
        <v>3000</v>
      </c>
      <c r="F227" s="3">
        <v>3000</v>
      </c>
      <c r="G227" s="3">
        <v>2100</v>
      </c>
      <c r="I227" t="s">
        <v>30</v>
      </c>
      <c r="J227" t="s">
        <v>71</v>
      </c>
      <c r="K227" t="s">
        <v>11</v>
      </c>
      <c r="L227" t="str">
        <f>T("9791164374625")</f>
        <v>9791164374625</v>
      </c>
    </row>
    <row r="228" spans="1:12">
      <c r="A228" s="2">
        <v>44778.648819444446</v>
      </c>
      <c r="B228">
        <v>297620121</v>
      </c>
      <c r="C228" t="s">
        <v>205</v>
      </c>
      <c r="D228" t="s">
        <v>9</v>
      </c>
      <c r="E228" s="3">
        <v>2000</v>
      </c>
      <c r="F228" s="3">
        <v>2000</v>
      </c>
      <c r="G228" s="3">
        <v>1400</v>
      </c>
      <c r="I228" t="s">
        <v>29</v>
      </c>
      <c r="J228" t="s">
        <v>40</v>
      </c>
      <c r="K228" t="s">
        <v>11</v>
      </c>
      <c r="L228" t="str">
        <f>T("9791191562484")</f>
        <v>9791191562484</v>
      </c>
    </row>
    <row r="229" spans="1:12">
      <c r="A229" s="2">
        <v>44778.648819444446</v>
      </c>
      <c r="B229">
        <v>298750948</v>
      </c>
      <c r="C229" t="s">
        <v>259</v>
      </c>
      <c r="D229" t="s">
        <v>9</v>
      </c>
      <c r="E229" s="3">
        <v>3500</v>
      </c>
      <c r="F229" s="3">
        <v>3500</v>
      </c>
      <c r="G229" s="3">
        <v>2450</v>
      </c>
      <c r="I229" t="s">
        <v>38</v>
      </c>
      <c r="J229" t="s">
        <v>40</v>
      </c>
      <c r="K229" t="s">
        <v>11</v>
      </c>
      <c r="L229" t="str">
        <f>T("9791191562866")</f>
        <v>9791191562866</v>
      </c>
    </row>
    <row r="230" spans="1:12">
      <c r="A230" s="2">
        <v>44778.742418981485</v>
      </c>
      <c r="B230">
        <v>186276466</v>
      </c>
      <c r="C230" t="s">
        <v>101</v>
      </c>
      <c r="D230" t="s">
        <v>9</v>
      </c>
      <c r="E230" s="3">
        <v>3500</v>
      </c>
      <c r="F230" s="3">
        <v>3500</v>
      </c>
      <c r="G230" s="3">
        <v>2450</v>
      </c>
      <c r="I230" t="s">
        <v>19</v>
      </c>
      <c r="J230" t="s">
        <v>271</v>
      </c>
      <c r="K230" t="s">
        <v>11</v>
      </c>
      <c r="L230" t="str">
        <f>T("9791159286810")</f>
        <v>9791159286810</v>
      </c>
    </row>
    <row r="231" spans="1:12">
      <c r="A231" s="2">
        <v>44778.753171296295</v>
      </c>
      <c r="B231">
        <v>274772659</v>
      </c>
      <c r="C231" t="s">
        <v>22</v>
      </c>
      <c r="D231" t="s">
        <v>9</v>
      </c>
      <c r="E231" s="3">
        <v>3000</v>
      </c>
      <c r="F231" s="3">
        <v>3000</v>
      </c>
      <c r="G231" s="3">
        <v>2100</v>
      </c>
      <c r="I231" t="s">
        <v>21</v>
      </c>
      <c r="J231" t="s">
        <v>45</v>
      </c>
      <c r="K231" t="s">
        <v>11</v>
      </c>
      <c r="L231" t="str">
        <f>T("9791166481703")</f>
        <v>9791166481703</v>
      </c>
    </row>
    <row r="232" spans="1:12">
      <c r="A232" s="2">
        <v>44778.783912037034</v>
      </c>
      <c r="B232">
        <v>293771607</v>
      </c>
      <c r="C232" t="s">
        <v>292</v>
      </c>
      <c r="D232" t="s">
        <v>9</v>
      </c>
      <c r="E232" s="3">
        <v>2500</v>
      </c>
      <c r="F232" s="3">
        <v>2500</v>
      </c>
      <c r="G232" s="3">
        <v>1750</v>
      </c>
      <c r="I232" t="s">
        <v>293</v>
      </c>
      <c r="J232" t="s">
        <v>40</v>
      </c>
      <c r="K232" t="s">
        <v>11</v>
      </c>
      <c r="L232" t="str">
        <f>T("9791191562323")</f>
        <v>9791191562323</v>
      </c>
    </row>
    <row r="233" spans="1:12">
      <c r="A233" s="2">
        <v>44778.783912037034</v>
      </c>
      <c r="B233">
        <v>295462572</v>
      </c>
      <c r="C233" t="s">
        <v>108</v>
      </c>
      <c r="D233" t="s">
        <v>9</v>
      </c>
      <c r="E233" s="3">
        <v>2000</v>
      </c>
      <c r="F233" s="3">
        <v>2000</v>
      </c>
      <c r="G233" s="3">
        <v>1400</v>
      </c>
      <c r="I233" t="s">
        <v>32</v>
      </c>
      <c r="J233" t="s">
        <v>40</v>
      </c>
      <c r="K233" t="s">
        <v>11</v>
      </c>
      <c r="L233" t="str">
        <f>T("9791191562361")</f>
        <v>9791191562361</v>
      </c>
    </row>
    <row r="234" spans="1:12">
      <c r="A234" s="2">
        <v>44778.787824074076</v>
      </c>
      <c r="B234">
        <v>298750948</v>
      </c>
      <c r="C234" t="s">
        <v>259</v>
      </c>
      <c r="D234" t="s">
        <v>9</v>
      </c>
      <c r="E234" s="3">
        <v>3500</v>
      </c>
      <c r="F234" s="3">
        <v>3500</v>
      </c>
      <c r="G234" s="3">
        <v>2450</v>
      </c>
      <c r="I234" t="s">
        <v>38</v>
      </c>
      <c r="J234" t="s">
        <v>40</v>
      </c>
      <c r="K234" t="s">
        <v>11</v>
      </c>
      <c r="L234" t="str">
        <f>T("9791191562866")</f>
        <v>9791191562866</v>
      </c>
    </row>
    <row r="235" spans="1:12">
      <c r="A235" s="2">
        <v>44778.866759259261</v>
      </c>
      <c r="B235">
        <v>286120721</v>
      </c>
      <c r="C235" t="s">
        <v>294</v>
      </c>
      <c r="D235" t="s">
        <v>9</v>
      </c>
      <c r="E235" s="3">
        <v>3200</v>
      </c>
      <c r="F235" s="3">
        <v>3200</v>
      </c>
      <c r="G235" s="3">
        <v>2240</v>
      </c>
      <c r="I235" t="s">
        <v>244</v>
      </c>
      <c r="J235" t="s">
        <v>45</v>
      </c>
      <c r="K235" t="s">
        <v>11</v>
      </c>
      <c r="L235" t="str">
        <f>T("9791166482670")</f>
        <v>9791166482670</v>
      </c>
    </row>
    <row r="236" spans="1:12">
      <c r="A236" s="2">
        <v>44778.872245370374</v>
      </c>
      <c r="B236">
        <v>297109357</v>
      </c>
      <c r="C236" t="s">
        <v>154</v>
      </c>
      <c r="D236" t="s">
        <v>9</v>
      </c>
      <c r="E236" s="3">
        <v>3600</v>
      </c>
      <c r="F236" s="3">
        <v>3600</v>
      </c>
      <c r="G236" s="3">
        <v>2520</v>
      </c>
      <c r="I236" t="s">
        <v>155</v>
      </c>
      <c r="J236" t="s">
        <v>40</v>
      </c>
      <c r="K236" t="s">
        <v>11</v>
      </c>
      <c r="L236" t="str">
        <f>T("9791191562774")</f>
        <v>9791191562774</v>
      </c>
    </row>
    <row r="237" spans="1:12">
      <c r="A237" s="2">
        <v>44778.87740740741</v>
      </c>
      <c r="B237">
        <v>296920437</v>
      </c>
      <c r="C237" t="s">
        <v>146</v>
      </c>
      <c r="D237" t="s">
        <v>9</v>
      </c>
      <c r="E237">
        <v>0</v>
      </c>
      <c r="F237">
        <v>0</v>
      </c>
      <c r="G237">
        <v>0</v>
      </c>
      <c r="I237" t="s">
        <v>147</v>
      </c>
      <c r="J237" t="s">
        <v>11</v>
      </c>
      <c r="K237" t="s">
        <v>11</v>
      </c>
      <c r="L237" t="str">
        <f>T("9791137604155")</f>
        <v>9791137604155</v>
      </c>
    </row>
    <row r="238" spans="1:12">
      <c r="A238" s="2">
        <v>44778.884004629632</v>
      </c>
      <c r="B238">
        <v>291088925</v>
      </c>
      <c r="C238" t="s">
        <v>58</v>
      </c>
      <c r="D238" t="s">
        <v>9</v>
      </c>
      <c r="E238" s="3">
        <v>2000</v>
      </c>
      <c r="F238" s="3">
        <v>2000</v>
      </c>
      <c r="G238" s="3">
        <v>1400</v>
      </c>
      <c r="I238" t="s">
        <v>59</v>
      </c>
      <c r="J238" t="s">
        <v>40</v>
      </c>
      <c r="K238" t="s">
        <v>11</v>
      </c>
      <c r="L238" t="str">
        <f>T("9791191562187")</f>
        <v>9791191562187</v>
      </c>
    </row>
    <row r="239" spans="1:12">
      <c r="A239" s="2">
        <v>44778.923958333333</v>
      </c>
      <c r="B239">
        <v>298750948</v>
      </c>
      <c r="C239" t="s">
        <v>259</v>
      </c>
      <c r="D239" t="s">
        <v>9</v>
      </c>
      <c r="E239" s="3">
        <v>3500</v>
      </c>
      <c r="F239" s="3">
        <v>3500</v>
      </c>
      <c r="G239" s="3">
        <v>2450</v>
      </c>
      <c r="I239" t="s">
        <v>38</v>
      </c>
      <c r="J239" t="s">
        <v>40</v>
      </c>
      <c r="K239" t="s">
        <v>11</v>
      </c>
      <c r="L239" t="str">
        <f>T("9791191562866")</f>
        <v>9791191562866</v>
      </c>
    </row>
    <row r="240" spans="1:12">
      <c r="A240" s="2">
        <v>44778.940127314818</v>
      </c>
      <c r="B240">
        <v>298750948</v>
      </c>
      <c r="C240" t="s">
        <v>259</v>
      </c>
      <c r="D240" t="s">
        <v>9</v>
      </c>
      <c r="E240" s="3">
        <v>3500</v>
      </c>
      <c r="F240" s="3">
        <v>3500</v>
      </c>
      <c r="G240" s="3">
        <v>2450</v>
      </c>
      <c r="I240" t="s">
        <v>38</v>
      </c>
      <c r="J240" t="s">
        <v>40</v>
      </c>
      <c r="K240" t="s">
        <v>11</v>
      </c>
      <c r="L240" t="str">
        <f>T("9791191562866")</f>
        <v>9791191562866</v>
      </c>
    </row>
    <row r="241" spans="1:12">
      <c r="A241" s="2">
        <v>44778.947789351849</v>
      </c>
      <c r="B241">
        <v>295071451</v>
      </c>
      <c r="C241" t="s">
        <v>109</v>
      </c>
      <c r="D241" t="s">
        <v>9</v>
      </c>
      <c r="E241" s="3">
        <v>2500</v>
      </c>
      <c r="F241" s="3">
        <v>2500</v>
      </c>
      <c r="G241" s="3">
        <v>1750</v>
      </c>
      <c r="I241" t="s">
        <v>34</v>
      </c>
      <c r="J241" t="s">
        <v>40</v>
      </c>
      <c r="K241" t="s">
        <v>11</v>
      </c>
      <c r="L241" t="str">
        <f>T("9791191562439")</f>
        <v>9791191562439</v>
      </c>
    </row>
    <row r="242" spans="1:12">
      <c r="A242" s="2">
        <v>44778.958726851852</v>
      </c>
      <c r="B242">
        <v>298750948</v>
      </c>
      <c r="C242" t="s">
        <v>259</v>
      </c>
      <c r="D242" t="s">
        <v>9</v>
      </c>
      <c r="E242" s="3">
        <v>3500</v>
      </c>
      <c r="F242" s="3">
        <v>3500</v>
      </c>
      <c r="G242" s="3">
        <v>2450</v>
      </c>
      <c r="I242" t="s">
        <v>38</v>
      </c>
      <c r="J242" t="s">
        <v>40</v>
      </c>
      <c r="K242" t="s">
        <v>11</v>
      </c>
      <c r="L242" t="str">
        <f>T("9791191562866")</f>
        <v>9791191562866</v>
      </c>
    </row>
    <row r="243" spans="1:12">
      <c r="A243" s="2">
        <v>44778.966006944444</v>
      </c>
      <c r="B243">
        <v>294674998</v>
      </c>
      <c r="C243" t="s">
        <v>112</v>
      </c>
      <c r="D243" t="s">
        <v>9</v>
      </c>
      <c r="E243" s="3">
        <v>2000</v>
      </c>
      <c r="F243" s="3">
        <v>2000</v>
      </c>
      <c r="G243" s="3">
        <v>1400</v>
      </c>
      <c r="I243" t="s">
        <v>111</v>
      </c>
      <c r="J243" t="s">
        <v>40</v>
      </c>
      <c r="K243" t="s">
        <v>11</v>
      </c>
      <c r="L243" t="str">
        <f>T("9791191562385")</f>
        <v>9791191562385</v>
      </c>
    </row>
    <row r="244" spans="1:12">
      <c r="A244" s="2">
        <v>44778.967245370368</v>
      </c>
      <c r="B244">
        <v>293957111</v>
      </c>
      <c r="C244" t="s">
        <v>223</v>
      </c>
      <c r="D244" t="s">
        <v>9</v>
      </c>
      <c r="E244" s="3">
        <v>3200</v>
      </c>
      <c r="F244" s="3">
        <v>3200</v>
      </c>
      <c r="G244" s="3">
        <v>2240</v>
      </c>
      <c r="I244" t="s">
        <v>14</v>
      </c>
      <c r="J244" t="s">
        <v>11</v>
      </c>
      <c r="K244" t="s">
        <v>11</v>
      </c>
      <c r="L244" t="str">
        <f>T("9791137603011")</f>
        <v>9791137603011</v>
      </c>
    </row>
    <row r="245" spans="1:12">
      <c r="A245" s="2">
        <v>44778.968946759262</v>
      </c>
      <c r="B245">
        <v>291088925</v>
      </c>
      <c r="C245" t="s">
        <v>58</v>
      </c>
      <c r="D245" t="s">
        <v>9</v>
      </c>
      <c r="E245" s="3">
        <v>2000</v>
      </c>
      <c r="F245" s="3">
        <v>2000</v>
      </c>
      <c r="G245" s="3">
        <v>1400</v>
      </c>
      <c r="I245" t="s">
        <v>59</v>
      </c>
      <c r="J245" t="s">
        <v>40</v>
      </c>
      <c r="K245" t="s">
        <v>11</v>
      </c>
      <c r="L245" t="str">
        <f>T("9791191562187")</f>
        <v>9791191562187</v>
      </c>
    </row>
    <row r="246" spans="1:12">
      <c r="A246" s="2">
        <v>44778.977164351854</v>
      </c>
      <c r="B246">
        <v>279761157</v>
      </c>
      <c r="C246" t="s">
        <v>295</v>
      </c>
      <c r="D246" t="s">
        <v>12</v>
      </c>
      <c r="E246" s="3">
        <v>4500</v>
      </c>
      <c r="F246" s="3">
        <v>4500</v>
      </c>
      <c r="G246" s="3">
        <v>3150</v>
      </c>
      <c r="I246" t="s">
        <v>10</v>
      </c>
      <c r="J246" t="s">
        <v>11</v>
      </c>
      <c r="K246" t="s">
        <v>11</v>
      </c>
      <c r="L246" t="str">
        <f>T("9791166068690")</f>
        <v>9791166068690</v>
      </c>
    </row>
    <row r="247" spans="1:12">
      <c r="A247" s="2">
        <v>44778.979513888888</v>
      </c>
      <c r="B247">
        <v>297620121</v>
      </c>
      <c r="C247" t="s">
        <v>205</v>
      </c>
      <c r="D247" t="s">
        <v>9</v>
      </c>
      <c r="E247" s="3">
        <v>2000</v>
      </c>
      <c r="F247" s="3">
        <v>2000</v>
      </c>
      <c r="G247" s="3">
        <v>1400</v>
      </c>
      <c r="I247" t="s">
        <v>29</v>
      </c>
      <c r="J247" t="s">
        <v>40</v>
      </c>
      <c r="K247" t="s">
        <v>11</v>
      </c>
      <c r="L247" t="str">
        <f>T("9791191562484")</f>
        <v>9791191562484</v>
      </c>
    </row>
    <row r="248" spans="1:12">
      <c r="A248" s="2">
        <v>44778.985821759263</v>
      </c>
      <c r="B248">
        <v>290197934</v>
      </c>
      <c r="C248" t="s">
        <v>48</v>
      </c>
      <c r="D248" t="s">
        <v>9</v>
      </c>
      <c r="E248" s="3">
        <v>2000</v>
      </c>
      <c r="F248" s="3">
        <v>2000</v>
      </c>
      <c r="G248" s="3">
        <v>1400</v>
      </c>
      <c r="I248" t="s">
        <v>49</v>
      </c>
      <c r="J248" t="s">
        <v>40</v>
      </c>
      <c r="K248" t="s">
        <v>11</v>
      </c>
      <c r="L248" t="str">
        <f>T("9791191562163")</f>
        <v>9791191562163</v>
      </c>
    </row>
    <row r="249" spans="1:12">
      <c r="A249" s="2">
        <v>44778.993738425925</v>
      </c>
      <c r="B249">
        <v>295356530</v>
      </c>
      <c r="C249" t="s">
        <v>116</v>
      </c>
      <c r="D249" t="s">
        <v>9</v>
      </c>
      <c r="E249" s="3">
        <v>2500</v>
      </c>
      <c r="F249" s="3">
        <v>2500</v>
      </c>
      <c r="G249" s="3">
        <v>1750</v>
      </c>
      <c r="I249" t="s">
        <v>115</v>
      </c>
      <c r="J249" t="s">
        <v>40</v>
      </c>
      <c r="K249" t="s">
        <v>11</v>
      </c>
      <c r="L249" t="str">
        <f>T("9791191562460")</f>
        <v>9791191562460</v>
      </c>
    </row>
    <row r="250" spans="1:12">
      <c r="A250" s="2">
        <v>44779.32439814815</v>
      </c>
      <c r="B250">
        <v>299057627</v>
      </c>
      <c r="C250" t="s">
        <v>296</v>
      </c>
      <c r="D250" t="s">
        <v>9</v>
      </c>
      <c r="E250" s="3">
        <v>13600</v>
      </c>
      <c r="F250" s="3">
        <v>13600</v>
      </c>
      <c r="G250" s="3">
        <v>9520</v>
      </c>
      <c r="I250" t="s">
        <v>297</v>
      </c>
      <c r="J250" t="s">
        <v>45</v>
      </c>
      <c r="K250" t="s">
        <v>11</v>
      </c>
      <c r="L250" t="str">
        <f>T("9791166483134")</f>
        <v>9791166483134</v>
      </c>
    </row>
    <row r="251" spans="1:12">
      <c r="A251" s="2">
        <v>44779.406458333331</v>
      </c>
      <c r="B251">
        <v>263958827</v>
      </c>
      <c r="C251" t="s">
        <v>298</v>
      </c>
      <c r="D251" t="s">
        <v>9</v>
      </c>
      <c r="E251" s="3">
        <v>3200</v>
      </c>
      <c r="F251" s="3">
        <v>3200</v>
      </c>
      <c r="G251" s="3">
        <v>2240</v>
      </c>
      <c r="I251" t="s">
        <v>13</v>
      </c>
      <c r="J251" t="s">
        <v>11</v>
      </c>
      <c r="K251" t="s">
        <v>11</v>
      </c>
      <c r="L251" t="str">
        <f>T("9791166300462")</f>
        <v>9791166300462</v>
      </c>
    </row>
    <row r="252" spans="1:12">
      <c r="A252" s="2">
        <v>44779.406458333331</v>
      </c>
      <c r="B252">
        <v>263958829</v>
      </c>
      <c r="C252" t="s">
        <v>299</v>
      </c>
      <c r="D252" t="s">
        <v>9</v>
      </c>
      <c r="E252" s="3">
        <v>3200</v>
      </c>
      <c r="F252" s="3">
        <v>3200</v>
      </c>
      <c r="G252" s="3">
        <v>2240</v>
      </c>
      <c r="I252" t="s">
        <v>13</v>
      </c>
      <c r="J252" t="s">
        <v>11</v>
      </c>
      <c r="K252" t="s">
        <v>11</v>
      </c>
      <c r="L252" t="str">
        <f>T("9791166300479")</f>
        <v>9791166300479</v>
      </c>
    </row>
    <row r="253" spans="1:12">
      <c r="A253" s="2">
        <v>44779.406458333331</v>
      </c>
      <c r="B253">
        <v>254604245</v>
      </c>
      <c r="C253" t="s">
        <v>88</v>
      </c>
      <c r="D253" t="s">
        <v>9</v>
      </c>
      <c r="E253" s="3">
        <v>3200</v>
      </c>
      <c r="F253" s="3">
        <v>3200</v>
      </c>
      <c r="G253" s="3">
        <v>2240</v>
      </c>
      <c r="I253" t="s">
        <v>13</v>
      </c>
      <c r="J253" t="s">
        <v>11</v>
      </c>
      <c r="K253" t="s">
        <v>11</v>
      </c>
      <c r="L253" t="str">
        <f>T("9791166300301")</f>
        <v>9791166300301</v>
      </c>
    </row>
    <row r="254" spans="1:12">
      <c r="A254" s="2">
        <v>44779.406458333331</v>
      </c>
      <c r="B254">
        <v>254604241</v>
      </c>
      <c r="C254" t="s">
        <v>87</v>
      </c>
      <c r="D254" t="s">
        <v>9</v>
      </c>
      <c r="E254" s="3">
        <v>3200</v>
      </c>
      <c r="F254" s="3">
        <v>3200</v>
      </c>
      <c r="G254" s="3">
        <v>2240</v>
      </c>
      <c r="I254" t="s">
        <v>13</v>
      </c>
      <c r="J254" t="s">
        <v>11</v>
      </c>
      <c r="K254" t="s">
        <v>11</v>
      </c>
      <c r="L254" t="str">
        <f>T("9791166300295")</f>
        <v>9791166300295</v>
      </c>
    </row>
    <row r="255" spans="1:12">
      <c r="A255" s="2">
        <v>44779.406458333331</v>
      </c>
      <c r="B255">
        <v>254604242</v>
      </c>
      <c r="C255" t="s">
        <v>86</v>
      </c>
      <c r="D255" t="s">
        <v>9</v>
      </c>
      <c r="E255" s="3">
        <v>3200</v>
      </c>
      <c r="F255" s="3">
        <v>3200</v>
      </c>
      <c r="G255" s="3">
        <v>2240</v>
      </c>
      <c r="I255" t="s">
        <v>13</v>
      </c>
      <c r="J255" t="s">
        <v>11</v>
      </c>
      <c r="K255" t="s">
        <v>11</v>
      </c>
      <c r="L255" t="str">
        <f>T("9791166300288")</f>
        <v>9791166300288</v>
      </c>
    </row>
    <row r="256" spans="1:12">
      <c r="A256" s="2">
        <v>44779.416759259257</v>
      </c>
      <c r="B256">
        <v>54081867</v>
      </c>
      <c r="C256" t="s">
        <v>300</v>
      </c>
      <c r="D256" t="s">
        <v>9</v>
      </c>
      <c r="E256">
        <v>0</v>
      </c>
      <c r="F256">
        <v>0</v>
      </c>
      <c r="G256">
        <v>0</v>
      </c>
      <c r="I256" t="s">
        <v>13</v>
      </c>
      <c r="J256" t="s">
        <v>11</v>
      </c>
      <c r="K256" t="s">
        <v>11</v>
      </c>
      <c r="L256" t="str">
        <f>T("9791195622535")</f>
        <v>9791195622535</v>
      </c>
    </row>
    <row r="257" spans="1:12">
      <c r="A257" s="2">
        <v>44779.475416666668</v>
      </c>
      <c r="B257">
        <v>298750948</v>
      </c>
      <c r="C257" t="s">
        <v>259</v>
      </c>
      <c r="D257" t="s">
        <v>9</v>
      </c>
      <c r="E257" s="3">
        <v>3500</v>
      </c>
      <c r="F257" s="3">
        <v>3500</v>
      </c>
      <c r="G257" s="3">
        <v>2450</v>
      </c>
      <c r="I257" t="s">
        <v>38</v>
      </c>
      <c r="J257" t="s">
        <v>40</v>
      </c>
      <c r="K257" t="s">
        <v>11</v>
      </c>
      <c r="L257" t="str">
        <f>T("9791191562866")</f>
        <v>9791191562866</v>
      </c>
    </row>
    <row r="258" spans="1:12">
      <c r="A258" s="2">
        <v>44779.496886574074</v>
      </c>
      <c r="B258">
        <v>297620121</v>
      </c>
      <c r="C258" t="s">
        <v>205</v>
      </c>
      <c r="D258" t="s">
        <v>9</v>
      </c>
      <c r="E258" s="3">
        <v>2000</v>
      </c>
      <c r="F258" s="3">
        <v>2000</v>
      </c>
      <c r="G258" s="3">
        <v>1400</v>
      </c>
      <c r="I258" t="s">
        <v>29</v>
      </c>
      <c r="J258" t="s">
        <v>40</v>
      </c>
      <c r="K258" t="s">
        <v>11</v>
      </c>
      <c r="L258" t="str">
        <f>T("9791191562484")</f>
        <v>9791191562484</v>
      </c>
    </row>
    <row r="259" spans="1:12">
      <c r="A259" s="2">
        <v>44779.513194444444</v>
      </c>
      <c r="B259">
        <v>268648049</v>
      </c>
      <c r="C259" t="s">
        <v>301</v>
      </c>
      <c r="D259" t="s">
        <v>9</v>
      </c>
      <c r="E259">
        <v>400</v>
      </c>
      <c r="F259">
        <v>400</v>
      </c>
      <c r="G259">
        <v>280</v>
      </c>
      <c r="I259" t="s">
        <v>76</v>
      </c>
      <c r="J259" t="s">
        <v>71</v>
      </c>
      <c r="K259" t="s">
        <v>11</v>
      </c>
      <c r="L259" t="str">
        <f>T("9791164374441")</f>
        <v>9791164374441</v>
      </c>
    </row>
    <row r="260" spans="1:12">
      <c r="A260" s="2">
        <v>44779.513194444444</v>
      </c>
      <c r="B260">
        <v>268648052</v>
      </c>
      <c r="C260" t="s">
        <v>262</v>
      </c>
      <c r="D260" t="s">
        <v>9</v>
      </c>
      <c r="E260" s="3">
        <v>2600</v>
      </c>
      <c r="F260" s="3">
        <v>2600</v>
      </c>
      <c r="G260" s="3">
        <v>1820</v>
      </c>
      <c r="I260" t="s">
        <v>76</v>
      </c>
      <c r="J260" t="s">
        <v>71</v>
      </c>
      <c r="K260" t="s">
        <v>11</v>
      </c>
      <c r="L260" t="str">
        <f>T("9791164374311")</f>
        <v>9791164374311</v>
      </c>
    </row>
    <row r="261" spans="1:12">
      <c r="A261" s="2">
        <v>44779.513194444444</v>
      </c>
      <c r="B261">
        <v>268648059</v>
      </c>
      <c r="C261" t="s">
        <v>248</v>
      </c>
      <c r="D261" t="s">
        <v>9</v>
      </c>
      <c r="E261" s="3">
        <v>2600</v>
      </c>
      <c r="F261" s="3">
        <v>2600</v>
      </c>
      <c r="G261" s="3">
        <v>1820</v>
      </c>
      <c r="I261" t="s">
        <v>76</v>
      </c>
      <c r="J261" t="s">
        <v>71</v>
      </c>
      <c r="K261" t="s">
        <v>11</v>
      </c>
      <c r="L261" t="str">
        <f>T("9791164374304")</f>
        <v>9791164374304</v>
      </c>
    </row>
    <row r="262" spans="1:12">
      <c r="A262" s="2">
        <v>44779.563078703701</v>
      </c>
      <c r="B262">
        <v>282585770</v>
      </c>
      <c r="C262" t="s">
        <v>74</v>
      </c>
      <c r="D262" t="s">
        <v>9</v>
      </c>
      <c r="E262" s="3">
        <v>3000</v>
      </c>
      <c r="F262" s="3">
        <v>3000</v>
      </c>
      <c r="G262" s="3">
        <v>2100</v>
      </c>
      <c r="I262" t="s">
        <v>30</v>
      </c>
      <c r="J262" t="s">
        <v>71</v>
      </c>
      <c r="K262" t="s">
        <v>11</v>
      </c>
      <c r="L262" t="str">
        <f>T("9791164374618")</f>
        <v>9791164374618</v>
      </c>
    </row>
    <row r="263" spans="1:12">
      <c r="A263" s="2">
        <v>44779.57640046296</v>
      </c>
      <c r="B263">
        <v>288284516</v>
      </c>
      <c r="C263" t="s">
        <v>302</v>
      </c>
      <c r="D263" t="s">
        <v>9</v>
      </c>
      <c r="E263" s="3">
        <v>3400</v>
      </c>
      <c r="F263" s="3">
        <v>3400</v>
      </c>
      <c r="G263" s="3">
        <v>2380</v>
      </c>
      <c r="I263" t="s">
        <v>297</v>
      </c>
      <c r="J263" t="s">
        <v>45</v>
      </c>
      <c r="K263" t="s">
        <v>11</v>
      </c>
      <c r="L263" t="str">
        <f>T("9791166482939")</f>
        <v>9791166482939</v>
      </c>
    </row>
    <row r="264" spans="1:12">
      <c r="A264" s="2">
        <v>44779.590798611112</v>
      </c>
      <c r="B264">
        <v>296965886</v>
      </c>
      <c r="C264" t="s">
        <v>151</v>
      </c>
      <c r="D264" t="s">
        <v>9</v>
      </c>
      <c r="E264" s="3">
        <v>2500</v>
      </c>
      <c r="F264" s="3">
        <v>2500</v>
      </c>
      <c r="G264" s="3">
        <v>1750</v>
      </c>
      <c r="I264" t="s">
        <v>152</v>
      </c>
      <c r="J264" t="s">
        <v>40</v>
      </c>
      <c r="K264" t="s">
        <v>11</v>
      </c>
      <c r="L264" t="str">
        <f>T("9791191562507")</f>
        <v>9791191562507</v>
      </c>
    </row>
    <row r="265" spans="1:12">
      <c r="A265" s="2">
        <v>44779.648333333331</v>
      </c>
      <c r="B265">
        <v>297219988</v>
      </c>
      <c r="C265" t="s">
        <v>157</v>
      </c>
      <c r="D265" t="s">
        <v>9</v>
      </c>
      <c r="E265" s="3">
        <v>3000</v>
      </c>
      <c r="F265" s="3">
        <v>3000</v>
      </c>
      <c r="G265" s="3">
        <v>2100</v>
      </c>
      <c r="I265" t="s">
        <v>82</v>
      </c>
      <c r="J265" t="s">
        <v>40</v>
      </c>
      <c r="K265" t="s">
        <v>11</v>
      </c>
      <c r="L265" t="str">
        <f>T("9791191562811")</f>
        <v>9791191562811</v>
      </c>
    </row>
    <row r="266" spans="1:12">
      <c r="A266" s="2">
        <v>44779.656863425924</v>
      </c>
      <c r="B266">
        <v>282585762</v>
      </c>
      <c r="C266" t="s">
        <v>75</v>
      </c>
      <c r="D266" t="s">
        <v>9</v>
      </c>
      <c r="E266" s="3">
        <v>3000</v>
      </c>
      <c r="F266" s="3">
        <v>3000</v>
      </c>
      <c r="G266" s="3">
        <v>2100</v>
      </c>
      <c r="I266" t="s">
        <v>30</v>
      </c>
      <c r="J266" t="s">
        <v>71</v>
      </c>
      <c r="K266" t="s">
        <v>11</v>
      </c>
      <c r="L266" t="str">
        <f>T("9791164374625")</f>
        <v>9791164374625</v>
      </c>
    </row>
    <row r="267" spans="1:12">
      <c r="A267" s="2">
        <v>44779.72488425926</v>
      </c>
      <c r="B267">
        <v>293957129</v>
      </c>
      <c r="C267" t="s">
        <v>224</v>
      </c>
      <c r="D267" t="s">
        <v>9</v>
      </c>
      <c r="E267" s="3">
        <v>3200</v>
      </c>
      <c r="F267" s="3">
        <v>3200</v>
      </c>
      <c r="G267" s="3">
        <v>2240</v>
      </c>
      <c r="I267" t="s">
        <v>14</v>
      </c>
      <c r="J267" t="s">
        <v>11</v>
      </c>
      <c r="K267" t="s">
        <v>11</v>
      </c>
      <c r="L267" t="str">
        <f>T("9791137603028")</f>
        <v>9791137603028</v>
      </c>
    </row>
    <row r="268" spans="1:12">
      <c r="A268" s="2">
        <v>44779.744583333333</v>
      </c>
      <c r="B268">
        <v>249311773</v>
      </c>
      <c r="C268" t="s">
        <v>303</v>
      </c>
      <c r="D268" t="s">
        <v>9</v>
      </c>
      <c r="E268">
        <v>0</v>
      </c>
      <c r="F268">
        <v>0</v>
      </c>
      <c r="G268">
        <v>0</v>
      </c>
      <c r="I268" t="s">
        <v>15</v>
      </c>
      <c r="J268" t="s">
        <v>11</v>
      </c>
      <c r="K268" t="s">
        <v>11</v>
      </c>
      <c r="L268" t="str">
        <f>T("9791159282614")</f>
        <v>9791159282614</v>
      </c>
    </row>
    <row r="269" spans="1:12">
      <c r="A269" s="2">
        <v>44779.775567129633</v>
      </c>
      <c r="B269">
        <v>274772658</v>
      </c>
      <c r="C269" t="s">
        <v>28</v>
      </c>
      <c r="D269" t="s">
        <v>9</v>
      </c>
      <c r="E269" s="3">
        <v>3000</v>
      </c>
      <c r="F269" s="3">
        <v>3000</v>
      </c>
      <c r="G269" s="3">
        <v>2100</v>
      </c>
      <c r="I269" t="s">
        <v>21</v>
      </c>
      <c r="J269" t="s">
        <v>45</v>
      </c>
      <c r="K269" t="s">
        <v>11</v>
      </c>
      <c r="L269" t="str">
        <f>T("9791166481710")</f>
        <v>9791166481710</v>
      </c>
    </row>
    <row r="270" spans="1:12">
      <c r="A270" s="2">
        <v>44779.894074074073</v>
      </c>
      <c r="B270">
        <v>298750948</v>
      </c>
      <c r="C270" t="s">
        <v>259</v>
      </c>
      <c r="D270" t="s">
        <v>9</v>
      </c>
      <c r="E270" s="3">
        <v>3500</v>
      </c>
      <c r="F270" s="3">
        <v>3500</v>
      </c>
      <c r="G270" s="3">
        <v>2450</v>
      </c>
      <c r="I270" t="s">
        <v>38</v>
      </c>
      <c r="J270" t="s">
        <v>40</v>
      </c>
      <c r="K270" t="s">
        <v>11</v>
      </c>
      <c r="L270" t="str">
        <f>T("9791191562866")</f>
        <v>9791191562866</v>
      </c>
    </row>
    <row r="271" spans="1:12">
      <c r="A271" s="2">
        <v>44779.898715277777</v>
      </c>
      <c r="B271">
        <v>298750948</v>
      </c>
      <c r="C271" t="s">
        <v>259</v>
      </c>
      <c r="D271" t="s">
        <v>9</v>
      </c>
      <c r="E271" s="3">
        <v>3500</v>
      </c>
      <c r="F271" s="3">
        <v>3500</v>
      </c>
      <c r="G271" s="3">
        <v>2450</v>
      </c>
      <c r="I271" t="s">
        <v>38</v>
      </c>
      <c r="J271" t="s">
        <v>40</v>
      </c>
      <c r="K271" t="s">
        <v>11</v>
      </c>
      <c r="L271" t="str">
        <f>T("9791191562866")</f>
        <v>9791191562866</v>
      </c>
    </row>
    <row r="272" spans="1:12">
      <c r="A272" s="2">
        <v>44779.919814814813</v>
      </c>
      <c r="B272">
        <v>295836446</v>
      </c>
      <c r="C272" t="s">
        <v>129</v>
      </c>
      <c r="D272" t="s">
        <v>9</v>
      </c>
      <c r="E272" s="3">
        <v>2000</v>
      </c>
      <c r="F272" s="3">
        <v>2000</v>
      </c>
      <c r="G272" s="3">
        <v>1400</v>
      </c>
      <c r="I272" t="s">
        <v>59</v>
      </c>
      <c r="J272" t="s">
        <v>40</v>
      </c>
      <c r="K272" t="s">
        <v>11</v>
      </c>
      <c r="L272" t="str">
        <f>T("9791191562798")</f>
        <v>9791191562798</v>
      </c>
    </row>
    <row r="273" spans="1:12">
      <c r="A273" s="2">
        <v>44780.008981481478</v>
      </c>
      <c r="B273">
        <v>291088925</v>
      </c>
      <c r="C273" t="s">
        <v>58</v>
      </c>
      <c r="D273" t="s">
        <v>9</v>
      </c>
      <c r="E273" s="3">
        <v>2000</v>
      </c>
      <c r="F273" s="3">
        <v>2000</v>
      </c>
      <c r="G273" s="3">
        <v>1400</v>
      </c>
      <c r="I273" t="s">
        <v>59</v>
      </c>
      <c r="J273" t="s">
        <v>40</v>
      </c>
      <c r="K273" t="s">
        <v>11</v>
      </c>
      <c r="L273" t="str">
        <f>T("9791191562187")</f>
        <v>9791191562187</v>
      </c>
    </row>
    <row r="274" spans="1:12">
      <c r="A274" s="2">
        <v>44780.010520833333</v>
      </c>
      <c r="B274">
        <v>269400213</v>
      </c>
      <c r="C274" t="s">
        <v>304</v>
      </c>
      <c r="D274" t="s">
        <v>12</v>
      </c>
      <c r="E274" s="3">
        <v>8100</v>
      </c>
      <c r="F274" s="3">
        <v>8100</v>
      </c>
      <c r="G274" s="3">
        <v>5670</v>
      </c>
      <c r="I274" t="s">
        <v>10</v>
      </c>
      <c r="J274" t="s">
        <v>11</v>
      </c>
      <c r="K274" t="s">
        <v>11</v>
      </c>
      <c r="L274" t="str">
        <f>T("9791166068713")</f>
        <v>9791166068713</v>
      </c>
    </row>
    <row r="275" spans="1:12">
      <c r="A275" s="2">
        <v>44780.046851851854</v>
      </c>
      <c r="B275">
        <v>295356530</v>
      </c>
      <c r="C275" t="s">
        <v>116</v>
      </c>
      <c r="D275" t="s">
        <v>9</v>
      </c>
      <c r="E275" s="3">
        <v>2500</v>
      </c>
      <c r="F275" s="3">
        <v>2500</v>
      </c>
      <c r="G275" s="3">
        <v>1750</v>
      </c>
      <c r="I275" t="s">
        <v>115</v>
      </c>
      <c r="J275" t="s">
        <v>40</v>
      </c>
      <c r="K275" t="s">
        <v>11</v>
      </c>
      <c r="L275" t="str">
        <f>T("9791191562460")</f>
        <v>9791191562460</v>
      </c>
    </row>
    <row r="276" spans="1:12">
      <c r="A276" s="2">
        <v>44780.107604166667</v>
      </c>
      <c r="B276">
        <v>297620121</v>
      </c>
      <c r="C276" t="s">
        <v>205</v>
      </c>
      <c r="D276" t="s">
        <v>9</v>
      </c>
      <c r="E276" s="3">
        <v>2000</v>
      </c>
      <c r="F276" s="3">
        <v>2000</v>
      </c>
      <c r="G276" s="3">
        <v>1400</v>
      </c>
      <c r="I276" t="s">
        <v>29</v>
      </c>
      <c r="J276" t="s">
        <v>40</v>
      </c>
      <c r="K276" t="s">
        <v>11</v>
      </c>
      <c r="L276" t="str">
        <f>T("9791191562484")</f>
        <v>9791191562484</v>
      </c>
    </row>
    <row r="277" spans="1:12">
      <c r="A277" s="2">
        <v>44780.127349537041</v>
      </c>
      <c r="B277">
        <v>298750948</v>
      </c>
      <c r="C277" t="s">
        <v>259</v>
      </c>
      <c r="D277" t="s">
        <v>9</v>
      </c>
      <c r="E277" s="3">
        <v>3500</v>
      </c>
      <c r="F277" s="3">
        <v>3500</v>
      </c>
      <c r="G277" s="3">
        <v>2450</v>
      </c>
      <c r="I277" t="s">
        <v>38</v>
      </c>
      <c r="J277" t="s">
        <v>40</v>
      </c>
      <c r="K277" t="s">
        <v>11</v>
      </c>
      <c r="L277" t="str">
        <f>T("9791191562866")</f>
        <v>9791191562866</v>
      </c>
    </row>
    <row r="278" spans="1:12">
      <c r="A278" s="2">
        <v>44780.154270833336</v>
      </c>
      <c r="B278">
        <v>249311768</v>
      </c>
      <c r="C278" t="s">
        <v>305</v>
      </c>
      <c r="D278" t="s">
        <v>12</v>
      </c>
      <c r="E278">
        <v>900</v>
      </c>
      <c r="F278">
        <v>900</v>
      </c>
      <c r="G278">
        <v>630</v>
      </c>
      <c r="I278" t="s">
        <v>15</v>
      </c>
      <c r="J278" t="s">
        <v>11</v>
      </c>
      <c r="K278" t="s">
        <v>11</v>
      </c>
      <c r="L278" t="str">
        <f>T("9791159282621")</f>
        <v>9791159282621</v>
      </c>
    </row>
    <row r="279" spans="1:12">
      <c r="A279" s="2">
        <v>44780.189131944448</v>
      </c>
      <c r="B279">
        <v>54081873</v>
      </c>
      <c r="C279" t="s">
        <v>306</v>
      </c>
      <c r="D279" t="s">
        <v>9</v>
      </c>
      <c r="E279" s="3">
        <v>3200</v>
      </c>
      <c r="F279" s="3">
        <v>3200</v>
      </c>
      <c r="G279" s="3">
        <v>2240</v>
      </c>
      <c r="I279" t="s">
        <v>13</v>
      </c>
      <c r="J279" t="s">
        <v>11</v>
      </c>
      <c r="K279" t="s">
        <v>11</v>
      </c>
      <c r="L279" t="str">
        <f>T("9791195622542")</f>
        <v>9791195622542</v>
      </c>
    </row>
    <row r="280" spans="1:12">
      <c r="A280" s="2">
        <v>44780.286111111112</v>
      </c>
      <c r="B280">
        <v>288284454</v>
      </c>
      <c r="C280" t="s">
        <v>307</v>
      </c>
      <c r="D280" t="s">
        <v>9</v>
      </c>
      <c r="E280" s="3">
        <v>3400</v>
      </c>
      <c r="F280" s="3">
        <v>3400</v>
      </c>
      <c r="G280" s="3">
        <v>2380</v>
      </c>
      <c r="I280" t="s">
        <v>297</v>
      </c>
      <c r="J280" t="s">
        <v>45</v>
      </c>
      <c r="K280" t="s">
        <v>11</v>
      </c>
      <c r="L280" t="str">
        <f>T("9791166482953")</f>
        <v>9791166482953</v>
      </c>
    </row>
    <row r="281" spans="1:12">
      <c r="A281" s="2">
        <v>44780.286111111112</v>
      </c>
      <c r="B281">
        <v>288284510</v>
      </c>
      <c r="C281" t="s">
        <v>308</v>
      </c>
      <c r="D281" t="s">
        <v>9</v>
      </c>
      <c r="E281" s="3">
        <v>3400</v>
      </c>
      <c r="F281" s="3">
        <v>3400</v>
      </c>
      <c r="G281" s="3">
        <v>2380</v>
      </c>
      <c r="I281" t="s">
        <v>297</v>
      </c>
      <c r="J281" t="s">
        <v>45</v>
      </c>
      <c r="K281" t="s">
        <v>11</v>
      </c>
      <c r="L281" t="str">
        <f>T("9791166482960")</f>
        <v>9791166482960</v>
      </c>
    </row>
    <row r="282" spans="1:12">
      <c r="A282" s="2">
        <v>44780.286111111112</v>
      </c>
      <c r="B282">
        <v>288284448</v>
      </c>
      <c r="C282" t="s">
        <v>309</v>
      </c>
      <c r="D282" t="s">
        <v>9</v>
      </c>
      <c r="E282" s="3">
        <v>3400</v>
      </c>
      <c r="F282" s="3">
        <v>3400</v>
      </c>
      <c r="G282" s="3">
        <v>2380</v>
      </c>
      <c r="I282" t="s">
        <v>297</v>
      </c>
      <c r="J282" t="s">
        <v>45</v>
      </c>
      <c r="K282" t="s">
        <v>11</v>
      </c>
      <c r="L282" t="str">
        <f>T("9791166482946")</f>
        <v>9791166482946</v>
      </c>
    </row>
    <row r="283" spans="1:12">
      <c r="A283" s="2">
        <v>44780.323321759257</v>
      </c>
      <c r="B283">
        <v>295462572</v>
      </c>
      <c r="C283" t="s">
        <v>108</v>
      </c>
      <c r="D283" t="s">
        <v>9</v>
      </c>
      <c r="E283" s="3">
        <v>2000</v>
      </c>
      <c r="F283" s="3">
        <v>2000</v>
      </c>
      <c r="G283" s="3">
        <v>1400</v>
      </c>
      <c r="I283" t="s">
        <v>32</v>
      </c>
      <c r="J283" t="s">
        <v>40</v>
      </c>
      <c r="K283" t="s">
        <v>11</v>
      </c>
      <c r="L283" t="str">
        <f>T("9791191562361")</f>
        <v>9791191562361</v>
      </c>
    </row>
    <row r="284" spans="1:12">
      <c r="A284" s="2">
        <v>44780.353449074071</v>
      </c>
      <c r="B284">
        <v>297620121</v>
      </c>
      <c r="C284" t="s">
        <v>205</v>
      </c>
      <c r="D284" t="s">
        <v>9</v>
      </c>
      <c r="E284" s="3">
        <v>2000</v>
      </c>
      <c r="F284" s="3">
        <v>2000</v>
      </c>
      <c r="G284" s="3">
        <v>1400</v>
      </c>
      <c r="I284" t="s">
        <v>29</v>
      </c>
      <c r="J284" t="s">
        <v>40</v>
      </c>
      <c r="K284" t="s">
        <v>11</v>
      </c>
      <c r="L284" t="str">
        <f>T("9791191562484")</f>
        <v>9791191562484</v>
      </c>
    </row>
    <row r="285" spans="1:12">
      <c r="A285" s="2">
        <v>44780.359537037039</v>
      </c>
      <c r="B285">
        <v>298750948</v>
      </c>
      <c r="C285" t="s">
        <v>259</v>
      </c>
      <c r="D285" t="s">
        <v>9</v>
      </c>
      <c r="E285" s="3">
        <v>3500</v>
      </c>
      <c r="F285" s="3">
        <v>3500</v>
      </c>
      <c r="G285" s="3">
        <v>2450</v>
      </c>
      <c r="I285" t="s">
        <v>38</v>
      </c>
      <c r="J285" t="s">
        <v>40</v>
      </c>
      <c r="K285" t="s">
        <v>11</v>
      </c>
      <c r="L285" t="str">
        <f>T("9791191562866")</f>
        <v>9791191562866</v>
      </c>
    </row>
    <row r="286" spans="1:12">
      <c r="A286" s="2">
        <v>44780.39025462963</v>
      </c>
      <c r="B286">
        <v>297620121</v>
      </c>
      <c r="C286" t="s">
        <v>205</v>
      </c>
      <c r="D286" t="s">
        <v>9</v>
      </c>
      <c r="E286" s="3">
        <v>2000</v>
      </c>
      <c r="F286" s="3">
        <v>2000</v>
      </c>
      <c r="G286" s="3">
        <v>1400</v>
      </c>
      <c r="I286" t="s">
        <v>29</v>
      </c>
      <c r="J286" t="s">
        <v>40</v>
      </c>
      <c r="K286" t="s">
        <v>11</v>
      </c>
      <c r="L286" t="str">
        <f>T("9791191562484")</f>
        <v>9791191562484</v>
      </c>
    </row>
    <row r="287" spans="1:12">
      <c r="A287" s="2">
        <v>44780.424224537041</v>
      </c>
      <c r="B287">
        <v>249311760</v>
      </c>
      <c r="C287" t="s">
        <v>310</v>
      </c>
      <c r="D287" t="s">
        <v>12</v>
      </c>
      <c r="E287">
        <v>900</v>
      </c>
      <c r="F287">
        <v>900</v>
      </c>
      <c r="G287">
        <v>630</v>
      </c>
      <c r="I287" t="s">
        <v>15</v>
      </c>
      <c r="J287" t="s">
        <v>11</v>
      </c>
      <c r="K287" t="s">
        <v>11</v>
      </c>
      <c r="L287" t="str">
        <f>T("9791159282638")</f>
        <v>9791159282638</v>
      </c>
    </row>
    <row r="288" spans="1:12">
      <c r="A288" s="2">
        <v>44780.552546296298</v>
      </c>
      <c r="B288">
        <v>297219988</v>
      </c>
      <c r="C288" t="s">
        <v>157</v>
      </c>
      <c r="D288" t="s">
        <v>9</v>
      </c>
      <c r="E288" s="3">
        <v>3000</v>
      </c>
      <c r="F288" s="3">
        <v>3000</v>
      </c>
      <c r="G288" s="3">
        <v>2100</v>
      </c>
      <c r="I288" t="s">
        <v>82</v>
      </c>
      <c r="J288" t="s">
        <v>40</v>
      </c>
      <c r="K288" t="s">
        <v>11</v>
      </c>
      <c r="L288" t="str">
        <f>T("9791191562811")</f>
        <v>9791191562811</v>
      </c>
    </row>
    <row r="289" spans="1:12">
      <c r="A289" s="2">
        <v>44780.552546296298</v>
      </c>
      <c r="B289">
        <v>292179681</v>
      </c>
      <c r="C289" t="s">
        <v>81</v>
      </c>
      <c r="D289" t="s">
        <v>9</v>
      </c>
      <c r="E289" s="3">
        <v>2500</v>
      </c>
      <c r="F289" s="3">
        <v>2500</v>
      </c>
      <c r="G289" s="3">
        <v>1750</v>
      </c>
      <c r="I289" t="s">
        <v>82</v>
      </c>
      <c r="J289" t="s">
        <v>40</v>
      </c>
      <c r="K289" t="s">
        <v>11</v>
      </c>
      <c r="L289" t="str">
        <f>T("9791191562224")</f>
        <v>9791191562224</v>
      </c>
    </row>
    <row r="290" spans="1:12">
      <c r="A290" s="2">
        <v>44780.592418981483</v>
      </c>
      <c r="B290">
        <v>249311777</v>
      </c>
      <c r="C290" t="s">
        <v>311</v>
      </c>
      <c r="D290" t="s">
        <v>12</v>
      </c>
      <c r="E290">
        <v>900</v>
      </c>
      <c r="F290">
        <v>900</v>
      </c>
      <c r="G290">
        <v>630</v>
      </c>
      <c r="I290" t="s">
        <v>15</v>
      </c>
      <c r="J290" t="s">
        <v>11</v>
      </c>
      <c r="K290" t="s">
        <v>11</v>
      </c>
      <c r="L290" t="str">
        <f>T("9791159282645")</f>
        <v>9791159282645</v>
      </c>
    </row>
    <row r="291" spans="1:12">
      <c r="A291" s="2">
        <v>44780.60193287037</v>
      </c>
      <c r="B291">
        <v>294674998</v>
      </c>
      <c r="C291" t="s">
        <v>112</v>
      </c>
      <c r="D291" t="s">
        <v>9</v>
      </c>
      <c r="E291" s="3">
        <v>2000</v>
      </c>
      <c r="F291" s="3">
        <v>2000</v>
      </c>
      <c r="G291" s="3">
        <v>1400</v>
      </c>
      <c r="I291" t="s">
        <v>111</v>
      </c>
      <c r="J291" t="s">
        <v>40</v>
      </c>
      <c r="K291" t="s">
        <v>11</v>
      </c>
      <c r="L291" t="str">
        <f>T("9791191562385")</f>
        <v>9791191562385</v>
      </c>
    </row>
    <row r="292" spans="1:12">
      <c r="A292" s="2">
        <v>44780.60193287037</v>
      </c>
      <c r="B292">
        <v>295216088</v>
      </c>
      <c r="C292" t="s">
        <v>114</v>
      </c>
      <c r="D292" t="s">
        <v>9</v>
      </c>
      <c r="E292" s="3">
        <v>2500</v>
      </c>
      <c r="F292" s="3">
        <v>2500</v>
      </c>
      <c r="G292" s="3">
        <v>1750</v>
      </c>
      <c r="I292" t="s">
        <v>113</v>
      </c>
      <c r="J292" t="s">
        <v>40</v>
      </c>
      <c r="K292" t="s">
        <v>11</v>
      </c>
      <c r="L292" t="str">
        <f>T("9791191562453")</f>
        <v>9791191562453</v>
      </c>
    </row>
    <row r="293" spans="1:12">
      <c r="A293" s="2">
        <v>44780.610856481479</v>
      </c>
      <c r="B293">
        <v>295356530</v>
      </c>
      <c r="C293" t="s">
        <v>116</v>
      </c>
      <c r="D293" t="s">
        <v>9</v>
      </c>
      <c r="E293" s="3">
        <v>2500</v>
      </c>
      <c r="F293" s="3">
        <v>2500</v>
      </c>
      <c r="G293" s="3">
        <v>1750</v>
      </c>
      <c r="I293" t="s">
        <v>115</v>
      </c>
      <c r="J293" t="s">
        <v>40</v>
      </c>
      <c r="K293" t="s">
        <v>11</v>
      </c>
      <c r="L293" t="str">
        <f>T("9791191562460")</f>
        <v>9791191562460</v>
      </c>
    </row>
    <row r="294" spans="1:12">
      <c r="A294" s="2">
        <v>44780.654872685183</v>
      </c>
      <c r="B294">
        <v>295462572</v>
      </c>
      <c r="C294" t="s">
        <v>108</v>
      </c>
      <c r="D294" t="s">
        <v>9</v>
      </c>
      <c r="E294" s="3">
        <v>2000</v>
      </c>
      <c r="F294" s="3">
        <v>2000</v>
      </c>
      <c r="G294" s="3">
        <v>1400</v>
      </c>
      <c r="I294" t="s">
        <v>32</v>
      </c>
      <c r="J294" t="s">
        <v>40</v>
      </c>
      <c r="K294" t="s">
        <v>11</v>
      </c>
      <c r="L294" t="str">
        <f>T("9791191562361")</f>
        <v>9791191562361</v>
      </c>
    </row>
    <row r="295" spans="1:12">
      <c r="A295" s="2">
        <v>44780.661273148151</v>
      </c>
      <c r="B295">
        <v>298750948</v>
      </c>
      <c r="C295" t="s">
        <v>259</v>
      </c>
      <c r="D295" t="s">
        <v>9</v>
      </c>
      <c r="E295" s="3">
        <v>3500</v>
      </c>
      <c r="F295" s="3">
        <v>3500</v>
      </c>
      <c r="G295" s="3">
        <v>2450</v>
      </c>
      <c r="I295" t="s">
        <v>38</v>
      </c>
      <c r="J295" t="s">
        <v>40</v>
      </c>
      <c r="K295" t="s">
        <v>11</v>
      </c>
      <c r="L295" t="str">
        <f>T("9791191562866")</f>
        <v>9791191562866</v>
      </c>
    </row>
    <row r="296" spans="1:12">
      <c r="A296" s="2">
        <v>44780.720543981479</v>
      </c>
      <c r="B296">
        <v>142094123</v>
      </c>
      <c r="C296" t="s">
        <v>312</v>
      </c>
      <c r="D296" t="s">
        <v>9</v>
      </c>
      <c r="E296" s="3">
        <v>3300</v>
      </c>
      <c r="F296" s="3">
        <v>3300</v>
      </c>
      <c r="G296" s="3">
        <v>2310</v>
      </c>
      <c r="I296" t="s">
        <v>313</v>
      </c>
      <c r="J296" t="s">
        <v>71</v>
      </c>
      <c r="K296" t="s">
        <v>11</v>
      </c>
      <c r="L296" t="str">
        <f>T("9791196217327")</f>
        <v>9791196217327</v>
      </c>
    </row>
    <row r="297" spans="1:12">
      <c r="A297" s="2">
        <v>44780.737141203703</v>
      </c>
      <c r="B297">
        <v>253098969</v>
      </c>
      <c r="C297" t="s">
        <v>140</v>
      </c>
      <c r="D297" t="s">
        <v>9</v>
      </c>
      <c r="E297">
        <v>600</v>
      </c>
      <c r="F297">
        <v>600</v>
      </c>
      <c r="G297">
        <v>420</v>
      </c>
      <c r="I297" t="s">
        <v>16</v>
      </c>
      <c r="J297" t="s">
        <v>45</v>
      </c>
      <c r="K297" t="s">
        <v>11</v>
      </c>
      <c r="L297" t="str">
        <f>T("9791164899432")</f>
        <v>9791164899432</v>
      </c>
    </row>
    <row r="298" spans="1:12">
      <c r="A298" s="2">
        <v>44780.752337962964</v>
      </c>
      <c r="B298">
        <v>191535390</v>
      </c>
      <c r="C298" t="s">
        <v>79</v>
      </c>
      <c r="D298" t="s">
        <v>9</v>
      </c>
      <c r="E298" s="3">
        <v>3200</v>
      </c>
      <c r="F298" s="3">
        <v>3200</v>
      </c>
      <c r="G298" s="3">
        <v>2240</v>
      </c>
      <c r="I298" t="s">
        <v>77</v>
      </c>
      <c r="J298" t="s">
        <v>71</v>
      </c>
      <c r="K298" t="s">
        <v>11</v>
      </c>
      <c r="L298" t="str">
        <f>T("9791189627836")</f>
        <v>9791189627836</v>
      </c>
    </row>
    <row r="299" spans="1:12">
      <c r="A299" s="2">
        <v>44780.752337962964</v>
      </c>
      <c r="B299">
        <v>287834689</v>
      </c>
      <c r="C299" t="s">
        <v>200</v>
      </c>
      <c r="D299" t="s">
        <v>9</v>
      </c>
      <c r="E299" s="3">
        <v>3000</v>
      </c>
      <c r="F299" s="3">
        <v>3000</v>
      </c>
      <c r="G299" s="3">
        <v>2100</v>
      </c>
      <c r="I299" t="s">
        <v>77</v>
      </c>
      <c r="J299" t="s">
        <v>71</v>
      </c>
      <c r="K299" t="s">
        <v>11</v>
      </c>
      <c r="L299" t="str">
        <f>T("9791164372102")</f>
        <v>9791164372102</v>
      </c>
    </row>
    <row r="300" spans="1:12">
      <c r="A300" s="2">
        <v>44780.756782407407</v>
      </c>
      <c r="B300">
        <v>298750948</v>
      </c>
      <c r="C300" t="s">
        <v>259</v>
      </c>
      <c r="D300" t="s">
        <v>9</v>
      </c>
      <c r="E300" s="3">
        <v>3500</v>
      </c>
      <c r="F300" s="3">
        <v>3500</v>
      </c>
      <c r="G300" s="3">
        <v>2450</v>
      </c>
      <c r="I300" t="s">
        <v>38</v>
      </c>
      <c r="J300" t="s">
        <v>40</v>
      </c>
      <c r="K300" t="s">
        <v>11</v>
      </c>
      <c r="L300" t="str">
        <f>T("9791191562866")</f>
        <v>9791191562866</v>
      </c>
    </row>
    <row r="301" spans="1:12">
      <c r="A301" s="2">
        <v>44780.761817129627</v>
      </c>
      <c r="B301">
        <v>249311778</v>
      </c>
      <c r="C301" t="s">
        <v>314</v>
      </c>
      <c r="D301" t="s">
        <v>12</v>
      </c>
      <c r="E301">
        <v>900</v>
      </c>
      <c r="F301">
        <v>900</v>
      </c>
      <c r="G301">
        <v>630</v>
      </c>
      <c r="I301" t="s">
        <v>15</v>
      </c>
      <c r="J301" t="s">
        <v>11</v>
      </c>
      <c r="K301" t="s">
        <v>11</v>
      </c>
      <c r="L301" t="str">
        <f>T("9791159282690")</f>
        <v>9791159282690</v>
      </c>
    </row>
    <row r="302" spans="1:12">
      <c r="A302" s="2">
        <v>44780.761817129627</v>
      </c>
      <c r="B302">
        <v>249311769</v>
      </c>
      <c r="C302" t="s">
        <v>315</v>
      </c>
      <c r="D302" t="s">
        <v>12</v>
      </c>
      <c r="E302">
        <v>900</v>
      </c>
      <c r="F302">
        <v>900</v>
      </c>
      <c r="G302">
        <v>630</v>
      </c>
      <c r="I302" t="s">
        <v>15</v>
      </c>
      <c r="J302" t="s">
        <v>11</v>
      </c>
      <c r="K302" t="s">
        <v>11</v>
      </c>
      <c r="L302" t="str">
        <f>T("9791159282676")</f>
        <v>9791159282676</v>
      </c>
    </row>
    <row r="303" spans="1:12">
      <c r="A303" s="2">
        <v>44780.761817129627</v>
      </c>
      <c r="B303">
        <v>249311774</v>
      </c>
      <c r="C303" t="s">
        <v>316</v>
      </c>
      <c r="D303" t="s">
        <v>12</v>
      </c>
      <c r="E303">
        <v>900</v>
      </c>
      <c r="F303">
        <v>900</v>
      </c>
      <c r="G303">
        <v>630</v>
      </c>
      <c r="I303" t="s">
        <v>15</v>
      </c>
      <c r="J303" t="s">
        <v>11</v>
      </c>
      <c r="K303" t="s">
        <v>11</v>
      </c>
      <c r="L303" t="str">
        <f>T("9791159282669")</f>
        <v>9791159282669</v>
      </c>
    </row>
    <row r="304" spans="1:12">
      <c r="A304" s="2">
        <v>44780.761817129627</v>
      </c>
      <c r="B304">
        <v>249311757</v>
      </c>
      <c r="C304" t="s">
        <v>317</v>
      </c>
      <c r="D304" t="s">
        <v>12</v>
      </c>
      <c r="E304">
        <v>900</v>
      </c>
      <c r="F304">
        <v>900</v>
      </c>
      <c r="G304">
        <v>630</v>
      </c>
      <c r="I304" t="s">
        <v>15</v>
      </c>
      <c r="J304" t="s">
        <v>11</v>
      </c>
      <c r="K304" t="s">
        <v>11</v>
      </c>
      <c r="L304" t="str">
        <f>T("9791159282652")</f>
        <v>9791159282652</v>
      </c>
    </row>
    <row r="305" spans="1:12">
      <c r="A305" s="2">
        <v>44780.761817129627</v>
      </c>
      <c r="B305">
        <v>249311764</v>
      </c>
      <c r="C305" t="s">
        <v>318</v>
      </c>
      <c r="D305" t="s">
        <v>12</v>
      </c>
      <c r="E305">
        <v>900</v>
      </c>
      <c r="F305">
        <v>900</v>
      </c>
      <c r="G305">
        <v>630</v>
      </c>
      <c r="I305" t="s">
        <v>15</v>
      </c>
      <c r="J305" t="s">
        <v>11</v>
      </c>
      <c r="K305" t="s">
        <v>11</v>
      </c>
      <c r="L305" t="str">
        <f>T("9791159282683")</f>
        <v>9791159282683</v>
      </c>
    </row>
    <row r="306" spans="1:12">
      <c r="A306" s="2">
        <v>44780.799849537034</v>
      </c>
      <c r="B306">
        <v>191535396</v>
      </c>
      <c r="C306" t="s">
        <v>128</v>
      </c>
      <c r="D306" t="s">
        <v>9</v>
      </c>
      <c r="E306" s="3">
        <v>3200</v>
      </c>
      <c r="F306" s="3">
        <v>3200</v>
      </c>
      <c r="G306" s="3">
        <v>2240</v>
      </c>
      <c r="I306" t="s">
        <v>77</v>
      </c>
      <c r="J306" t="s">
        <v>71</v>
      </c>
      <c r="K306" t="s">
        <v>11</v>
      </c>
      <c r="L306" t="str">
        <f>T("9791189627843")</f>
        <v>9791189627843</v>
      </c>
    </row>
    <row r="307" spans="1:12">
      <c r="A307" s="2">
        <v>44780.799849537034</v>
      </c>
      <c r="B307">
        <v>287834771</v>
      </c>
      <c r="C307" t="s">
        <v>94</v>
      </c>
      <c r="D307" t="s">
        <v>9</v>
      </c>
      <c r="E307" s="3">
        <v>3000</v>
      </c>
      <c r="F307" s="3">
        <v>3000</v>
      </c>
      <c r="G307" s="3">
        <v>2100</v>
      </c>
      <c r="I307" t="s">
        <v>77</v>
      </c>
      <c r="J307" t="s">
        <v>71</v>
      </c>
      <c r="K307" t="s">
        <v>11</v>
      </c>
      <c r="L307" t="str">
        <f>T("9791164372119")</f>
        <v>9791164372119</v>
      </c>
    </row>
    <row r="308" spans="1:12">
      <c r="A308" s="2">
        <v>44780.810671296298</v>
      </c>
      <c r="B308">
        <v>292246457</v>
      </c>
      <c r="C308" t="s">
        <v>89</v>
      </c>
      <c r="D308" t="s">
        <v>9</v>
      </c>
      <c r="E308">
        <v>300</v>
      </c>
      <c r="F308">
        <v>300</v>
      </c>
      <c r="G308">
        <v>210</v>
      </c>
      <c r="I308" t="s">
        <v>55</v>
      </c>
      <c r="J308" t="s">
        <v>50</v>
      </c>
      <c r="K308" t="s">
        <v>11</v>
      </c>
      <c r="L308" t="str">
        <f>T("9791166483257")</f>
        <v>9791166483257</v>
      </c>
    </row>
    <row r="309" spans="1:12">
      <c r="A309" s="2">
        <v>44780.810671296298</v>
      </c>
      <c r="B309">
        <v>292246510</v>
      </c>
      <c r="C309" t="s">
        <v>319</v>
      </c>
      <c r="D309" t="s">
        <v>9</v>
      </c>
      <c r="E309" s="3">
        <v>3000</v>
      </c>
      <c r="F309" s="3">
        <v>3000</v>
      </c>
      <c r="G309" s="3">
        <v>2100</v>
      </c>
      <c r="I309" t="s">
        <v>55</v>
      </c>
      <c r="J309" t="s">
        <v>50</v>
      </c>
      <c r="K309" t="s">
        <v>11</v>
      </c>
      <c r="L309" t="str">
        <f>T("9791166483240")</f>
        <v>9791166483240</v>
      </c>
    </row>
    <row r="310" spans="1:12">
      <c r="A310" s="2">
        <v>44780.810671296298</v>
      </c>
      <c r="B310">
        <v>292246519</v>
      </c>
      <c r="C310" t="s">
        <v>320</v>
      </c>
      <c r="D310" t="s">
        <v>9</v>
      </c>
      <c r="E310" s="3">
        <v>3000</v>
      </c>
      <c r="F310" s="3">
        <v>3000</v>
      </c>
      <c r="G310" s="3">
        <v>2100</v>
      </c>
      <c r="I310" t="s">
        <v>55</v>
      </c>
      <c r="J310" t="s">
        <v>50</v>
      </c>
      <c r="K310" t="s">
        <v>11</v>
      </c>
      <c r="L310" t="str">
        <f>T("9791166483233")</f>
        <v>9791166483233</v>
      </c>
    </row>
    <row r="311" spans="1:12">
      <c r="A311" s="2">
        <v>44780.833819444444</v>
      </c>
      <c r="B311">
        <v>287834730</v>
      </c>
      <c r="C311" t="s">
        <v>37</v>
      </c>
      <c r="D311" t="s">
        <v>9</v>
      </c>
      <c r="E311" s="3">
        <v>2000</v>
      </c>
      <c r="F311" s="3">
        <v>2000</v>
      </c>
      <c r="G311" s="3">
        <v>1400</v>
      </c>
      <c r="I311" t="s">
        <v>32</v>
      </c>
      <c r="J311" t="s">
        <v>40</v>
      </c>
      <c r="K311" t="s">
        <v>11</v>
      </c>
      <c r="L311" t="str">
        <f>T("9791191562019")</f>
        <v>9791191562019</v>
      </c>
    </row>
    <row r="312" spans="1:12">
      <c r="A312" s="2">
        <v>44780.833819444444</v>
      </c>
      <c r="B312">
        <v>291088925</v>
      </c>
      <c r="C312" t="s">
        <v>58</v>
      </c>
      <c r="D312" t="s">
        <v>9</v>
      </c>
      <c r="E312" s="3">
        <v>2000</v>
      </c>
      <c r="F312" s="3">
        <v>2000</v>
      </c>
      <c r="G312" s="3">
        <v>1400</v>
      </c>
      <c r="I312" t="s">
        <v>59</v>
      </c>
      <c r="J312" t="s">
        <v>40</v>
      </c>
      <c r="K312" t="s">
        <v>11</v>
      </c>
      <c r="L312" t="str">
        <f>T("9791191562187")</f>
        <v>9791191562187</v>
      </c>
    </row>
    <row r="313" spans="1:12">
      <c r="A313" s="2">
        <v>44780.862025462964</v>
      </c>
      <c r="B313">
        <v>282585762</v>
      </c>
      <c r="C313" t="s">
        <v>75</v>
      </c>
      <c r="D313" t="s">
        <v>9</v>
      </c>
      <c r="E313" s="3">
        <v>3000</v>
      </c>
      <c r="F313" s="3">
        <v>3000</v>
      </c>
      <c r="G313" s="3">
        <v>2100</v>
      </c>
      <c r="I313" t="s">
        <v>30</v>
      </c>
      <c r="J313" t="s">
        <v>71</v>
      </c>
      <c r="K313" t="s">
        <v>11</v>
      </c>
      <c r="L313" t="str">
        <f>T("9791164374625")</f>
        <v>9791164374625</v>
      </c>
    </row>
    <row r="314" spans="1:12">
      <c r="A314" s="2">
        <v>44780.862025462964</v>
      </c>
      <c r="B314">
        <v>282585770</v>
      </c>
      <c r="C314" t="s">
        <v>74</v>
      </c>
      <c r="D314" t="s">
        <v>9</v>
      </c>
      <c r="E314" s="3">
        <v>3000</v>
      </c>
      <c r="F314" s="3">
        <v>3000</v>
      </c>
      <c r="G314" s="3">
        <v>2100</v>
      </c>
      <c r="I314" t="s">
        <v>30</v>
      </c>
      <c r="J314" t="s">
        <v>71</v>
      </c>
      <c r="K314" t="s">
        <v>11</v>
      </c>
      <c r="L314" t="str">
        <f>T("9791164374618")</f>
        <v>9791164374618</v>
      </c>
    </row>
    <row r="315" spans="1:12">
      <c r="A315" s="2">
        <v>44780.897222222222</v>
      </c>
      <c r="B315">
        <v>286896672</v>
      </c>
      <c r="C315" t="s">
        <v>175</v>
      </c>
      <c r="D315" t="s">
        <v>9</v>
      </c>
      <c r="E315" s="3">
        <v>2500</v>
      </c>
      <c r="F315" s="3">
        <v>2500</v>
      </c>
      <c r="G315" s="3">
        <v>1750</v>
      </c>
      <c r="I315" t="s">
        <v>176</v>
      </c>
      <c r="J315" t="s">
        <v>40</v>
      </c>
      <c r="K315" t="s">
        <v>11</v>
      </c>
      <c r="L315" t="str">
        <f>T("9791191562002")</f>
        <v>9791191562002</v>
      </c>
    </row>
    <row r="316" spans="1:12">
      <c r="A316" s="2">
        <v>44780.897222222222</v>
      </c>
      <c r="B316">
        <v>286405921</v>
      </c>
      <c r="C316" t="s">
        <v>36</v>
      </c>
      <c r="D316" t="s">
        <v>9</v>
      </c>
      <c r="E316" s="3">
        <v>2500</v>
      </c>
      <c r="F316" s="3">
        <v>2500</v>
      </c>
      <c r="G316" s="3">
        <v>1750</v>
      </c>
      <c r="I316" t="s">
        <v>34</v>
      </c>
      <c r="J316" t="s">
        <v>40</v>
      </c>
      <c r="K316" t="s">
        <v>11</v>
      </c>
      <c r="L316" t="str">
        <f>T("9791196945268")</f>
        <v>9791196945268</v>
      </c>
    </row>
    <row r="317" spans="1:12">
      <c r="A317" s="2">
        <v>44780.897222222222</v>
      </c>
      <c r="B317">
        <v>287834730</v>
      </c>
      <c r="C317" t="s">
        <v>37</v>
      </c>
      <c r="D317" t="s">
        <v>9</v>
      </c>
      <c r="E317" s="3">
        <v>2000</v>
      </c>
      <c r="F317" s="3">
        <v>2000</v>
      </c>
      <c r="G317" s="3">
        <v>1400</v>
      </c>
      <c r="I317" t="s">
        <v>32</v>
      </c>
      <c r="J317" t="s">
        <v>40</v>
      </c>
      <c r="K317" t="s">
        <v>11</v>
      </c>
      <c r="L317" t="str">
        <f>T("9791191562019")</f>
        <v>9791191562019</v>
      </c>
    </row>
    <row r="318" spans="1:12">
      <c r="A318" s="2">
        <v>44780.897222222222</v>
      </c>
      <c r="B318">
        <v>291088925</v>
      </c>
      <c r="C318" t="s">
        <v>58</v>
      </c>
      <c r="D318" t="s">
        <v>9</v>
      </c>
      <c r="E318" s="3">
        <v>2000</v>
      </c>
      <c r="F318" s="3">
        <v>2000</v>
      </c>
      <c r="G318" s="3">
        <v>1400</v>
      </c>
      <c r="I318" t="s">
        <v>59</v>
      </c>
      <c r="J318" t="s">
        <v>40</v>
      </c>
      <c r="K318" t="s">
        <v>11</v>
      </c>
      <c r="L318" t="str">
        <f>T("9791191562187")</f>
        <v>9791191562187</v>
      </c>
    </row>
    <row r="319" spans="1:12">
      <c r="A319" s="2">
        <v>44780.897222222222</v>
      </c>
      <c r="B319">
        <v>292316442</v>
      </c>
      <c r="C319" t="s">
        <v>84</v>
      </c>
      <c r="D319" t="s">
        <v>9</v>
      </c>
      <c r="E319" s="3">
        <v>2500</v>
      </c>
      <c r="F319" s="3">
        <v>2500</v>
      </c>
      <c r="G319" s="3">
        <v>1750</v>
      </c>
      <c r="I319" t="s">
        <v>85</v>
      </c>
      <c r="J319" t="s">
        <v>40</v>
      </c>
      <c r="K319" t="s">
        <v>11</v>
      </c>
      <c r="L319" t="str">
        <f>T("9791191562309")</f>
        <v>9791191562309</v>
      </c>
    </row>
    <row r="320" spans="1:12">
      <c r="A320" s="2">
        <v>44780.897222222222</v>
      </c>
      <c r="B320">
        <v>295216088</v>
      </c>
      <c r="C320" t="s">
        <v>114</v>
      </c>
      <c r="D320" t="s">
        <v>9</v>
      </c>
      <c r="E320" s="3">
        <v>2500</v>
      </c>
      <c r="F320" s="3">
        <v>2500</v>
      </c>
      <c r="G320" s="3">
        <v>1750</v>
      </c>
      <c r="I320" t="s">
        <v>113</v>
      </c>
      <c r="J320" t="s">
        <v>40</v>
      </c>
      <c r="K320" t="s">
        <v>11</v>
      </c>
      <c r="L320" t="str">
        <f>T("9791191562453")</f>
        <v>9791191562453</v>
      </c>
    </row>
    <row r="321" spans="1:12">
      <c r="A321" s="2">
        <v>44780.910034722219</v>
      </c>
      <c r="B321">
        <v>296378994</v>
      </c>
      <c r="C321" t="s">
        <v>321</v>
      </c>
      <c r="D321" t="s">
        <v>9</v>
      </c>
      <c r="E321" s="3">
        <v>3800</v>
      </c>
      <c r="F321" s="3">
        <v>3800</v>
      </c>
      <c r="G321" s="3">
        <v>2660</v>
      </c>
      <c r="I321" t="s">
        <v>76</v>
      </c>
      <c r="J321" t="s">
        <v>71</v>
      </c>
      <c r="K321" t="s">
        <v>11</v>
      </c>
      <c r="L321" t="str">
        <f>T("9791164375028")</f>
        <v>9791164375028</v>
      </c>
    </row>
    <row r="322" spans="1:12">
      <c r="A322" s="2">
        <v>44780.965011574073</v>
      </c>
      <c r="B322">
        <v>287561666</v>
      </c>
      <c r="C322" t="s">
        <v>322</v>
      </c>
      <c r="D322" t="s">
        <v>9</v>
      </c>
      <c r="E322" s="3">
        <v>3500</v>
      </c>
      <c r="F322" s="3">
        <v>3500</v>
      </c>
      <c r="G322" s="3">
        <v>2450</v>
      </c>
      <c r="I322" t="s">
        <v>323</v>
      </c>
      <c r="J322" t="s">
        <v>45</v>
      </c>
      <c r="K322" t="s">
        <v>11</v>
      </c>
      <c r="L322" t="str">
        <f>T("9791166482854")</f>
        <v>9791166482854</v>
      </c>
    </row>
    <row r="323" spans="1:12">
      <c r="A323" s="2">
        <v>44781.002650462964</v>
      </c>
      <c r="B323">
        <v>298014671</v>
      </c>
      <c r="C323" t="s">
        <v>231</v>
      </c>
      <c r="D323" t="s">
        <v>9</v>
      </c>
      <c r="E323" s="3">
        <v>2500</v>
      </c>
      <c r="F323" s="3">
        <v>2500</v>
      </c>
      <c r="G323" s="3">
        <v>1750</v>
      </c>
      <c r="I323" t="s">
        <v>100</v>
      </c>
      <c r="J323" t="s">
        <v>40</v>
      </c>
      <c r="K323" t="s">
        <v>11</v>
      </c>
      <c r="L323" t="str">
        <f>T("9791191562835")</f>
        <v>9791191562835</v>
      </c>
    </row>
    <row r="324" spans="1:12">
      <c r="A324" s="2">
        <v>44781.018425925926</v>
      </c>
      <c r="B324">
        <v>297620121</v>
      </c>
      <c r="C324" t="s">
        <v>205</v>
      </c>
      <c r="D324" t="s">
        <v>9</v>
      </c>
      <c r="E324" s="3">
        <v>2000</v>
      </c>
      <c r="F324" s="3">
        <v>2000</v>
      </c>
      <c r="G324" s="3">
        <v>1400</v>
      </c>
      <c r="I324" t="s">
        <v>29</v>
      </c>
      <c r="J324" t="s">
        <v>40</v>
      </c>
      <c r="K324" t="s">
        <v>11</v>
      </c>
      <c r="L324" t="str">
        <f>T("9791191562484")</f>
        <v>9791191562484</v>
      </c>
    </row>
    <row r="325" spans="1:12">
      <c r="A325" s="2">
        <v>44781.070648148147</v>
      </c>
      <c r="B325">
        <v>297620121</v>
      </c>
      <c r="C325" t="s">
        <v>205</v>
      </c>
      <c r="D325" t="s">
        <v>9</v>
      </c>
      <c r="E325" s="3">
        <v>2000</v>
      </c>
      <c r="F325" s="3">
        <v>2000</v>
      </c>
      <c r="G325" s="3">
        <v>1400</v>
      </c>
      <c r="I325" t="s">
        <v>29</v>
      </c>
      <c r="J325" t="s">
        <v>40</v>
      </c>
      <c r="K325" t="s">
        <v>11</v>
      </c>
      <c r="L325" t="str">
        <f>T("9791191562484")</f>
        <v>9791191562484</v>
      </c>
    </row>
    <row r="326" spans="1:12">
      <c r="A326" s="2">
        <v>44781.074328703704</v>
      </c>
      <c r="B326">
        <v>291088925</v>
      </c>
      <c r="C326" t="s">
        <v>58</v>
      </c>
      <c r="D326" t="s">
        <v>9</v>
      </c>
      <c r="E326" s="3">
        <v>2000</v>
      </c>
      <c r="F326" s="3">
        <v>2000</v>
      </c>
      <c r="G326" s="3">
        <v>1400</v>
      </c>
      <c r="I326" t="s">
        <v>59</v>
      </c>
      <c r="J326" t="s">
        <v>40</v>
      </c>
      <c r="K326" t="s">
        <v>11</v>
      </c>
      <c r="L326" t="str">
        <f>T("9791191562187")</f>
        <v>9791191562187</v>
      </c>
    </row>
    <row r="327" spans="1:12">
      <c r="A327" s="2">
        <v>44781.098229166666</v>
      </c>
      <c r="B327">
        <v>295462572</v>
      </c>
      <c r="C327" t="s">
        <v>108</v>
      </c>
      <c r="D327" t="s">
        <v>9</v>
      </c>
      <c r="E327" s="3">
        <v>2000</v>
      </c>
      <c r="F327" s="3">
        <v>2000</v>
      </c>
      <c r="G327" s="3">
        <v>1400</v>
      </c>
      <c r="I327" t="s">
        <v>32</v>
      </c>
      <c r="J327" t="s">
        <v>40</v>
      </c>
      <c r="K327" t="s">
        <v>11</v>
      </c>
      <c r="L327" t="str">
        <f>T("9791191562361")</f>
        <v>9791191562361</v>
      </c>
    </row>
    <row r="328" spans="1:12">
      <c r="A328" s="2">
        <v>44781.122777777775</v>
      </c>
      <c r="B328">
        <v>298750948</v>
      </c>
      <c r="C328" t="s">
        <v>259</v>
      </c>
      <c r="D328" t="s">
        <v>9</v>
      </c>
      <c r="E328" s="3">
        <v>3500</v>
      </c>
      <c r="F328" s="3">
        <v>3500</v>
      </c>
      <c r="G328" s="3">
        <v>2450</v>
      </c>
      <c r="I328" t="s">
        <v>38</v>
      </c>
      <c r="J328" t="s">
        <v>40</v>
      </c>
      <c r="K328" t="s">
        <v>11</v>
      </c>
      <c r="L328" t="str">
        <f>T("9791191562866")</f>
        <v>9791191562866</v>
      </c>
    </row>
    <row r="329" spans="1:12">
      <c r="A329" s="2">
        <v>44781.174895833334</v>
      </c>
      <c r="B329">
        <v>54081871</v>
      </c>
      <c r="C329" t="s">
        <v>324</v>
      </c>
      <c r="D329" t="s">
        <v>9</v>
      </c>
      <c r="E329" s="3">
        <v>3200</v>
      </c>
      <c r="F329" s="3">
        <v>3200</v>
      </c>
      <c r="G329" s="3">
        <v>2240</v>
      </c>
      <c r="I329" t="s">
        <v>13</v>
      </c>
      <c r="J329" t="s">
        <v>11</v>
      </c>
      <c r="K329" t="s">
        <v>11</v>
      </c>
      <c r="L329" t="str">
        <f>T("9791195622559")</f>
        <v>9791195622559</v>
      </c>
    </row>
    <row r="330" spans="1:12">
      <c r="A330" s="2">
        <v>44781.199386574073</v>
      </c>
      <c r="B330">
        <v>293957336</v>
      </c>
      <c r="C330" t="s">
        <v>122</v>
      </c>
      <c r="D330" t="s">
        <v>9</v>
      </c>
      <c r="E330" s="3">
        <v>3000</v>
      </c>
      <c r="F330" s="3">
        <v>3000</v>
      </c>
      <c r="G330" s="3">
        <v>2100</v>
      </c>
      <c r="I330" t="s">
        <v>120</v>
      </c>
      <c r="J330" t="s">
        <v>71</v>
      </c>
      <c r="K330" t="s">
        <v>11</v>
      </c>
      <c r="L330" t="str">
        <f>T("9791164375127")</f>
        <v>9791164375127</v>
      </c>
    </row>
    <row r="331" spans="1:12">
      <c r="A331" s="2">
        <v>44781.199386574073</v>
      </c>
      <c r="B331">
        <v>294228958</v>
      </c>
      <c r="C331" t="s">
        <v>121</v>
      </c>
      <c r="D331" t="s">
        <v>9</v>
      </c>
      <c r="E331" s="3">
        <v>3200</v>
      </c>
      <c r="F331" s="3">
        <v>3200</v>
      </c>
      <c r="G331" s="3">
        <v>2240</v>
      </c>
      <c r="I331" t="s">
        <v>120</v>
      </c>
      <c r="J331" t="s">
        <v>71</v>
      </c>
      <c r="K331" t="s">
        <v>11</v>
      </c>
      <c r="L331" t="str">
        <f>T("9791164375134")</f>
        <v>9791164375134</v>
      </c>
    </row>
    <row r="332" spans="1:12">
      <c r="A332" s="2">
        <v>44781.249074074076</v>
      </c>
      <c r="B332">
        <v>298750948</v>
      </c>
      <c r="C332" t="s">
        <v>259</v>
      </c>
      <c r="D332" t="s">
        <v>9</v>
      </c>
      <c r="E332" s="3">
        <v>3500</v>
      </c>
      <c r="F332" s="3">
        <v>3500</v>
      </c>
      <c r="G332" s="3">
        <v>2450</v>
      </c>
      <c r="I332" t="s">
        <v>38</v>
      </c>
      <c r="J332" t="s">
        <v>40</v>
      </c>
      <c r="K332" t="s">
        <v>11</v>
      </c>
      <c r="L332" t="str">
        <f>T("9791191562866")</f>
        <v>9791191562866</v>
      </c>
    </row>
    <row r="333" spans="1:12">
      <c r="A333" s="2">
        <v>44781.249074074076</v>
      </c>
      <c r="B333">
        <v>298375208</v>
      </c>
      <c r="C333" t="s">
        <v>239</v>
      </c>
      <c r="D333" t="s">
        <v>9</v>
      </c>
      <c r="E333" s="3">
        <v>2500</v>
      </c>
      <c r="F333" s="3">
        <v>2500</v>
      </c>
      <c r="G333" s="3">
        <v>1750</v>
      </c>
      <c r="I333" t="s">
        <v>240</v>
      </c>
      <c r="J333" t="s">
        <v>40</v>
      </c>
      <c r="K333" t="s">
        <v>11</v>
      </c>
      <c r="L333" t="str">
        <f>T("9791191562842")</f>
        <v>9791191562842</v>
      </c>
    </row>
    <row r="334" spans="1:12">
      <c r="A334" s="2">
        <v>44781.338958333334</v>
      </c>
      <c r="B334">
        <v>179742025</v>
      </c>
      <c r="C334" t="s">
        <v>325</v>
      </c>
      <c r="D334" t="s">
        <v>9</v>
      </c>
      <c r="E334" s="3">
        <v>7000</v>
      </c>
      <c r="F334" s="3">
        <v>6300</v>
      </c>
      <c r="G334" s="3">
        <v>4410</v>
      </c>
      <c r="I334" t="s">
        <v>326</v>
      </c>
      <c r="J334" t="s">
        <v>45</v>
      </c>
      <c r="K334" t="s">
        <v>11</v>
      </c>
      <c r="L334" t="str">
        <f>T("9791190132336")</f>
        <v>9791190132336</v>
      </c>
    </row>
    <row r="335" spans="1:12">
      <c r="A335" s="2">
        <v>44781.368148148147</v>
      </c>
      <c r="B335">
        <v>263958792</v>
      </c>
      <c r="C335" t="s">
        <v>327</v>
      </c>
      <c r="D335" t="s">
        <v>9</v>
      </c>
      <c r="E335" s="3">
        <v>3200</v>
      </c>
      <c r="F335" s="3">
        <v>3200</v>
      </c>
      <c r="G335" s="3">
        <v>2240</v>
      </c>
      <c r="I335" t="s">
        <v>13</v>
      </c>
      <c r="J335" t="s">
        <v>11</v>
      </c>
      <c r="K335" t="s">
        <v>11</v>
      </c>
      <c r="L335" t="str">
        <f>T("9791166300493")</f>
        <v>9791166300493</v>
      </c>
    </row>
    <row r="336" spans="1:12">
      <c r="A336" s="2">
        <v>44781.368148148147</v>
      </c>
      <c r="B336">
        <v>263958807</v>
      </c>
      <c r="C336" t="s">
        <v>328</v>
      </c>
      <c r="D336" t="s">
        <v>9</v>
      </c>
      <c r="E336" s="3">
        <v>3200</v>
      </c>
      <c r="F336" s="3">
        <v>3200</v>
      </c>
      <c r="G336" s="3">
        <v>2240</v>
      </c>
      <c r="I336" t="s">
        <v>13</v>
      </c>
      <c r="J336" t="s">
        <v>11</v>
      </c>
      <c r="K336" t="s">
        <v>11</v>
      </c>
      <c r="L336" t="str">
        <f>T("9791166300486")</f>
        <v>9791166300486</v>
      </c>
    </row>
    <row r="337" spans="1:12">
      <c r="A337" s="2">
        <v>44781.368148148147</v>
      </c>
      <c r="B337">
        <v>263958844</v>
      </c>
      <c r="C337" t="s">
        <v>329</v>
      </c>
      <c r="D337" t="s">
        <v>9</v>
      </c>
      <c r="E337" s="3">
        <v>3200</v>
      </c>
      <c r="F337" s="3">
        <v>3200</v>
      </c>
      <c r="G337" s="3">
        <v>2240</v>
      </c>
      <c r="I337" t="s">
        <v>13</v>
      </c>
      <c r="J337" t="s">
        <v>11</v>
      </c>
      <c r="K337" t="s">
        <v>11</v>
      </c>
      <c r="L337" t="str">
        <f>T("9791166300509")</f>
        <v>9791166300509</v>
      </c>
    </row>
    <row r="338" spans="1:12">
      <c r="A338" s="2">
        <v>44781.525185185186</v>
      </c>
      <c r="B338">
        <v>299154500</v>
      </c>
      <c r="C338" t="s">
        <v>287</v>
      </c>
      <c r="D338" t="s">
        <v>9</v>
      </c>
      <c r="E338" s="3">
        <v>2500</v>
      </c>
      <c r="F338" s="3">
        <v>2500</v>
      </c>
      <c r="G338" s="3">
        <v>1750</v>
      </c>
      <c r="I338" t="s">
        <v>220</v>
      </c>
      <c r="J338" t="s">
        <v>40</v>
      </c>
      <c r="K338" t="s">
        <v>11</v>
      </c>
      <c r="L338" t="str">
        <f>T("9791191562859")</f>
        <v>9791191562859</v>
      </c>
    </row>
    <row r="339" spans="1:12">
      <c r="A339" s="2">
        <v>44781.538472222222</v>
      </c>
      <c r="B339">
        <v>298375208</v>
      </c>
      <c r="C339" t="s">
        <v>239</v>
      </c>
      <c r="D339" t="s">
        <v>9</v>
      </c>
      <c r="E339" s="3">
        <v>2500</v>
      </c>
      <c r="F339" s="3">
        <v>2500</v>
      </c>
      <c r="G339" s="3">
        <v>1750</v>
      </c>
      <c r="I339" t="s">
        <v>240</v>
      </c>
      <c r="J339" t="s">
        <v>40</v>
      </c>
      <c r="K339" t="s">
        <v>11</v>
      </c>
      <c r="L339" t="str">
        <f>T("9791191562842")</f>
        <v>9791191562842</v>
      </c>
    </row>
    <row r="340" spans="1:12">
      <c r="A340" s="2">
        <v>44781.614837962959</v>
      </c>
      <c r="B340">
        <v>185682530</v>
      </c>
      <c r="C340" t="s">
        <v>330</v>
      </c>
      <c r="D340" t="s">
        <v>9</v>
      </c>
      <c r="E340">
        <v>300</v>
      </c>
      <c r="F340">
        <v>300</v>
      </c>
      <c r="G340">
        <v>210</v>
      </c>
      <c r="I340" t="s">
        <v>331</v>
      </c>
      <c r="J340" t="s">
        <v>45</v>
      </c>
      <c r="K340" t="s">
        <v>11</v>
      </c>
      <c r="L340" t="str">
        <f>T("9791190132428")</f>
        <v>9791190132428</v>
      </c>
    </row>
    <row r="341" spans="1:12">
      <c r="A341" s="2">
        <v>44781.649097222224</v>
      </c>
      <c r="B341">
        <v>298750948</v>
      </c>
      <c r="C341" t="s">
        <v>259</v>
      </c>
      <c r="D341" t="s">
        <v>9</v>
      </c>
      <c r="E341" s="3">
        <v>3500</v>
      </c>
      <c r="F341" s="3">
        <v>3500</v>
      </c>
      <c r="G341" s="3">
        <v>2450</v>
      </c>
      <c r="I341" t="s">
        <v>38</v>
      </c>
      <c r="J341" t="s">
        <v>40</v>
      </c>
      <c r="K341" t="s">
        <v>11</v>
      </c>
      <c r="L341" t="str">
        <f>T("9791191562866")</f>
        <v>9791191562866</v>
      </c>
    </row>
    <row r="342" spans="1:12">
      <c r="A342" s="2">
        <v>44781.707986111112</v>
      </c>
      <c r="B342">
        <v>297620121</v>
      </c>
      <c r="C342" t="s">
        <v>205</v>
      </c>
      <c r="D342" t="s">
        <v>9</v>
      </c>
      <c r="E342" s="3">
        <v>2000</v>
      </c>
      <c r="F342" s="3">
        <v>2000</v>
      </c>
      <c r="G342" s="3">
        <v>1400</v>
      </c>
      <c r="I342" t="s">
        <v>29</v>
      </c>
      <c r="J342" t="s">
        <v>40</v>
      </c>
      <c r="K342" t="s">
        <v>11</v>
      </c>
      <c r="L342" t="str">
        <f>T("9791191562484")</f>
        <v>9791191562484</v>
      </c>
    </row>
    <row r="343" spans="1:12">
      <c r="A343" s="2">
        <v>44781.716111111113</v>
      </c>
      <c r="B343">
        <v>292316442</v>
      </c>
      <c r="C343" t="s">
        <v>84</v>
      </c>
      <c r="D343" t="s">
        <v>9</v>
      </c>
      <c r="E343" s="3">
        <v>2500</v>
      </c>
      <c r="F343" s="3">
        <v>2500</v>
      </c>
      <c r="G343" s="3">
        <v>1750</v>
      </c>
      <c r="I343" t="s">
        <v>85</v>
      </c>
      <c r="J343" t="s">
        <v>40</v>
      </c>
      <c r="K343" t="s">
        <v>11</v>
      </c>
      <c r="L343" t="str">
        <f>T("9791191562309")</f>
        <v>9791191562309</v>
      </c>
    </row>
    <row r="344" spans="1:12">
      <c r="A344" s="2">
        <v>44781.723900462966</v>
      </c>
      <c r="B344">
        <v>293957036</v>
      </c>
      <c r="C344" t="s">
        <v>225</v>
      </c>
      <c r="D344" t="s">
        <v>9</v>
      </c>
      <c r="E344" s="3">
        <v>3200</v>
      </c>
      <c r="F344" s="3">
        <v>3200</v>
      </c>
      <c r="G344" s="3">
        <v>2240</v>
      </c>
      <c r="I344" t="s">
        <v>14</v>
      </c>
      <c r="J344" t="s">
        <v>11</v>
      </c>
      <c r="K344" t="s">
        <v>11</v>
      </c>
      <c r="L344" t="str">
        <f>T("9791137603035")</f>
        <v>9791137603035</v>
      </c>
    </row>
    <row r="345" spans="1:12">
      <c r="A345" s="2">
        <v>44781.784421296295</v>
      </c>
      <c r="B345">
        <v>295836446</v>
      </c>
      <c r="C345" t="s">
        <v>129</v>
      </c>
      <c r="D345" t="s">
        <v>9</v>
      </c>
      <c r="E345" s="3">
        <v>2000</v>
      </c>
      <c r="F345" s="3">
        <v>2000</v>
      </c>
      <c r="G345" s="3">
        <v>1400</v>
      </c>
      <c r="I345" t="s">
        <v>59</v>
      </c>
      <c r="J345" t="s">
        <v>40</v>
      </c>
      <c r="K345" t="s">
        <v>11</v>
      </c>
      <c r="L345" t="str">
        <f>T("9791191562798")</f>
        <v>9791191562798</v>
      </c>
    </row>
    <row r="346" spans="1:12">
      <c r="A346" s="2">
        <v>44781.785613425927</v>
      </c>
      <c r="B346">
        <v>287834730</v>
      </c>
      <c r="C346" t="s">
        <v>37</v>
      </c>
      <c r="D346" t="s">
        <v>9</v>
      </c>
      <c r="E346" s="3">
        <v>2000</v>
      </c>
      <c r="F346" s="3">
        <v>2000</v>
      </c>
      <c r="G346" s="3">
        <v>1400</v>
      </c>
      <c r="I346" t="s">
        <v>32</v>
      </c>
      <c r="J346" t="s">
        <v>40</v>
      </c>
      <c r="K346" t="s">
        <v>11</v>
      </c>
      <c r="L346" t="str">
        <f>T("9791191562019")</f>
        <v>9791191562019</v>
      </c>
    </row>
    <row r="347" spans="1:12">
      <c r="A347" s="2">
        <v>44781.827118055553</v>
      </c>
      <c r="B347">
        <v>287834730</v>
      </c>
      <c r="C347" t="s">
        <v>37</v>
      </c>
      <c r="D347" t="s">
        <v>9</v>
      </c>
      <c r="E347" s="3">
        <v>2000</v>
      </c>
      <c r="F347" s="3">
        <v>2000</v>
      </c>
      <c r="G347" s="3">
        <v>1400</v>
      </c>
      <c r="I347" t="s">
        <v>32</v>
      </c>
      <c r="J347" t="s">
        <v>40</v>
      </c>
      <c r="K347" t="s">
        <v>11</v>
      </c>
      <c r="L347" t="str">
        <f>T("9791191562019")</f>
        <v>9791191562019</v>
      </c>
    </row>
    <row r="348" spans="1:12">
      <c r="A348" s="2">
        <v>44781.968148148146</v>
      </c>
      <c r="B348">
        <v>287834730</v>
      </c>
      <c r="C348" t="s">
        <v>37</v>
      </c>
      <c r="D348" t="s">
        <v>9</v>
      </c>
      <c r="E348" s="3">
        <v>-2000</v>
      </c>
      <c r="F348" s="3">
        <v>-2000</v>
      </c>
      <c r="G348" s="3">
        <v>-1400</v>
      </c>
      <c r="H348" s="2">
        <v>44781.827118055553</v>
      </c>
      <c r="I348" t="s">
        <v>32</v>
      </c>
      <c r="J348" t="s">
        <v>40</v>
      </c>
      <c r="K348" t="s">
        <v>11</v>
      </c>
      <c r="L348" t="str">
        <f>T("9791191562019")</f>
        <v>9791191562019</v>
      </c>
    </row>
    <row r="349" spans="1:12">
      <c r="A349" s="2">
        <v>44781.828900462962</v>
      </c>
      <c r="B349">
        <v>291088925</v>
      </c>
      <c r="C349" t="s">
        <v>58</v>
      </c>
      <c r="D349" t="s">
        <v>9</v>
      </c>
      <c r="E349" s="3">
        <v>2000</v>
      </c>
      <c r="F349" s="3">
        <v>2000</v>
      </c>
      <c r="G349" s="3">
        <v>1400</v>
      </c>
      <c r="I349" t="s">
        <v>59</v>
      </c>
      <c r="J349" t="s">
        <v>40</v>
      </c>
      <c r="K349" t="s">
        <v>11</v>
      </c>
      <c r="L349" t="str">
        <f>T("9791191562187")</f>
        <v>9791191562187</v>
      </c>
    </row>
    <row r="350" spans="1:12">
      <c r="A350" s="2">
        <v>44781.863495370373</v>
      </c>
      <c r="B350">
        <v>295462572</v>
      </c>
      <c r="C350" t="s">
        <v>108</v>
      </c>
      <c r="D350" t="s">
        <v>9</v>
      </c>
      <c r="E350" s="3">
        <v>2000</v>
      </c>
      <c r="F350" s="3">
        <v>2000</v>
      </c>
      <c r="G350" s="3">
        <v>1400</v>
      </c>
      <c r="I350" t="s">
        <v>32</v>
      </c>
      <c r="J350" t="s">
        <v>40</v>
      </c>
      <c r="K350" t="s">
        <v>11</v>
      </c>
      <c r="L350" t="str">
        <f>T("9791191562361")</f>
        <v>9791191562361</v>
      </c>
    </row>
    <row r="351" spans="1:12">
      <c r="A351" s="2">
        <v>44781.881666666668</v>
      </c>
      <c r="B351">
        <v>294228911</v>
      </c>
      <c r="C351" t="s">
        <v>110</v>
      </c>
      <c r="D351" t="s">
        <v>9</v>
      </c>
      <c r="E351" s="3">
        <v>2000</v>
      </c>
      <c r="F351" s="3">
        <v>2000</v>
      </c>
      <c r="G351" s="3">
        <v>1400</v>
      </c>
      <c r="I351" t="s">
        <v>49</v>
      </c>
      <c r="J351" t="s">
        <v>40</v>
      </c>
      <c r="K351" t="s">
        <v>11</v>
      </c>
      <c r="L351" t="str">
        <f>T("9791191562408")</f>
        <v>9791191562408</v>
      </c>
    </row>
    <row r="352" spans="1:12">
      <c r="A352" s="2">
        <v>44781.890914351854</v>
      </c>
      <c r="B352">
        <v>293484295</v>
      </c>
      <c r="C352" t="s">
        <v>106</v>
      </c>
      <c r="D352" t="s">
        <v>9</v>
      </c>
      <c r="E352" s="3">
        <v>3500</v>
      </c>
      <c r="F352" s="3">
        <v>3500</v>
      </c>
      <c r="G352" s="3">
        <v>2450</v>
      </c>
      <c r="I352" t="s">
        <v>107</v>
      </c>
      <c r="J352" t="s">
        <v>40</v>
      </c>
      <c r="K352" t="s">
        <v>11</v>
      </c>
      <c r="L352" t="str">
        <f>T("9791191562330")</f>
        <v>9791191562330</v>
      </c>
    </row>
    <row r="353" spans="1:12">
      <c r="A353" s="2">
        <v>44781.905057870368</v>
      </c>
      <c r="B353">
        <v>282585770</v>
      </c>
      <c r="C353" t="s">
        <v>74</v>
      </c>
      <c r="D353" t="s">
        <v>9</v>
      </c>
      <c r="E353" s="3">
        <v>3000</v>
      </c>
      <c r="F353" s="3">
        <v>3000</v>
      </c>
      <c r="G353" s="3">
        <v>2100</v>
      </c>
      <c r="I353" t="s">
        <v>30</v>
      </c>
      <c r="J353" t="s">
        <v>71</v>
      </c>
      <c r="K353" t="s">
        <v>11</v>
      </c>
      <c r="L353" t="str">
        <f>T("9791164374618")</f>
        <v>9791164374618</v>
      </c>
    </row>
    <row r="354" spans="1:12">
      <c r="A354" s="2">
        <v>44781.905057870368</v>
      </c>
      <c r="B354">
        <v>282585762</v>
      </c>
      <c r="C354" t="s">
        <v>75</v>
      </c>
      <c r="D354" t="s">
        <v>9</v>
      </c>
      <c r="E354" s="3">
        <v>3000</v>
      </c>
      <c r="F354" s="3">
        <v>3000</v>
      </c>
      <c r="G354" s="3">
        <v>2100</v>
      </c>
      <c r="I354" t="s">
        <v>30</v>
      </c>
      <c r="J354" t="s">
        <v>71</v>
      </c>
      <c r="K354" t="s">
        <v>11</v>
      </c>
      <c r="L354" t="str">
        <f>T("9791164374625")</f>
        <v>9791164374625</v>
      </c>
    </row>
    <row r="355" spans="1:12">
      <c r="A355" s="2">
        <v>44781.912407407406</v>
      </c>
      <c r="B355">
        <v>295462572</v>
      </c>
      <c r="C355" t="s">
        <v>108</v>
      </c>
      <c r="D355" t="s">
        <v>9</v>
      </c>
      <c r="E355" s="3">
        <v>2000</v>
      </c>
      <c r="F355" s="3">
        <v>2000</v>
      </c>
      <c r="G355" s="3">
        <v>1400</v>
      </c>
      <c r="I355" t="s">
        <v>32</v>
      </c>
      <c r="J355" t="s">
        <v>40</v>
      </c>
      <c r="K355" t="s">
        <v>11</v>
      </c>
      <c r="L355" t="str">
        <f>T("9791191562361")</f>
        <v>9791191562361</v>
      </c>
    </row>
    <row r="356" spans="1:12">
      <c r="A356" s="2">
        <v>44781.912604166668</v>
      </c>
      <c r="B356">
        <v>291088925</v>
      </c>
      <c r="C356" t="s">
        <v>58</v>
      </c>
      <c r="D356" t="s">
        <v>9</v>
      </c>
      <c r="E356" s="3">
        <v>2000</v>
      </c>
      <c r="F356" s="3">
        <v>2000</v>
      </c>
      <c r="G356" s="3">
        <v>1400</v>
      </c>
      <c r="I356" t="s">
        <v>59</v>
      </c>
      <c r="J356" t="s">
        <v>40</v>
      </c>
      <c r="K356" t="s">
        <v>11</v>
      </c>
      <c r="L356" t="str">
        <f>T("9791191562187")</f>
        <v>9791191562187</v>
      </c>
    </row>
    <row r="357" spans="1:12">
      <c r="A357" s="2">
        <v>44781.933518518519</v>
      </c>
      <c r="B357">
        <v>276845647</v>
      </c>
      <c r="C357" t="s">
        <v>332</v>
      </c>
      <c r="D357" t="s">
        <v>9</v>
      </c>
      <c r="E357" s="3">
        <v>2800</v>
      </c>
      <c r="F357" s="3">
        <v>2800</v>
      </c>
      <c r="G357" s="3">
        <v>1960</v>
      </c>
      <c r="I357" t="s">
        <v>16</v>
      </c>
      <c r="J357" t="s">
        <v>45</v>
      </c>
      <c r="K357" t="s">
        <v>11</v>
      </c>
      <c r="L357" t="str">
        <f>T("9791166481888")</f>
        <v>9791166481888</v>
      </c>
    </row>
    <row r="358" spans="1:12">
      <c r="A358" s="2">
        <v>44781.946574074071</v>
      </c>
      <c r="B358">
        <v>295462572</v>
      </c>
      <c r="C358" t="s">
        <v>108</v>
      </c>
      <c r="D358" t="s">
        <v>9</v>
      </c>
      <c r="E358" s="3">
        <v>2000</v>
      </c>
      <c r="F358" s="3">
        <v>2000</v>
      </c>
      <c r="G358" s="3">
        <v>1400</v>
      </c>
      <c r="I358" t="s">
        <v>32</v>
      </c>
      <c r="J358" t="s">
        <v>40</v>
      </c>
      <c r="K358" t="s">
        <v>11</v>
      </c>
      <c r="L358" t="str">
        <f>T("9791191562361")</f>
        <v>9791191562361</v>
      </c>
    </row>
    <row r="359" spans="1:12">
      <c r="A359" s="2">
        <v>44781.947245370371</v>
      </c>
      <c r="B359">
        <v>295462572</v>
      </c>
      <c r="C359" t="s">
        <v>108</v>
      </c>
      <c r="D359" t="s">
        <v>9</v>
      </c>
      <c r="E359" s="3">
        <v>2000</v>
      </c>
      <c r="F359" s="3">
        <v>2000</v>
      </c>
      <c r="G359" s="3">
        <v>1400</v>
      </c>
      <c r="I359" t="s">
        <v>32</v>
      </c>
      <c r="J359" t="s">
        <v>40</v>
      </c>
      <c r="K359" t="s">
        <v>11</v>
      </c>
      <c r="L359" t="str">
        <f>T("9791191562361")</f>
        <v>9791191562361</v>
      </c>
    </row>
    <row r="360" spans="1:12">
      <c r="A360" s="2">
        <v>44781.95045138889</v>
      </c>
      <c r="B360">
        <v>297620121</v>
      </c>
      <c r="C360" t="s">
        <v>205</v>
      </c>
      <c r="D360" t="s">
        <v>9</v>
      </c>
      <c r="E360" s="3">
        <v>2000</v>
      </c>
      <c r="F360" s="3">
        <v>2000</v>
      </c>
      <c r="G360" s="3">
        <v>1400</v>
      </c>
      <c r="I360" t="s">
        <v>29</v>
      </c>
      <c r="J360" t="s">
        <v>40</v>
      </c>
      <c r="K360" t="s">
        <v>11</v>
      </c>
      <c r="L360" t="str">
        <f>T("9791191562484")</f>
        <v>9791191562484</v>
      </c>
    </row>
    <row r="361" spans="1:12">
      <c r="A361" s="2">
        <v>44781.958831018521</v>
      </c>
      <c r="B361">
        <v>282585762</v>
      </c>
      <c r="C361" t="s">
        <v>75</v>
      </c>
      <c r="D361" t="s">
        <v>9</v>
      </c>
      <c r="E361" s="3">
        <v>3000</v>
      </c>
      <c r="F361" s="3">
        <v>3000</v>
      </c>
      <c r="G361" s="3">
        <v>2100</v>
      </c>
      <c r="I361" t="s">
        <v>30</v>
      </c>
      <c r="J361" t="s">
        <v>71</v>
      </c>
      <c r="K361" t="s">
        <v>11</v>
      </c>
      <c r="L361" t="str">
        <f>T("9791164374625")</f>
        <v>9791164374625</v>
      </c>
    </row>
    <row r="362" spans="1:12">
      <c r="A362" s="2">
        <v>44781.958831018521</v>
      </c>
      <c r="B362">
        <v>282585770</v>
      </c>
      <c r="C362" t="s">
        <v>74</v>
      </c>
      <c r="D362" t="s">
        <v>9</v>
      </c>
      <c r="E362" s="3">
        <v>3000</v>
      </c>
      <c r="F362" s="3">
        <v>3000</v>
      </c>
      <c r="G362" s="3">
        <v>2100</v>
      </c>
      <c r="I362" t="s">
        <v>30</v>
      </c>
      <c r="J362" t="s">
        <v>71</v>
      </c>
      <c r="K362" t="s">
        <v>11</v>
      </c>
      <c r="L362" t="str">
        <f>T("9791164374618")</f>
        <v>9791164374618</v>
      </c>
    </row>
    <row r="363" spans="1:12">
      <c r="A363" s="2">
        <v>44781.961435185185</v>
      </c>
      <c r="B363">
        <v>297620121</v>
      </c>
      <c r="C363" t="s">
        <v>205</v>
      </c>
      <c r="D363" t="s">
        <v>9</v>
      </c>
      <c r="E363" s="3">
        <v>2000</v>
      </c>
      <c r="F363" s="3">
        <v>2000</v>
      </c>
      <c r="G363" s="3">
        <v>1400</v>
      </c>
      <c r="I363" t="s">
        <v>29</v>
      </c>
      <c r="J363" t="s">
        <v>40</v>
      </c>
      <c r="K363" t="s">
        <v>11</v>
      </c>
      <c r="L363" t="str">
        <f>T("9791191562484")</f>
        <v>9791191562484</v>
      </c>
    </row>
    <row r="364" spans="1:12">
      <c r="A364" s="2">
        <v>44781.961840277778</v>
      </c>
      <c r="B364">
        <v>287834730</v>
      </c>
      <c r="C364" t="s">
        <v>37</v>
      </c>
      <c r="D364" t="s">
        <v>9</v>
      </c>
      <c r="E364" s="3">
        <v>2000</v>
      </c>
      <c r="F364" s="3">
        <v>2000</v>
      </c>
      <c r="G364" s="3">
        <v>1400</v>
      </c>
      <c r="I364" t="s">
        <v>32</v>
      </c>
      <c r="J364" t="s">
        <v>40</v>
      </c>
      <c r="K364" t="s">
        <v>11</v>
      </c>
      <c r="L364" t="str">
        <f>T("9791191562019")</f>
        <v>9791191562019</v>
      </c>
    </row>
    <row r="365" spans="1:12">
      <c r="A365" s="2">
        <v>44781.979884259257</v>
      </c>
      <c r="B365">
        <v>286896672</v>
      </c>
      <c r="C365" t="s">
        <v>175</v>
      </c>
      <c r="D365" t="s">
        <v>9</v>
      </c>
      <c r="E365" s="3">
        <v>2500</v>
      </c>
      <c r="F365" s="3">
        <v>2500</v>
      </c>
      <c r="G365" s="3">
        <v>1750</v>
      </c>
      <c r="I365" t="s">
        <v>176</v>
      </c>
      <c r="J365" t="s">
        <v>40</v>
      </c>
      <c r="K365" t="s">
        <v>11</v>
      </c>
      <c r="L365" t="str">
        <f>T("9791191562002")</f>
        <v>9791191562002</v>
      </c>
    </row>
    <row r="366" spans="1:12">
      <c r="A366" s="2">
        <v>44781.979884259257</v>
      </c>
      <c r="B366">
        <v>292316442</v>
      </c>
      <c r="C366" t="s">
        <v>84</v>
      </c>
      <c r="D366" t="s">
        <v>9</v>
      </c>
      <c r="E366" s="3">
        <v>2500</v>
      </c>
      <c r="F366" s="3">
        <v>2500</v>
      </c>
      <c r="G366" s="3">
        <v>1750</v>
      </c>
      <c r="I366" t="s">
        <v>85</v>
      </c>
      <c r="J366" t="s">
        <v>40</v>
      </c>
      <c r="K366" t="s">
        <v>11</v>
      </c>
      <c r="L366" t="str">
        <f>T("9791191562309")</f>
        <v>9791191562309</v>
      </c>
    </row>
    <row r="367" spans="1:12">
      <c r="A367" s="2">
        <v>44781.981516203705</v>
      </c>
      <c r="B367">
        <v>297620121</v>
      </c>
      <c r="C367" t="s">
        <v>205</v>
      </c>
      <c r="D367" t="s">
        <v>9</v>
      </c>
      <c r="E367" s="3">
        <v>2000</v>
      </c>
      <c r="F367" s="3">
        <v>2000</v>
      </c>
      <c r="G367" s="3">
        <v>1400</v>
      </c>
      <c r="I367" t="s">
        <v>29</v>
      </c>
      <c r="J367" t="s">
        <v>40</v>
      </c>
      <c r="K367" t="s">
        <v>11</v>
      </c>
      <c r="L367" t="str">
        <f>T("9791191562484")</f>
        <v>9791191562484</v>
      </c>
    </row>
    <row r="368" spans="1:12">
      <c r="A368" s="2">
        <v>44781.982245370367</v>
      </c>
      <c r="B368">
        <v>293180467</v>
      </c>
      <c r="C368" t="s">
        <v>104</v>
      </c>
      <c r="D368" t="s">
        <v>9</v>
      </c>
      <c r="E368" s="3">
        <v>2000</v>
      </c>
      <c r="F368" s="3">
        <v>2000</v>
      </c>
      <c r="G368" s="3">
        <v>1400</v>
      </c>
      <c r="I368" t="s">
        <v>31</v>
      </c>
      <c r="J368" t="s">
        <v>40</v>
      </c>
      <c r="K368" t="s">
        <v>11</v>
      </c>
      <c r="L368" t="str">
        <f>T("9791191562293")</f>
        <v>9791191562293</v>
      </c>
    </row>
    <row r="369" spans="1:12">
      <c r="A369" s="2">
        <v>44782.003657407404</v>
      </c>
      <c r="B369">
        <v>249311758</v>
      </c>
      <c r="C369" t="s">
        <v>333</v>
      </c>
      <c r="D369" t="s">
        <v>9</v>
      </c>
      <c r="E369">
        <v>0</v>
      </c>
      <c r="F369">
        <v>0</v>
      </c>
      <c r="G369">
        <v>0</v>
      </c>
      <c r="I369" t="s">
        <v>334</v>
      </c>
      <c r="J369" t="s">
        <v>11</v>
      </c>
      <c r="K369" t="s">
        <v>11</v>
      </c>
      <c r="L369" t="str">
        <f>T("9791159289811")</f>
        <v>9791159289811</v>
      </c>
    </row>
    <row r="370" spans="1:12">
      <c r="A370" s="2">
        <v>44782.029039351852</v>
      </c>
      <c r="B370">
        <v>297620121</v>
      </c>
      <c r="C370" t="s">
        <v>205</v>
      </c>
      <c r="D370" t="s">
        <v>9</v>
      </c>
      <c r="E370" s="3">
        <v>2000</v>
      </c>
      <c r="F370" s="3">
        <v>2000</v>
      </c>
      <c r="G370" s="3">
        <v>1400</v>
      </c>
      <c r="I370" t="s">
        <v>29</v>
      </c>
      <c r="J370" t="s">
        <v>40</v>
      </c>
      <c r="K370" t="s">
        <v>11</v>
      </c>
      <c r="L370" t="str">
        <f>T("9791191562484")</f>
        <v>9791191562484</v>
      </c>
    </row>
    <row r="371" spans="1:12">
      <c r="A371" s="2">
        <v>44782.143483796295</v>
      </c>
      <c r="B371">
        <v>54083053</v>
      </c>
      <c r="C371" t="s">
        <v>335</v>
      </c>
      <c r="D371" t="s">
        <v>9</v>
      </c>
      <c r="E371" s="3">
        <v>3200</v>
      </c>
      <c r="F371" s="3">
        <v>3200</v>
      </c>
      <c r="G371" s="3">
        <v>2240</v>
      </c>
      <c r="I371" t="s">
        <v>13</v>
      </c>
      <c r="J371" t="s">
        <v>11</v>
      </c>
      <c r="K371" t="s">
        <v>11</v>
      </c>
      <c r="L371" t="str">
        <f>T("9791195622566")</f>
        <v>9791195622566</v>
      </c>
    </row>
    <row r="372" spans="1:12">
      <c r="A372" s="2">
        <v>44782.170497685183</v>
      </c>
      <c r="B372">
        <v>281625185</v>
      </c>
      <c r="C372" t="s">
        <v>173</v>
      </c>
      <c r="D372" t="s">
        <v>9</v>
      </c>
      <c r="E372">
        <v>0</v>
      </c>
      <c r="F372">
        <v>0</v>
      </c>
      <c r="G372">
        <v>0</v>
      </c>
      <c r="I372" t="s">
        <v>14</v>
      </c>
      <c r="J372" t="s">
        <v>11</v>
      </c>
      <c r="K372" t="s">
        <v>11</v>
      </c>
      <c r="L372" t="str">
        <f>T("9791137601017")</f>
        <v>9791137601017</v>
      </c>
    </row>
    <row r="373" spans="1:12">
      <c r="A373" s="2">
        <v>44782.268460648149</v>
      </c>
      <c r="B373">
        <v>298750948</v>
      </c>
      <c r="C373" t="s">
        <v>259</v>
      </c>
      <c r="D373" t="s">
        <v>9</v>
      </c>
      <c r="E373" s="3">
        <v>3500</v>
      </c>
      <c r="F373" s="3">
        <v>3500</v>
      </c>
      <c r="G373" s="3">
        <v>2450</v>
      </c>
      <c r="I373" t="s">
        <v>38</v>
      </c>
      <c r="J373" t="s">
        <v>40</v>
      </c>
      <c r="K373" t="s">
        <v>11</v>
      </c>
      <c r="L373" t="str">
        <f>T("9791191562866")</f>
        <v>9791191562866</v>
      </c>
    </row>
    <row r="374" spans="1:12">
      <c r="A374" s="2">
        <v>44782.273773148147</v>
      </c>
      <c r="B374">
        <v>281625175</v>
      </c>
      <c r="C374" t="s">
        <v>202</v>
      </c>
      <c r="D374" t="s">
        <v>9</v>
      </c>
      <c r="E374" s="3">
        <v>3200</v>
      </c>
      <c r="F374" s="3">
        <v>3200</v>
      </c>
      <c r="G374" s="3">
        <v>2240</v>
      </c>
      <c r="I374" t="s">
        <v>14</v>
      </c>
      <c r="J374" t="s">
        <v>11</v>
      </c>
      <c r="K374" t="s">
        <v>11</v>
      </c>
      <c r="L374" t="str">
        <f>T("9791137601031")</f>
        <v>9791137601031</v>
      </c>
    </row>
    <row r="375" spans="1:12">
      <c r="A375" s="2">
        <v>44782.273773148147</v>
      </c>
      <c r="B375">
        <v>281625181</v>
      </c>
      <c r="C375" t="s">
        <v>203</v>
      </c>
      <c r="D375" t="s">
        <v>9</v>
      </c>
      <c r="E375" s="3">
        <v>3200</v>
      </c>
      <c r="F375" s="3">
        <v>3200</v>
      </c>
      <c r="G375" s="3">
        <v>2240</v>
      </c>
      <c r="I375" t="s">
        <v>14</v>
      </c>
      <c r="J375" t="s">
        <v>11</v>
      </c>
      <c r="K375" t="s">
        <v>11</v>
      </c>
      <c r="L375" t="str">
        <f>T("9791137601048")</f>
        <v>9791137601048</v>
      </c>
    </row>
    <row r="376" spans="1:12">
      <c r="A376" s="2">
        <v>44782.273773148147</v>
      </c>
      <c r="B376">
        <v>281625197</v>
      </c>
      <c r="C376" t="s">
        <v>201</v>
      </c>
      <c r="D376" t="s">
        <v>9</v>
      </c>
      <c r="E376" s="3">
        <v>3200</v>
      </c>
      <c r="F376" s="3">
        <v>3200</v>
      </c>
      <c r="G376" s="3">
        <v>2240</v>
      </c>
      <c r="I376" t="s">
        <v>14</v>
      </c>
      <c r="J376" t="s">
        <v>11</v>
      </c>
      <c r="K376" t="s">
        <v>11</v>
      </c>
      <c r="L376" t="str">
        <f>T("9791137601024")</f>
        <v>9791137601024</v>
      </c>
    </row>
    <row r="377" spans="1:12">
      <c r="A377" s="2">
        <v>44782.305081018516</v>
      </c>
      <c r="B377">
        <v>291369647</v>
      </c>
      <c r="C377" t="s">
        <v>255</v>
      </c>
      <c r="D377" t="s">
        <v>9</v>
      </c>
      <c r="E377" s="3">
        <v>2000</v>
      </c>
      <c r="F377" s="3">
        <v>2000</v>
      </c>
      <c r="G377" s="3">
        <v>1400</v>
      </c>
      <c r="I377" t="s">
        <v>256</v>
      </c>
      <c r="J377" t="s">
        <v>40</v>
      </c>
      <c r="K377" t="s">
        <v>11</v>
      </c>
      <c r="L377" t="str">
        <f>T("9791191562194")</f>
        <v>9791191562194</v>
      </c>
    </row>
    <row r="378" spans="1:12">
      <c r="A378" s="2">
        <v>44782.305081018516</v>
      </c>
      <c r="B378">
        <v>289658948</v>
      </c>
      <c r="C378" t="s">
        <v>43</v>
      </c>
      <c r="D378" t="s">
        <v>9</v>
      </c>
      <c r="E378" s="3">
        <v>3600</v>
      </c>
      <c r="F378" s="3">
        <v>3600</v>
      </c>
      <c r="G378" s="3">
        <v>2520</v>
      </c>
      <c r="I378" t="s">
        <v>39</v>
      </c>
      <c r="J378" t="s">
        <v>40</v>
      </c>
      <c r="K378" t="s">
        <v>11</v>
      </c>
      <c r="L378" t="str">
        <f>T("9791191562095")</f>
        <v>9791191562095</v>
      </c>
    </row>
    <row r="379" spans="1:12">
      <c r="A379" s="2">
        <v>44782.305081018516</v>
      </c>
      <c r="B379">
        <v>289956908</v>
      </c>
      <c r="C379" t="s">
        <v>273</v>
      </c>
      <c r="D379" t="s">
        <v>9</v>
      </c>
      <c r="E379" s="3">
        <v>2000</v>
      </c>
      <c r="F379" s="3">
        <v>2000</v>
      </c>
      <c r="G379" s="3">
        <v>1400</v>
      </c>
      <c r="I379" t="s">
        <v>274</v>
      </c>
      <c r="J379" t="s">
        <v>40</v>
      </c>
      <c r="K379" t="s">
        <v>11</v>
      </c>
      <c r="L379" t="str">
        <f>T("9791191562040")</f>
        <v>9791191562040</v>
      </c>
    </row>
    <row r="380" spans="1:12">
      <c r="A380" s="2">
        <v>44782.372118055559</v>
      </c>
      <c r="B380">
        <v>295216088</v>
      </c>
      <c r="C380" t="s">
        <v>114</v>
      </c>
      <c r="D380" t="s">
        <v>9</v>
      </c>
      <c r="E380" s="3">
        <v>2500</v>
      </c>
      <c r="F380" s="3">
        <v>2500</v>
      </c>
      <c r="G380" s="3">
        <v>1750</v>
      </c>
      <c r="I380" t="s">
        <v>113</v>
      </c>
      <c r="J380" t="s">
        <v>40</v>
      </c>
      <c r="K380" t="s">
        <v>11</v>
      </c>
      <c r="L380" t="str">
        <f>T("9791191562453")</f>
        <v>9791191562453</v>
      </c>
    </row>
    <row r="381" spans="1:12">
      <c r="A381" s="2">
        <v>44782.394861111112</v>
      </c>
      <c r="B381">
        <v>54083052</v>
      </c>
      <c r="C381" t="s">
        <v>336</v>
      </c>
      <c r="D381" t="s">
        <v>9</v>
      </c>
      <c r="E381" s="3">
        <v>3200</v>
      </c>
      <c r="F381" s="3">
        <v>3200</v>
      </c>
      <c r="G381" s="3">
        <v>2240</v>
      </c>
      <c r="I381" t="s">
        <v>13</v>
      </c>
      <c r="J381" t="s">
        <v>11</v>
      </c>
      <c r="K381" t="s">
        <v>11</v>
      </c>
      <c r="L381" t="str">
        <f>T("9791195622573")</f>
        <v>9791195622573</v>
      </c>
    </row>
    <row r="382" spans="1:12">
      <c r="A382" s="2">
        <v>44782.554178240738</v>
      </c>
      <c r="B382">
        <v>282585770</v>
      </c>
      <c r="C382" t="s">
        <v>74</v>
      </c>
      <c r="D382" t="s">
        <v>9</v>
      </c>
      <c r="E382" s="3">
        <v>3000</v>
      </c>
      <c r="F382" s="3">
        <v>3000</v>
      </c>
      <c r="G382" s="3">
        <v>2100</v>
      </c>
      <c r="I382" t="s">
        <v>30</v>
      </c>
      <c r="J382" t="s">
        <v>71</v>
      </c>
      <c r="K382" t="s">
        <v>11</v>
      </c>
      <c r="L382" t="str">
        <f>T("9791164374618")</f>
        <v>9791164374618</v>
      </c>
    </row>
    <row r="383" spans="1:12">
      <c r="A383" s="2">
        <v>44782.554178240738</v>
      </c>
      <c r="B383">
        <v>282585762</v>
      </c>
      <c r="C383" t="s">
        <v>75</v>
      </c>
      <c r="D383" t="s">
        <v>9</v>
      </c>
      <c r="E383" s="3">
        <v>3000</v>
      </c>
      <c r="F383" s="3">
        <v>3000</v>
      </c>
      <c r="G383" s="3">
        <v>2100</v>
      </c>
      <c r="I383" t="s">
        <v>30</v>
      </c>
      <c r="J383" t="s">
        <v>71</v>
      </c>
      <c r="K383" t="s">
        <v>11</v>
      </c>
      <c r="L383" t="str">
        <f>T("9791164374625")</f>
        <v>9791164374625</v>
      </c>
    </row>
    <row r="384" spans="1:12">
      <c r="A384" s="2">
        <v>44782.579756944448</v>
      </c>
      <c r="B384">
        <v>287834730</v>
      </c>
      <c r="C384" t="s">
        <v>37</v>
      </c>
      <c r="D384" t="s">
        <v>9</v>
      </c>
      <c r="E384" s="3">
        <v>2000</v>
      </c>
      <c r="F384" s="3">
        <v>2000</v>
      </c>
      <c r="G384" s="3">
        <v>1400</v>
      </c>
      <c r="I384" t="s">
        <v>32</v>
      </c>
      <c r="J384" t="s">
        <v>40</v>
      </c>
      <c r="K384" t="s">
        <v>11</v>
      </c>
      <c r="L384" t="str">
        <f>T("9791191562019")</f>
        <v>9791191562019</v>
      </c>
    </row>
    <row r="385" spans="1:12">
      <c r="A385" s="2">
        <v>44782.593865740739</v>
      </c>
      <c r="B385">
        <v>294674998</v>
      </c>
      <c r="C385" t="s">
        <v>112</v>
      </c>
      <c r="D385" t="s">
        <v>9</v>
      </c>
      <c r="E385" s="3">
        <v>2000</v>
      </c>
      <c r="F385" s="3">
        <v>2000</v>
      </c>
      <c r="G385" s="3">
        <v>1400</v>
      </c>
      <c r="I385" t="s">
        <v>111</v>
      </c>
      <c r="J385" t="s">
        <v>40</v>
      </c>
      <c r="K385" t="s">
        <v>11</v>
      </c>
      <c r="L385" t="str">
        <f>T("9791191562385")</f>
        <v>9791191562385</v>
      </c>
    </row>
    <row r="386" spans="1:12">
      <c r="A386" s="2">
        <v>44782.593865740739</v>
      </c>
      <c r="B386">
        <v>296507184</v>
      </c>
      <c r="C386" t="s">
        <v>134</v>
      </c>
      <c r="D386" t="s">
        <v>9</v>
      </c>
      <c r="E386" s="3">
        <v>2000</v>
      </c>
      <c r="F386" s="3">
        <v>2000</v>
      </c>
      <c r="G386" s="3">
        <v>1400</v>
      </c>
      <c r="I386" t="s">
        <v>135</v>
      </c>
      <c r="J386" t="s">
        <v>40</v>
      </c>
      <c r="K386" t="s">
        <v>11</v>
      </c>
      <c r="L386" t="str">
        <f>T("9791191562828")</f>
        <v>9791191562828</v>
      </c>
    </row>
    <row r="387" spans="1:12">
      <c r="A387" s="2">
        <v>44782.608668981484</v>
      </c>
      <c r="B387">
        <v>277216099</v>
      </c>
      <c r="C387" t="s">
        <v>337</v>
      </c>
      <c r="D387" t="s">
        <v>9</v>
      </c>
      <c r="E387">
        <v>800</v>
      </c>
      <c r="F387">
        <v>800</v>
      </c>
      <c r="G387">
        <v>560</v>
      </c>
      <c r="I387" t="s">
        <v>331</v>
      </c>
      <c r="J387" t="s">
        <v>45</v>
      </c>
      <c r="K387" t="s">
        <v>11</v>
      </c>
      <c r="L387" t="str">
        <f>T("9791166481826")</f>
        <v>9791166481826</v>
      </c>
    </row>
    <row r="388" spans="1:12">
      <c r="A388" s="2">
        <v>44782.64880787037</v>
      </c>
      <c r="B388">
        <v>291088925</v>
      </c>
      <c r="C388" t="s">
        <v>58</v>
      </c>
      <c r="D388" t="s">
        <v>9</v>
      </c>
      <c r="E388" s="3">
        <v>2000</v>
      </c>
      <c r="F388" s="3">
        <v>2000</v>
      </c>
      <c r="G388" s="3">
        <v>1400</v>
      </c>
      <c r="I388" t="s">
        <v>59</v>
      </c>
      <c r="J388" t="s">
        <v>40</v>
      </c>
      <c r="K388" t="s">
        <v>11</v>
      </c>
      <c r="L388" t="str">
        <f>T("9791191562187")</f>
        <v>9791191562187</v>
      </c>
    </row>
    <row r="389" spans="1:12">
      <c r="A389" s="2">
        <v>44782.667523148149</v>
      </c>
      <c r="B389">
        <v>293957120</v>
      </c>
      <c r="C389" t="s">
        <v>226</v>
      </c>
      <c r="D389" t="s">
        <v>9</v>
      </c>
      <c r="E389" s="3">
        <v>3200</v>
      </c>
      <c r="F389" s="3">
        <v>3200</v>
      </c>
      <c r="G389" s="3">
        <v>2240</v>
      </c>
      <c r="I389" t="s">
        <v>14</v>
      </c>
      <c r="J389" t="s">
        <v>11</v>
      </c>
      <c r="K389" t="s">
        <v>11</v>
      </c>
      <c r="L389" t="str">
        <f>T("9791137603042")</f>
        <v>9791137603042</v>
      </c>
    </row>
    <row r="390" spans="1:12">
      <c r="A390" s="2">
        <v>44782.674976851849</v>
      </c>
      <c r="B390">
        <v>281625198</v>
      </c>
      <c r="C390" t="s">
        <v>208</v>
      </c>
      <c r="D390" t="s">
        <v>9</v>
      </c>
      <c r="E390" s="3">
        <v>3200</v>
      </c>
      <c r="F390" s="3">
        <v>3200</v>
      </c>
      <c r="G390" s="3">
        <v>2240</v>
      </c>
      <c r="I390" t="s">
        <v>14</v>
      </c>
      <c r="J390" t="s">
        <v>11</v>
      </c>
      <c r="K390" t="s">
        <v>11</v>
      </c>
      <c r="L390" t="str">
        <f>T("9791137601079")</f>
        <v>9791137601079</v>
      </c>
    </row>
    <row r="391" spans="1:12">
      <c r="A391" s="2">
        <v>44782.674976851849</v>
      </c>
      <c r="B391">
        <v>281625210</v>
      </c>
      <c r="C391" t="s">
        <v>206</v>
      </c>
      <c r="D391" t="s">
        <v>9</v>
      </c>
      <c r="E391" s="3">
        <v>3200</v>
      </c>
      <c r="F391" s="3">
        <v>3200</v>
      </c>
      <c r="G391" s="3">
        <v>2240</v>
      </c>
      <c r="I391" t="s">
        <v>14</v>
      </c>
      <c r="J391" t="s">
        <v>11</v>
      </c>
      <c r="K391" t="s">
        <v>11</v>
      </c>
      <c r="L391" t="str">
        <f>T("9791137601055")</f>
        <v>9791137601055</v>
      </c>
    </row>
    <row r="392" spans="1:12">
      <c r="A392" s="2">
        <v>44782.674976851849</v>
      </c>
      <c r="B392">
        <v>281625187</v>
      </c>
      <c r="C392" t="s">
        <v>207</v>
      </c>
      <c r="D392" t="s">
        <v>9</v>
      </c>
      <c r="E392" s="3">
        <v>3200</v>
      </c>
      <c r="F392" s="3">
        <v>3200</v>
      </c>
      <c r="G392" s="3">
        <v>2240</v>
      </c>
      <c r="I392" t="s">
        <v>14</v>
      </c>
      <c r="J392" t="s">
        <v>11</v>
      </c>
      <c r="K392" t="s">
        <v>11</v>
      </c>
      <c r="L392" t="str">
        <f>T("9791137601062")</f>
        <v>9791137601062</v>
      </c>
    </row>
    <row r="393" spans="1:12">
      <c r="A393" s="2">
        <v>44782.674976851849</v>
      </c>
      <c r="B393">
        <v>281625177</v>
      </c>
      <c r="C393" t="s">
        <v>209</v>
      </c>
      <c r="D393" t="s">
        <v>9</v>
      </c>
      <c r="E393" s="3">
        <v>3200</v>
      </c>
      <c r="F393" s="3">
        <v>3200</v>
      </c>
      <c r="G393" s="3">
        <v>2240</v>
      </c>
      <c r="I393" t="s">
        <v>14</v>
      </c>
      <c r="J393" t="s">
        <v>11</v>
      </c>
      <c r="K393" t="s">
        <v>11</v>
      </c>
      <c r="L393" t="str">
        <f>T("9791137601086")</f>
        <v>9791137601086</v>
      </c>
    </row>
    <row r="394" spans="1:12">
      <c r="A394" s="2">
        <v>44782.674976851849</v>
      </c>
      <c r="B394">
        <v>281625184</v>
      </c>
      <c r="C394" t="s">
        <v>211</v>
      </c>
      <c r="D394" t="s">
        <v>9</v>
      </c>
      <c r="E394" s="3">
        <v>3200</v>
      </c>
      <c r="F394" s="3">
        <v>3200</v>
      </c>
      <c r="G394" s="3">
        <v>2240</v>
      </c>
      <c r="I394" t="s">
        <v>14</v>
      </c>
      <c r="J394" t="s">
        <v>11</v>
      </c>
      <c r="K394" t="s">
        <v>11</v>
      </c>
      <c r="L394" t="str">
        <f>T("9791137601093")</f>
        <v>9791137601093</v>
      </c>
    </row>
    <row r="395" spans="1:12">
      <c r="A395" s="2">
        <v>44782.738807870373</v>
      </c>
      <c r="B395">
        <v>287703886</v>
      </c>
      <c r="C395" t="s">
        <v>72</v>
      </c>
      <c r="D395" t="s">
        <v>9</v>
      </c>
      <c r="E395" s="3">
        <v>2500</v>
      </c>
      <c r="F395" s="3">
        <v>2500</v>
      </c>
      <c r="G395" s="3">
        <v>1750</v>
      </c>
      <c r="I395" t="s">
        <v>73</v>
      </c>
      <c r="J395" t="s">
        <v>40</v>
      </c>
      <c r="K395" t="s">
        <v>11</v>
      </c>
      <c r="L395" t="str">
        <f>T("9791196945275")</f>
        <v>9791196945275</v>
      </c>
    </row>
    <row r="396" spans="1:12">
      <c r="A396" s="2">
        <v>44782.746944444443</v>
      </c>
      <c r="B396">
        <v>263958830</v>
      </c>
      <c r="C396" t="s">
        <v>338</v>
      </c>
      <c r="D396" t="s">
        <v>9</v>
      </c>
      <c r="E396" s="3">
        <v>3200</v>
      </c>
      <c r="F396" s="3">
        <v>3200</v>
      </c>
      <c r="G396" s="3">
        <v>2240</v>
      </c>
      <c r="I396" t="s">
        <v>13</v>
      </c>
      <c r="J396" t="s">
        <v>11</v>
      </c>
      <c r="K396" t="s">
        <v>11</v>
      </c>
      <c r="L396" t="str">
        <f>T("9791166300516")</f>
        <v>9791166300516</v>
      </c>
    </row>
    <row r="397" spans="1:12">
      <c r="A397" s="2">
        <v>44782.746944444443</v>
      </c>
      <c r="B397">
        <v>263958831</v>
      </c>
      <c r="C397" t="s">
        <v>339</v>
      </c>
      <c r="D397" t="s">
        <v>9</v>
      </c>
      <c r="E397" s="3">
        <v>3200</v>
      </c>
      <c r="F397" s="3">
        <v>3200</v>
      </c>
      <c r="G397" s="3">
        <v>2240</v>
      </c>
      <c r="I397" t="s">
        <v>13</v>
      </c>
      <c r="J397" t="s">
        <v>11</v>
      </c>
      <c r="K397" t="s">
        <v>11</v>
      </c>
      <c r="L397" t="str">
        <f>T("9791166300523")</f>
        <v>9791166300523</v>
      </c>
    </row>
    <row r="398" spans="1:12">
      <c r="A398" s="2">
        <v>44782.746944444443</v>
      </c>
      <c r="B398">
        <v>263958808</v>
      </c>
      <c r="C398" t="s">
        <v>83</v>
      </c>
      <c r="D398" t="s">
        <v>9</v>
      </c>
      <c r="E398" s="3">
        <v>3200</v>
      </c>
      <c r="F398" s="3">
        <v>3200</v>
      </c>
      <c r="G398" s="3">
        <v>2240</v>
      </c>
      <c r="I398" t="s">
        <v>13</v>
      </c>
      <c r="J398" t="s">
        <v>11</v>
      </c>
      <c r="K398" t="s">
        <v>11</v>
      </c>
      <c r="L398" t="str">
        <f>T("9791166300530")</f>
        <v>9791166300530</v>
      </c>
    </row>
    <row r="399" spans="1:12">
      <c r="A399" s="2">
        <v>44782.867395833331</v>
      </c>
      <c r="B399">
        <v>295462572</v>
      </c>
      <c r="C399" t="s">
        <v>108</v>
      </c>
      <c r="D399" t="s">
        <v>9</v>
      </c>
      <c r="E399" s="3">
        <v>2000</v>
      </c>
      <c r="F399" s="3">
        <v>2000</v>
      </c>
      <c r="G399" s="3">
        <v>1400</v>
      </c>
      <c r="I399" t="s">
        <v>32</v>
      </c>
      <c r="J399" t="s">
        <v>40</v>
      </c>
      <c r="K399" t="s">
        <v>11</v>
      </c>
      <c r="L399" t="str">
        <f>T("9791191562361")</f>
        <v>9791191562361</v>
      </c>
    </row>
    <row r="400" spans="1:12">
      <c r="A400" s="2">
        <v>44782.893680555557</v>
      </c>
      <c r="B400">
        <v>294959700</v>
      </c>
      <c r="C400" t="s">
        <v>340</v>
      </c>
      <c r="D400" t="s">
        <v>9</v>
      </c>
      <c r="E400" s="3">
        <v>2500</v>
      </c>
      <c r="F400" s="3">
        <v>2500</v>
      </c>
      <c r="G400" s="3">
        <v>1750</v>
      </c>
      <c r="I400" t="s">
        <v>341</v>
      </c>
      <c r="J400" t="s">
        <v>40</v>
      </c>
      <c r="K400" t="s">
        <v>11</v>
      </c>
      <c r="L400" t="str">
        <f>T("9791191562446")</f>
        <v>9791191562446</v>
      </c>
    </row>
    <row r="401" spans="1:12">
      <c r="A401" s="2">
        <v>44782.920162037037</v>
      </c>
      <c r="B401">
        <v>296612458</v>
      </c>
      <c r="C401" t="s">
        <v>138</v>
      </c>
      <c r="D401" t="s">
        <v>9</v>
      </c>
      <c r="E401" s="3">
        <v>2000</v>
      </c>
      <c r="F401" s="3">
        <v>2000</v>
      </c>
      <c r="G401" s="3">
        <v>1400</v>
      </c>
      <c r="I401" t="s">
        <v>139</v>
      </c>
      <c r="J401" t="s">
        <v>40</v>
      </c>
      <c r="K401" t="s">
        <v>11</v>
      </c>
      <c r="L401" t="str">
        <f>T("9791191562545")</f>
        <v>9791191562545</v>
      </c>
    </row>
    <row r="402" spans="1:12">
      <c r="A402" s="2">
        <v>44782.938414351855</v>
      </c>
      <c r="B402">
        <v>248962638</v>
      </c>
      <c r="C402" t="s">
        <v>342</v>
      </c>
      <c r="D402" t="s">
        <v>9</v>
      </c>
      <c r="E402" s="3">
        <v>35200</v>
      </c>
      <c r="F402" s="3">
        <v>35200</v>
      </c>
      <c r="G402" s="3">
        <v>24640</v>
      </c>
      <c r="I402" t="s">
        <v>14</v>
      </c>
      <c r="J402" t="s">
        <v>11</v>
      </c>
      <c r="K402" t="s">
        <v>11</v>
      </c>
      <c r="L402" t="str">
        <f>T("9791166068089")</f>
        <v>9791166068089</v>
      </c>
    </row>
    <row r="403" spans="1:12">
      <c r="A403" s="2">
        <v>44782.959918981483</v>
      </c>
      <c r="B403">
        <v>149550329</v>
      </c>
      <c r="C403" t="s">
        <v>343</v>
      </c>
      <c r="D403" t="s">
        <v>12</v>
      </c>
      <c r="E403">
        <v>900</v>
      </c>
      <c r="F403">
        <v>900</v>
      </c>
      <c r="G403">
        <v>630</v>
      </c>
      <c r="I403" t="s">
        <v>124</v>
      </c>
      <c r="J403" t="s">
        <v>11</v>
      </c>
      <c r="K403" t="s">
        <v>11</v>
      </c>
      <c r="L403" t="str">
        <f>T("9791159286339")</f>
        <v>9791159286339</v>
      </c>
    </row>
    <row r="404" spans="1:12">
      <c r="A404" s="2">
        <v>44782.99318287037</v>
      </c>
      <c r="B404">
        <v>294556455</v>
      </c>
      <c r="C404" t="s">
        <v>119</v>
      </c>
      <c r="D404" t="s">
        <v>9</v>
      </c>
      <c r="E404" s="3">
        <v>2000</v>
      </c>
      <c r="F404" s="3">
        <v>2000</v>
      </c>
      <c r="G404" s="3">
        <v>1400</v>
      </c>
      <c r="I404" t="s">
        <v>54</v>
      </c>
      <c r="J404" t="s">
        <v>40</v>
      </c>
      <c r="K404" t="s">
        <v>11</v>
      </c>
      <c r="L404" t="str">
        <f>T("9791191562415")</f>
        <v>9791191562415</v>
      </c>
    </row>
    <row r="405" spans="1:12">
      <c r="A405" s="2">
        <v>44783.120763888888</v>
      </c>
      <c r="B405">
        <v>191535392</v>
      </c>
      <c r="C405" t="s">
        <v>80</v>
      </c>
      <c r="D405" t="s">
        <v>9</v>
      </c>
      <c r="E405">
        <v>400</v>
      </c>
      <c r="F405">
        <v>400</v>
      </c>
      <c r="G405">
        <v>280</v>
      </c>
      <c r="I405" t="s">
        <v>77</v>
      </c>
      <c r="J405" t="s">
        <v>71</v>
      </c>
      <c r="K405" t="s">
        <v>11</v>
      </c>
      <c r="L405" t="str">
        <f>T("9791164370085")</f>
        <v>9791164370085</v>
      </c>
    </row>
    <row r="406" spans="1:12">
      <c r="A406" s="2">
        <v>44783.147453703707</v>
      </c>
      <c r="B406">
        <v>295462572</v>
      </c>
      <c r="C406" t="s">
        <v>108</v>
      </c>
      <c r="D406" t="s">
        <v>9</v>
      </c>
      <c r="E406" s="3">
        <v>2000</v>
      </c>
      <c r="F406" s="3">
        <v>2000</v>
      </c>
      <c r="G406" s="3">
        <v>1400</v>
      </c>
      <c r="I406" t="s">
        <v>32</v>
      </c>
      <c r="J406" t="s">
        <v>40</v>
      </c>
      <c r="K406" t="s">
        <v>11</v>
      </c>
      <c r="L406" t="str">
        <f>T("9791191562361")</f>
        <v>9791191562361</v>
      </c>
    </row>
    <row r="407" spans="1:12">
      <c r="A407" s="2">
        <v>44783.343368055554</v>
      </c>
      <c r="B407">
        <v>295462572</v>
      </c>
      <c r="C407" t="s">
        <v>108</v>
      </c>
      <c r="D407" t="s">
        <v>9</v>
      </c>
      <c r="E407" s="3">
        <v>2000</v>
      </c>
      <c r="F407" s="3">
        <v>2000</v>
      </c>
      <c r="G407" s="3">
        <v>1400</v>
      </c>
      <c r="I407" t="s">
        <v>32</v>
      </c>
      <c r="J407" t="s">
        <v>40</v>
      </c>
      <c r="K407" t="s">
        <v>11</v>
      </c>
      <c r="L407" t="str">
        <f>T("9791191562361")</f>
        <v>9791191562361</v>
      </c>
    </row>
    <row r="408" spans="1:12">
      <c r="A408" s="2">
        <v>44783.367361111108</v>
      </c>
      <c r="B408">
        <v>297620121</v>
      </c>
      <c r="C408" t="s">
        <v>205</v>
      </c>
      <c r="D408" t="s">
        <v>9</v>
      </c>
      <c r="E408" s="3">
        <v>2000</v>
      </c>
      <c r="F408" s="3">
        <v>2000</v>
      </c>
      <c r="G408" s="3">
        <v>1400</v>
      </c>
      <c r="I408" t="s">
        <v>29</v>
      </c>
      <c r="J408" t="s">
        <v>40</v>
      </c>
      <c r="K408" t="s">
        <v>11</v>
      </c>
      <c r="L408" t="str">
        <f>T("9791191562484")</f>
        <v>9791191562484</v>
      </c>
    </row>
    <row r="409" spans="1:12">
      <c r="A409" s="2">
        <v>44783.434166666666</v>
      </c>
      <c r="B409">
        <v>299499249</v>
      </c>
      <c r="C409" t="s">
        <v>344</v>
      </c>
      <c r="D409" t="s">
        <v>9</v>
      </c>
      <c r="E409" s="3">
        <v>26000</v>
      </c>
      <c r="F409" s="3">
        <v>26000</v>
      </c>
      <c r="G409" s="3">
        <v>18200</v>
      </c>
      <c r="I409" t="s">
        <v>20</v>
      </c>
      <c r="J409" t="s">
        <v>17</v>
      </c>
      <c r="K409" t="s">
        <v>11</v>
      </c>
      <c r="L409" t="str">
        <f>T("9791164482399")</f>
        <v>9791164482399</v>
      </c>
    </row>
    <row r="410" spans="1:12">
      <c r="A410" s="2">
        <v>44783.439027777778</v>
      </c>
      <c r="B410">
        <v>298750948</v>
      </c>
      <c r="C410" t="s">
        <v>259</v>
      </c>
      <c r="D410" t="s">
        <v>9</v>
      </c>
      <c r="E410" s="3">
        <v>3500</v>
      </c>
      <c r="F410" s="3">
        <v>3500</v>
      </c>
      <c r="G410" s="3">
        <v>2450</v>
      </c>
      <c r="I410" t="s">
        <v>38</v>
      </c>
      <c r="J410" t="s">
        <v>40</v>
      </c>
      <c r="K410" t="s">
        <v>11</v>
      </c>
      <c r="L410" t="str">
        <f>T("9791191562866")</f>
        <v>9791191562866</v>
      </c>
    </row>
    <row r="411" spans="1:12">
      <c r="A411" s="2">
        <v>44783.542708333334</v>
      </c>
      <c r="B411">
        <v>254628542</v>
      </c>
      <c r="C411" t="s">
        <v>156</v>
      </c>
      <c r="D411" t="s">
        <v>12</v>
      </c>
      <c r="E411" s="3">
        <v>6300</v>
      </c>
      <c r="F411" s="3">
        <v>6300</v>
      </c>
      <c r="G411" s="3">
        <v>4410</v>
      </c>
      <c r="I411" t="s">
        <v>124</v>
      </c>
      <c r="J411" t="s">
        <v>11</v>
      </c>
      <c r="K411" t="s">
        <v>11</v>
      </c>
      <c r="L411" t="str">
        <f>T("9791166069260")</f>
        <v>9791166069260</v>
      </c>
    </row>
    <row r="412" spans="1:12">
      <c r="A412" s="2">
        <v>44783.54277777778</v>
      </c>
      <c r="B412">
        <v>297109357</v>
      </c>
      <c r="C412" t="s">
        <v>154</v>
      </c>
      <c r="D412" t="s">
        <v>9</v>
      </c>
      <c r="E412" s="3">
        <v>3600</v>
      </c>
      <c r="F412" s="3">
        <v>3600</v>
      </c>
      <c r="G412" s="3">
        <v>2520</v>
      </c>
      <c r="I412" t="s">
        <v>155</v>
      </c>
      <c r="J412" t="s">
        <v>40</v>
      </c>
      <c r="K412" t="s">
        <v>11</v>
      </c>
      <c r="L412" t="str">
        <f>T("9791191562774")</f>
        <v>9791191562774</v>
      </c>
    </row>
    <row r="413" spans="1:12">
      <c r="A413" s="2">
        <v>44783.54277777778</v>
      </c>
      <c r="B413">
        <v>295216088</v>
      </c>
      <c r="C413" t="s">
        <v>114</v>
      </c>
      <c r="D413" t="s">
        <v>9</v>
      </c>
      <c r="E413" s="3">
        <v>2500</v>
      </c>
      <c r="F413" s="3">
        <v>2500</v>
      </c>
      <c r="G413" s="3">
        <v>1750</v>
      </c>
      <c r="I413" t="s">
        <v>113</v>
      </c>
      <c r="J413" t="s">
        <v>40</v>
      </c>
      <c r="K413" t="s">
        <v>11</v>
      </c>
      <c r="L413" t="str">
        <f>T("9791191562453")</f>
        <v>9791191562453</v>
      </c>
    </row>
    <row r="414" spans="1:12">
      <c r="A414" s="2">
        <v>44783.54277777778</v>
      </c>
      <c r="B414">
        <v>295356530</v>
      </c>
      <c r="C414" t="s">
        <v>116</v>
      </c>
      <c r="D414" t="s">
        <v>9</v>
      </c>
      <c r="E414" s="3">
        <v>2500</v>
      </c>
      <c r="F414" s="3">
        <v>2500</v>
      </c>
      <c r="G414" s="3">
        <v>1750</v>
      </c>
      <c r="I414" t="s">
        <v>115</v>
      </c>
      <c r="J414" t="s">
        <v>40</v>
      </c>
      <c r="K414" t="s">
        <v>11</v>
      </c>
      <c r="L414" t="str">
        <f>T("9791191562460")</f>
        <v>9791191562460</v>
      </c>
    </row>
    <row r="415" spans="1:12">
      <c r="A415" s="2">
        <v>44783.54277777778</v>
      </c>
      <c r="B415">
        <v>293180467</v>
      </c>
      <c r="C415" t="s">
        <v>104</v>
      </c>
      <c r="D415" t="s">
        <v>9</v>
      </c>
      <c r="E415" s="3">
        <v>2000</v>
      </c>
      <c r="F415" s="3">
        <v>2000</v>
      </c>
      <c r="G415" s="3">
        <v>1400</v>
      </c>
      <c r="I415" t="s">
        <v>31</v>
      </c>
      <c r="J415" t="s">
        <v>40</v>
      </c>
      <c r="K415" t="s">
        <v>11</v>
      </c>
      <c r="L415" t="str">
        <f>T("9791191562293")</f>
        <v>9791191562293</v>
      </c>
    </row>
    <row r="416" spans="1:12">
      <c r="A416" s="2">
        <v>44783.567094907405</v>
      </c>
      <c r="B416">
        <v>256291606</v>
      </c>
      <c r="C416" t="s">
        <v>345</v>
      </c>
      <c r="D416" t="s">
        <v>12</v>
      </c>
      <c r="E416" s="3">
        <v>13500</v>
      </c>
      <c r="F416" s="3">
        <v>13500</v>
      </c>
      <c r="G416" s="3">
        <v>9450</v>
      </c>
      <c r="I416" t="s">
        <v>346</v>
      </c>
      <c r="J416" t="s">
        <v>11</v>
      </c>
      <c r="K416" t="s">
        <v>11</v>
      </c>
      <c r="L416" t="str">
        <f>T("9791166069338")</f>
        <v>9791166069338</v>
      </c>
    </row>
    <row r="417" spans="1:12">
      <c r="A417" s="2">
        <v>44783.569039351853</v>
      </c>
      <c r="B417">
        <v>281284707</v>
      </c>
      <c r="C417" t="s">
        <v>347</v>
      </c>
      <c r="D417" t="s">
        <v>12</v>
      </c>
      <c r="E417" s="3">
        <v>9000</v>
      </c>
      <c r="F417" s="3">
        <v>9000</v>
      </c>
      <c r="G417" s="3">
        <v>6300</v>
      </c>
      <c r="I417" t="s">
        <v>20</v>
      </c>
      <c r="J417" t="s">
        <v>17</v>
      </c>
      <c r="K417" t="s">
        <v>11</v>
      </c>
      <c r="L417" t="str">
        <f>T("9791166004797")</f>
        <v>9791166004797</v>
      </c>
    </row>
    <row r="418" spans="1:12">
      <c r="A418" s="2">
        <v>44783.570555555554</v>
      </c>
      <c r="B418">
        <v>267142029</v>
      </c>
      <c r="C418" t="s">
        <v>348</v>
      </c>
      <c r="D418" t="s">
        <v>12</v>
      </c>
      <c r="E418" s="3">
        <v>7200</v>
      </c>
      <c r="F418" s="3">
        <v>7200</v>
      </c>
      <c r="G418" s="3">
        <v>5040</v>
      </c>
      <c r="I418" t="s">
        <v>349</v>
      </c>
      <c r="J418" t="s">
        <v>11</v>
      </c>
      <c r="K418" t="s">
        <v>11</v>
      </c>
      <c r="L418" t="str">
        <f>T("9791137600270")</f>
        <v>9791137600270</v>
      </c>
    </row>
    <row r="419" spans="1:12">
      <c r="A419" s="2">
        <v>44783.572615740741</v>
      </c>
      <c r="B419">
        <v>288521371</v>
      </c>
      <c r="C419" t="s">
        <v>350</v>
      </c>
      <c r="D419" t="s">
        <v>12</v>
      </c>
      <c r="E419" s="3">
        <v>6300</v>
      </c>
      <c r="F419" s="3">
        <v>6300</v>
      </c>
      <c r="G419" s="3">
        <v>4410</v>
      </c>
      <c r="I419" t="s">
        <v>20</v>
      </c>
      <c r="J419" t="s">
        <v>17</v>
      </c>
      <c r="K419" t="s">
        <v>11</v>
      </c>
      <c r="L419" t="str">
        <f>T("9791164482351")</f>
        <v>9791164482351</v>
      </c>
    </row>
    <row r="420" spans="1:12">
      <c r="A420" s="2">
        <v>44783.574131944442</v>
      </c>
      <c r="B420">
        <v>109274035</v>
      </c>
      <c r="C420" t="s">
        <v>351</v>
      </c>
      <c r="D420" t="s">
        <v>12</v>
      </c>
      <c r="E420" s="3">
        <v>8100</v>
      </c>
      <c r="F420" s="3">
        <v>8100</v>
      </c>
      <c r="G420" s="3">
        <v>5670</v>
      </c>
      <c r="I420" t="s">
        <v>127</v>
      </c>
      <c r="J420" t="s">
        <v>11</v>
      </c>
      <c r="K420" t="s">
        <v>11</v>
      </c>
      <c r="L420" t="str">
        <f>T("")</f>
        <v/>
      </c>
    </row>
    <row r="421" spans="1:12">
      <c r="A421" s="2">
        <v>44783.57534722222</v>
      </c>
      <c r="B421">
        <v>248962639</v>
      </c>
      <c r="C421" t="s">
        <v>352</v>
      </c>
      <c r="D421" t="s">
        <v>12</v>
      </c>
      <c r="E421" s="3">
        <v>6300</v>
      </c>
      <c r="F421" s="3">
        <v>6300</v>
      </c>
      <c r="G421" s="3">
        <v>4410</v>
      </c>
      <c r="I421" t="s">
        <v>241</v>
      </c>
      <c r="J421" t="s">
        <v>11</v>
      </c>
      <c r="K421" t="s">
        <v>11</v>
      </c>
      <c r="L421" t="str">
        <f>T("9791166068096")</f>
        <v>9791166068096</v>
      </c>
    </row>
    <row r="422" spans="1:12">
      <c r="A422" s="2">
        <v>44783.577673611115</v>
      </c>
      <c r="B422">
        <v>257828599</v>
      </c>
      <c r="C422" t="s">
        <v>353</v>
      </c>
      <c r="D422" t="s">
        <v>12</v>
      </c>
      <c r="E422" s="3">
        <v>9000</v>
      </c>
      <c r="F422" s="3">
        <v>9000</v>
      </c>
      <c r="G422" s="3">
        <v>6300</v>
      </c>
      <c r="I422" t="s">
        <v>15</v>
      </c>
      <c r="J422" t="s">
        <v>11</v>
      </c>
      <c r="K422" t="s">
        <v>11</v>
      </c>
      <c r="L422" t="str">
        <f>T("9791166068966")</f>
        <v>9791166068966</v>
      </c>
    </row>
    <row r="423" spans="1:12">
      <c r="A423" s="2">
        <v>44783.580104166664</v>
      </c>
      <c r="B423">
        <v>286266583</v>
      </c>
      <c r="C423" t="s">
        <v>354</v>
      </c>
      <c r="D423" t="s">
        <v>12</v>
      </c>
      <c r="E423" s="3">
        <v>5040</v>
      </c>
      <c r="F423" s="3">
        <v>5040</v>
      </c>
      <c r="G423" s="3">
        <v>3528</v>
      </c>
      <c r="I423" t="s">
        <v>20</v>
      </c>
      <c r="J423" t="s">
        <v>17</v>
      </c>
      <c r="K423" t="s">
        <v>11</v>
      </c>
      <c r="L423" t="str">
        <f>T("9791164482368")</f>
        <v>9791164482368</v>
      </c>
    </row>
    <row r="424" spans="1:12">
      <c r="A424" s="2">
        <v>44783.586527777778</v>
      </c>
      <c r="B424">
        <v>292179681</v>
      </c>
      <c r="C424" t="s">
        <v>81</v>
      </c>
      <c r="D424" t="s">
        <v>9</v>
      </c>
      <c r="E424" s="3">
        <v>2500</v>
      </c>
      <c r="F424" s="3">
        <v>2500</v>
      </c>
      <c r="G424" s="3">
        <v>1750</v>
      </c>
      <c r="I424" t="s">
        <v>82</v>
      </c>
      <c r="J424" t="s">
        <v>40</v>
      </c>
      <c r="K424" t="s">
        <v>11</v>
      </c>
      <c r="L424" t="str">
        <f>T("9791191562224")</f>
        <v>9791191562224</v>
      </c>
    </row>
    <row r="425" spans="1:12">
      <c r="A425" s="2">
        <v>44783.603518518517</v>
      </c>
      <c r="B425">
        <v>299499249</v>
      </c>
      <c r="C425" t="s">
        <v>344</v>
      </c>
      <c r="D425" t="s">
        <v>12</v>
      </c>
      <c r="E425" s="3">
        <v>8190</v>
      </c>
      <c r="F425" s="3">
        <v>8190</v>
      </c>
      <c r="G425" s="3">
        <v>5733</v>
      </c>
      <c r="I425" t="s">
        <v>20</v>
      </c>
      <c r="J425" t="s">
        <v>17</v>
      </c>
      <c r="K425" t="s">
        <v>11</v>
      </c>
      <c r="L425" t="str">
        <f>T("9791164482399")</f>
        <v>9791164482399</v>
      </c>
    </row>
    <row r="426" spans="1:12">
      <c r="A426" s="2">
        <v>44783.605185185188</v>
      </c>
      <c r="B426">
        <v>292580191</v>
      </c>
      <c r="C426" t="s">
        <v>355</v>
      </c>
      <c r="D426" t="s">
        <v>12</v>
      </c>
      <c r="E426" s="3">
        <v>7200</v>
      </c>
      <c r="F426" s="3">
        <v>7200</v>
      </c>
      <c r="G426" s="3">
        <v>5040</v>
      </c>
      <c r="I426" t="s">
        <v>18</v>
      </c>
      <c r="J426" t="s">
        <v>17</v>
      </c>
      <c r="K426" t="s">
        <v>11</v>
      </c>
      <c r="L426" t="str">
        <f>T("9791166005930")</f>
        <v>9791166005930</v>
      </c>
    </row>
    <row r="427" spans="1:12">
      <c r="A427" s="2">
        <v>44783.605798611112</v>
      </c>
      <c r="B427">
        <v>288521370</v>
      </c>
      <c r="C427" t="s">
        <v>356</v>
      </c>
      <c r="D427" t="s">
        <v>12</v>
      </c>
      <c r="E427" s="3">
        <v>8100</v>
      </c>
      <c r="F427" s="3">
        <v>8100</v>
      </c>
      <c r="G427" s="3">
        <v>5670</v>
      </c>
      <c r="I427" t="s">
        <v>357</v>
      </c>
      <c r="J427" t="s">
        <v>17</v>
      </c>
      <c r="K427" t="s">
        <v>11</v>
      </c>
      <c r="L427" t="str">
        <f>T("9791166005985")</f>
        <v>9791166005985</v>
      </c>
    </row>
    <row r="428" spans="1:12">
      <c r="A428" s="2">
        <v>44783.606087962966</v>
      </c>
      <c r="B428">
        <v>286266584</v>
      </c>
      <c r="C428" t="s">
        <v>358</v>
      </c>
      <c r="D428" t="s">
        <v>12</v>
      </c>
      <c r="E428" s="3">
        <v>6930</v>
      </c>
      <c r="F428" s="3">
        <v>6930</v>
      </c>
      <c r="G428" s="3">
        <v>4851</v>
      </c>
      <c r="I428" t="s">
        <v>18</v>
      </c>
      <c r="J428" t="s">
        <v>17</v>
      </c>
      <c r="K428" t="s">
        <v>11</v>
      </c>
      <c r="L428" t="str">
        <f>T("9791166005916")</f>
        <v>9791166005916</v>
      </c>
    </row>
    <row r="429" spans="1:12">
      <c r="A429" s="2">
        <v>44783.60659722222</v>
      </c>
      <c r="B429">
        <v>283855006</v>
      </c>
      <c r="C429" t="s">
        <v>359</v>
      </c>
      <c r="D429" t="s">
        <v>12</v>
      </c>
      <c r="E429" s="3">
        <v>7200</v>
      </c>
      <c r="F429" s="3">
        <v>7200</v>
      </c>
      <c r="G429" s="3">
        <v>5040</v>
      </c>
      <c r="I429" t="s">
        <v>20</v>
      </c>
      <c r="J429" t="s">
        <v>17</v>
      </c>
      <c r="K429" t="s">
        <v>11</v>
      </c>
      <c r="L429" t="str">
        <f>T("9791164482375")</f>
        <v>9791164482375</v>
      </c>
    </row>
    <row r="430" spans="1:12">
      <c r="A430" s="2">
        <v>44783.610497685186</v>
      </c>
      <c r="B430">
        <v>250708662</v>
      </c>
      <c r="C430" t="s">
        <v>360</v>
      </c>
      <c r="D430" t="s">
        <v>12</v>
      </c>
      <c r="E430" s="3">
        <v>7200</v>
      </c>
      <c r="F430" s="3">
        <v>7200</v>
      </c>
      <c r="G430" s="3">
        <v>5040</v>
      </c>
      <c r="I430" t="s">
        <v>361</v>
      </c>
      <c r="J430" t="s">
        <v>11</v>
      </c>
      <c r="K430" t="s">
        <v>11</v>
      </c>
      <c r="L430" t="str">
        <f>T("9791166068638")</f>
        <v>9791166068638</v>
      </c>
    </row>
    <row r="431" spans="1:12">
      <c r="A431" s="2">
        <v>44783.667175925926</v>
      </c>
      <c r="B431">
        <v>199138996</v>
      </c>
      <c r="C431" t="s">
        <v>362</v>
      </c>
      <c r="D431" t="s">
        <v>12</v>
      </c>
      <c r="E431" s="3">
        <v>2800</v>
      </c>
      <c r="F431" s="3">
        <v>2800</v>
      </c>
      <c r="G431" s="3">
        <v>1960</v>
      </c>
      <c r="I431" t="s">
        <v>363</v>
      </c>
      <c r="J431" t="s">
        <v>50</v>
      </c>
      <c r="K431" t="s">
        <v>11</v>
      </c>
      <c r="L431" t="str">
        <f>T("9791190132947")</f>
        <v>9791190132947</v>
      </c>
    </row>
    <row r="432" spans="1:12">
      <c r="A432" s="2">
        <v>44783.667175925926</v>
      </c>
      <c r="B432">
        <v>292179681</v>
      </c>
      <c r="C432" t="s">
        <v>81</v>
      </c>
      <c r="D432" t="s">
        <v>12</v>
      </c>
      <c r="E432" s="3">
        <v>2000</v>
      </c>
      <c r="F432" s="3">
        <v>2000</v>
      </c>
      <c r="G432" s="3">
        <v>1400</v>
      </c>
      <c r="I432" t="s">
        <v>82</v>
      </c>
      <c r="J432" t="s">
        <v>40</v>
      </c>
      <c r="K432" t="s">
        <v>11</v>
      </c>
      <c r="L432" t="str">
        <f>T("9791191562224")</f>
        <v>9791191562224</v>
      </c>
    </row>
    <row r="433" spans="1:12">
      <c r="A433" s="2">
        <v>44783.678993055553</v>
      </c>
      <c r="B433">
        <v>299154500</v>
      </c>
      <c r="C433" t="s">
        <v>287</v>
      </c>
      <c r="D433" t="s">
        <v>9</v>
      </c>
      <c r="E433" s="3">
        <v>2500</v>
      </c>
      <c r="F433" s="3">
        <v>2500</v>
      </c>
      <c r="G433" s="3">
        <v>1750</v>
      </c>
      <c r="I433" t="s">
        <v>220</v>
      </c>
      <c r="J433" t="s">
        <v>40</v>
      </c>
      <c r="K433" t="s">
        <v>11</v>
      </c>
      <c r="L433" t="str">
        <f>T("9791191562859")</f>
        <v>9791191562859</v>
      </c>
    </row>
    <row r="434" spans="1:12">
      <c r="A434" s="2">
        <v>44783.690138888887</v>
      </c>
      <c r="B434">
        <v>295071451</v>
      </c>
      <c r="C434" t="s">
        <v>109</v>
      </c>
      <c r="D434" t="s">
        <v>9</v>
      </c>
      <c r="E434" s="3">
        <v>2500</v>
      </c>
      <c r="F434" s="3">
        <v>2500</v>
      </c>
      <c r="G434" s="3">
        <v>1750</v>
      </c>
      <c r="I434" t="s">
        <v>34</v>
      </c>
      <c r="J434" t="s">
        <v>40</v>
      </c>
      <c r="K434" t="s">
        <v>11</v>
      </c>
      <c r="L434" t="str">
        <f>T("9791191562439")</f>
        <v>9791191562439</v>
      </c>
    </row>
    <row r="435" spans="1:12">
      <c r="A435" s="2">
        <v>44783.721122685187</v>
      </c>
      <c r="B435">
        <v>298750948</v>
      </c>
      <c r="C435" t="s">
        <v>259</v>
      </c>
      <c r="D435" t="s">
        <v>9</v>
      </c>
      <c r="E435" s="3">
        <v>3500</v>
      </c>
      <c r="F435" s="3">
        <v>3500</v>
      </c>
      <c r="G435" s="3">
        <v>2450</v>
      </c>
      <c r="I435" t="s">
        <v>38</v>
      </c>
      <c r="J435" t="s">
        <v>40</v>
      </c>
      <c r="K435" t="s">
        <v>11</v>
      </c>
      <c r="L435" t="str">
        <f>T("9791191562866")</f>
        <v>9791191562866</v>
      </c>
    </row>
    <row r="436" spans="1:12">
      <c r="A436" s="2">
        <v>44783.739675925928</v>
      </c>
      <c r="B436">
        <v>291088925</v>
      </c>
      <c r="C436" t="s">
        <v>58</v>
      </c>
      <c r="D436" t="s">
        <v>9</v>
      </c>
      <c r="E436" s="3">
        <v>2000</v>
      </c>
      <c r="F436" s="3">
        <v>2000</v>
      </c>
      <c r="G436" s="3">
        <v>1400</v>
      </c>
      <c r="I436" t="s">
        <v>59</v>
      </c>
      <c r="J436" t="s">
        <v>40</v>
      </c>
      <c r="K436" t="s">
        <v>11</v>
      </c>
      <c r="L436" t="str">
        <f>T("9791191562187")</f>
        <v>9791191562187</v>
      </c>
    </row>
    <row r="437" spans="1:12">
      <c r="A437" s="2">
        <v>44783.763796296298</v>
      </c>
      <c r="B437">
        <v>292179681</v>
      </c>
      <c r="C437" t="s">
        <v>81</v>
      </c>
      <c r="D437" t="s">
        <v>12</v>
      </c>
      <c r="E437" s="3">
        <v>2000</v>
      </c>
      <c r="F437" s="3">
        <v>2000</v>
      </c>
      <c r="G437" s="3">
        <v>1400</v>
      </c>
      <c r="I437" t="s">
        <v>82</v>
      </c>
      <c r="J437" t="s">
        <v>40</v>
      </c>
      <c r="K437" t="s">
        <v>11</v>
      </c>
      <c r="L437" t="str">
        <f>T("9791191562224")</f>
        <v>9791191562224</v>
      </c>
    </row>
    <row r="438" spans="1:12">
      <c r="A438" s="2">
        <v>44783.763796296298</v>
      </c>
      <c r="B438">
        <v>293046855</v>
      </c>
      <c r="C438" t="s">
        <v>99</v>
      </c>
      <c r="D438" t="s">
        <v>12</v>
      </c>
      <c r="E438" s="3">
        <v>2000</v>
      </c>
      <c r="F438" s="3">
        <v>2000</v>
      </c>
      <c r="G438" s="3">
        <v>1400</v>
      </c>
      <c r="I438" t="s">
        <v>100</v>
      </c>
      <c r="J438" t="s">
        <v>40</v>
      </c>
      <c r="K438" t="s">
        <v>11</v>
      </c>
      <c r="L438" t="str">
        <f>T("9791191562279")</f>
        <v>9791191562279</v>
      </c>
    </row>
    <row r="439" spans="1:12">
      <c r="A439" s="2">
        <v>44783.765532407408</v>
      </c>
      <c r="B439">
        <v>291088925</v>
      </c>
      <c r="C439" t="s">
        <v>58</v>
      </c>
      <c r="D439" t="s">
        <v>9</v>
      </c>
      <c r="E439" s="3">
        <v>2000</v>
      </c>
      <c r="F439" s="3">
        <v>2000</v>
      </c>
      <c r="G439" s="3">
        <v>1400</v>
      </c>
      <c r="I439" t="s">
        <v>59</v>
      </c>
      <c r="J439" t="s">
        <v>40</v>
      </c>
      <c r="K439" t="s">
        <v>11</v>
      </c>
      <c r="L439" t="str">
        <f>T("9791191562187")</f>
        <v>9791191562187</v>
      </c>
    </row>
    <row r="440" spans="1:12">
      <c r="A440" s="2">
        <v>44783.825567129628</v>
      </c>
      <c r="B440">
        <v>297620121</v>
      </c>
      <c r="C440" t="s">
        <v>205</v>
      </c>
      <c r="D440" t="s">
        <v>9</v>
      </c>
      <c r="E440" s="3">
        <v>2000</v>
      </c>
      <c r="F440" s="3">
        <v>2000</v>
      </c>
      <c r="G440" s="3">
        <v>1400</v>
      </c>
      <c r="I440" t="s">
        <v>29</v>
      </c>
      <c r="J440" t="s">
        <v>40</v>
      </c>
      <c r="K440" t="s">
        <v>11</v>
      </c>
      <c r="L440" t="str">
        <f>T("9791191562484")</f>
        <v>9791191562484</v>
      </c>
    </row>
    <row r="441" spans="1:12">
      <c r="A441" s="2">
        <v>44783.826111111113</v>
      </c>
      <c r="B441">
        <v>295462572</v>
      </c>
      <c r="C441" t="s">
        <v>108</v>
      </c>
      <c r="D441" t="s">
        <v>9</v>
      </c>
      <c r="E441" s="3">
        <v>2000</v>
      </c>
      <c r="F441" s="3">
        <v>2000</v>
      </c>
      <c r="G441" s="3">
        <v>1400</v>
      </c>
      <c r="I441" t="s">
        <v>32</v>
      </c>
      <c r="J441" t="s">
        <v>40</v>
      </c>
      <c r="K441" t="s">
        <v>11</v>
      </c>
      <c r="L441" t="str">
        <f>T("9791191562361")</f>
        <v>9791191562361</v>
      </c>
    </row>
    <row r="442" spans="1:12">
      <c r="A442" s="2">
        <v>44783.915127314816</v>
      </c>
      <c r="B442">
        <v>297620121</v>
      </c>
      <c r="C442" t="s">
        <v>205</v>
      </c>
      <c r="D442" t="s">
        <v>9</v>
      </c>
      <c r="E442" s="3">
        <v>2000</v>
      </c>
      <c r="F442" s="3">
        <v>2000</v>
      </c>
      <c r="G442" s="3">
        <v>1400</v>
      </c>
      <c r="I442" t="s">
        <v>29</v>
      </c>
      <c r="J442" t="s">
        <v>40</v>
      </c>
      <c r="K442" t="s">
        <v>11</v>
      </c>
      <c r="L442" t="str">
        <f>T("9791191562484")</f>
        <v>9791191562484</v>
      </c>
    </row>
    <row r="443" spans="1:12">
      <c r="A443" s="2">
        <v>44783.944953703707</v>
      </c>
      <c r="B443">
        <v>254628542</v>
      </c>
      <c r="C443" t="s">
        <v>156</v>
      </c>
      <c r="D443" t="s">
        <v>9</v>
      </c>
      <c r="E443" s="3">
        <v>22400</v>
      </c>
      <c r="F443" s="3">
        <v>22400</v>
      </c>
      <c r="G443" s="3">
        <v>15680</v>
      </c>
      <c r="I443" t="s">
        <v>124</v>
      </c>
      <c r="J443" t="s">
        <v>11</v>
      </c>
      <c r="K443" t="s">
        <v>11</v>
      </c>
      <c r="L443" t="str">
        <f>T("9791166069260")</f>
        <v>9791166069260</v>
      </c>
    </row>
    <row r="444" spans="1:12">
      <c r="A444" s="2">
        <v>44783.99800925926</v>
      </c>
      <c r="B444">
        <v>171265679</v>
      </c>
      <c r="C444" t="s">
        <v>364</v>
      </c>
      <c r="D444" t="s">
        <v>9</v>
      </c>
      <c r="E444">
        <v>600</v>
      </c>
      <c r="F444">
        <v>600</v>
      </c>
      <c r="G444">
        <v>420</v>
      </c>
      <c r="I444" t="s">
        <v>365</v>
      </c>
      <c r="J444" t="s">
        <v>50</v>
      </c>
      <c r="K444" t="s">
        <v>11</v>
      </c>
      <c r="L444" t="str">
        <f>T("9791190132527")</f>
        <v>9791190132527</v>
      </c>
    </row>
    <row r="445" spans="1:12">
      <c r="A445" s="2">
        <v>44783.99800925926</v>
      </c>
      <c r="B445">
        <v>164448184</v>
      </c>
      <c r="C445" t="s">
        <v>366</v>
      </c>
      <c r="D445" t="s">
        <v>9</v>
      </c>
      <c r="E445" s="3">
        <v>3800</v>
      </c>
      <c r="F445" s="3">
        <v>3800</v>
      </c>
      <c r="G445" s="3">
        <v>2660</v>
      </c>
      <c r="I445" t="s">
        <v>365</v>
      </c>
      <c r="J445" t="s">
        <v>50</v>
      </c>
      <c r="K445" t="s">
        <v>11</v>
      </c>
      <c r="L445" t="str">
        <f>T("9791190132510")</f>
        <v>9791190132510</v>
      </c>
    </row>
    <row r="446" spans="1:12">
      <c r="A446" s="2">
        <v>44784.007835648146</v>
      </c>
      <c r="B446">
        <v>294374169</v>
      </c>
      <c r="C446" t="s">
        <v>367</v>
      </c>
      <c r="D446" t="s">
        <v>9</v>
      </c>
      <c r="E446" s="3">
        <v>2000</v>
      </c>
      <c r="F446" s="3">
        <v>2000</v>
      </c>
      <c r="G446" s="3">
        <v>1400</v>
      </c>
      <c r="I446" t="s">
        <v>368</v>
      </c>
      <c r="J446" t="s">
        <v>40</v>
      </c>
      <c r="K446" t="s">
        <v>11</v>
      </c>
      <c r="L446" t="str">
        <f>T("9791191562378")</f>
        <v>9791191562378</v>
      </c>
    </row>
    <row r="447" spans="1:12">
      <c r="A447" s="2">
        <v>44784.009618055556</v>
      </c>
      <c r="B447">
        <v>293484295</v>
      </c>
      <c r="C447" t="s">
        <v>106</v>
      </c>
      <c r="D447" t="s">
        <v>12</v>
      </c>
      <c r="E447" s="3">
        <v>2800</v>
      </c>
      <c r="F447" s="3">
        <v>2800</v>
      </c>
      <c r="G447" s="3">
        <v>1960</v>
      </c>
      <c r="I447" t="s">
        <v>107</v>
      </c>
      <c r="J447" t="s">
        <v>40</v>
      </c>
      <c r="K447" t="s">
        <v>11</v>
      </c>
      <c r="L447" t="str">
        <f>T("9791191562330")</f>
        <v>9791191562330</v>
      </c>
    </row>
    <row r="448" spans="1:12">
      <c r="A448" s="2">
        <v>44784.011319444442</v>
      </c>
      <c r="B448">
        <v>281625180</v>
      </c>
      <c r="C448" t="s">
        <v>213</v>
      </c>
      <c r="D448" t="s">
        <v>9</v>
      </c>
      <c r="E448" s="3">
        <v>3200</v>
      </c>
      <c r="F448" s="3">
        <v>3200</v>
      </c>
      <c r="G448" s="3">
        <v>2240</v>
      </c>
      <c r="I448" t="s">
        <v>14</v>
      </c>
      <c r="J448" t="s">
        <v>11</v>
      </c>
      <c r="K448" t="s">
        <v>11</v>
      </c>
      <c r="L448" t="str">
        <f>T("9791137601116")</f>
        <v>9791137601116</v>
      </c>
    </row>
    <row r="449" spans="1:12">
      <c r="A449" s="2">
        <v>44784.011319444442</v>
      </c>
      <c r="B449">
        <v>281625188</v>
      </c>
      <c r="C449" t="s">
        <v>216</v>
      </c>
      <c r="D449" t="s">
        <v>9</v>
      </c>
      <c r="E449" s="3">
        <v>3200</v>
      </c>
      <c r="F449" s="3">
        <v>3200</v>
      </c>
      <c r="G449" s="3">
        <v>2240</v>
      </c>
      <c r="I449" t="s">
        <v>14</v>
      </c>
      <c r="J449" t="s">
        <v>11</v>
      </c>
      <c r="K449" t="s">
        <v>11</v>
      </c>
      <c r="L449" t="str">
        <f>T("9791137601147")</f>
        <v>9791137601147</v>
      </c>
    </row>
    <row r="450" spans="1:12">
      <c r="A450" s="2">
        <v>44784.011319444442</v>
      </c>
      <c r="B450">
        <v>281625191</v>
      </c>
      <c r="C450" t="s">
        <v>215</v>
      </c>
      <c r="D450" t="s">
        <v>9</v>
      </c>
      <c r="E450" s="3">
        <v>3200</v>
      </c>
      <c r="F450" s="3">
        <v>3200</v>
      </c>
      <c r="G450" s="3">
        <v>2240</v>
      </c>
      <c r="I450" t="s">
        <v>14</v>
      </c>
      <c r="J450" t="s">
        <v>11</v>
      </c>
      <c r="K450" t="s">
        <v>11</v>
      </c>
      <c r="L450" t="str">
        <f>T("9791137601130")</f>
        <v>9791137601130</v>
      </c>
    </row>
    <row r="451" spans="1:12">
      <c r="A451" s="2">
        <v>44784.011319444442</v>
      </c>
      <c r="B451">
        <v>281625186</v>
      </c>
      <c r="C451" t="s">
        <v>214</v>
      </c>
      <c r="D451" t="s">
        <v>9</v>
      </c>
      <c r="E451" s="3">
        <v>3200</v>
      </c>
      <c r="F451" s="3">
        <v>3200</v>
      </c>
      <c r="G451" s="3">
        <v>2240</v>
      </c>
      <c r="I451" t="s">
        <v>14</v>
      </c>
      <c r="J451" t="s">
        <v>11</v>
      </c>
      <c r="K451" t="s">
        <v>11</v>
      </c>
      <c r="L451" t="str">
        <f>T("9791137601123")</f>
        <v>9791137601123</v>
      </c>
    </row>
    <row r="452" spans="1:12">
      <c r="A452" s="2">
        <v>44784.011319444442</v>
      </c>
      <c r="B452">
        <v>281625212</v>
      </c>
      <c r="C452" t="s">
        <v>212</v>
      </c>
      <c r="D452" t="s">
        <v>9</v>
      </c>
      <c r="E452" s="3">
        <v>3200</v>
      </c>
      <c r="F452" s="3">
        <v>3200</v>
      </c>
      <c r="G452" s="3">
        <v>2240</v>
      </c>
      <c r="I452" t="s">
        <v>14</v>
      </c>
      <c r="J452" t="s">
        <v>11</v>
      </c>
      <c r="K452" t="s">
        <v>11</v>
      </c>
      <c r="L452" t="str">
        <f>T("9791137601109")</f>
        <v>9791137601109</v>
      </c>
    </row>
    <row r="453" spans="1:12">
      <c r="A453" s="2">
        <v>44784.013645833336</v>
      </c>
      <c r="B453">
        <v>295356530</v>
      </c>
      <c r="C453" t="s">
        <v>116</v>
      </c>
      <c r="D453" t="s">
        <v>9</v>
      </c>
      <c r="E453" s="3">
        <v>2500</v>
      </c>
      <c r="F453" s="3">
        <v>2500</v>
      </c>
      <c r="G453" s="3">
        <v>1750</v>
      </c>
      <c r="I453" t="s">
        <v>115</v>
      </c>
      <c r="J453" t="s">
        <v>40</v>
      </c>
      <c r="K453" t="s">
        <v>11</v>
      </c>
      <c r="L453" t="str">
        <f>T("9791191562460")</f>
        <v>9791191562460</v>
      </c>
    </row>
    <row r="454" spans="1:12">
      <c r="A454" s="2">
        <v>44784.022303240738</v>
      </c>
      <c r="B454">
        <v>292045651</v>
      </c>
      <c r="C454" t="s">
        <v>78</v>
      </c>
      <c r="D454" t="s">
        <v>12</v>
      </c>
      <c r="E454" s="3">
        <v>1600</v>
      </c>
      <c r="F454" s="3">
        <v>1600</v>
      </c>
      <c r="G454" s="3">
        <v>1120</v>
      </c>
      <c r="I454" t="s">
        <v>29</v>
      </c>
      <c r="J454" t="s">
        <v>40</v>
      </c>
      <c r="K454" t="s">
        <v>11</v>
      </c>
      <c r="L454" t="str">
        <f>T("9791191562217")</f>
        <v>9791191562217</v>
      </c>
    </row>
    <row r="455" spans="1:12">
      <c r="A455" s="2">
        <v>44784.022303240738</v>
      </c>
      <c r="B455">
        <v>292815408</v>
      </c>
      <c r="C455" t="s">
        <v>219</v>
      </c>
      <c r="D455" t="s">
        <v>12</v>
      </c>
      <c r="E455" s="3">
        <v>1600</v>
      </c>
      <c r="F455" s="3">
        <v>1600</v>
      </c>
      <c r="G455" s="3">
        <v>1120</v>
      </c>
      <c r="I455" t="s">
        <v>220</v>
      </c>
      <c r="J455" t="s">
        <v>40</v>
      </c>
      <c r="K455" t="s">
        <v>11</v>
      </c>
      <c r="L455" t="str">
        <f>T("9791191562286")</f>
        <v>9791191562286</v>
      </c>
    </row>
    <row r="456" spans="1:12">
      <c r="A456" s="2">
        <v>44784.220532407409</v>
      </c>
      <c r="B456">
        <v>292815408</v>
      </c>
      <c r="C456" t="s">
        <v>219</v>
      </c>
      <c r="D456" t="s">
        <v>9</v>
      </c>
      <c r="E456" s="3">
        <v>2000</v>
      </c>
      <c r="F456" s="3">
        <v>2000</v>
      </c>
      <c r="G456" s="3">
        <v>1400</v>
      </c>
      <c r="I456" t="s">
        <v>220</v>
      </c>
      <c r="J456" t="s">
        <v>40</v>
      </c>
      <c r="K456" t="s">
        <v>11</v>
      </c>
      <c r="L456" t="str">
        <f>T("9791191562286")</f>
        <v>9791191562286</v>
      </c>
    </row>
    <row r="457" spans="1:12">
      <c r="A457" s="2">
        <v>44784.226493055554</v>
      </c>
      <c r="B457">
        <v>296235439</v>
      </c>
      <c r="C457" t="s">
        <v>131</v>
      </c>
      <c r="D457" t="s">
        <v>9</v>
      </c>
      <c r="E457" s="3">
        <v>2500</v>
      </c>
      <c r="F457" s="3">
        <v>2500</v>
      </c>
      <c r="G457" s="3">
        <v>1750</v>
      </c>
      <c r="I457" t="s">
        <v>47</v>
      </c>
      <c r="J457" t="s">
        <v>40</v>
      </c>
      <c r="K457" t="s">
        <v>11</v>
      </c>
      <c r="L457" t="str">
        <f>T("9791191562804")</f>
        <v>9791191562804</v>
      </c>
    </row>
    <row r="458" spans="1:12">
      <c r="A458" s="2">
        <v>44784.332777777781</v>
      </c>
      <c r="B458">
        <v>293957097</v>
      </c>
      <c r="C458" t="s">
        <v>227</v>
      </c>
      <c r="D458" t="s">
        <v>9</v>
      </c>
      <c r="E458" s="3">
        <v>3200</v>
      </c>
      <c r="F458" s="3">
        <v>3200</v>
      </c>
      <c r="G458" s="3">
        <v>2240</v>
      </c>
      <c r="I458" t="s">
        <v>14</v>
      </c>
      <c r="J458" t="s">
        <v>11</v>
      </c>
      <c r="K458" t="s">
        <v>11</v>
      </c>
      <c r="L458" t="str">
        <f>T("9791137603059")</f>
        <v>9791137603059</v>
      </c>
    </row>
    <row r="459" spans="1:12">
      <c r="A459" s="2">
        <v>44784.332777777781</v>
      </c>
      <c r="B459">
        <v>293957128</v>
      </c>
      <c r="C459" t="s">
        <v>233</v>
      </c>
      <c r="D459" t="s">
        <v>9</v>
      </c>
      <c r="E459" s="3">
        <v>3200</v>
      </c>
      <c r="F459" s="3">
        <v>3200</v>
      </c>
      <c r="G459" s="3">
        <v>2240</v>
      </c>
      <c r="I459" t="s">
        <v>14</v>
      </c>
      <c r="J459" t="s">
        <v>11</v>
      </c>
      <c r="K459" t="s">
        <v>11</v>
      </c>
      <c r="L459" t="str">
        <f>T("9791137603080")</f>
        <v>9791137603080</v>
      </c>
    </row>
    <row r="460" spans="1:12">
      <c r="A460" s="2">
        <v>44784.332777777781</v>
      </c>
      <c r="B460">
        <v>293957138</v>
      </c>
      <c r="C460" t="s">
        <v>232</v>
      </c>
      <c r="D460" t="s">
        <v>9</v>
      </c>
      <c r="E460" s="3">
        <v>3200</v>
      </c>
      <c r="F460" s="3">
        <v>3200</v>
      </c>
      <c r="G460" s="3">
        <v>2240</v>
      </c>
      <c r="I460" t="s">
        <v>14</v>
      </c>
      <c r="J460" t="s">
        <v>11</v>
      </c>
      <c r="K460" t="s">
        <v>11</v>
      </c>
      <c r="L460" t="str">
        <f>T("9791137603073")</f>
        <v>9791137603073</v>
      </c>
    </row>
    <row r="461" spans="1:12">
      <c r="A461" s="2">
        <v>44784.332777777781</v>
      </c>
      <c r="B461">
        <v>293957115</v>
      </c>
      <c r="C461" t="s">
        <v>228</v>
      </c>
      <c r="D461" t="s">
        <v>9</v>
      </c>
      <c r="E461" s="3">
        <v>3200</v>
      </c>
      <c r="F461" s="3">
        <v>3200</v>
      </c>
      <c r="G461" s="3">
        <v>2240</v>
      </c>
      <c r="I461" t="s">
        <v>14</v>
      </c>
      <c r="J461" t="s">
        <v>11</v>
      </c>
      <c r="K461" t="s">
        <v>11</v>
      </c>
      <c r="L461" t="str">
        <f>T("9791137603066")</f>
        <v>9791137603066</v>
      </c>
    </row>
    <row r="462" spans="1:12">
      <c r="A462" s="2">
        <v>44784.431886574072</v>
      </c>
      <c r="B462">
        <v>299562124</v>
      </c>
      <c r="C462" t="s">
        <v>369</v>
      </c>
      <c r="D462" t="s">
        <v>9</v>
      </c>
      <c r="E462" s="3">
        <v>2000</v>
      </c>
      <c r="F462" s="3">
        <v>2000</v>
      </c>
      <c r="G462" s="3">
        <v>1400</v>
      </c>
      <c r="I462" t="s">
        <v>370</v>
      </c>
      <c r="J462" t="s">
        <v>40</v>
      </c>
      <c r="K462" t="s">
        <v>11</v>
      </c>
      <c r="L462" t="str">
        <f>T("9791191562873")</f>
        <v>9791191562873</v>
      </c>
    </row>
    <row r="463" spans="1:12">
      <c r="A463" s="2">
        <v>44784.446701388886</v>
      </c>
      <c r="B463">
        <v>299562124</v>
      </c>
      <c r="C463" t="s">
        <v>369</v>
      </c>
      <c r="D463" t="s">
        <v>9</v>
      </c>
      <c r="E463" s="3">
        <v>2000</v>
      </c>
      <c r="F463" s="3">
        <v>2000</v>
      </c>
      <c r="G463" s="3">
        <v>1400</v>
      </c>
      <c r="I463" t="s">
        <v>370</v>
      </c>
      <c r="J463" t="s">
        <v>40</v>
      </c>
      <c r="K463" t="s">
        <v>11</v>
      </c>
      <c r="L463" t="str">
        <f>T("9791191562873")</f>
        <v>9791191562873</v>
      </c>
    </row>
    <row r="464" spans="1:12">
      <c r="A464" s="2">
        <v>44784.450509259259</v>
      </c>
      <c r="B464">
        <v>276845689</v>
      </c>
      <c r="C464" t="s">
        <v>291</v>
      </c>
      <c r="D464" t="s">
        <v>9</v>
      </c>
      <c r="E464" s="3">
        <v>2800</v>
      </c>
      <c r="F464" s="3">
        <v>2800</v>
      </c>
      <c r="G464" s="3">
        <v>1960</v>
      </c>
      <c r="I464" t="s">
        <v>16</v>
      </c>
      <c r="J464" t="s">
        <v>45</v>
      </c>
      <c r="K464" t="s">
        <v>11</v>
      </c>
      <c r="L464" t="str">
        <f>T("9791166481871")</f>
        <v>9791166481871</v>
      </c>
    </row>
    <row r="465" spans="1:12">
      <c r="A465" s="2">
        <v>44784.551701388889</v>
      </c>
      <c r="B465">
        <v>290829048</v>
      </c>
      <c r="C465" t="s">
        <v>198</v>
      </c>
      <c r="D465" t="s">
        <v>9</v>
      </c>
      <c r="E465">
        <v>0</v>
      </c>
      <c r="F465">
        <v>0</v>
      </c>
      <c r="G465">
        <v>0</v>
      </c>
      <c r="I465" t="s">
        <v>20</v>
      </c>
      <c r="J465" t="s">
        <v>17</v>
      </c>
      <c r="K465" t="s">
        <v>11</v>
      </c>
      <c r="L465" t="str">
        <f>T("9791164480401")</f>
        <v>9791164480401</v>
      </c>
    </row>
    <row r="466" spans="1:12">
      <c r="A466" s="2">
        <v>44784.565682870372</v>
      </c>
      <c r="B466">
        <v>299562124</v>
      </c>
      <c r="C466" t="s">
        <v>369</v>
      </c>
      <c r="D466" t="s">
        <v>9</v>
      </c>
      <c r="E466" s="3">
        <v>2000</v>
      </c>
      <c r="F466" s="3">
        <v>2000</v>
      </c>
      <c r="G466" s="3">
        <v>1400</v>
      </c>
      <c r="I466" t="s">
        <v>370</v>
      </c>
      <c r="J466" t="s">
        <v>40</v>
      </c>
      <c r="K466" t="s">
        <v>11</v>
      </c>
      <c r="L466" t="str">
        <f>T("9791191562873")</f>
        <v>9791191562873</v>
      </c>
    </row>
    <row r="467" spans="1:12">
      <c r="A467" s="2">
        <v>44784.604571759257</v>
      </c>
      <c r="B467">
        <v>276845689</v>
      </c>
      <c r="C467" t="s">
        <v>291</v>
      </c>
      <c r="D467" t="s">
        <v>9</v>
      </c>
      <c r="E467" s="3">
        <v>2800</v>
      </c>
      <c r="F467" s="3">
        <v>2800</v>
      </c>
      <c r="G467" s="3">
        <v>1960</v>
      </c>
      <c r="I467" t="s">
        <v>16</v>
      </c>
      <c r="J467" t="s">
        <v>45</v>
      </c>
      <c r="K467" t="s">
        <v>11</v>
      </c>
      <c r="L467" t="str">
        <f>T("9791166481871")</f>
        <v>9791166481871</v>
      </c>
    </row>
    <row r="468" spans="1:12">
      <c r="A468" s="2">
        <v>44784.604768518519</v>
      </c>
      <c r="B468">
        <v>276845689</v>
      </c>
      <c r="C468" t="s">
        <v>291</v>
      </c>
      <c r="D468" t="s">
        <v>9</v>
      </c>
      <c r="E468" s="3">
        <v>-2800</v>
      </c>
      <c r="F468" s="3">
        <v>-2800</v>
      </c>
      <c r="G468" s="3">
        <v>-1960</v>
      </c>
      <c r="H468" s="2">
        <v>44784.604571759257</v>
      </c>
      <c r="I468" t="s">
        <v>16</v>
      </c>
      <c r="J468" t="s">
        <v>45</v>
      </c>
      <c r="K468" t="s">
        <v>11</v>
      </c>
      <c r="L468" t="str">
        <f>T("9791166481871")</f>
        <v>9791166481871</v>
      </c>
    </row>
    <row r="469" spans="1:12">
      <c r="A469" s="2">
        <v>44784.605162037034</v>
      </c>
      <c r="B469">
        <v>276845647</v>
      </c>
      <c r="C469" t="s">
        <v>332</v>
      </c>
      <c r="D469" t="s">
        <v>9</v>
      </c>
      <c r="E469" s="3">
        <v>2800</v>
      </c>
      <c r="F469" s="3">
        <v>2800</v>
      </c>
      <c r="G469" s="3">
        <v>1960</v>
      </c>
      <c r="I469" t="s">
        <v>16</v>
      </c>
      <c r="J469" t="s">
        <v>45</v>
      </c>
      <c r="K469" t="s">
        <v>11</v>
      </c>
      <c r="L469" t="str">
        <f>T("9791166481888")</f>
        <v>9791166481888</v>
      </c>
    </row>
    <row r="470" spans="1:12">
      <c r="A470" s="2">
        <v>44784.628807870373</v>
      </c>
      <c r="B470">
        <v>299562124</v>
      </c>
      <c r="C470" t="s">
        <v>369</v>
      </c>
      <c r="D470" t="s">
        <v>9</v>
      </c>
      <c r="E470" s="3">
        <v>2000</v>
      </c>
      <c r="F470" s="3">
        <v>2000</v>
      </c>
      <c r="G470" s="3">
        <v>1400</v>
      </c>
      <c r="I470" t="s">
        <v>370</v>
      </c>
      <c r="J470" t="s">
        <v>40</v>
      </c>
      <c r="K470" t="s">
        <v>11</v>
      </c>
      <c r="L470" t="str">
        <f>T("9791191562873")</f>
        <v>9791191562873</v>
      </c>
    </row>
    <row r="471" spans="1:12">
      <c r="A471" s="2">
        <v>44784.634687500002</v>
      </c>
      <c r="B471">
        <v>293484295</v>
      </c>
      <c r="C471" t="s">
        <v>106</v>
      </c>
      <c r="D471" t="s">
        <v>9</v>
      </c>
      <c r="E471" s="3">
        <v>3500</v>
      </c>
      <c r="F471" s="3">
        <v>3500</v>
      </c>
      <c r="G471" s="3">
        <v>2450</v>
      </c>
      <c r="I471" t="s">
        <v>107</v>
      </c>
      <c r="J471" t="s">
        <v>40</v>
      </c>
      <c r="K471" t="s">
        <v>11</v>
      </c>
      <c r="L471" t="str">
        <f>T("9791191562330")</f>
        <v>9791191562330</v>
      </c>
    </row>
    <row r="472" spans="1:12">
      <c r="A472" s="2">
        <v>44784.645624999997</v>
      </c>
      <c r="B472">
        <v>299562124</v>
      </c>
      <c r="C472" t="s">
        <v>369</v>
      </c>
      <c r="D472" t="s">
        <v>9</v>
      </c>
      <c r="E472" s="3">
        <v>2000</v>
      </c>
      <c r="F472" s="3">
        <v>2000</v>
      </c>
      <c r="G472" s="3">
        <v>1400</v>
      </c>
      <c r="I472" t="s">
        <v>370</v>
      </c>
      <c r="J472" t="s">
        <v>40</v>
      </c>
      <c r="K472" t="s">
        <v>11</v>
      </c>
      <c r="L472" t="str">
        <f>T("9791191562873")</f>
        <v>9791191562873</v>
      </c>
    </row>
    <row r="473" spans="1:12">
      <c r="A473" s="2">
        <v>44784.668437499997</v>
      </c>
      <c r="B473">
        <v>299562124</v>
      </c>
      <c r="C473" t="s">
        <v>369</v>
      </c>
      <c r="D473" t="s">
        <v>9</v>
      </c>
      <c r="E473" s="3">
        <v>2000</v>
      </c>
      <c r="F473" s="3">
        <v>2000</v>
      </c>
      <c r="G473" s="3">
        <v>1400</v>
      </c>
      <c r="I473" t="s">
        <v>370</v>
      </c>
      <c r="J473" t="s">
        <v>40</v>
      </c>
      <c r="K473" t="s">
        <v>11</v>
      </c>
      <c r="L473" t="str">
        <f>T("9791191562873")</f>
        <v>9791191562873</v>
      </c>
    </row>
    <row r="474" spans="1:12">
      <c r="A474" s="2">
        <v>44784.672384259262</v>
      </c>
      <c r="B474">
        <v>287834730</v>
      </c>
      <c r="C474" t="s">
        <v>37</v>
      </c>
      <c r="D474" t="s">
        <v>9</v>
      </c>
      <c r="E474" s="3">
        <v>2000</v>
      </c>
      <c r="F474" s="3">
        <v>2000</v>
      </c>
      <c r="G474" s="3">
        <v>1400</v>
      </c>
      <c r="I474" t="s">
        <v>32</v>
      </c>
      <c r="J474" t="s">
        <v>40</v>
      </c>
      <c r="K474" t="s">
        <v>11</v>
      </c>
      <c r="L474" t="str">
        <f>T("9791191562019")</f>
        <v>9791191562019</v>
      </c>
    </row>
    <row r="475" spans="1:12">
      <c r="A475" s="2">
        <v>44784.681759259256</v>
      </c>
      <c r="B475">
        <v>298750948</v>
      </c>
      <c r="C475" t="s">
        <v>259</v>
      </c>
      <c r="D475" t="s">
        <v>9</v>
      </c>
      <c r="E475" s="3">
        <v>3500</v>
      </c>
      <c r="F475" s="3">
        <v>3500</v>
      </c>
      <c r="G475" s="3">
        <v>2450</v>
      </c>
      <c r="I475" t="s">
        <v>38</v>
      </c>
      <c r="J475" t="s">
        <v>40</v>
      </c>
      <c r="K475" t="s">
        <v>11</v>
      </c>
      <c r="L475" t="str">
        <f>T("9791191562866")</f>
        <v>9791191562866</v>
      </c>
    </row>
    <row r="476" spans="1:12">
      <c r="A476" s="2">
        <v>44784.686828703707</v>
      </c>
      <c r="B476">
        <v>298750948</v>
      </c>
      <c r="C476" t="s">
        <v>259</v>
      </c>
      <c r="D476" t="s">
        <v>9</v>
      </c>
      <c r="E476" s="3">
        <v>3500</v>
      </c>
      <c r="F476" s="3">
        <v>3500</v>
      </c>
      <c r="G476" s="3">
        <v>2450</v>
      </c>
      <c r="I476" t="s">
        <v>38</v>
      </c>
      <c r="J476" t="s">
        <v>40</v>
      </c>
      <c r="K476" t="s">
        <v>11</v>
      </c>
      <c r="L476" t="str">
        <f>T("9791191562866")</f>
        <v>9791191562866</v>
      </c>
    </row>
    <row r="477" spans="1:12">
      <c r="A477" s="2">
        <v>44784.688368055555</v>
      </c>
      <c r="B477">
        <v>299562124</v>
      </c>
      <c r="C477" t="s">
        <v>369</v>
      </c>
      <c r="D477" t="s">
        <v>9</v>
      </c>
      <c r="E477" s="3">
        <v>2000</v>
      </c>
      <c r="F477" s="3">
        <v>2000</v>
      </c>
      <c r="G477" s="3">
        <v>1400</v>
      </c>
      <c r="I477" t="s">
        <v>370</v>
      </c>
      <c r="J477" t="s">
        <v>40</v>
      </c>
      <c r="K477" t="s">
        <v>11</v>
      </c>
      <c r="L477" t="str">
        <f>T("9791191562873")</f>
        <v>9791191562873</v>
      </c>
    </row>
    <row r="478" spans="1:12">
      <c r="A478" s="2">
        <v>44784.688668981478</v>
      </c>
      <c r="B478">
        <v>295462572</v>
      </c>
      <c r="C478" t="s">
        <v>108</v>
      </c>
      <c r="D478" t="s">
        <v>9</v>
      </c>
      <c r="E478" s="3">
        <v>2000</v>
      </c>
      <c r="F478" s="3">
        <v>2000</v>
      </c>
      <c r="G478" s="3">
        <v>1400</v>
      </c>
      <c r="I478" t="s">
        <v>32</v>
      </c>
      <c r="J478" t="s">
        <v>40</v>
      </c>
      <c r="K478" t="s">
        <v>11</v>
      </c>
      <c r="L478" t="str">
        <f>T("9791191562361")</f>
        <v>9791191562361</v>
      </c>
    </row>
    <row r="479" spans="1:12">
      <c r="A479" s="2">
        <v>44784.690844907411</v>
      </c>
      <c r="B479">
        <v>291805580</v>
      </c>
      <c r="C479" t="s">
        <v>60</v>
      </c>
      <c r="D479" t="s">
        <v>9</v>
      </c>
      <c r="E479" s="3">
        <v>2000</v>
      </c>
      <c r="F479" s="3">
        <v>2000</v>
      </c>
      <c r="G479" s="3">
        <v>1400</v>
      </c>
      <c r="I479" t="s">
        <v>61</v>
      </c>
      <c r="J479" t="s">
        <v>40</v>
      </c>
      <c r="K479" t="s">
        <v>11</v>
      </c>
      <c r="L479" t="str">
        <f>T("9791191562255")</f>
        <v>9791191562255</v>
      </c>
    </row>
    <row r="480" spans="1:12">
      <c r="A480" s="2">
        <v>44784.695509259262</v>
      </c>
      <c r="B480">
        <v>287834730</v>
      </c>
      <c r="C480" t="s">
        <v>37</v>
      </c>
      <c r="D480" t="s">
        <v>9</v>
      </c>
      <c r="E480" s="3">
        <v>2000</v>
      </c>
      <c r="F480" s="3">
        <v>2000</v>
      </c>
      <c r="G480" s="3">
        <v>1400</v>
      </c>
      <c r="I480" t="s">
        <v>32</v>
      </c>
      <c r="J480" t="s">
        <v>40</v>
      </c>
      <c r="K480" t="s">
        <v>11</v>
      </c>
      <c r="L480" t="str">
        <f>T("9791191562019")</f>
        <v>9791191562019</v>
      </c>
    </row>
    <row r="481" spans="1:12">
      <c r="A481" s="2">
        <v>44784.695925925924</v>
      </c>
      <c r="B481">
        <v>292316442</v>
      </c>
      <c r="C481" t="s">
        <v>84</v>
      </c>
      <c r="D481" t="s">
        <v>9</v>
      </c>
      <c r="E481" s="3">
        <v>2500</v>
      </c>
      <c r="F481" s="3">
        <v>2500</v>
      </c>
      <c r="G481" s="3">
        <v>1750</v>
      </c>
      <c r="I481" t="s">
        <v>85</v>
      </c>
      <c r="J481" t="s">
        <v>40</v>
      </c>
      <c r="K481" t="s">
        <v>11</v>
      </c>
      <c r="L481" t="str">
        <f>T("9791191562309")</f>
        <v>9791191562309</v>
      </c>
    </row>
    <row r="482" spans="1:12">
      <c r="A482" s="2">
        <v>44784.706747685188</v>
      </c>
      <c r="B482">
        <v>295462572</v>
      </c>
      <c r="C482" t="s">
        <v>108</v>
      </c>
      <c r="D482" t="s">
        <v>9</v>
      </c>
      <c r="E482" s="3">
        <v>2000</v>
      </c>
      <c r="F482" s="3">
        <v>2000</v>
      </c>
      <c r="G482" s="3">
        <v>1400</v>
      </c>
      <c r="I482" t="s">
        <v>32</v>
      </c>
      <c r="J482" t="s">
        <v>40</v>
      </c>
      <c r="K482" t="s">
        <v>11</v>
      </c>
      <c r="L482" t="str">
        <f>T("9791191562361")</f>
        <v>9791191562361</v>
      </c>
    </row>
    <row r="483" spans="1:12">
      <c r="A483" s="2">
        <v>44784.719409722224</v>
      </c>
      <c r="B483">
        <v>299562124</v>
      </c>
      <c r="C483" t="s">
        <v>369</v>
      </c>
      <c r="D483" t="s">
        <v>9</v>
      </c>
      <c r="E483" s="3">
        <v>2000</v>
      </c>
      <c r="F483" s="3">
        <v>2000</v>
      </c>
      <c r="G483" s="3">
        <v>1400</v>
      </c>
      <c r="I483" t="s">
        <v>370</v>
      </c>
      <c r="J483" t="s">
        <v>40</v>
      </c>
      <c r="K483" t="s">
        <v>11</v>
      </c>
      <c r="L483" t="str">
        <f>T("9791191562873")</f>
        <v>9791191562873</v>
      </c>
    </row>
    <row r="484" spans="1:12">
      <c r="A484" s="2">
        <v>44784.733472222222</v>
      </c>
      <c r="B484">
        <v>299562124</v>
      </c>
      <c r="C484" t="s">
        <v>369</v>
      </c>
      <c r="D484" t="s">
        <v>9</v>
      </c>
      <c r="E484" s="3">
        <v>2000</v>
      </c>
      <c r="F484" s="3">
        <v>2000</v>
      </c>
      <c r="G484" s="3">
        <v>1400</v>
      </c>
      <c r="I484" t="s">
        <v>370</v>
      </c>
      <c r="J484" t="s">
        <v>40</v>
      </c>
      <c r="K484" t="s">
        <v>11</v>
      </c>
      <c r="L484" t="str">
        <f>T("9791191562873")</f>
        <v>9791191562873</v>
      </c>
    </row>
    <row r="485" spans="1:12">
      <c r="A485" s="2">
        <v>44784.743009259262</v>
      </c>
      <c r="B485">
        <v>299562124</v>
      </c>
      <c r="C485" t="s">
        <v>369</v>
      </c>
      <c r="D485" t="s">
        <v>9</v>
      </c>
      <c r="E485" s="3">
        <v>2000</v>
      </c>
      <c r="F485" s="3">
        <v>2000</v>
      </c>
      <c r="G485" s="3">
        <v>1400</v>
      </c>
      <c r="I485" t="s">
        <v>370</v>
      </c>
      <c r="J485" t="s">
        <v>40</v>
      </c>
      <c r="K485" t="s">
        <v>11</v>
      </c>
      <c r="L485" t="str">
        <f>T("9791191562873")</f>
        <v>9791191562873</v>
      </c>
    </row>
    <row r="486" spans="1:12">
      <c r="A486" s="2">
        <v>44784.748784722222</v>
      </c>
      <c r="B486">
        <v>297620121</v>
      </c>
      <c r="C486" t="s">
        <v>205</v>
      </c>
      <c r="D486" t="s">
        <v>9</v>
      </c>
      <c r="E486" s="3">
        <v>2000</v>
      </c>
      <c r="F486" s="3">
        <v>2000</v>
      </c>
      <c r="G486" s="3">
        <v>1400</v>
      </c>
      <c r="I486" t="s">
        <v>29</v>
      </c>
      <c r="J486" t="s">
        <v>40</v>
      </c>
      <c r="K486" t="s">
        <v>11</v>
      </c>
      <c r="L486" t="str">
        <f>T("9791191562484")</f>
        <v>9791191562484</v>
      </c>
    </row>
    <row r="487" spans="1:12">
      <c r="A487" s="2">
        <v>44784.755150462966</v>
      </c>
      <c r="B487">
        <v>299562124</v>
      </c>
      <c r="C487" t="s">
        <v>369</v>
      </c>
      <c r="D487" t="s">
        <v>9</v>
      </c>
      <c r="E487" s="3">
        <v>2000</v>
      </c>
      <c r="F487" s="3">
        <v>2000</v>
      </c>
      <c r="G487" s="3">
        <v>1400</v>
      </c>
      <c r="I487" t="s">
        <v>370</v>
      </c>
      <c r="J487" t="s">
        <v>40</v>
      </c>
      <c r="K487" t="s">
        <v>11</v>
      </c>
      <c r="L487" t="str">
        <f>T("9791191562873")</f>
        <v>9791191562873</v>
      </c>
    </row>
    <row r="488" spans="1:12">
      <c r="A488" s="2">
        <v>44784.758449074077</v>
      </c>
      <c r="B488">
        <v>299562124</v>
      </c>
      <c r="C488" t="s">
        <v>369</v>
      </c>
      <c r="D488" t="s">
        <v>9</v>
      </c>
      <c r="E488" s="3">
        <v>2000</v>
      </c>
      <c r="F488" s="3">
        <v>2000</v>
      </c>
      <c r="G488" s="3">
        <v>1400</v>
      </c>
      <c r="I488" t="s">
        <v>370</v>
      </c>
      <c r="J488" t="s">
        <v>40</v>
      </c>
      <c r="K488" t="s">
        <v>11</v>
      </c>
      <c r="L488" t="str">
        <f>T("9791191562873")</f>
        <v>9791191562873</v>
      </c>
    </row>
    <row r="489" spans="1:12">
      <c r="A489" s="2">
        <v>44784.781550925924</v>
      </c>
      <c r="B489">
        <v>263958832</v>
      </c>
      <c r="C489" t="s">
        <v>159</v>
      </c>
      <c r="D489" t="s">
        <v>9</v>
      </c>
      <c r="E489" s="3">
        <v>3200</v>
      </c>
      <c r="F489" s="3">
        <v>3200</v>
      </c>
      <c r="G489" s="3">
        <v>2240</v>
      </c>
      <c r="I489" t="s">
        <v>13</v>
      </c>
      <c r="J489" t="s">
        <v>11</v>
      </c>
      <c r="K489" t="s">
        <v>11</v>
      </c>
      <c r="L489" t="str">
        <f>T("9791166300561")</f>
        <v>9791166300561</v>
      </c>
    </row>
    <row r="490" spans="1:12">
      <c r="A490" s="2">
        <v>44784.781550925924</v>
      </c>
      <c r="B490">
        <v>263958846</v>
      </c>
      <c r="C490" t="s">
        <v>158</v>
      </c>
      <c r="D490" t="s">
        <v>9</v>
      </c>
      <c r="E490" s="3">
        <v>3200</v>
      </c>
      <c r="F490" s="3">
        <v>3200</v>
      </c>
      <c r="G490" s="3">
        <v>2240</v>
      </c>
      <c r="I490" t="s">
        <v>13</v>
      </c>
      <c r="J490" t="s">
        <v>11</v>
      </c>
      <c r="K490" t="s">
        <v>11</v>
      </c>
      <c r="L490" t="str">
        <f>T("9791166300554")</f>
        <v>9791166300554</v>
      </c>
    </row>
    <row r="491" spans="1:12">
      <c r="A491" s="2">
        <v>44784.781550925924</v>
      </c>
      <c r="B491">
        <v>263958793</v>
      </c>
      <c r="C491" t="s">
        <v>371</v>
      </c>
      <c r="D491" t="s">
        <v>9</v>
      </c>
      <c r="E491" s="3">
        <v>3200</v>
      </c>
      <c r="F491" s="3">
        <v>3200</v>
      </c>
      <c r="G491" s="3">
        <v>2240</v>
      </c>
      <c r="I491" t="s">
        <v>13</v>
      </c>
      <c r="J491" t="s">
        <v>11</v>
      </c>
      <c r="K491" t="s">
        <v>11</v>
      </c>
      <c r="L491" t="str">
        <f>T("9791166300547")</f>
        <v>9791166300547</v>
      </c>
    </row>
    <row r="492" spans="1:12">
      <c r="A492" s="2">
        <v>44784.789409722223</v>
      </c>
      <c r="B492">
        <v>298750948</v>
      </c>
      <c r="C492" t="s">
        <v>259</v>
      </c>
      <c r="D492" t="s">
        <v>9</v>
      </c>
      <c r="E492" s="3">
        <v>3500</v>
      </c>
      <c r="F492" s="3">
        <v>3500</v>
      </c>
      <c r="G492" s="3">
        <v>2450</v>
      </c>
      <c r="I492" t="s">
        <v>38</v>
      </c>
      <c r="J492" t="s">
        <v>40</v>
      </c>
      <c r="K492" t="s">
        <v>11</v>
      </c>
      <c r="L492" t="str">
        <f>T("9791191562866")</f>
        <v>9791191562866</v>
      </c>
    </row>
    <row r="493" spans="1:12">
      <c r="A493" s="2">
        <v>44784.797418981485</v>
      </c>
      <c r="B493">
        <v>299562124</v>
      </c>
      <c r="C493" t="s">
        <v>369</v>
      </c>
      <c r="D493" t="s">
        <v>9</v>
      </c>
      <c r="E493" s="3">
        <v>2000</v>
      </c>
      <c r="F493" s="3">
        <v>2000</v>
      </c>
      <c r="G493" s="3">
        <v>1400</v>
      </c>
      <c r="I493" t="s">
        <v>370</v>
      </c>
      <c r="J493" t="s">
        <v>40</v>
      </c>
      <c r="K493" t="s">
        <v>11</v>
      </c>
      <c r="L493" t="str">
        <f>T("9791191562873")</f>
        <v>9791191562873</v>
      </c>
    </row>
    <row r="494" spans="1:12">
      <c r="A494" s="2">
        <v>44784.81622685185</v>
      </c>
      <c r="B494">
        <v>299562124</v>
      </c>
      <c r="C494" t="s">
        <v>369</v>
      </c>
      <c r="D494" t="s">
        <v>9</v>
      </c>
      <c r="E494" s="3">
        <v>2000</v>
      </c>
      <c r="F494" s="3">
        <v>2000</v>
      </c>
      <c r="G494" s="3">
        <v>1400</v>
      </c>
      <c r="I494" t="s">
        <v>370</v>
      </c>
      <c r="J494" t="s">
        <v>40</v>
      </c>
      <c r="K494" t="s">
        <v>11</v>
      </c>
      <c r="L494" t="str">
        <f>T("9791191562873")</f>
        <v>9791191562873</v>
      </c>
    </row>
    <row r="495" spans="1:12">
      <c r="A495" s="2">
        <v>44784.82849537037</v>
      </c>
      <c r="B495">
        <v>299562124</v>
      </c>
      <c r="C495" t="s">
        <v>369</v>
      </c>
      <c r="D495" t="s">
        <v>9</v>
      </c>
      <c r="E495" s="3">
        <v>2000</v>
      </c>
      <c r="F495" s="3">
        <v>2000</v>
      </c>
      <c r="G495" s="3">
        <v>1400</v>
      </c>
      <c r="I495" t="s">
        <v>370</v>
      </c>
      <c r="J495" t="s">
        <v>40</v>
      </c>
      <c r="K495" t="s">
        <v>11</v>
      </c>
      <c r="L495" t="str">
        <f>T("9791191562873")</f>
        <v>9791191562873</v>
      </c>
    </row>
    <row r="496" spans="1:12">
      <c r="A496" s="2">
        <v>44784.863356481481</v>
      </c>
      <c r="B496">
        <v>299562124</v>
      </c>
      <c r="C496" t="s">
        <v>369</v>
      </c>
      <c r="D496" t="s">
        <v>9</v>
      </c>
      <c r="E496" s="3">
        <v>2000</v>
      </c>
      <c r="F496" s="3">
        <v>2000</v>
      </c>
      <c r="G496" s="3">
        <v>1400</v>
      </c>
      <c r="I496" t="s">
        <v>370</v>
      </c>
      <c r="J496" t="s">
        <v>40</v>
      </c>
      <c r="K496" t="s">
        <v>11</v>
      </c>
      <c r="L496" t="str">
        <f>T("9791191562873")</f>
        <v>9791191562873</v>
      </c>
    </row>
    <row r="497" spans="1:12">
      <c r="A497" s="2">
        <v>44784.873437499999</v>
      </c>
      <c r="B497">
        <v>149550328</v>
      </c>
      <c r="C497" t="s">
        <v>249</v>
      </c>
      <c r="D497" t="s">
        <v>12</v>
      </c>
      <c r="E497">
        <v>900</v>
      </c>
      <c r="F497">
        <v>900</v>
      </c>
      <c r="G497">
        <v>630</v>
      </c>
      <c r="I497" t="s">
        <v>124</v>
      </c>
      <c r="J497" t="s">
        <v>11</v>
      </c>
      <c r="K497" t="s">
        <v>11</v>
      </c>
      <c r="L497" t="str">
        <f>T("9791159286346")</f>
        <v>9791159286346</v>
      </c>
    </row>
    <row r="498" spans="1:12">
      <c r="A498" s="2">
        <v>44784.874108796299</v>
      </c>
      <c r="B498">
        <v>173049054</v>
      </c>
      <c r="C498" t="s">
        <v>372</v>
      </c>
      <c r="D498" t="s">
        <v>12</v>
      </c>
      <c r="E498" s="3">
        <v>8800</v>
      </c>
      <c r="F498" s="3">
        <v>8800</v>
      </c>
      <c r="G498" s="3">
        <v>6160</v>
      </c>
      <c r="I498" t="s">
        <v>105</v>
      </c>
      <c r="J498" t="s">
        <v>71</v>
      </c>
      <c r="K498" t="s">
        <v>11</v>
      </c>
      <c r="L498" t="str">
        <f>T("9791189084929")</f>
        <v>9791189084929</v>
      </c>
    </row>
    <row r="499" spans="1:12">
      <c r="A499" s="2">
        <v>44784.874108796299</v>
      </c>
      <c r="B499">
        <v>176182743</v>
      </c>
      <c r="C499" t="s">
        <v>373</v>
      </c>
      <c r="D499" t="s">
        <v>12</v>
      </c>
      <c r="E499" s="3">
        <v>13280</v>
      </c>
      <c r="F499" s="3">
        <v>13280</v>
      </c>
      <c r="G499" s="3">
        <v>9296</v>
      </c>
      <c r="I499" t="s">
        <v>374</v>
      </c>
      <c r="J499" t="s">
        <v>71</v>
      </c>
      <c r="K499" t="s">
        <v>11</v>
      </c>
      <c r="L499" t="str">
        <f>T("9791189627270")</f>
        <v>9791189627270</v>
      </c>
    </row>
    <row r="500" spans="1:12">
      <c r="A500" s="2">
        <v>44784.874108796299</v>
      </c>
      <c r="B500">
        <v>199376555</v>
      </c>
      <c r="C500" t="s">
        <v>375</v>
      </c>
      <c r="D500" t="s">
        <v>12</v>
      </c>
      <c r="E500">
        <v>240</v>
      </c>
      <c r="F500">
        <v>240</v>
      </c>
      <c r="G500">
        <v>168</v>
      </c>
      <c r="I500" t="s">
        <v>376</v>
      </c>
      <c r="J500" t="s">
        <v>71</v>
      </c>
      <c r="K500" t="s">
        <v>11</v>
      </c>
      <c r="L500" t="str">
        <f>T("9791164370641")</f>
        <v>9791164370641</v>
      </c>
    </row>
    <row r="501" spans="1:12">
      <c r="A501" s="2">
        <v>44784.874108796299</v>
      </c>
      <c r="B501">
        <v>199376556</v>
      </c>
      <c r="C501" t="s">
        <v>377</v>
      </c>
      <c r="D501" t="s">
        <v>12</v>
      </c>
      <c r="E501" s="3">
        <v>2400</v>
      </c>
      <c r="F501" s="3">
        <v>2400</v>
      </c>
      <c r="G501" s="3">
        <v>1680</v>
      </c>
      <c r="I501" t="s">
        <v>376</v>
      </c>
      <c r="J501" t="s">
        <v>71</v>
      </c>
      <c r="K501" t="s">
        <v>11</v>
      </c>
      <c r="L501" t="str">
        <f>T("9791164370344")</f>
        <v>9791164370344</v>
      </c>
    </row>
    <row r="502" spans="1:12">
      <c r="A502" s="2">
        <v>44784.874108796299</v>
      </c>
      <c r="B502">
        <v>199376557</v>
      </c>
      <c r="C502" t="s">
        <v>378</v>
      </c>
      <c r="D502" t="s">
        <v>12</v>
      </c>
      <c r="E502" s="3">
        <v>2400</v>
      </c>
      <c r="F502" s="3">
        <v>2400</v>
      </c>
      <c r="G502" s="3">
        <v>1680</v>
      </c>
      <c r="I502" t="s">
        <v>376</v>
      </c>
      <c r="J502" t="s">
        <v>71</v>
      </c>
      <c r="K502" t="s">
        <v>11</v>
      </c>
      <c r="L502" t="str">
        <f>T("9791164370337")</f>
        <v>9791164370337</v>
      </c>
    </row>
    <row r="503" spans="1:12">
      <c r="A503" s="2">
        <v>44784.874907407408</v>
      </c>
      <c r="B503">
        <v>299562124</v>
      </c>
      <c r="C503" t="s">
        <v>369</v>
      </c>
      <c r="D503" t="s">
        <v>9</v>
      </c>
      <c r="E503" s="3">
        <v>2000</v>
      </c>
      <c r="F503" s="3">
        <v>2000</v>
      </c>
      <c r="G503" s="3">
        <v>1400</v>
      </c>
      <c r="I503" t="s">
        <v>370</v>
      </c>
      <c r="J503" t="s">
        <v>40</v>
      </c>
      <c r="K503" t="s">
        <v>11</v>
      </c>
      <c r="L503" t="str">
        <f>T("9791191562873")</f>
        <v>9791191562873</v>
      </c>
    </row>
    <row r="504" spans="1:12">
      <c r="A504" s="2">
        <v>44784.885231481479</v>
      </c>
      <c r="B504">
        <v>295216088</v>
      </c>
      <c r="C504" t="s">
        <v>114</v>
      </c>
      <c r="D504" t="s">
        <v>9</v>
      </c>
      <c r="E504" s="3">
        <v>2500</v>
      </c>
      <c r="F504" s="3">
        <v>2500</v>
      </c>
      <c r="G504" s="3">
        <v>1750</v>
      </c>
      <c r="I504" t="s">
        <v>113</v>
      </c>
      <c r="J504" t="s">
        <v>40</v>
      </c>
      <c r="K504" t="s">
        <v>11</v>
      </c>
      <c r="L504" t="str">
        <f>T("9791191562453")</f>
        <v>9791191562453</v>
      </c>
    </row>
    <row r="505" spans="1:12">
      <c r="A505" s="2">
        <v>44784.893553240741</v>
      </c>
      <c r="B505">
        <v>298750948</v>
      </c>
      <c r="C505" t="s">
        <v>259</v>
      </c>
      <c r="D505" t="s">
        <v>9</v>
      </c>
      <c r="E505" s="3">
        <v>3500</v>
      </c>
      <c r="F505" s="3">
        <v>3500</v>
      </c>
      <c r="G505" s="3">
        <v>2450</v>
      </c>
      <c r="I505" t="s">
        <v>38</v>
      </c>
      <c r="J505" t="s">
        <v>40</v>
      </c>
      <c r="K505" t="s">
        <v>11</v>
      </c>
      <c r="L505" t="str">
        <f>T("9791191562866")</f>
        <v>9791191562866</v>
      </c>
    </row>
    <row r="506" spans="1:12">
      <c r="A506" s="2">
        <v>44784.915821759256</v>
      </c>
      <c r="B506">
        <v>299562124</v>
      </c>
      <c r="C506" t="s">
        <v>369</v>
      </c>
      <c r="D506" t="s">
        <v>9</v>
      </c>
      <c r="E506" s="3">
        <v>2000</v>
      </c>
      <c r="F506" s="3">
        <v>2000</v>
      </c>
      <c r="G506" s="3">
        <v>1400</v>
      </c>
      <c r="I506" t="s">
        <v>370</v>
      </c>
      <c r="J506" t="s">
        <v>40</v>
      </c>
      <c r="K506" t="s">
        <v>11</v>
      </c>
      <c r="L506" t="str">
        <f>T("9791191562873")</f>
        <v>9791191562873</v>
      </c>
    </row>
    <row r="507" spans="1:12">
      <c r="A507" s="2">
        <v>44784.916446759256</v>
      </c>
      <c r="B507">
        <v>287834730</v>
      </c>
      <c r="C507" t="s">
        <v>37</v>
      </c>
      <c r="D507" t="s">
        <v>9</v>
      </c>
      <c r="E507" s="3">
        <v>2000</v>
      </c>
      <c r="F507" s="3">
        <v>2000</v>
      </c>
      <c r="G507" s="3">
        <v>1400</v>
      </c>
      <c r="I507" t="s">
        <v>32</v>
      </c>
      <c r="J507" t="s">
        <v>40</v>
      </c>
      <c r="K507" t="s">
        <v>11</v>
      </c>
      <c r="L507" t="str">
        <f>T("9791191562019")</f>
        <v>9791191562019</v>
      </c>
    </row>
    <row r="508" spans="1:12">
      <c r="A508" s="2">
        <v>44784.929675925923</v>
      </c>
      <c r="B508">
        <v>299562124</v>
      </c>
      <c r="C508" t="s">
        <v>369</v>
      </c>
      <c r="D508" t="s">
        <v>9</v>
      </c>
      <c r="E508" s="3">
        <v>2000</v>
      </c>
      <c r="F508" s="3">
        <v>2000</v>
      </c>
      <c r="G508" s="3">
        <v>1400</v>
      </c>
      <c r="I508" t="s">
        <v>370</v>
      </c>
      <c r="J508" t="s">
        <v>40</v>
      </c>
      <c r="K508" t="s">
        <v>11</v>
      </c>
      <c r="L508" t="str">
        <f>T("9791191562873")</f>
        <v>9791191562873</v>
      </c>
    </row>
    <row r="509" spans="1:12">
      <c r="A509" s="2">
        <v>44784.931875000002</v>
      </c>
      <c r="B509">
        <v>293771607</v>
      </c>
      <c r="C509" t="s">
        <v>292</v>
      </c>
      <c r="D509" t="s">
        <v>12</v>
      </c>
      <c r="E509" s="3">
        <v>2000</v>
      </c>
      <c r="F509" s="3">
        <v>2000</v>
      </c>
      <c r="G509" s="3">
        <v>1400</v>
      </c>
      <c r="I509" t="s">
        <v>293</v>
      </c>
      <c r="J509" t="s">
        <v>40</v>
      </c>
      <c r="K509" t="s">
        <v>11</v>
      </c>
      <c r="L509" t="str">
        <f>T("9791191562323")</f>
        <v>9791191562323</v>
      </c>
    </row>
    <row r="510" spans="1:12">
      <c r="A510" s="2">
        <v>44784.942974537036</v>
      </c>
      <c r="B510">
        <v>299562124</v>
      </c>
      <c r="C510" t="s">
        <v>369</v>
      </c>
      <c r="D510" t="s">
        <v>9</v>
      </c>
      <c r="E510" s="3">
        <v>2000</v>
      </c>
      <c r="F510" s="3">
        <v>2000</v>
      </c>
      <c r="G510" s="3">
        <v>1400</v>
      </c>
      <c r="I510" t="s">
        <v>370</v>
      </c>
      <c r="J510" t="s">
        <v>40</v>
      </c>
      <c r="K510" t="s">
        <v>11</v>
      </c>
      <c r="L510" t="str">
        <f>T("9791191562873")</f>
        <v>9791191562873</v>
      </c>
    </row>
    <row r="511" spans="1:12">
      <c r="A511" s="2">
        <v>44784.944791666669</v>
      </c>
      <c r="B511">
        <v>299562124</v>
      </c>
      <c r="C511" t="s">
        <v>369</v>
      </c>
      <c r="D511" t="s">
        <v>9</v>
      </c>
      <c r="E511" s="3">
        <v>2000</v>
      </c>
      <c r="F511" s="3">
        <v>2000</v>
      </c>
      <c r="G511" s="3">
        <v>1400</v>
      </c>
      <c r="I511" t="s">
        <v>370</v>
      </c>
      <c r="J511" t="s">
        <v>40</v>
      </c>
      <c r="K511" t="s">
        <v>11</v>
      </c>
      <c r="L511" t="str">
        <f>T("9791191562873")</f>
        <v>9791191562873</v>
      </c>
    </row>
    <row r="512" spans="1:12">
      <c r="A512" s="2">
        <v>44784.948020833333</v>
      </c>
      <c r="B512">
        <v>299562124</v>
      </c>
      <c r="C512" t="s">
        <v>369</v>
      </c>
      <c r="D512" t="s">
        <v>9</v>
      </c>
      <c r="E512" s="3">
        <v>2000</v>
      </c>
      <c r="F512" s="3">
        <v>2000</v>
      </c>
      <c r="G512" s="3">
        <v>1400</v>
      </c>
      <c r="I512" t="s">
        <v>370</v>
      </c>
      <c r="J512" t="s">
        <v>40</v>
      </c>
      <c r="K512" t="s">
        <v>11</v>
      </c>
      <c r="L512" t="str">
        <f>T("9791191562873")</f>
        <v>9791191562873</v>
      </c>
    </row>
    <row r="513" spans="1:12">
      <c r="A513" s="2">
        <v>44784.950937499998</v>
      </c>
      <c r="B513">
        <v>278962016</v>
      </c>
      <c r="C513" t="s">
        <v>379</v>
      </c>
      <c r="D513" t="s">
        <v>9</v>
      </c>
      <c r="E513" s="3">
        <v>3500</v>
      </c>
      <c r="F513" s="3">
        <v>3500</v>
      </c>
      <c r="G513" s="3">
        <v>2450</v>
      </c>
      <c r="I513" t="s">
        <v>145</v>
      </c>
      <c r="J513" t="s">
        <v>71</v>
      </c>
      <c r="K513" t="s">
        <v>11</v>
      </c>
      <c r="L513" t="str">
        <f>T("9791164374588")</f>
        <v>9791164374588</v>
      </c>
    </row>
    <row r="514" spans="1:12">
      <c r="A514" s="2">
        <v>44784.952638888892</v>
      </c>
      <c r="B514">
        <v>299562124</v>
      </c>
      <c r="C514" t="s">
        <v>369</v>
      </c>
      <c r="D514" t="s">
        <v>9</v>
      </c>
      <c r="E514" s="3">
        <v>2000</v>
      </c>
      <c r="F514" s="3">
        <v>2000</v>
      </c>
      <c r="G514" s="3">
        <v>1400</v>
      </c>
      <c r="I514" t="s">
        <v>370</v>
      </c>
      <c r="J514" t="s">
        <v>40</v>
      </c>
      <c r="K514" t="s">
        <v>11</v>
      </c>
      <c r="L514" t="str">
        <f t="shared" ref="L514:L521" si="0">T("9791191562873")</f>
        <v>9791191562873</v>
      </c>
    </row>
    <row r="515" spans="1:12">
      <c r="A515" s="2">
        <v>44784.954629629632</v>
      </c>
      <c r="B515">
        <v>299562124</v>
      </c>
      <c r="C515" t="s">
        <v>369</v>
      </c>
      <c r="D515" t="s">
        <v>9</v>
      </c>
      <c r="E515" s="3">
        <v>2000</v>
      </c>
      <c r="F515" s="3">
        <v>2000</v>
      </c>
      <c r="G515" s="3">
        <v>1400</v>
      </c>
      <c r="I515" t="s">
        <v>370</v>
      </c>
      <c r="J515" t="s">
        <v>40</v>
      </c>
      <c r="K515" t="s">
        <v>11</v>
      </c>
      <c r="L515" t="str">
        <f t="shared" si="0"/>
        <v>9791191562873</v>
      </c>
    </row>
    <row r="516" spans="1:12">
      <c r="A516" s="2">
        <v>44784.956759259258</v>
      </c>
      <c r="B516">
        <v>299562124</v>
      </c>
      <c r="C516" t="s">
        <v>369</v>
      </c>
      <c r="D516" t="s">
        <v>9</v>
      </c>
      <c r="E516" s="3">
        <v>2000</v>
      </c>
      <c r="F516" s="3">
        <v>2000</v>
      </c>
      <c r="G516" s="3">
        <v>1400</v>
      </c>
      <c r="I516" t="s">
        <v>370</v>
      </c>
      <c r="J516" t="s">
        <v>40</v>
      </c>
      <c r="K516" t="s">
        <v>11</v>
      </c>
      <c r="L516" t="str">
        <f t="shared" si="0"/>
        <v>9791191562873</v>
      </c>
    </row>
    <row r="517" spans="1:12">
      <c r="A517" s="2">
        <v>44784.960833333331</v>
      </c>
      <c r="B517">
        <v>299562124</v>
      </c>
      <c r="C517" t="s">
        <v>369</v>
      </c>
      <c r="D517" t="s">
        <v>9</v>
      </c>
      <c r="E517" s="3">
        <v>2000</v>
      </c>
      <c r="F517" s="3">
        <v>2000</v>
      </c>
      <c r="G517" s="3">
        <v>1400</v>
      </c>
      <c r="I517" t="s">
        <v>370</v>
      </c>
      <c r="J517" t="s">
        <v>40</v>
      </c>
      <c r="K517" t="s">
        <v>11</v>
      </c>
      <c r="L517" t="str">
        <f t="shared" si="0"/>
        <v>9791191562873</v>
      </c>
    </row>
    <row r="518" spans="1:12">
      <c r="A518" s="2">
        <v>44784.961701388886</v>
      </c>
      <c r="B518">
        <v>299562124</v>
      </c>
      <c r="C518" t="s">
        <v>369</v>
      </c>
      <c r="D518" t="s">
        <v>9</v>
      </c>
      <c r="E518" s="3">
        <v>2000</v>
      </c>
      <c r="F518" s="3">
        <v>2000</v>
      </c>
      <c r="G518" s="3">
        <v>1400</v>
      </c>
      <c r="I518" t="s">
        <v>370</v>
      </c>
      <c r="J518" t="s">
        <v>40</v>
      </c>
      <c r="K518" t="s">
        <v>11</v>
      </c>
      <c r="L518" t="str">
        <f t="shared" si="0"/>
        <v>9791191562873</v>
      </c>
    </row>
    <row r="519" spans="1:12">
      <c r="A519" s="2">
        <v>44784.964571759258</v>
      </c>
      <c r="B519">
        <v>299562124</v>
      </c>
      <c r="C519" t="s">
        <v>369</v>
      </c>
      <c r="D519" t="s">
        <v>9</v>
      </c>
      <c r="E519" s="3">
        <v>2000</v>
      </c>
      <c r="F519" s="3">
        <v>2000</v>
      </c>
      <c r="G519" s="3">
        <v>1400</v>
      </c>
      <c r="I519" t="s">
        <v>370</v>
      </c>
      <c r="J519" t="s">
        <v>40</v>
      </c>
      <c r="K519" t="s">
        <v>11</v>
      </c>
      <c r="L519" t="str">
        <f t="shared" si="0"/>
        <v>9791191562873</v>
      </c>
    </row>
    <row r="520" spans="1:12">
      <c r="A520" s="2">
        <v>44784.965162037035</v>
      </c>
      <c r="B520">
        <v>299562124</v>
      </c>
      <c r="C520" t="s">
        <v>369</v>
      </c>
      <c r="D520" t="s">
        <v>9</v>
      </c>
      <c r="E520" s="3">
        <v>2000</v>
      </c>
      <c r="F520" s="3">
        <v>2000</v>
      </c>
      <c r="G520" s="3">
        <v>1400</v>
      </c>
      <c r="I520" t="s">
        <v>370</v>
      </c>
      <c r="J520" t="s">
        <v>40</v>
      </c>
      <c r="K520" t="s">
        <v>11</v>
      </c>
      <c r="L520" t="str">
        <f t="shared" si="0"/>
        <v>9791191562873</v>
      </c>
    </row>
    <row r="521" spans="1:12">
      <c r="A521" s="2">
        <v>44784.968668981484</v>
      </c>
      <c r="B521">
        <v>299562124</v>
      </c>
      <c r="C521" t="s">
        <v>369</v>
      </c>
      <c r="D521" t="s">
        <v>9</v>
      </c>
      <c r="E521" s="3">
        <v>2000</v>
      </c>
      <c r="F521" s="3">
        <v>2000</v>
      </c>
      <c r="G521" s="3">
        <v>1400</v>
      </c>
      <c r="I521" t="s">
        <v>370</v>
      </c>
      <c r="J521" t="s">
        <v>40</v>
      </c>
      <c r="K521" t="s">
        <v>11</v>
      </c>
      <c r="L521" t="str">
        <f t="shared" si="0"/>
        <v>9791191562873</v>
      </c>
    </row>
    <row r="522" spans="1:12">
      <c r="A522" s="2">
        <v>44784.985949074071</v>
      </c>
      <c r="B522">
        <v>291088925</v>
      </c>
      <c r="C522" t="s">
        <v>58</v>
      </c>
      <c r="D522" t="s">
        <v>9</v>
      </c>
      <c r="E522" s="3">
        <v>2000</v>
      </c>
      <c r="F522" s="3">
        <v>2000</v>
      </c>
      <c r="G522" s="3">
        <v>1400</v>
      </c>
      <c r="I522" t="s">
        <v>59</v>
      </c>
      <c r="J522" t="s">
        <v>40</v>
      </c>
      <c r="K522" t="s">
        <v>11</v>
      </c>
      <c r="L522" t="str">
        <f>T("9791191562187")</f>
        <v>9791191562187</v>
      </c>
    </row>
    <row r="523" spans="1:12">
      <c r="A523" s="2">
        <v>44784.991168981483</v>
      </c>
      <c r="B523">
        <v>299562124</v>
      </c>
      <c r="C523" t="s">
        <v>369</v>
      </c>
      <c r="D523" t="s">
        <v>9</v>
      </c>
      <c r="E523" s="3">
        <v>2000</v>
      </c>
      <c r="F523" s="3">
        <v>2000</v>
      </c>
      <c r="G523" s="3">
        <v>1400</v>
      </c>
      <c r="I523" t="s">
        <v>370</v>
      </c>
      <c r="J523" t="s">
        <v>40</v>
      </c>
      <c r="K523" t="s">
        <v>11</v>
      </c>
      <c r="L523" t="str">
        <f>T("9791191562873")</f>
        <v>9791191562873</v>
      </c>
    </row>
    <row r="524" spans="1:12">
      <c r="A524" s="2">
        <v>44785.005208333336</v>
      </c>
      <c r="B524">
        <v>299562124</v>
      </c>
      <c r="C524" t="s">
        <v>369</v>
      </c>
      <c r="D524" t="s">
        <v>9</v>
      </c>
      <c r="E524" s="3">
        <v>2000</v>
      </c>
      <c r="F524" s="3">
        <v>2000</v>
      </c>
      <c r="G524" s="3">
        <v>1400</v>
      </c>
      <c r="I524" t="s">
        <v>370</v>
      </c>
      <c r="J524" t="s">
        <v>40</v>
      </c>
      <c r="K524" t="s">
        <v>11</v>
      </c>
      <c r="L524" t="str">
        <f>T("9791191562873")</f>
        <v>9791191562873</v>
      </c>
    </row>
    <row r="525" spans="1:12">
      <c r="A525" s="2">
        <v>44785.01059027778</v>
      </c>
      <c r="B525">
        <v>299562124</v>
      </c>
      <c r="C525" t="s">
        <v>369</v>
      </c>
      <c r="D525" t="s">
        <v>9</v>
      </c>
      <c r="E525" s="3">
        <v>2000</v>
      </c>
      <c r="F525" s="3">
        <v>2000</v>
      </c>
      <c r="G525" s="3">
        <v>1400</v>
      </c>
      <c r="I525" t="s">
        <v>370</v>
      </c>
      <c r="J525" t="s">
        <v>40</v>
      </c>
      <c r="K525" t="s">
        <v>11</v>
      </c>
      <c r="L525" t="str">
        <f>T("9791191562873")</f>
        <v>9791191562873</v>
      </c>
    </row>
    <row r="526" spans="1:12">
      <c r="A526" s="2">
        <v>44785.059606481482</v>
      </c>
      <c r="B526">
        <v>290829048</v>
      </c>
      <c r="C526" t="s">
        <v>198</v>
      </c>
      <c r="D526" t="s">
        <v>9</v>
      </c>
      <c r="E526">
        <v>0</v>
      </c>
      <c r="F526">
        <v>0</v>
      </c>
      <c r="G526">
        <v>0</v>
      </c>
      <c r="I526" t="s">
        <v>20</v>
      </c>
      <c r="J526" t="s">
        <v>17</v>
      </c>
      <c r="K526" t="s">
        <v>11</v>
      </c>
      <c r="L526" t="str">
        <f>T("9791164480401")</f>
        <v>9791164480401</v>
      </c>
    </row>
    <row r="527" spans="1:12">
      <c r="A527" s="2">
        <v>44785.090312499997</v>
      </c>
      <c r="B527">
        <v>281625214</v>
      </c>
      <c r="C527" t="s">
        <v>222</v>
      </c>
      <c r="D527" t="s">
        <v>9</v>
      </c>
      <c r="E527" s="3">
        <v>3200</v>
      </c>
      <c r="F527" s="3">
        <v>3200</v>
      </c>
      <c r="G527" s="3">
        <v>2240</v>
      </c>
      <c r="I527" t="s">
        <v>14</v>
      </c>
      <c r="J527" t="s">
        <v>11</v>
      </c>
      <c r="K527" t="s">
        <v>11</v>
      </c>
      <c r="L527" t="str">
        <f>T("9791137601178")</f>
        <v>9791137601178</v>
      </c>
    </row>
    <row r="528" spans="1:12">
      <c r="A528" s="2">
        <v>44785.090312499997</v>
      </c>
      <c r="B528">
        <v>281625202</v>
      </c>
      <c r="C528" t="s">
        <v>217</v>
      </c>
      <c r="D528" t="s">
        <v>9</v>
      </c>
      <c r="E528" s="3">
        <v>3200</v>
      </c>
      <c r="F528" s="3">
        <v>3200</v>
      </c>
      <c r="G528" s="3">
        <v>2240</v>
      </c>
      <c r="I528" t="s">
        <v>14</v>
      </c>
      <c r="J528" t="s">
        <v>11</v>
      </c>
      <c r="K528" t="s">
        <v>11</v>
      </c>
      <c r="L528" t="str">
        <f>T("9791137601154")</f>
        <v>9791137601154</v>
      </c>
    </row>
    <row r="529" spans="1:12">
      <c r="A529" s="2">
        <v>44785.090312499997</v>
      </c>
      <c r="B529">
        <v>281625183</v>
      </c>
      <c r="C529" t="s">
        <v>218</v>
      </c>
      <c r="D529" t="s">
        <v>9</v>
      </c>
      <c r="E529" s="3">
        <v>3200</v>
      </c>
      <c r="F529" s="3">
        <v>3200</v>
      </c>
      <c r="G529" s="3">
        <v>2240</v>
      </c>
      <c r="I529" t="s">
        <v>14</v>
      </c>
      <c r="J529" t="s">
        <v>11</v>
      </c>
      <c r="K529" t="s">
        <v>11</v>
      </c>
      <c r="L529" t="str">
        <f>T("9791137601161")</f>
        <v>9791137601161</v>
      </c>
    </row>
    <row r="530" spans="1:12">
      <c r="A530" s="2">
        <v>44785.132233796299</v>
      </c>
      <c r="B530">
        <v>298750948</v>
      </c>
      <c r="C530" t="s">
        <v>259</v>
      </c>
      <c r="D530" t="s">
        <v>9</v>
      </c>
      <c r="E530" s="3">
        <v>3500</v>
      </c>
      <c r="F530" s="3">
        <v>3500</v>
      </c>
      <c r="G530" s="3">
        <v>2450</v>
      </c>
      <c r="I530" t="s">
        <v>38</v>
      </c>
      <c r="J530" t="s">
        <v>40</v>
      </c>
      <c r="K530" t="s">
        <v>11</v>
      </c>
      <c r="L530" t="str">
        <f>T("9791191562866")</f>
        <v>9791191562866</v>
      </c>
    </row>
    <row r="531" spans="1:12">
      <c r="A531" s="2">
        <v>44785.169282407405</v>
      </c>
      <c r="B531">
        <v>291369647</v>
      </c>
      <c r="C531" t="s">
        <v>255</v>
      </c>
      <c r="D531" t="s">
        <v>9</v>
      </c>
      <c r="E531" s="3">
        <v>2000</v>
      </c>
      <c r="F531" s="3">
        <v>2000</v>
      </c>
      <c r="G531" s="3">
        <v>1400</v>
      </c>
      <c r="I531" t="s">
        <v>256</v>
      </c>
      <c r="J531" t="s">
        <v>40</v>
      </c>
      <c r="K531" t="s">
        <v>11</v>
      </c>
      <c r="L531" t="str">
        <f>T("9791191562194")</f>
        <v>9791191562194</v>
      </c>
    </row>
    <row r="532" spans="1:12">
      <c r="A532" s="2">
        <v>44785.171423611115</v>
      </c>
      <c r="B532">
        <v>290829048</v>
      </c>
      <c r="C532" t="s">
        <v>198</v>
      </c>
      <c r="D532" t="s">
        <v>9</v>
      </c>
      <c r="E532">
        <v>0</v>
      </c>
      <c r="F532">
        <v>0</v>
      </c>
      <c r="G532">
        <v>0</v>
      </c>
      <c r="I532" t="s">
        <v>20</v>
      </c>
      <c r="J532" t="s">
        <v>17</v>
      </c>
      <c r="K532" t="s">
        <v>11</v>
      </c>
      <c r="L532" t="str">
        <f>T("9791164480401")</f>
        <v>9791164480401</v>
      </c>
    </row>
    <row r="533" spans="1:12">
      <c r="A533" s="2">
        <v>44785.272268518522</v>
      </c>
      <c r="B533">
        <v>299562124</v>
      </c>
      <c r="C533" t="s">
        <v>369</v>
      </c>
      <c r="D533" t="s">
        <v>9</v>
      </c>
      <c r="E533" s="3">
        <v>2000</v>
      </c>
      <c r="F533" s="3">
        <v>2000</v>
      </c>
      <c r="G533" s="3">
        <v>1400</v>
      </c>
      <c r="I533" t="s">
        <v>370</v>
      </c>
      <c r="J533" t="s">
        <v>40</v>
      </c>
      <c r="K533" t="s">
        <v>11</v>
      </c>
      <c r="L533" t="str">
        <f>T("9791191562873")</f>
        <v>9791191562873</v>
      </c>
    </row>
    <row r="534" spans="1:12">
      <c r="A534" s="2">
        <v>44785.312974537039</v>
      </c>
      <c r="B534">
        <v>299562124</v>
      </c>
      <c r="C534" t="s">
        <v>369</v>
      </c>
      <c r="D534" t="s">
        <v>9</v>
      </c>
      <c r="E534" s="3">
        <v>2000</v>
      </c>
      <c r="F534" s="3">
        <v>2000</v>
      </c>
      <c r="G534" s="3">
        <v>1400</v>
      </c>
      <c r="I534" t="s">
        <v>370</v>
      </c>
      <c r="J534" t="s">
        <v>40</v>
      </c>
      <c r="K534" t="s">
        <v>11</v>
      </c>
      <c r="L534" t="str">
        <f>T("9791191562873")</f>
        <v>9791191562873</v>
      </c>
    </row>
    <row r="535" spans="1:12">
      <c r="A535" s="2">
        <v>44785.336898148147</v>
      </c>
      <c r="B535">
        <v>295836446</v>
      </c>
      <c r="C535" t="s">
        <v>129</v>
      </c>
      <c r="D535" t="s">
        <v>9</v>
      </c>
      <c r="E535" s="3">
        <v>2000</v>
      </c>
      <c r="F535" s="3">
        <v>2000</v>
      </c>
      <c r="G535" s="3">
        <v>1400</v>
      </c>
      <c r="I535" t="s">
        <v>59</v>
      </c>
      <c r="J535" t="s">
        <v>40</v>
      </c>
      <c r="K535" t="s">
        <v>11</v>
      </c>
      <c r="L535" t="str">
        <f>T("9791191562798")</f>
        <v>9791191562798</v>
      </c>
    </row>
    <row r="536" spans="1:12">
      <c r="A536" s="2">
        <v>44785.336898148147</v>
      </c>
      <c r="B536">
        <v>291088925</v>
      </c>
      <c r="C536" t="s">
        <v>58</v>
      </c>
      <c r="D536" t="s">
        <v>9</v>
      </c>
      <c r="E536" s="3">
        <v>2000</v>
      </c>
      <c r="F536" s="3">
        <v>2000</v>
      </c>
      <c r="G536" s="3">
        <v>1400</v>
      </c>
      <c r="I536" t="s">
        <v>59</v>
      </c>
      <c r="J536" t="s">
        <v>40</v>
      </c>
      <c r="K536" t="s">
        <v>11</v>
      </c>
      <c r="L536" t="str">
        <f>T("9791191562187")</f>
        <v>9791191562187</v>
      </c>
    </row>
    <row r="537" spans="1:12">
      <c r="A537" s="2">
        <v>44785.359270833331</v>
      </c>
      <c r="B537">
        <v>293180467</v>
      </c>
      <c r="C537" t="s">
        <v>104</v>
      </c>
      <c r="D537" t="s">
        <v>12</v>
      </c>
      <c r="E537" s="3">
        <v>1600</v>
      </c>
      <c r="F537" s="3">
        <v>1600</v>
      </c>
      <c r="G537" s="3">
        <v>1120</v>
      </c>
      <c r="I537" t="s">
        <v>31</v>
      </c>
      <c r="J537" t="s">
        <v>40</v>
      </c>
      <c r="K537" t="s">
        <v>11</v>
      </c>
      <c r="L537" t="str">
        <f>T("9791191562293")</f>
        <v>9791191562293</v>
      </c>
    </row>
    <row r="538" spans="1:12">
      <c r="A538" s="2">
        <v>44785.367314814815</v>
      </c>
      <c r="B538">
        <v>286405921</v>
      </c>
      <c r="C538" t="s">
        <v>36</v>
      </c>
      <c r="D538" t="s">
        <v>9</v>
      </c>
      <c r="E538" s="3">
        <v>2500</v>
      </c>
      <c r="F538" s="3">
        <v>2500</v>
      </c>
      <c r="G538" s="3">
        <v>1750</v>
      </c>
      <c r="I538" t="s">
        <v>34</v>
      </c>
      <c r="J538" t="s">
        <v>40</v>
      </c>
      <c r="K538" t="s">
        <v>11</v>
      </c>
      <c r="L538" t="str">
        <f>T("9791196945268")</f>
        <v>9791196945268</v>
      </c>
    </row>
    <row r="539" spans="1:12">
      <c r="A539" s="2">
        <v>44785.407824074071</v>
      </c>
      <c r="B539">
        <v>295836446</v>
      </c>
      <c r="C539" t="s">
        <v>129</v>
      </c>
      <c r="D539" t="s">
        <v>9</v>
      </c>
      <c r="E539" s="3">
        <v>2000</v>
      </c>
      <c r="F539" s="3">
        <v>2000</v>
      </c>
      <c r="G539" s="3">
        <v>1400</v>
      </c>
      <c r="I539" t="s">
        <v>59</v>
      </c>
      <c r="J539" t="s">
        <v>40</v>
      </c>
      <c r="K539" t="s">
        <v>11</v>
      </c>
      <c r="L539" t="str">
        <f>T("9791191562798")</f>
        <v>9791191562798</v>
      </c>
    </row>
    <row r="540" spans="1:12">
      <c r="A540" s="2">
        <v>44785.408888888887</v>
      </c>
      <c r="B540">
        <v>288284448</v>
      </c>
      <c r="C540" t="s">
        <v>309</v>
      </c>
      <c r="D540" t="s">
        <v>12</v>
      </c>
      <c r="E540" s="3">
        <v>2720</v>
      </c>
      <c r="F540" s="3">
        <v>2720</v>
      </c>
      <c r="G540" s="3">
        <v>1904</v>
      </c>
      <c r="I540" t="s">
        <v>297</v>
      </c>
      <c r="J540" t="s">
        <v>45</v>
      </c>
      <c r="K540" t="s">
        <v>11</v>
      </c>
      <c r="L540" t="str">
        <f>T("9791166482946")</f>
        <v>9791166482946</v>
      </c>
    </row>
    <row r="541" spans="1:12">
      <c r="A541" s="2">
        <v>44785.408888888887</v>
      </c>
      <c r="B541">
        <v>288284454</v>
      </c>
      <c r="C541" t="s">
        <v>307</v>
      </c>
      <c r="D541" t="s">
        <v>12</v>
      </c>
      <c r="E541" s="3">
        <v>2720</v>
      </c>
      <c r="F541" s="3">
        <v>2720</v>
      </c>
      <c r="G541" s="3">
        <v>1904</v>
      </c>
      <c r="I541" t="s">
        <v>297</v>
      </c>
      <c r="J541" t="s">
        <v>45</v>
      </c>
      <c r="K541" t="s">
        <v>11</v>
      </c>
      <c r="L541" t="str">
        <f>T("9791166482953")</f>
        <v>9791166482953</v>
      </c>
    </row>
    <row r="542" spans="1:12">
      <c r="A542" s="2">
        <v>44785.408888888887</v>
      </c>
      <c r="B542">
        <v>288284510</v>
      </c>
      <c r="C542" t="s">
        <v>308</v>
      </c>
      <c r="D542" t="s">
        <v>12</v>
      </c>
      <c r="E542" s="3">
        <v>2720</v>
      </c>
      <c r="F542" s="3">
        <v>2720</v>
      </c>
      <c r="G542" s="3">
        <v>1904</v>
      </c>
      <c r="I542" t="s">
        <v>297</v>
      </c>
      <c r="J542" t="s">
        <v>45</v>
      </c>
      <c r="K542" t="s">
        <v>11</v>
      </c>
      <c r="L542" t="str">
        <f>T("9791166482960")</f>
        <v>9791166482960</v>
      </c>
    </row>
    <row r="543" spans="1:12">
      <c r="A543" s="2">
        <v>44785.408888888887</v>
      </c>
      <c r="B543">
        <v>288284516</v>
      </c>
      <c r="C543" t="s">
        <v>302</v>
      </c>
      <c r="D543" t="s">
        <v>12</v>
      </c>
      <c r="E543" s="3">
        <v>2720</v>
      </c>
      <c r="F543" s="3">
        <v>2720</v>
      </c>
      <c r="G543" s="3">
        <v>1904</v>
      </c>
      <c r="I543" t="s">
        <v>297</v>
      </c>
      <c r="J543" t="s">
        <v>45</v>
      </c>
      <c r="K543" t="s">
        <v>11</v>
      </c>
      <c r="L543" t="str">
        <f>T("9791166482939")</f>
        <v>9791166482939</v>
      </c>
    </row>
    <row r="544" spans="1:12">
      <c r="A544" s="2">
        <v>44785.409467592595</v>
      </c>
      <c r="B544">
        <v>299562124</v>
      </c>
      <c r="C544" t="s">
        <v>369</v>
      </c>
      <c r="D544" t="s">
        <v>9</v>
      </c>
      <c r="E544" s="3">
        <v>2000</v>
      </c>
      <c r="F544" s="3">
        <v>2000</v>
      </c>
      <c r="G544" s="3">
        <v>1400</v>
      </c>
      <c r="I544" t="s">
        <v>370</v>
      </c>
      <c r="J544" t="s">
        <v>40</v>
      </c>
      <c r="K544" t="s">
        <v>11</v>
      </c>
      <c r="L544" t="str">
        <f>T("9791191562873")</f>
        <v>9791191562873</v>
      </c>
    </row>
    <row r="545" spans="1:12">
      <c r="A545" s="2">
        <v>44785.41</v>
      </c>
      <c r="B545">
        <v>297109357</v>
      </c>
      <c r="C545" t="s">
        <v>154</v>
      </c>
      <c r="D545" t="s">
        <v>9</v>
      </c>
      <c r="E545" s="3">
        <v>3600</v>
      </c>
      <c r="F545" s="3">
        <v>3600</v>
      </c>
      <c r="G545" s="3">
        <v>2520</v>
      </c>
      <c r="I545" t="s">
        <v>155</v>
      </c>
      <c r="J545" t="s">
        <v>40</v>
      </c>
      <c r="K545" t="s">
        <v>11</v>
      </c>
      <c r="L545" t="str">
        <f>T("9791191562774")</f>
        <v>9791191562774</v>
      </c>
    </row>
    <row r="546" spans="1:12">
      <c r="A546" s="2">
        <v>44785.413217592592</v>
      </c>
      <c r="B546">
        <v>299562124</v>
      </c>
      <c r="C546" t="s">
        <v>369</v>
      </c>
      <c r="D546" t="s">
        <v>9</v>
      </c>
      <c r="E546" s="3">
        <v>2000</v>
      </c>
      <c r="F546" s="3">
        <v>2000</v>
      </c>
      <c r="G546" s="3">
        <v>1400</v>
      </c>
      <c r="I546" t="s">
        <v>370</v>
      </c>
      <c r="J546" t="s">
        <v>40</v>
      </c>
      <c r="K546" t="s">
        <v>11</v>
      </c>
      <c r="L546" t="str">
        <f>T("9791191562873")</f>
        <v>9791191562873</v>
      </c>
    </row>
    <row r="547" spans="1:12">
      <c r="A547" s="2">
        <v>44785.416481481479</v>
      </c>
      <c r="B547">
        <v>268648049</v>
      </c>
      <c r="C547" t="s">
        <v>301</v>
      </c>
      <c r="D547" t="s">
        <v>9</v>
      </c>
      <c r="E547">
        <v>400</v>
      </c>
      <c r="F547">
        <v>400</v>
      </c>
      <c r="G547">
        <v>280</v>
      </c>
      <c r="I547" t="s">
        <v>76</v>
      </c>
      <c r="J547" t="s">
        <v>71</v>
      </c>
      <c r="K547" t="s">
        <v>11</v>
      </c>
      <c r="L547" t="str">
        <f>T("9791164374441")</f>
        <v>9791164374441</v>
      </c>
    </row>
    <row r="548" spans="1:12">
      <c r="A548" s="2">
        <v>44785.441064814811</v>
      </c>
      <c r="B548">
        <v>299562124</v>
      </c>
      <c r="C548" t="s">
        <v>369</v>
      </c>
      <c r="D548" t="s">
        <v>9</v>
      </c>
      <c r="E548" s="3">
        <v>2000</v>
      </c>
      <c r="F548" s="3">
        <v>2000</v>
      </c>
      <c r="G548" s="3">
        <v>1400</v>
      </c>
      <c r="I548" t="s">
        <v>370</v>
      </c>
      <c r="J548" t="s">
        <v>40</v>
      </c>
      <c r="K548" t="s">
        <v>11</v>
      </c>
      <c r="L548" t="str">
        <f>T("9791191562873")</f>
        <v>9791191562873</v>
      </c>
    </row>
    <row r="549" spans="1:12">
      <c r="A549" s="2">
        <v>44785.467928240738</v>
      </c>
      <c r="B549">
        <v>298750948</v>
      </c>
      <c r="C549" t="s">
        <v>259</v>
      </c>
      <c r="D549" t="s">
        <v>9</v>
      </c>
      <c r="E549" s="3">
        <v>3500</v>
      </c>
      <c r="F549" s="3">
        <v>3500</v>
      </c>
      <c r="G549" s="3">
        <v>2450</v>
      </c>
      <c r="I549" t="s">
        <v>38</v>
      </c>
      <c r="J549" t="s">
        <v>40</v>
      </c>
      <c r="K549" t="s">
        <v>11</v>
      </c>
      <c r="L549" t="str">
        <f>T("9791191562866")</f>
        <v>9791191562866</v>
      </c>
    </row>
    <row r="550" spans="1:12">
      <c r="A550" s="2">
        <v>44785.485648148147</v>
      </c>
      <c r="B550">
        <v>299562124</v>
      </c>
      <c r="C550" t="s">
        <v>369</v>
      </c>
      <c r="D550" t="s">
        <v>9</v>
      </c>
      <c r="E550" s="3">
        <v>2000</v>
      </c>
      <c r="F550" s="3">
        <v>2000</v>
      </c>
      <c r="G550" s="3">
        <v>1400</v>
      </c>
      <c r="I550" t="s">
        <v>370</v>
      </c>
      <c r="J550" t="s">
        <v>40</v>
      </c>
      <c r="K550" t="s">
        <v>11</v>
      </c>
      <c r="L550" t="str">
        <f>T("9791191562873")</f>
        <v>9791191562873</v>
      </c>
    </row>
    <row r="551" spans="1:12">
      <c r="A551" s="2">
        <v>44785.497662037036</v>
      </c>
      <c r="B551">
        <v>292179681</v>
      </c>
      <c r="C551" t="s">
        <v>81</v>
      </c>
      <c r="D551" t="s">
        <v>9</v>
      </c>
      <c r="E551" s="3">
        <v>2500</v>
      </c>
      <c r="F551" s="3">
        <v>2500</v>
      </c>
      <c r="G551" s="3">
        <v>1750</v>
      </c>
      <c r="I551" t="s">
        <v>82</v>
      </c>
      <c r="J551" t="s">
        <v>40</v>
      </c>
      <c r="K551" t="s">
        <v>11</v>
      </c>
      <c r="L551" t="str">
        <f>T("9791191562224")</f>
        <v>9791191562224</v>
      </c>
    </row>
    <row r="552" spans="1:12">
      <c r="A552" s="2">
        <v>44785.497662037036</v>
      </c>
      <c r="B552">
        <v>292455872</v>
      </c>
      <c r="C552" t="s">
        <v>380</v>
      </c>
      <c r="D552" t="s">
        <v>9</v>
      </c>
      <c r="E552" s="3">
        <v>2000</v>
      </c>
      <c r="F552" s="3">
        <v>2000</v>
      </c>
      <c r="G552" s="3">
        <v>1400</v>
      </c>
      <c r="I552" t="s">
        <v>381</v>
      </c>
      <c r="J552" t="s">
        <v>40</v>
      </c>
      <c r="K552" t="s">
        <v>11</v>
      </c>
      <c r="L552" t="str">
        <f>T("9791191562248")</f>
        <v>9791191562248</v>
      </c>
    </row>
    <row r="553" spans="1:12">
      <c r="A553" s="2">
        <v>44785.506145833337</v>
      </c>
      <c r="B553">
        <v>292316442</v>
      </c>
      <c r="C553" t="s">
        <v>84</v>
      </c>
      <c r="D553" t="s">
        <v>12</v>
      </c>
      <c r="E553" s="3">
        <v>2000</v>
      </c>
      <c r="F553" s="3">
        <v>2000</v>
      </c>
      <c r="G553" s="3">
        <v>1400</v>
      </c>
      <c r="I553" t="s">
        <v>85</v>
      </c>
      <c r="J553" t="s">
        <v>40</v>
      </c>
      <c r="K553" t="s">
        <v>11</v>
      </c>
      <c r="L553" t="str">
        <f>T("9791191562309")</f>
        <v>9791191562309</v>
      </c>
    </row>
    <row r="554" spans="1:12">
      <c r="A554" s="2">
        <v>44785.506145833337</v>
      </c>
      <c r="B554">
        <v>291805580</v>
      </c>
      <c r="C554" t="s">
        <v>60</v>
      </c>
      <c r="D554" t="s">
        <v>12</v>
      </c>
      <c r="E554" s="3">
        <v>1600</v>
      </c>
      <c r="F554" s="3">
        <v>1600</v>
      </c>
      <c r="G554" s="3">
        <v>1120</v>
      </c>
      <c r="I554" t="s">
        <v>61</v>
      </c>
      <c r="J554" t="s">
        <v>40</v>
      </c>
      <c r="K554" t="s">
        <v>11</v>
      </c>
      <c r="L554" t="str">
        <f>T("9791191562255")</f>
        <v>9791191562255</v>
      </c>
    </row>
    <row r="555" spans="1:12">
      <c r="A555" s="2">
        <v>44785.538807870369</v>
      </c>
      <c r="B555">
        <v>299562124</v>
      </c>
      <c r="C555" t="s">
        <v>369</v>
      </c>
      <c r="D555" t="s">
        <v>9</v>
      </c>
      <c r="E555" s="3">
        <v>2000</v>
      </c>
      <c r="F555" s="3">
        <v>2000</v>
      </c>
      <c r="G555" s="3">
        <v>1400</v>
      </c>
      <c r="I555" t="s">
        <v>370</v>
      </c>
      <c r="J555" t="s">
        <v>40</v>
      </c>
      <c r="K555" t="s">
        <v>11</v>
      </c>
      <c r="L555" t="str">
        <f>T("9791191562873")</f>
        <v>9791191562873</v>
      </c>
    </row>
    <row r="556" spans="1:12">
      <c r="A556" s="2">
        <v>44785.541412037041</v>
      </c>
      <c r="B556">
        <v>296507184</v>
      </c>
      <c r="C556" t="s">
        <v>134</v>
      </c>
      <c r="D556" t="s">
        <v>9</v>
      </c>
      <c r="E556" s="3">
        <v>2000</v>
      </c>
      <c r="F556" s="3">
        <v>2000</v>
      </c>
      <c r="G556" s="3">
        <v>1400</v>
      </c>
      <c r="I556" t="s">
        <v>135</v>
      </c>
      <c r="J556" t="s">
        <v>40</v>
      </c>
      <c r="K556" t="s">
        <v>11</v>
      </c>
      <c r="L556" t="str">
        <f>T("9791191562828")</f>
        <v>9791191562828</v>
      </c>
    </row>
    <row r="557" spans="1:12">
      <c r="A557" s="2">
        <v>44785.542731481481</v>
      </c>
      <c r="B557">
        <v>292681653</v>
      </c>
      <c r="C557" t="s">
        <v>92</v>
      </c>
      <c r="D557" t="s">
        <v>12</v>
      </c>
      <c r="E557" s="3">
        <v>2000</v>
      </c>
      <c r="F557" s="3">
        <v>2000</v>
      </c>
      <c r="G557" s="3">
        <v>1400</v>
      </c>
      <c r="I557" t="s">
        <v>93</v>
      </c>
      <c r="J557" t="s">
        <v>40</v>
      </c>
      <c r="K557" t="s">
        <v>11</v>
      </c>
      <c r="L557" t="str">
        <f>T("9791191562316")</f>
        <v>9791191562316</v>
      </c>
    </row>
    <row r="558" spans="1:12">
      <c r="A558" s="2">
        <v>44785.542731481481</v>
      </c>
      <c r="B558">
        <v>293484295</v>
      </c>
      <c r="C558" t="s">
        <v>106</v>
      </c>
      <c r="D558" t="s">
        <v>12</v>
      </c>
      <c r="E558" s="3">
        <v>2800</v>
      </c>
      <c r="F558" s="3">
        <v>2800</v>
      </c>
      <c r="G558" s="3">
        <v>1960</v>
      </c>
      <c r="I558" t="s">
        <v>107</v>
      </c>
      <c r="J558" t="s">
        <v>40</v>
      </c>
      <c r="K558" t="s">
        <v>11</v>
      </c>
      <c r="L558" t="str">
        <f>T("9791191562330")</f>
        <v>9791191562330</v>
      </c>
    </row>
    <row r="559" spans="1:12">
      <c r="A559" s="2">
        <v>44785.548472222225</v>
      </c>
      <c r="B559">
        <v>298750948</v>
      </c>
      <c r="C559" t="s">
        <v>259</v>
      </c>
      <c r="D559" t="s">
        <v>9</v>
      </c>
      <c r="E559" s="3">
        <v>3500</v>
      </c>
      <c r="F559" s="3">
        <v>3500</v>
      </c>
      <c r="G559" s="3">
        <v>2450</v>
      </c>
      <c r="I559" t="s">
        <v>38</v>
      </c>
      <c r="J559" t="s">
        <v>40</v>
      </c>
      <c r="K559" t="s">
        <v>11</v>
      </c>
      <c r="L559" t="str">
        <f>T("9791191562866")</f>
        <v>9791191562866</v>
      </c>
    </row>
    <row r="560" spans="1:12">
      <c r="A560" s="2">
        <v>44785.566550925927</v>
      </c>
      <c r="B560">
        <v>248690942</v>
      </c>
      <c r="C560" t="s">
        <v>382</v>
      </c>
      <c r="D560" t="s">
        <v>12</v>
      </c>
      <c r="E560">
        <v>900</v>
      </c>
      <c r="F560">
        <v>900</v>
      </c>
      <c r="G560">
        <v>630</v>
      </c>
      <c r="I560" t="s">
        <v>20</v>
      </c>
      <c r="J560" t="s">
        <v>17</v>
      </c>
      <c r="K560" t="s">
        <v>11</v>
      </c>
      <c r="L560" t="str">
        <f>T("9791166000294")</f>
        <v>9791166000294</v>
      </c>
    </row>
    <row r="561" spans="1:12">
      <c r="A561" s="2">
        <v>44785.587604166663</v>
      </c>
      <c r="B561">
        <v>293957286</v>
      </c>
      <c r="C561" t="s">
        <v>118</v>
      </c>
      <c r="D561" t="s">
        <v>9</v>
      </c>
      <c r="E561" s="3">
        <v>3200</v>
      </c>
      <c r="F561" s="3">
        <v>3200</v>
      </c>
      <c r="G561" s="3">
        <v>2240</v>
      </c>
      <c r="I561" t="s">
        <v>117</v>
      </c>
      <c r="J561" t="s">
        <v>40</v>
      </c>
      <c r="K561" t="s">
        <v>11</v>
      </c>
      <c r="L561" t="str">
        <f>T("9791191562347")</f>
        <v>9791191562347</v>
      </c>
    </row>
    <row r="562" spans="1:12">
      <c r="A562" s="2">
        <v>44785.599756944444</v>
      </c>
      <c r="B562">
        <v>292179681</v>
      </c>
      <c r="C562" t="s">
        <v>81</v>
      </c>
      <c r="D562" t="s">
        <v>12</v>
      </c>
      <c r="E562" s="3">
        <v>2000</v>
      </c>
      <c r="F562" s="3">
        <v>2000</v>
      </c>
      <c r="G562" s="3">
        <v>1400</v>
      </c>
      <c r="I562" t="s">
        <v>82</v>
      </c>
      <c r="J562" t="s">
        <v>40</v>
      </c>
      <c r="K562" t="s">
        <v>11</v>
      </c>
      <c r="L562" t="str">
        <f>T("9791191562224")</f>
        <v>9791191562224</v>
      </c>
    </row>
    <row r="563" spans="1:12">
      <c r="A563" s="2">
        <v>44785.603506944448</v>
      </c>
      <c r="B563">
        <v>299057627</v>
      </c>
      <c r="C563" t="s">
        <v>296</v>
      </c>
      <c r="D563" t="s">
        <v>12</v>
      </c>
      <c r="E563" s="3">
        <v>10880</v>
      </c>
      <c r="F563" s="3">
        <v>10880</v>
      </c>
      <c r="G563" s="3">
        <v>7616</v>
      </c>
      <c r="I563" t="s">
        <v>297</v>
      </c>
      <c r="J563" t="s">
        <v>45</v>
      </c>
      <c r="K563" t="s">
        <v>11</v>
      </c>
      <c r="L563" t="str">
        <f>T("9791166483134")</f>
        <v>9791166483134</v>
      </c>
    </row>
    <row r="564" spans="1:12">
      <c r="A564" s="2">
        <v>44785.639074074075</v>
      </c>
      <c r="B564">
        <v>298750948</v>
      </c>
      <c r="C564" t="s">
        <v>259</v>
      </c>
      <c r="D564" t="s">
        <v>9</v>
      </c>
      <c r="E564" s="3">
        <v>3500</v>
      </c>
      <c r="F564" s="3">
        <v>3500</v>
      </c>
      <c r="G564" s="3">
        <v>2450</v>
      </c>
      <c r="I564" t="s">
        <v>38</v>
      </c>
      <c r="J564" t="s">
        <v>40</v>
      </c>
      <c r="K564" t="s">
        <v>11</v>
      </c>
      <c r="L564" t="str">
        <f>T("9791191562866")</f>
        <v>9791191562866</v>
      </c>
    </row>
    <row r="565" spans="1:12">
      <c r="A565" s="2">
        <v>44785.645532407405</v>
      </c>
      <c r="B565">
        <v>299562124</v>
      </c>
      <c r="C565" t="s">
        <v>369</v>
      </c>
      <c r="D565" t="s">
        <v>9</v>
      </c>
      <c r="E565" s="3">
        <v>2000</v>
      </c>
      <c r="F565" s="3">
        <v>2000</v>
      </c>
      <c r="G565" s="3">
        <v>1400</v>
      </c>
      <c r="I565" t="s">
        <v>370</v>
      </c>
      <c r="J565" t="s">
        <v>40</v>
      </c>
      <c r="K565" t="s">
        <v>11</v>
      </c>
      <c r="L565" t="str">
        <f>T("9791191562873")</f>
        <v>9791191562873</v>
      </c>
    </row>
    <row r="566" spans="1:12">
      <c r="A566" s="2">
        <v>44785.676550925928</v>
      </c>
      <c r="B566">
        <v>257440688</v>
      </c>
      <c r="C566" t="s">
        <v>383</v>
      </c>
      <c r="D566" t="s">
        <v>9</v>
      </c>
      <c r="E566">
        <v>500</v>
      </c>
      <c r="F566">
        <v>500</v>
      </c>
      <c r="G566">
        <v>350</v>
      </c>
      <c r="I566" t="s">
        <v>16</v>
      </c>
      <c r="J566" t="s">
        <v>45</v>
      </c>
      <c r="K566" t="s">
        <v>11</v>
      </c>
      <c r="L566" t="str">
        <f>T("9791166480003")</f>
        <v>9791166480003</v>
      </c>
    </row>
    <row r="567" spans="1:12">
      <c r="A567" s="2">
        <v>44785.676550925928</v>
      </c>
      <c r="B567">
        <v>257440708</v>
      </c>
      <c r="C567" t="s">
        <v>171</v>
      </c>
      <c r="D567" t="s">
        <v>9</v>
      </c>
      <c r="E567" s="3">
        <v>4000</v>
      </c>
      <c r="F567" s="3">
        <v>4000</v>
      </c>
      <c r="G567" s="3">
        <v>2800</v>
      </c>
      <c r="I567" t="s">
        <v>16</v>
      </c>
      <c r="J567" t="s">
        <v>45</v>
      </c>
      <c r="K567" t="s">
        <v>11</v>
      </c>
      <c r="L567" t="str">
        <f>T("9791164899814")</f>
        <v>9791164899814</v>
      </c>
    </row>
    <row r="568" spans="1:12">
      <c r="A568" s="2">
        <v>44785.676550925928</v>
      </c>
      <c r="B568">
        <v>276845689</v>
      </c>
      <c r="C568" t="s">
        <v>291</v>
      </c>
      <c r="D568" t="s">
        <v>9</v>
      </c>
      <c r="E568" s="3">
        <v>2800</v>
      </c>
      <c r="F568" s="3">
        <v>2800</v>
      </c>
      <c r="G568" s="3">
        <v>1960</v>
      </c>
      <c r="I568" t="s">
        <v>16</v>
      </c>
      <c r="J568" t="s">
        <v>45</v>
      </c>
      <c r="K568" t="s">
        <v>11</v>
      </c>
      <c r="L568" t="str">
        <f>T("9791166481871")</f>
        <v>9791166481871</v>
      </c>
    </row>
    <row r="569" spans="1:12">
      <c r="A569" s="2">
        <v>44785.676550925928</v>
      </c>
      <c r="B569">
        <v>276845647</v>
      </c>
      <c r="C569" t="s">
        <v>332</v>
      </c>
      <c r="D569" t="s">
        <v>9</v>
      </c>
      <c r="E569" s="3">
        <v>2800</v>
      </c>
      <c r="F569" s="3">
        <v>2800</v>
      </c>
      <c r="G569" s="3">
        <v>1960</v>
      </c>
      <c r="I569" t="s">
        <v>16</v>
      </c>
      <c r="J569" t="s">
        <v>45</v>
      </c>
      <c r="K569" t="s">
        <v>11</v>
      </c>
      <c r="L569" t="str">
        <f>T("9791166481888")</f>
        <v>9791166481888</v>
      </c>
    </row>
    <row r="570" spans="1:12">
      <c r="A570" s="2">
        <v>44785.712870370371</v>
      </c>
      <c r="B570">
        <v>295462572</v>
      </c>
      <c r="C570" t="s">
        <v>108</v>
      </c>
      <c r="D570" t="s">
        <v>9</v>
      </c>
      <c r="E570" s="3">
        <v>2000</v>
      </c>
      <c r="F570" s="3">
        <v>2000</v>
      </c>
      <c r="G570" s="3">
        <v>1400</v>
      </c>
      <c r="I570" t="s">
        <v>32</v>
      </c>
      <c r="J570" t="s">
        <v>40</v>
      </c>
      <c r="K570" t="s">
        <v>11</v>
      </c>
      <c r="L570" t="str">
        <f>T("9791191562361")</f>
        <v>9791191562361</v>
      </c>
    </row>
    <row r="571" spans="1:12">
      <c r="A571" s="2">
        <v>44785.726944444446</v>
      </c>
      <c r="B571">
        <v>292316442</v>
      </c>
      <c r="C571" t="s">
        <v>84</v>
      </c>
      <c r="D571" t="s">
        <v>12</v>
      </c>
      <c r="E571" s="3">
        <v>2000</v>
      </c>
      <c r="F571" s="3">
        <v>2000</v>
      </c>
      <c r="G571" s="3">
        <v>1400</v>
      </c>
      <c r="I571" t="s">
        <v>85</v>
      </c>
      <c r="J571" t="s">
        <v>40</v>
      </c>
      <c r="K571" t="s">
        <v>11</v>
      </c>
      <c r="L571" t="str">
        <f>T("9791191562309")</f>
        <v>9791191562309</v>
      </c>
    </row>
    <row r="572" spans="1:12">
      <c r="A572" s="2">
        <v>44785.740173611113</v>
      </c>
      <c r="B572">
        <v>299562124</v>
      </c>
      <c r="C572" t="s">
        <v>369</v>
      </c>
      <c r="D572" t="s">
        <v>9</v>
      </c>
      <c r="E572" s="3">
        <v>2000</v>
      </c>
      <c r="F572" s="3">
        <v>2000</v>
      </c>
      <c r="G572" s="3">
        <v>1400</v>
      </c>
      <c r="I572" t="s">
        <v>370</v>
      </c>
      <c r="J572" t="s">
        <v>40</v>
      </c>
      <c r="K572" t="s">
        <v>11</v>
      </c>
      <c r="L572" t="str">
        <f>T("9791191562873")</f>
        <v>9791191562873</v>
      </c>
    </row>
    <row r="573" spans="1:12">
      <c r="A573" s="2">
        <v>44785.755370370367</v>
      </c>
      <c r="B573">
        <v>292316442</v>
      </c>
      <c r="C573" t="s">
        <v>84</v>
      </c>
      <c r="D573" t="s">
        <v>9</v>
      </c>
      <c r="E573" s="3">
        <v>2500</v>
      </c>
      <c r="F573" s="3">
        <v>2500</v>
      </c>
      <c r="G573" s="3">
        <v>1750</v>
      </c>
      <c r="I573" t="s">
        <v>85</v>
      </c>
      <c r="J573" t="s">
        <v>40</v>
      </c>
      <c r="K573" t="s">
        <v>11</v>
      </c>
      <c r="L573" t="str">
        <f>T("9791191562309")</f>
        <v>9791191562309</v>
      </c>
    </row>
    <row r="574" spans="1:12">
      <c r="A574" s="2">
        <v>44785.756365740737</v>
      </c>
      <c r="B574">
        <v>299562124</v>
      </c>
      <c r="C574" t="s">
        <v>369</v>
      </c>
      <c r="D574" t="s">
        <v>9</v>
      </c>
      <c r="E574" s="3">
        <v>2000</v>
      </c>
      <c r="F574" s="3">
        <v>2000</v>
      </c>
      <c r="G574" s="3">
        <v>1400</v>
      </c>
      <c r="I574" t="s">
        <v>370</v>
      </c>
      <c r="J574" t="s">
        <v>40</v>
      </c>
      <c r="K574" t="s">
        <v>11</v>
      </c>
      <c r="L574" t="str">
        <f>T("9791191562873")</f>
        <v>9791191562873</v>
      </c>
    </row>
    <row r="575" spans="1:12">
      <c r="A575" s="2">
        <v>44785.759027777778</v>
      </c>
      <c r="B575">
        <v>299562124</v>
      </c>
      <c r="C575" t="s">
        <v>369</v>
      </c>
      <c r="D575" t="s">
        <v>9</v>
      </c>
      <c r="E575" s="3">
        <v>2000</v>
      </c>
      <c r="F575" s="3">
        <v>2000</v>
      </c>
      <c r="G575" s="3">
        <v>1400</v>
      </c>
      <c r="I575" t="s">
        <v>370</v>
      </c>
      <c r="J575" t="s">
        <v>40</v>
      </c>
      <c r="K575" t="s">
        <v>11</v>
      </c>
      <c r="L575" t="str">
        <f>T("9791191562873")</f>
        <v>9791191562873</v>
      </c>
    </row>
    <row r="576" spans="1:12">
      <c r="A576" s="2">
        <v>44785.765162037038</v>
      </c>
      <c r="B576">
        <v>299618551</v>
      </c>
      <c r="C576" t="s">
        <v>384</v>
      </c>
      <c r="D576" t="s">
        <v>9</v>
      </c>
      <c r="E576" s="3">
        <v>4100</v>
      </c>
      <c r="F576" s="3">
        <v>4100</v>
      </c>
      <c r="G576" s="3">
        <v>2870</v>
      </c>
      <c r="I576" t="s">
        <v>385</v>
      </c>
      <c r="J576" t="s">
        <v>271</v>
      </c>
      <c r="K576" t="s">
        <v>11</v>
      </c>
      <c r="L576" t="str">
        <f>T("9791137604582")</f>
        <v>9791137604582</v>
      </c>
    </row>
    <row r="577" spans="1:12">
      <c r="A577" s="2">
        <v>44785.769525462965</v>
      </c>
      <c r="B577">
        <v>299562124</v>
      </c>
      <c r="C577" t="s">
        <v>369</v>
      </c>
      <c r="D577" t="s">
        <v>9</v>
      </c>
      <c r="E577" s="3">
        <v>2000</v>
      </c>
      <c r="F577" s="3">
        <v>2000</v>
      </c>
      <c r="G577" s="3">
        <v>1400</v>
      </c>
      <c r="I577" t="s">
        <v>370</v>
      </c>
      <c r="J577" t="s">
        <v>40</v>
      </c>
      <c r="K577" t="s">
        <v>11</v>
      </c>
      <c r="L577" t="str">
        <f>T("9791191562873")</f>
        <v>9791191562873</v>
      </c>
    </row>
    <row r="578" spans="1:12">
      <c r="A578" s="2">
        <v>44785.775636574072</v>
      </c>
      <c r="B578">
        <v>295356530</v>
      </c>
      <c r="C578" t="s">
        <v>116</v>
      </c>
      <c r="D578" t="s">
        <v>9</v>
      </c>
      <c r="E578" s="3">
        <v>2500</v>
      </c>
      <c r="F578" s="3">
        <v>2500</v>
      </c>
      <c r="G578" s="3">
        <v>1750</v>
      </c>
      <c r="I578" t="s">
        <v>115</v>
      </c>
      <c r="J578" t="s">
        <v>40</v>
      </c>
      <c r="K578" t="s">
        <v>11</v>
      </c>
      <c r="L578" t="str">
        <f>T("9791191562460")</f>
        <v>9791191562460</v>
      </c>
    </row>
    <row r="579" spans="1:12">
      <c r="A579" s="2">
        <v>44785.782581018517</v>
      </c>
      <c r="B579">
        <v>299562124</v>
      </c>
      <c r="C579" t="s">
        <v>369</v>
      </c>
      <c r="D579" t="s">
        <v>9</v>
      </c>
      <c r="E579" s="3">
        <v>2000</v>
      </c>
      <c r="F579" s="3">
        <v>2000</v>
      </c>
      <c r="G579" s="3">
        <v>1400</v>
      </c>
      <c r="I579" t="s">
        <v>370</v>
      </c>
      <c r="J579" t="s">
        <v>40</v>
      </c>
      <c r="K579" t="s">
        <v>11</v>
      </c>
      <c r="L579" t="str">
        <f>T("9791191562873")</f>
        <v>9791191562873</v>
      </c>
    </row>
    <row r="580" spans="1:12">
      <c r="A580" s="2">
        <v>44785.785381944443</v>
      </c>
      <c r="B580">
        <v>287834730</v>
      </c>
      <c r="C580" t="s">
        <v>37</v>
      </c>
      <c r="D580" t="s">
        <v>9</v>
      </c>
      <c r="E580" s="3">
        <v>2000</v>
      </c>
      <c r="F580" s="3">
        <v>2000</v>
      </c>
      <c r="G580" s="3">
        <v>1400</v>
      </c>
      <c r="I580" t="s">
        <v>32</v>
      </c>
      <c r="J580" t="s">
        <v>40</v>
      </c>
      <c r="K580" t="s">
        <v>11</v>
      </c>
      <c r="L580" t="str">
        <f>T("9791191562019")</f>
        <v>9791191562019</v>
      </c>
    </row>
    <row r="581" spans="1:12">
      <c r="A581" s="2">
        <v>44785.785520833335</v>
      </c>
      <c r="B581">
        <v>299562124</v>
      </c>
      <c r="C581" t="s">
        <v>369</v>
      </c>
      <c r="D581" t="s">
        <v>9</v>
      </c>
      <c r="E581" s="3">
        <v>2000</v>
      </c>
      <c r="F581" s="3">
        <v>2000</v>
      </c>
      <c r="G581" s="3">
        <v>1400</v>
      </c>
      <c r="I581" t="s">
        <v>370</v>
      </c>
      <c r="J581" t="s">
        <v>40</v>
      </c>
      <c r="K581" t="s">
        <v>11</v>
      </c>
      <c r="L581" t="str">
        <f t="shared" ref="L581:L586" si="1">T("9791191562873")</f>
        <v>9791191562873</v>
      </c>
    </row>
    <row r="582" spans="1:12">
      <c r="A582" s="2">
        <v>44785.786828703705</v>
      </c>
      <c r="B582">
        <v>299562124</v>
      </c>
      <c r="C582" t="s">
        <v>369</v>
      </c>
      <c r="D582" t="s">
        <v>9</v>
      </c>
      <c r="E582" s="3">
        <v>2000</v>
      </c>
      <c r="F582" s="3">
        <v>2000</v>
      </c>
      <c r="G582" s="3">
        <v>1400</v>
      </c>
      <c r="I582" t="s">
        <v>370</v>
      </c>
      <c r="J582" t="s">
        <v>40</v>
      </c>
      <c r="K582" t="s">
        <v>11</v>
      </c>
      <c r="L582" t="str">
        <f t="shared" si="1"/>
        <v>9791191562873</v>
      </c>
    </row>
    <row r="583" spans="1:12">
      <c r="A583" s="2">
        <v>44785.802002314813</v>
      </c>
      <c r="B583">
        <v>299562124</v>
      </c>
      <c r="C583" t="s">
        <v>369</v>
      </c>
      <c r="D583" t="s">
        <v>9</v>
      </c>
      <c r="E583" s="3">
        <v>2000</v>
      </c>
      <c r="F583" s="3">
        <v>2000</v>
      </c>
      <c r="G583" s="3">
        <v>1400</v>
      </c>
      <c r="I583" t="s">
        <v>370</v>
      </c>
      <c r="J583" t="s">
        <v>40</v>
      </c>
      <c r="K583" t="s">
        <v>11</v>
      </c>
      <c r="L583" t="str">
        <f t="shared" si="1"/>
        <v>9791191562873</v>
      </c>
    </row>
    <row r="584" spans="1:12">
      <c r="A584" s="2">
        <v>44785.802581018521</v>
      </c>
      <c r="B584">
        <v>299562124</v>
      </c>
      <c r="C584" t="s">
        <v>369</v>
      </c>
      <c r="D584" t="s">
        <v>9</v>
      </c>
      <c r="E584" s="3">
        <v>-2000</v>
      </c>
      <c r="F584" s="3">
        <v>-2000</v>
      </c>
      <c r="G584" s="3">
        <v>-1400</v>
      </c>
      <c r="H584" s="2">
        <v>44785.802002314813</v>
      </c>
      <c r="I584" t="s">
        <v>370</v>
      </c>
      <c r="J584" t="s">
        <v>40</v>
      </c>
      <c r="K584" t="s">
        <v>11</v>
      </c>
      <c r="L584" t="str">
        <f t="shared" si="1"/>
        <v>9791191562873</v>
      </c>
    </row>
    <row r="585" spans="1:12">
      <c r="A585" s="2">
        <v>44785.829027777778</v>
      </c>
      <c r="B585">
        <v>299562124</v>
      </c>
      <c r="C585" t="s">
        <v>369</v>
      </c>
      <c r="D585" t="s">
        <v>9</v>
      </c>
      <c r="E585" s="3">
        <v>2000</v>
      </c>
      <c r="F585" s="3">
        <v>2000</v>
      </c>
      <c r="G585" s="3">
        <v>1400</v>
      </c>
      <c r="I585" t="s">
        <v>370</v>
      </c>
      <c r="J585" t="s">
        <v>40</v>
      </c>
      <c r="K585" t="s">
        <v>11</v>
      </c>
      <c r="L585" t="str">
        <f t="shared" si="1"/>
        <v>9791191562873</v>
      </c>
    </row>
    <row r="586" spans="1:12">
      <c r="A586" s="2">
        <v>44785.859386574077</v>
      </c>
      <c r="B586">
        <v>299562124</v>
      </c>
      <c r="C586" t="s">
        <v>369</v>
      </c>
      <c r="D586" t="s">
        <v>9</v>
      </c>
      <c r="E586" s="3">
        <v>2000</v>
      </c>
      <c r="F586" s="3">
        <v>2000</v>
      </c>
      <c r="G586" s="3">
        <v>1400</v>
      </c>
      <c r="I586" t="s">
        <v>370</v>
      </c>
      <c r="J586" t="s">
        <v>40</v>
      </c>
      <c r="K586" t="s">
        <v>11</v>
      </c>
      <c r="L586" t="str">
        <f t="shared" si="1"/>
        <v>9791191562873</v>
      </c>
    </row>
    <row r="587" spans="1:12">
      <c r="A587" s="2">
        <v>44785.876655092594</v>
      </c>
      <c r="B587">
        <v>292316442</v>
      </c>
      <c r="C587" t="s">
        <v>84</v>
      </c>
      <c r="D587" t="s">
        <v>12</v>
      </c>
      <c r="E587" s="3">
        <v>2000</v>
      </c>
      <c r="F587" s="3">
        <v>2000</v>
      </c>
      <c r="G587" s="3">
        <v>1400</v>
      </c>
      <c r="I587" t="s">
        <v>85</v>
      </c>
      <c r="J587" t="s">
        <v>40</v>
      </c>
      <c r="K587" t="s">
        <v>11</v>
      </c>
      <c r="L587" t="str">
        <f>T("9791191562309")</f>
        <v>9791191562309</v>
      </c>
    </row>
    <row r="588" spans="1:12">
      <c r="A588" s="2">
        <v>44785.89638888889</v>
      </c>
      <c r="B588">
        <v>295071451</v>
      </c>
      <c r="C588" t="s">
        <v>109</v>
      </c>
      <c r="D588" t="s">
        <v>9</v>
      </c>
      <c r="E588" s="3">
        <v>2500</v>
      </c>
      <c r="F588" s="3">
        <v>2500</v>
      </c>
      <c r="G588" s="3">
        <v>1750</v>
      </c>
      <c r="I588" t="s">
        <v>34</v>
      </c>
      <c r="J588" t="s">
        <v>40</v>
      </c>
      <c r="K588" t="s">
        <v>11</v>
      </c>
      <c r="L588" t="str">
        <f>T("9791191562439")</f>
        <v>9791191562439</v>
      </c>
    </row>
    <row r="589" spans="1:12">
      <c r="A589" s="2">
        <v>44785.910324074073</v>
      </c>
      <c r="B589">
        <v>299562124</v>
      </c>
      <c r="C589" t="s">
        <v>369</v>
      </c>
      <c r="D589" t="s">
        <v>9</v>
      </c>
      <c r="E589" s="3">
        <v>2000</v>
      </c>
      <c r="F589" s="3">
        <v>2000</v>
      </c>
      <c r="G589" s="3">
        <v>1400</v>
      </c>
      <c r="I589" t="s">
        <v>370</v>
      </c>
      <c r="J589" t="s">
        <v>40</v>
      </c>
      <c r="K589" t="s">
        <v>11</v>
      </c>
      <c r="L589" t="str">
        <f>T("9791191562873")</f>
        <v>9791191562873</v>
      </c>
    </row>
    <row r="590" spans="1:12">
      <c r="A590" s="2">
        <v>44785.91134259259</v>
      </c>
      <c r="B590">
        <v>299562124</v>
      </c>
      <c r="C590" t="s">
        <v>369</v>
      </c>
      <c r="D590" t="s">
        <v>9</v>
      </c>
      <c r="E590" s="3">
        <v>2000</v>
      </c>
      <c r="F590" s="3">
        <v>2000</v>
      </c>
      <c r="G590" s="3">
        <v>1400</v>
      </c>
      <c r="I590" t="s">
        <v>370</v>
      </c>
      <c r="J590" t="s">
        <v>40</v>
      </c>
      <c r="K590" t="s">
        <v>11</v>
      </c>
      <c r="L590" t="str">
        <f>T("9791191562873")</f>
        <v>9791191562873</v>
      </c>
    </row>
    <row r="591" spans="1:12">
      <c r="A591" s="2">
        <v>44785.923368055555</v>
      </c>
      <c r="B591">
        <v>299154500</v>
      </c>
      <c r="C591" t="s">
        <v>287</v>
      </c>
      <c r="D591" t="s">
        <v>9</v>
      </c>
      <c r="E591" s="3">
        <v>2500</v>
      </c>
      <c r="F591" s="3">
        <v>2500</v>
      </c>
      <c r="G591" s="3">
        <v>1750</v>
      </c>
      <c r="I591" t="s">
        <v>220</v>
      </c>
      <c r="J591" t="s">
        <v>40</v>
      </c>
      <c r="K591" t="s">
        <v>11</v>
      </c>
      <c r="L591" t="str">
        <f>T("9791191562859")</f>
        <v>9791191562859</v>
      </c>
    </row>
    <row r="592" spans="1:12">
      <c r="A592" s="2">
        <v>44785.925810185188</v>
      </c>
      <c r="B592">
        <v>295462572</v>
      </c>
      <c r="C592" t="s">
        <v>108</v>
      </c>
      <c r="D592" t="s">
        <v>9</v>
      </c>
      <c r="E592" s="3">
        <v>2000</v>
      </c>
      <c r="F592" s="3">
        <v>2000</v>
      </c>
      <c r="G592" s="3">
        <v>1400</v>
      </c>
      <c r="I592" t="s">
        <v>32</v>
      </c>
      <c r="J592" t="s">
        <v>40</v>
      </c>
      <c r="K592" t="s">
        <v>11</v>
      </c>
      <c r="L592" t="str">
        <f>T("9791191562361")</f>
        <v>9791191562361</v>
      </c>
    </row>
    <row r="593" spans="1:12">
      <c r="A593" s="2">
        <v>44785.926817129628</v>
      </c>
      <c r="B593">
        <v>299562124</v>
      </c>
      <c r="C593" t="s">
        <v>369</v>
      </c>
      <c r="D593" t="s">
        <v>9</v>
      </c>
      <c r="E593" s="3">
        <v>2000</v>
      </c>
      <c r="F593" s="3">
        <v>2000</v>
      </c>
      <c r="G593" s="3">
        <v>1400</v>
      </c>
      <c r="I593" t="s">
        <v>370</v>
      </c>
      <c r="J593" t="s">
        <v>40</v>
      </c>
      <c r="K593" t="s">
        <v>11</v>
      </c>
      <c r="L593" t="str">
        <f>T("9791191562873")</f>
        <v>9791191562873</v>
      </c>
    </row>
    <row r="594" spans="1:12">
      <c r="A594" s="2">
        <v>44785.934965277775</v>
      </c>
      <c r="B594">
        <v>287834730</v>
      </c>
      <c r="C594" t="s">
        <v>37</v>
      </c>
      <c r="D594" t="s">
        <v>9</v>
      </c>
      <c r="E594" s="3">
        <v>2000</v>
      </c>
      <c r="F594" s="3">
        <v>2000</v>
      </c>
      <c r="G594" s="3">
        <v>1400</v>
      </c>
      <c r="I594" t="s">
        <v>32</v>
      </c>
      <c r="J594" t="s">
        <v>40</v>
      </c>
      <c r="K594" t="s">
        <v>11</v>
      </c>
      <c r="L594" t="str">
        <f>T("9791191562019")</f>
        <v>9791191562019</v>
      </c>
    </row>
    <row r="595" spans="1:12">
      <c r="A595" s="2">
        <v>44785.937037037038</v>
      </c>
      <c r="B595">
        <v>149550327</v>
      </c>
      <c r="C595" t="s">
        <v>250</v>
      </c>
      <c r="D595" t="s">
        <v>12</v>
      </c>
      <c r="E595">
        <v>900</v>
      </c>
      <c r="F595">
        <v>900</v>
      </c>
      <c r="G595">
        <v>630</v>
      </c>
      <c r="I595" t="s">
        <v>124</v>
      </c>
      <c r="J595" t="s">
        <v>11</v>
      </c>
      <c r="K595" t="s">
        <v>11</v>
      </c>
      <c r="L595" t="str">
        <f>T("9791159286353")</f>
        <v>9791159286353</v>
      </c>
    </row>
    <row r="596" spans="1:12">
      <c r="A596" s="2">
        <v>44785.939259259256</v>
      </c>
      <c r="B596">
        <v>299562124</v>
      </c>
      <c r="C596" t="s">
        <v>369</v>
      </c>
      <c r="D596" t="s">
        <v>9</v>
      </c>
      <c r="E596" s="3">
        <v>2000</v>
      </c>
      <c r="F596" s="3">
        <v>2000</v>
      </c>
      <c r="G596" s="3">
        <v>1400</v>
      </c>
      <c r="I596" t="s">
        <v>370</v>
      </c>
      <c r="J596" t="s">
        <v>40</v>
      </c>
      <c r="K596" t="s">
        <v>11</v>
      </c>
      <c r="L596" t="str">
        <f>T("9791191562873")</f>
        <v>9791191562873</v>
      </c>
    </row>
    <row r="597" spans="1:12">
      <c r="A597" s="2">
        <v>44785.943460648145</v>
      </c>
      <c r="B597">
        <v>299562124</v>
      </c>
      <c r="C597" t="s">
        <v>369</v>
      </c>
      <c r="D597" t="s">
        <v>9</v>
      </c>
      <c r="E597" s="3">
        <v>2000</v>
      </c>
      <c r="F597" s="3">
        <v>2000</v>
      </c>
      <c r="G597" s="3">
        <v>1400</v>
      </c>
      <c r="I597" t="s">
        <v>370</v>
      </c>
      <c r="J597" t="s">
        <v>40</v>
      </c>
      <c r="K597" t="s">
        <v>11</v>
      </c>
      <c r="L597" t="str">
        <f>T("9791191562873")</f>
        <v>9791191562873</v>
      </c>
    </row>
    <row r="598" spans="1:12">
      <c r="A598" s="2">
        <v>44785.951736111114</v>
      </c>
      <c r="B598">
        <v>299562124</v>
      </c>
      <c r="C598" t="s">
        <v>369</v>
      </c>
      <c r="D598" t="s">
        <v>9</v>
      </c>
      <c r="E598" s="3">
        <v>2000</v>
      </c>
      <c r="F598" s="3">
        <v>2000</v>
      </c>
      <c r="G598" s="3">
        <v>1400</v>
      </c>
      <c r="I598" t="s">
        <v>370</v>
      </c>
      <c r="J598" t="s">
        <v>40</v>
      </c>
      <c r="K598" t="s">
        <v>11</v>
      </c>
      <c r="L598" t="str">
        <f>T("9791191562873")</f>
        <v>9791191562873</v>
      </c>
    </row>
    <row r="599" spans="1:12">
      <c r="A599" s="2">
        <v>44785.960509259261</v>
      </c>
      <c r="B599">
        <v>287703886</v>
      </c>
      <c r="C599" t="s">
        <v>72</v>
      </c>
      <c r="D599" t="s">
        <v>9</v>
      </c>
      <c r="E599" s="3">
        <v>2500</v>
      </c>
      <c r="F599" s="3">
        <v>2500</v>
      </c>
      <c r="G599" s="3">
        <v>1750</v>
      </c>
      <c r="I599" t="s">
        <v>73</v>
      </c>
      <c r="J599" t="s">
        <v>40</v>
      </c>
      <c r="K599" t="s">
        <v>11</v>
      </c>
      <c r="L599" t="str">
        <f>T("9791196945275")</f>
        <v>9791196945275</v>
      </c>
    </row>
    <row r="600" spans="1:12">
      <c r="A600" s="2">
        <v>44785.960856481484</v>
      </c>
      <c r="B600">
        <v>299562124</v>
      </c>
      <c r="C600" t="s">
        <v>369</v>
      </c>
      <c r="D600" t="s">
        <v>9</v>
      </c>
      <c r="E600" s="3">
        <v>2000</v>
      </c>
      <c r="F600" s="3">
        <v>2000</v>
      </c>
      <c r="G600" s="3">
        <v>1400</v>
      </c>
      <c r="I600" t="s">
        <v>370</v>
      </c>
      <c r="J600" t="s">
        <v>40</v>
      </c>
      <c r="K600" t="s">
        <v>11</v>
      </c>
      <c r="L600" t="str">
        <f>T("9791191562873")</f>
        <v>9791191562873</v>
      </c>
    </row>
    <row r="601" spans="1:12">
      <c r="A601" s="2">
        <v>44785.968877314815</v>
      </c>
      <c r="B601">
        <v>295356530</v>
      </c>
      <c r="C601" t="s">
        <v>116</v>
      </c>
      <c r="D601" t="s">
        <v>9</v>
      </c>
      <c r="E601" s="3">
        <v>2500</v>
      </c>
      <c r="F601" s="3">
        <v>2500</v>
      </c>
      <c r="G601" s="3">
        <v>1750</v>
      </c>
      <c r="I601" t="s">
        <v>115</v>
      </c>
      <c r="J601" t="s">
        <v>40</v>
      </c>
      <c r="K601" t="s">
        <v>11</v>
      </c>
      <c r="L601" t="str">
        <f>T("9791191562460")</f>
        <v>9791191562460</v>
      </c>
    </row>
    <row r="602" spans="1:12">
      <c r="A602" s="2">
        <v>44785.977094907408</v>
      </c>
      <c r="B602">
        <v>294674998</v>
      </c>
      <c r="C602" t="s">
        <v>112</v>
      </c>
      <c r="D602" t="s">
        <v>9</v>
      </c>
      <c r="E602" s="3">
        <v>2000</v>
      </c>
      <c r="F602" s="3">
        <v>2000</v>
      </c>
      <c r="G602" s="3">
        <v>1400</v>
      </c>
      <c r="I602" t="s">
        <v>111</v>
      </c>
      <c r="J602" t="s">
        <v>40</v>
      </c>
      <c r="K602" t="s">
        <v>11</v>
      </c>
      <c r="L602" t="str">
        <f>T("9791191562385")</f>
        <v>9791191562385</v>
      </c>
    </row>
    <row r="603" spans="1:12">
      <c r="A603" s="2">
        <v>44785.98170138889</v>
      </c>
      <c r="B603">
        <v>299562124</v>
      </c>
      <c r="C603" t="s">
        <v>369</v>
      </c>
      <c r="D603" t="s">
        <v>9</v>
      </c>
      <c r="E603" s="3">
        <v>2000</v>
      </c>
      <c r="F603" s="3">
        <v>2000</v>
      </c>
      <c r="G603" s="3">
        <v>1400</v>
      </c>
      <c r="I603" t="s">
        <v>370</v>
      </c>
      <c r="J603" t="s">
        <v>40</v>
      </c>
      <c r="K603" t="s">
        <v>11</v>
      </c>
      <c r="L603" t="str">
        <f>T("9791191562873")</f>
        <v>9791191562873</v>
      </c>
    </row>
    <row r="604" spans="1:12">
      <c r="A604" s="2">
        <v>44785.987696759257</v>
      </c>
      <c r="B604">
        <v>295356530</v>
      </c>
      <c r="C604" t="s">
        <v>116</v>
      </c>
      <c r="D604" t="s">
        <v>9</v>
      </c>
      <c r="E604" s="3">
        <v>2500</v>
      </c>
      <c r="F604" s="3">
        <v>2500</v>
      </c>
      <c r="G604" s="3">
        <v>1750</v>
      </c>
      <c r="I604" t="s">
        <v>115</v>
      </c>
      <c r="J604" t="s">
        <v>40</v>
      </c>
      <c r="K604" t="s">
        <v>11</v>
      </c>
      <c r="L604" t="str">
        <f>T("9791191562460")</f>
        <v>9791191562460</v>
      </c>
    </row>
    <row r="605" spans="1:12">
      <c r="A605" s="2">
        <v>44785.987696759257</v>
      </c>
      <c r="B605">
        <v>297109357</v>
      </c>
      <c r="C605" t="s">
        <v>154</v>
      </c>
      <c r="D605" t="s">
        <v>9</v>
      </c>
      <c r="E605" s="3">
        <v>3600</v>
      </c>
      <c r="F605" s="3">
        <v>3600</v>
      </c>
      <c r="G605" s="3">
        <v>2520</v>
      </c>
      <c r="I605" t="s">
        <v>155</v>
      </c>
      <c r="J605" t="s">
        <v>40</v>
      </c>
      <c r="K605" t="s">
        <v>11</v>
      </c>
      <c r="L605" t="str">
        <f>T("9791191562774")</f>
        <v>9791191562774</v>
      </c>
    </row>
    <row r="606" spans="1:12">
      <c r="A606" s="2">
        <v>44785.98945601852</v>
      </c>
      <c r="B606">
        <v>299562124</v>
      </c>
      <c r="C606" t="s">
        <v>369</v>
      </c>
      <c r="D606" t="s">
        <v>9</v>
      </c>
      <c r="E606" s="3">
        <v>2000</v>
      </c>
      <c r="F606" s="3">
        <v>2000</v>
      </c>
      <c r="G606" s="3">
        <v>1400</v>
      </c>
      <c r="I606" t="s">
        <v>370</v>
      </c>
      <c r="J606" t="s">
        <v>40</v>
      </c>
      <c r="K606" t="s">
        <v>11</v>
      </c>
      <c r="L606" t="str">
        <f>T("9791191562873")</f>
        <v>9791191562873</v>
      </c>
    </row>
    <row r="607" spans="1:12">
      <c r="A607" s="2">
        <v>44785.990219907406</v>
      </c>
      <c r="B607">
        <v>299562124</v>
      </c>
      <c r="C607" t="s">
        <v>369</v>
      </c>
      <c r="D607" t="s">
        <v>9</v>
      </c>
      <c r="E607" s="3">
        <v>2000</v>
      </c>
      <c r="F607" s="3">
        <v>2000</v>
      </c>
      <c r="G607" s="3">
        <v>1400</v>
      </c>
      <c r="I607" t="s">
        <v>370</v>
      </c>
      <c r="J607" t="s">
        <v>40</v>
      </c>
      <c r="K607" t="s">
        <v>11</v>
      </c>
      <c r="L607" t="str">
        <f>T("9791191562873")</f>
        <v>9791191562873</v>
      </c>
    </row>
    <row r="608" spans="1:12">
      <c r="A608" s="2">
        <v>44785.990624999999</v>
      </c>
      <c r="B608">
        <v>292045651</v>
      </c>
      <c r="C608" t="s">
        <v>78</v>
      </c>
      <c r="D608" t="s">
        <v>9</v>
      </c>
      <c r="E608" s="3">
        <v>2000</v>
      </c>
      <c r="F608" s="3">
        <v>2000</v>
      </c>
      <c r="G608" s="3">
        <v>1400</v>
      </c>
      <c r="I608" t="s">
        <v>29</v>
      </c>
      <c r="J608" t="s">
        <v>40</v>
      </c>
      <c r="K608" t="s">
        <v>11</v>
      </c>
      <c r="L608" t="str">
        <f>T("9791191562217")</f>
        <v>9791191562217</v>
      </c>
    </row>
    <row r="609" spans="1:12">
      <c r="A609" s="2">
        <v>44785.999027777776</v>
      </c>
      <c r="B609">
        <v>263958829</v>
      </c>
      <c r="C609" t="s">
        <v>299</v>
      </c>
      <c r="D609" t="s">
        <v>9</v>
      </c>
      <c r="E609" s="3">
        <v>3200</v>
      </c>
      <c r="F609" s="3">
        <v>3200</v>
      </c>
      <c r="G609" s="3">
        <v>2240</v>
      </c>
      <c r="I609" t="s">
        <v>13</v>
      </c>
      <c r="J609" t="s">
        <v>11</v>
      </c>
      <c r="K609" t="s">
        <v>11</v>
      </c>
      <c r="L609" t="str">
        <f>T("9791166300479")</f>
        <v>9791166300479</v>
      </c>
    </row>
    <row r="610" spans="1:12">
      <c r="A610" s="2">
        <v>44785.999074074076</v>
      </c>
      <c r="B610">
        <v>299562124</v>
      </c>
      <c r="C610" t="s">
        <v>369</v>
      </c>
      <c r="D610" t="s">
        <v>9</v>
      </c>
      <c r="E610" s="3">
        <v>2000</v>
      </c>
      <c r="F610" s="3">
        <v>2000</v>
      </c>
      <c r="G610" s="3">
        <v>1400</v>
      </c>
      <c r="I610" t="s">
        <v>370</v>
      </c>
      <c r="J610" t="s">
        <v>40</v>
      </c>
      <c r="K610" t="s">
        <v>11</v>
      </c>
      <c r="L610" t="str">
        <f>T("9791191562873")</f>
        <v>9791191562873</v>
      </c>
    </row>
    <row r="611" spans="1:12">
      <c r="A611" s="2">
        <v>44785.999293981484</v>
      </c>
      <c r="B611">
        <v>299562124</v>
      </c>
      <c r="C611" t="s">
        <v>369</v>
      </c>
      <c r="D611" t="s">
        <v>9</v>
      </c>
      <c r="E611" s="3">
        <v>2000</v>
      </c>
      <c r="F611" s="3">
        <v>2000</v>
      </c>
      <c r="G611" s="3">
        <v>1400</v>
      </c>
      <c r="I611" t="s">
        <v>370</v>
      </c>
      <c r="J611" t="s">
        <v>40</v>
      </c>
      <c r="K611" t="s">
        <v>11</v>
      </c>
      <c r="L611" t="str">
        <f>T("9791191562873")</f>
        <v>9791191562873</v>
      </c>
    </row>
    <row r="612" spans="1:12">
      <c r="A612" s="2">
        <v>44785.999675925923</v>
      </c>
      <c r="B612">
        <v>292246510</v>
      </c>
      <c r="C612" t="s">
        <v>319</v>
      </c>
      <c r="D612" t="s">
        <v>12</v>
      </c>
      <c r="E612" s="3">
        <v>2400</v>
      </c>
      <c r="F612" s="3">
        <v>2400</v>
      </c>
      <c r="G612" s="3">
        <v>1680</v>
      </c>
      <c r="I612" t="s">
        <v>55</v>
      </c>
      <c r="J612" t="s">
        <v>50</v>
      </c>
      <c r="K612" t="s">
        <v>11</v>
      </c>
      <c r="L612" t="str">
        <f>T("9791166483240")</f>
        <v>9791166483240</v>
      </c>
    </row>
    <row r="613" spans="1:12">
      <c r="A613" s="2">
        <v>44785.999675925923</v>
      </c>
      <c r="B613">
        <v>292246519</v>
      </c>
      <c r="C613" t="s">
        <v>320</v>
      </c>
      <c r="D613" t="s">
        <v>12</v>
      </c>
      <c r="E613" s="3">
        <v>2400</v>
      </c>
      <c r="F613" s="3">
        <v>2400</v>
      </c>
      <c r="G613" s="3">
        <v>1680</v>
      </c>
      <c r="I613" t="s">
        <v>55</v>
      </c>
      <c r="J613" t="s">
        <v>50</v>
      </c>
      <c r="K613" t="s">
        <v>11</v>
      </c>
      <c r="L613" t="str">
        <f>T("9791166483233")</f>
        <v>9791166483233</v>
      </c>
    </row>
    <row r="614" spans="1:12">
      <c r="A614" s="2">
        <v>44786.010717592595</v>
      </c>
      <c r="B614">
        <v>298750948</v>
      </c>
      <c r="C614" t="s">
        <v>259</v>
      </c>
      <c r="D614" t="s">
        <v>9</v>
      </c>
      <c r="E614" s="3">
        <v>3500</v>
      </c>
      <c r="F614" s="3">
        <v>3500</v>
      </c>
      <c r="G614" s="3">
        <v>2450</v>
      </c>
      <c r="I614" t="s">
        <v>38</v>
      </c>
      <c r="J614" t="s">
        <v>40</v>
      </c>
      <c r="K614" t="s">
        <v>11</v>
      </c>
      <c r="L614" t="str">
        <f>T("9791191562866")</f>
        <v>9791191562866</v>
      </c>
    </row>
    <row r="615" spans="1:12">
      <c r="A615" s="2">
        <v>44786.010717592595</v>
      </c>
      <c r="B615">
        <v>299562124</v>
      </c>
      <c r="C615" t="s">
        <v>369</v>
      </c>
      <c r="D615" t="s">
        <v>9</v>
      </c>
      <c r="E615" s="3">
        <v>2000</v>
      </c>
      <c r="F615" s="3">
        <v>2000</v>
      </c>
      <c r="G615" s="3">
        <v>1400</v>
      </c>
      <c r="I615" t="s">
        <v>370</v>
      </c>
      <c r="J615" t="s">
        <v>40</v>
      </c>
      <c r="K615" t="s">
        <v>11</v>
      </c>
      <c r="L615" t="str">
        <f>T("9791191562873")</f>
        <v>9791191562873</v>
      </c>
    </row>
    <row r="616" spans="1:12">
      <c r="A616" s="2">
        <v>44786.012384259258</v>
      </c>
      <c r="B616">
        <v>299562124</v>
      </c>
      <c r="C616" t="s">
        <v>369</v>
      </c>
      <c r="D616" t="s">
        <v>9</v>
      </c>
      <c r="E616" s="3">
        <v>2000</v>
      </c>
      <c r="F616" s="3">
        <v>2000</v>
      </c>
      <c r="G616" s="3">
        <v>1400</v>
      </c>
      <c r="I616" t="s">
        <v>370</v>
      </c>
      <c r="J616" t="s">
        <v>40</v>
      </c>
      <c r="K616" t="s">
        <v>11</v>
      </c>
      <c r="L616" t="str">
        <f>T("9791191562873")</f>
        <v>9791191562873</v>
      </c>
    </row>
    <row r="617" spans="1:12">
      <c r="A617" s="2">
        <v>44786.675543981481</v>
      </c>
      <c r="B617">
        <v>299562124</v>
      </c>
      <c r="C617" t="s">
        <v>369</v>
      </c>
      <c r="D617" t="s">
        <v>9</v>
      </c>
      <c r="E617" s="3">
        <v>-2000</v>
      </c>
      <c r="F617" s="3">
        <v>-2000</v>
      </c>
      <c r="G617" s="3">
        <v>-1400</v>
      </c>
      <c r="H617" s="2">
        <v>44786.012384259258</v>
      </c>
      <c r="I617" t="s">
        <v>370</v>
      </c>
      <c r="J617" t="s">
        <v>40</v>
      </c>
      <c r="K617" t="s">
        <v>11</v>
      </c>
      <c r="L617" t="str">
        <f>T("9791191562873")</f>
        <v>9791191562873</v>
      </c>
    </row>
    <row r="618" spans="1:12">
      <c r="A618" s="2">
        <v>44786.017407407409</v>
      </c>
      <c r="B618">
        <v>291088925</v>
      </c>
      <c r="C618" t="s">
        <v>58</v>
      </c>
      <c r="D618" t="s">
        <v>9</v>
      </c>
      <c r="E618" s="3">
        <v>2000</v>
      </c>
      <c r="F618" s="3">
        <v>2000</v>
      </c>
      <c r="G618" s="3">
        <v>1400</v>
      </c>
      <c r="I618" t="s">
        <v>59</v>
      </c>
      <c r="J618" t="s">
        <v>40</v>
      </c>
      <c r="K618" t="s">
        <v>11</v>
      </c>
      <c r="L618" t="str">
        <f>T("9791191562187")</f>
        <v>9791191562187</v>
      </c>
    </row>
    <row r="619" spans="1:12">
      <c r="A619" s="2">
        <v>44786.024560185186</v>
      </c>
      <c r="B619">
        <v>299618573</v>
      </c>
      <c r="C619" t="s">
        <v>386</v>
      </c>
      <c r="D619" t="s">
        <v>9</v>
      </c>
      <c r="E619" s="3">
        <v>4100</v>
      </c>
      <c r="F619" s="3">
        <v>4100</v>
      </c>
      <c r="G619" s="3">
        <v>2870</v>
      </c>
      <c r="I619" t="s">
        <v>385</v>
      </c>
      <c r="J619" t="s">
        <v>271</v>
      </c>
      <c r="K619" t="s">
        <v>11</v>
      </c>
      <c r="L619" t="str">
        <f>T("9791137604575")</f>
        <v>9791137604575</v>
      </c>
    </row>
    <row r="620" spans="1:12">
      <c r="A620" s="2">
        <v>44786.024560185186</v>
      </c>
      <c r="B620">
        <v>299618551</v>
      </c>
      <c r="C620" t="s">
        <v>384</v>
      </c>
      <c r="D620" t="s">
        <v>9</v>
      </c>
      <c r="E620" s="3">
        <v>4100</v>
      </c>
      <c r="F620" s="3">
        <v>4100</v>
      </c>
      <c r="G620" s="3">
        <v>2870</v>
      </c>
      <c r="I620" t="s">
        <v>385</v>
      </c>
      <c r="J620" t="s">
        <v>271</v>
      </c>
      <c r="K620" t="s">
        <v>11</v>
      </c>
      <c r="L620" t="str">
        <f>T("9791137604582")</f>
        <v>9791137604582</v>
      </c>
    </row>
    <row r="621" spans="1:12">
      <c r="A621" s="2">
        <v>44786.026284722226</v>
      </c>
      <c r="B621">
        <v>299562124</v>
      </c>
      <c r="C621" t="s">
        <v>369</v>
      </c>
      <c r="D621" t="s">
        <v>9</v>
      </c>
      <c r="E621" s="3">
        <v>2000</v>
      </c>
      <c r="F621" s="3">
        <v>2000</v>
      </c>
      <c r="G621" s="3">
        <v>1400</v>
      </c>
      <c r="I621" t="s">
        <v>370</v>
      </c>
      <c r="J621" t="s">
        <v>40</v>
      </c>
      <c r="K621" t="s">
        <v>11</v>
      </c>
      <c r="L621" t="str">
        <f>T("9791191562873")</f>
        <v>9791191562873</v>
      </c>
    </row>
    <row r="622" spans="1:12">
      <c r="A622" s="2">
        <v>44786.027939814812</v>
      </c>
      <c r="B622">
        <v>299562124</v>
      </c>
      <c r="C622" t="s">
        <v>369</v>
      </c>
      <c r="D622" t="s">
        <v>9</v>
      </c>
      <c r="E622" s="3">
        <v>2000</v>
      </c>
      <c r="F622" s="3">
        <v>2000</v>
      </c>
      <c r="G622" s="3">
        <v>1400</v>
      </c>
      <c r="I622" t="s">
        <v>370</v>
      </c>
      <c r="J622" t="s">
        <v>40</v>
      </c>
      <c r="K622" t="s">
        <v>11</v>
      </c>
      <c r="L622" t="str">
        <f>T("9791191562873")</f>
        <v>9791191562873</v>
      </c>
    </row>
    <row r="623" spans="1:12">
      <c r="A623" s="2">
        <v>44786.038506944446</v>
      </c>
      <c r="B623">
        <v>299562124</v>
      </c>
      <c r="C623" t="s">
        <v>369</v>
      </c>
      <c r="D623" t="s">
        <v>9</v>
      </c>
      <c r="E623" s="3">
        <v>2000</v>
      </c>
      <c r="F623" s="3">
        <v>2000</v>
      </c>
      <c r="G623" s="3">
        <v>1400</v>
      </c>
      <c r="I623" t="s">
        <v>370</v>
      </c>
      <c r="J623" t="s">
        <v>40</v>
      </c>
      <c r="K623" t="s">
        <v>11</v>
      </c>
      <c r="L623" t="str">
        <f>T("9791191562873")</f>
        <v>9791191562873</v>
      </c>
    </row>
    <row r="624" spans="1:12">
      <c r="A624" s="2">
        <v>44786.046574074076</v>
      </c>
      <c r="B624">
        <v>293957129</v>
      </c>
      <c r="C624" t="s">
        <v>224</v>
      </c>
      <c r="D624" t="s">
        <v>9</v>
      </c>
      <c r="E624" s="3">
        <v>3200</v>
      </c>
      <c r="F624" s="3">
        <v>3200</v>
      </c>
      <c r="G624" s="3">
        <v>2240</v>
      </c>
      <c r="I624" t="s">
        <v>14</v>
      </c>
      <c r="J624" t="s">
        <v>11</v>
      </c>
      <c r="K624" t="s">
        <v>11</v>
      </c>
      <c r="L624" t="str">
        <f>T("9791137603028")</f>
        <v>9791137603028</v>
      </c>
    </row>
    <row r="625" spans="1:12">
      <c r="A625" s="2">
        <v>44786.046574074076</v>
      </c>
      <c r="B625">
        <v>293957036</v>
      </c>
      <c r="C625" t="s">
        <v>225</v>
      </c>
      <c r="D625" t="s">
        <v>9</v>
      </c>
      <c r="E625" s="3">
        <v>3200</v>
      </c>
      <c r="F625" s="3">
        <v>3200</v>
      </c>
      <c r="G625" s="3">
        <v>2240</v>
      </c>
      <c r="I625" t="s">
        <v>14</v>
      </c>
      <c r="J625" t="s">
        <v>11</v>
      </c>
      <c r="K625" t="s">
        <v>11</v>
      </c>
      <c r="L625" t="str">
        <f>T("9791137603035")</f>
        <v>9791137603035</v>
      </c>
    </row>
    <row r="626" spans="1:12">
      <c r="A626" s="2">
        <v>44786.046574074076</v>
      </c>
      <c r="B626">
        <v>293957120</v>
      </c>
      <c r="C626" t="s">
        <v>226</v>
      </c>
      <c r="D626" t="s">
        <v>9</v>
      </c>
      <c r="E626" s="3">
        <v>3200</v>
      </c>
      <c r="F626" s="3">
        <v>3200</v>
      </c>
      <c r="G626" s="3">
        <v>2240</v>
      </c>
      <c r="I626" t="s">
        <v>14</v>
      </c>
      <c r="J626" t="s">
        <v>11</v>
      </c>
      <c r="K626" t="s">
        <v>11</v>
      </c>
      <c r="L626" t="str">
        <f>T("9791137603042")</f>
        <v>9791137603042</v>
      </c>
    </row>
    <row r="627" spans="1:12">
      <c r="A627" s="2">
        <v>44786.046574074076</v>
      </c>
      <c r="B627">
        <v>293957097</v>
      </c>
      <c r="C627" t="s">
        <v>227</v>
      </c>
      <c r="D627" t="s">
        <v>9</v>
      </c>
      <c r="E627" s="3">
        <v>3200</v>
      </c>
      <c r="F627" s="3">
        <v>3200</v>
      </c>
      <c r="G627" s="3">
        <v>2240</v>
      </c>
      <c r="I627" t="s">
        <v>14</v>
      </c>
      <c r="J627" t="s">
        <v>11</v>
      </c>
      <c r="K627" t="s">
        <v>11</v>
      </c>
      <c r="L627" t="str">
        <f>T("9791137603059")</f>
        <v>9791137603059</v>
      </c>
    </row>
    <row r="628" spans="1:12">
      <c r="A628" s="2">
        <v>44786.046574074076</v>
      </c>
      <c r="B628">
        <v>293957111</v>
      </c>
      <c r="C628" t="s">
        <v>223</v>
      </c>
      <c r="D628" t="s">
        <v>9</v>
      </c>
      <c r="E628" s="3">
        <v>3200</v>
      </c>
      <c r="F628" s="3">
        <v>3200</v>
      </c>
      <c r="G628" s="3">
        <v>2240</v>
      </c>
      <c r="I628" t="s">
        <v>14</v>
      </c>
      <c r="J628" t="s">
        <v>11</v>
      </c>
      <c r="K628" t="s">
        <v>11</v>
      </c>
      <c r="L628" t="str">
        <f>T("9791137603011")</f>
        <v>9791137603011</v>
      </c>
    </row>
    <row r="629" spans="1:12">
      <c r="A629" s="2">
        <v>44786.071666666663</v>
      </c>
      <c r="B629">
        <v>299562124</v>
      </c>
      <c r="C629" t="s">
        <v>369</v>
      </c>
      <c r="D629" t="s">
        <v>9</v>
      </c>
      <c r="E629" s="3">
        <v>2000</v>
      </c>
      <c r="F629" s="3">
        <v>2000</v>
      </c>
      <c r="G629" s="3">
        <v>1400</v>
      </c>
      <c r="I629" t="s">
        <v>370</v>
      </c>
      <c r="J629" t="s">
        <v>40</v>
      </c>
      <c r="K629" t="s">
        <v>11</v>
      </c>
      <c r="L629" t="str">
        <f>T("9791191562873")</f>
        <v>9791191562873</v>
      </c>
    </row>
    <row r="630" spans="1:12">
      <c r="A630" s="2">
        <v>44786.080497685187</v>
      </c>
      <c r="B630">
        <v>287240033</v>
      </c>
      <c r="C630" t="s">
        <v>387</v>
      </c>
      <c r="D630" t="s">
        <v>9</v>
      </c>
      <c r="E630">
        <v>0</v>
      </c>
      <c r="F630">
        <v>0</v>
      </c>
      <c r="G630">
        <v>0</v>
      </c>
      <c r="I630" t="s">
        <v>357</v>
      </c>
      <c r="J630" t="s">
        <v>17</v>
      </c>
      <c r="K630" t="s">
        <v>11</v>
      </c>
      <c r="L630" t="str">
        <f>T("9791166005077")</f>
        <v>9791166005077</v>
      </c>
    </row>
    <row r="631" spans="1:12">
      <c r="A631" s="2">
        <v>44786.107210648152</v>
      </c>
      <c r="B631">
        <v>299562124</v>
      </c>
      <c r="C631" t="s">
        <v>369</v>
      </c>
      <c r="D631" t="s">
        <v>9</v>
      </c>
      <c r="E631" s="3">
        <v>2000</v>
      </c>
      <c r="F631" s="3">
        <v>2000</v>
      </c>
      <c r="G631" s="3">
        <v>1400</v>
      </c>
      <c r="I631" t="s">
        <v>370</v>
      </c>
      <c r="J631" t="s">
        <v>40</v>
      </c>
      <c r="K631" t="s">
        <v>11</v>
      </c>
      <c r="L631" t="str">
        <f>T("9791191562873")</f>
        <v>9791191562873</v>
      </c>
    </row>
    <row r="632" spans="1:12">
      <c r="A632" s="2">
        <v>44786.387881944444</v>
      </c>
      <c r="B632">
        <v>263958809</v>
      </c>
      <c r="C632" t="s">
        <v>161</v>
      </c>
      <c r="D632" t="s">
        <v>9</v>
      </c>
      <c r="E632" s="3">
        <v>3200</v>
      </c>
      <c r="F632" s="3">
        <v>3200</v>
      </c>
      <c r="G632" s="3">
        <v>2240</v>
      </c>
      <c r="I632" t="s">
        <v>13</v>
      </c>
      <c r="J632" t="s">
        <v>11</v>
      </c>
      <c r="K632" t="s">
        <v>11</v>
      </c>
      <c r="L632" t="str">
        <f>T("9791166300585")</f>
        <v>9791166300585</v>
      </c>
    </row>
    <row r="633" spans="1:12">
      <c r="A633" s="2">
        <v>44786.387881944444</v>
      </c>
      <c r="B633">
        <v>263958810</v>
      </c>
      <c r="C633" t="s">
        <v>246</v>
      </c>
      <c r="D633" t="s">
        <v>9</v>
      </c>
      <c r="E633" s="3">
        <v>3200</v>
      </c>
      <c r="F633" s="3">
        <v>3200</v>
      </c>
      <c r="G633" s="3">
        <v>2240</v>
      </c>
      <c r="I633" t="s">
        <v>13</v>
      </c>
      <c r="J633" t="s">
        <v>11</v>
      </c>
      <c r="K633" t="s">
        <v>11</v>
      </c>
      <c r="L633" t="str">
        <f>T("9791166300639")</f>
        <v>9791166300639</v>
      </c>
    </row>
    <row r="634" spans="1:12">
      <c r="A634" s="2">
        <v>44786.387881944444</v>
      </c>
      <c r="B634">
        <v>263958847</v>
      </c>
      <c r="C634" t="s">
        <v>163</v>
      </c>
      <c r="D634" t="s">
        <v>9</v>
      </c>
      <c r="E634" s="3">
        <v>3200</v>
      </c>
      <c r="F634" s="3">
        <v>3200</v>
      </c>
      <c r="G634" s="3">
        <v>2240</v>
      </c>
      <c r="I634" t="s">
        <v>13</v>
      </c>
      <c r="J634" t="s">
        <v>11</v>
      </c>
      <c r="K634" t="s">
        <v>11</v>
      </c>
      <c r="L634" t="str">
        <f>T("9791166300608")</f>
        <v>9791166300608</v>
      </c>
    </row>
    <row r="635" spans="1:12">
      <c r="A635" s="2">
        <v>44786.387881944444</v>
      </c>
      <c r="B635">
        <v>263958848</v>
      </c>
      <c r="C635" t="s">
        <v>283</v>
      </c>
      <c r="D635" t="s">
        <v>9</v>
      </c>
      <c r="E635" s="3">
        <v>3200</v>
      </c>
      <c r="F635" s="3">
        <v>3200</v>
      </c>
      <c r="G635" s="3">
        <v>2240</v>
      </c>
      <c r="I635" t="s">
        <v>13</v>
      </c>
      <c r="J635" t="s">
        <v>11</v>
      </c>
      <c r="K635" t="s">
        <v>11</v>
      </c>
      <c r="L635" t="str">
        <f>T("9791166300660")</f>
        <v>9791166300660</v>
      </c>
    </row>
    <row r="636" spans="1:12">
      <c r="A636" s="2">
        <v>44786.387881944444</v>
      </c>
      <c r="B636">
        <v>263958833</v>
      </c>
      <c r="C636" t="s">
        <v>164</v>
      </c>
      <c r="D636" t="s">
        <v>9</v>
      </c>
      <c r="E636" s="3">
        <v>3200</v>
      </c>
      <c r="F636" s="3">
        <v>3200</v>
      </c>
      <c r="G636" s="3">
        <v>2240</v>
      </c>
      <c r="I636" t="s">
        <v>13</v>
      </c>
      <c r="J636" t="s">
        <v>11</v>
      </c>
      <c r="K636" t="s">
        <v>11</v>
      </c>
      <c r="L636" t="str">
        <f>T("9791166300615")</f>
        <v>9791166300615</v>
      </c>
    </row>
    <row r="637" spans="1:12">
      <c r="A637" s="2">
        <v>44786.387881944444</v>
      </c>
      <c r="B637">
        <v>263958834</v>
      </c>
      <c r="C637" t="s">
        <v>160</v>
      </c>
      <c r="D637" t="s">
        <v>9</v>
      </c>
      <c r="E637" s="3">
        <v>3200</v>
      </c>
      <c r="F637" s="3">
        <v>3200</v>
      </c>
      <c r="G637" s="3">
        <v>2240</v>
      </c>
      <c r="I637" t="s">
        <v>13</v>
      </c>
      <c r="J637" t="s">
        <v>11</v>
      </c>
      <c r="K637" t="s">
        <v>11</v>
      </c>
      <c r="L637" t="str">
        <f>T("9791166300578")</f>
        <v>9791166300578</v>
      </c>
    </row>
    <row r="638" spans="1:12">
      <c r="A638" s="2">
        <v>44786.387881944444</v>
      </c>
      <c r="B638">
        <v>263958835</v>
      </c>
      <c r="C638" t="s">
        <v>245</v>
      </c>
      <c r="D638" t="s">
        <v>9</v>
      </c>
      <c r="E638" s="3">
        <v>3200</v>
      </c>
      <c r="F638" s="3">
        <v>3200</v>
      </c>
      <c r="G638" s="3">
        <v>2240</v>
      </c>
      <c r="I638" t="s">
        <v>13</v>
      </c>
      <c r="J638" t="s">
        <v>11</v>
      </c>
      <c r="K638" t="s">
        <v>11</v>
      </c>
      <c r="L638" t="str">
        <f>T("9791166300622")</f>
        <v>9791166300622</v>
      </c>
    </row>
    <row r="639" spans="1:12">
      <c r="A639" s="2">
        <v>44786.387881944444</v>
      </c>
      <c r="B639">
        <v>263958836</v>
      </c>
      <c r="C639" t="s">
        <v>281</v>
      </c>
      <c r="D639" t="s">
        <v>9</v>
      </c>
      <c r="E639" s="3">
        <v>3200</v>
      </c>
      <c r="F639" s="3">
        <v>3200</v>
      </c>
      <c r="G639" s="3">
        <v>2240</v>
      </c>
      <c r="I639" t="s">
        <v>13</v>
      </c>
      <c r="J639" t="s">
        <v>11</v>
      </c>
      <c r="K639" t="s">
        <v>11</v>
      </c>
      <c r="L639" t="str">
        <f>T("9791166300653")</f>
        <v>9791166300653</v>
      </c>
    </row>
    <row r="640" spans="1:12">
      <c r="A640" s="2">
        <v>44786.387881944444</v>
      </c>
      <c r="B640">
        <v>263958838</v>
      </c>
      <c r="C640" t="s">
        <v>282</v>
      </c>
      <c r="D640" t="s">
        <v>9</v>
      </c>
      <c r="E640" s="3">
        <v>3200</v>
      </c>
      <c r="F640" s="3">
        <v>3200</v>
      </c>
      <c r="G640" s="3">
        <v>2240</v>
      </c>
      <c r="I640" t="s">
        <v>13</v>
      </c>
      <c r="J640" t="s">
        <v>11</v>
      </c>
      <c r="K640" t="s">
        <v>11</v>
      </c>
      <c r="L640" t="str">
        <f>T("9791166300691")</f>
        <v>9791166300691</v>
      </c>
    </row>
    <row r="641" spans="1:12">
      <c r="A641" s="2">
        <v>44786.387881944444</v>
      </c>
      <c r="B641">
        <v>263958794</v>
      </c>
      <c r="C641" t="s">
        <v>162</v>
      </c>
      <c r="D641" t="s">
        <v>9</v>
      </c>
      <c r="E641" s="3">
        <v>3200</v>
      </c>
      <c r="F641" s="3">
        <v>3200</v>
      </c>
      <c r="G641" s="3">
        <v>2240</v>
      </c>
      <c r="I641" t="s">
        <v>13</v>
      </c>
      <c r="J641" t="s">
        <v>11</v>
      </c>
      <c r="K641" t="s">
        <v>11</v>
      </c>
      <c r="L641" t="str">
        <f>T("9791166300592")</f>
        <v>9791166300592</v>
      </c>
    </row>
    <row r="642" spans="1:12">
      <c r="A642" s="2">
        <v>44786.387881944444</v>
      </c>
      <c r="B642">
        <v>263958796</v>
      </c>
      <c r="C642" t="s">
        <v>247</v>
      </c>
      <c r="D642" t="s">
        <v>9</v>
      </c>
      <c r="E642" s="3">
        <v>3200</v>
      </c>
      <c r="F642" s="3">
        <v>3200</v>
      </c>
      <c r="G642" s="3">
        <v>2240</v>
      </c>
      <c r="I642" t="s">
        <v>13</v>
      </c>
      <c r="J642" t="s">
        <v>11</v>
      </c>
      <c r="K642" t="s">
        <v>11</v>
      </c>
      <c r="L642" t="str">
        <f>T("9791166300646")</f>
        <v>9791166300646</v>
      </c>
    </row>
    <row r="643" spans="1:12">
      <c r="A643" s="2">
        <v>44786.409467592595</v>
      </c>
      <c r="B643">
        <v>297109357</v>
      </c>
      <c r="C643" t="s">
        <v>154</v>
      </c>
      <c r="D643" t="s">
        <v>9</v>
      </c>
      <c r="E643" s="3">
        <v>3600</v>
      </c>
      <c r="F643" s="3">
        <v>3600</v>
      </c>
      <c r="G643" s="3">
        <v>2520</v>
      </c>
      <c r="I643" t="s">
        <v>155</v>
      </c>
      <c r="J643" t="s">
        <v>40</v>
      </c>
      <c r="K643" t="s">
        <v>11</v>
      </c>
      <c r="L643" t="str">
        <f>T("9791191562774")</f>
        <v>9791191562774</v>
      </c>
    </row>
    <row r="644" spans="1:12">
      <c r="A644" s="2">
        <v>44786.409467592595</v>
      </c>
      <c r="B644">
        <v>299562124</v>
      </c>
      <c r="C644" t="s">
        <v>369</v>
      </c>
      <c r="D644" t="s">
        <v>9</v>
      </c>
      <c r="E644" s="3">
        <v>2000</v>
      </c>
      <c r="F644" s="3">
        <v>2000</v>
      </c>
      <c r="G644" s="3">
        <v>1400</v>
      </c>
      <c r="I644" t="s">
        <v>370</v>
      </c>
      <c r="J644" t="s">
        <v>40</v>
      </c>
      <c r="K644" t="s">
        <v>11</v>
      </c>
      <c r="L644" t="str">
        <f>T("9791191562873")</f>
        <v>9791191562873</v>
      </c>
    </row>
    <row r="645" spans="1:12">
      <c r="A645" s="2">
        <v>44786.424722222226</v>
      </c>
      <c r="B645">
        <v>299562124</v>
      </c>
      <c r="C645" t="s">
        <v>369</v>
      </c>
      <c r="D645" t="s">
        <v>9</v>
      </c>
      <c r="E645" s="3">
        <v>2000</v>
      </c>
      <c r="F645" s="3">
        <v>2000</v>
      </c>
      <c r="G645" s="3">
        <v>1400</v>
      </c>
      <c r="I645" t="s">
        <v>370</v>
      </c>
      <c r="J645" t="s">
        <v>40</v>
      </c>
      <c r="K645" t="s">
        <v>11</v>
      </c>
      <c r="L645" t="str">
        <f>T("9791191562873")</f>
        <v>9791191562873</v>
      </c>
    </row>
    <row r="646" spans="1:12">
      <c r="A646" s="2">
        <v>44786.446226851855</v>
      </c>
      <c r="B646">
        <v>294674998</v>
      </c>
      <c r="C646" t="s">
        <v>112</v>
      </c>
      <c r="D646" t="s">
        <v>9</v>
      </c>
      <c r="E646" s="3">
        <v>2000</v>
      </c>
      <c r="F646" s="3">
        <v>2000</v>
      </c>
      <c r="G646" s="3">
        <v>1400</v>
      </c>
      <c r="I646" t="s">
        <v>111</v>
      </c>
      <c r="J646" t="s">
        <v>40</v>
      </c>
      <c r="K646" t="s">
        <v>11</v>
      </c>
      <c r="L646" t="str">
        <f>T("9791191562385")</f>
        <v>9791191562385</v>
      </c>
    </row>
    <row r="647" spans="1:12">
      <c r="A647" s="2">
        <v>44786.453576388885</v>
      </c>
      <c r="B647">
        <v>299562124</v>
      </c>
      <c r="C647" t="s">
        <v>369</v>
      </c>
      <c r="D647" t="s">
        <v>9</v>
      </c>
      <c r="E647" s="3">
        <v>2000</v>
      </c>
      <c r="F647" s="3">
        <v>2000</v>
      </c>
      <c r="G647" s="3">
        <v>1400</v>
      </c>
      <c r="I647" t="s">
        <v>370</v>
      </c>
      <c r="J647" t="s">
        <v>40</v>
      </c>
      <c r="K647" t="s">
        <v>11</v>
      </c>
      <c r="L647" t="str">
        <f>T("9791191562873")</f>
        <v>9791191562873</v>
      </c>
    </row>
    <row r="648" spans="1:12">
      <c r="A648" s="2">
        <v>44786.458043981482</v>
      </c>
      <c r="B648">
        <v>293771607</v>
      </c>
      <c r="C648" t="s">
        <v>292</v>
      </c>
      <c r="D648" t="s">
        <v>12</v>
      </c>
      <c r="E648" s="3">
        <v>2000</v>
      </c>
      <c r="F648" s="3">
        <v>2000</v>
      </c>
      <c r="G648" s="3">
        <v>1400</v>
      </c>
      <c r="I648" t="s">
        <v>293</v>
      </c>
      <c r="J648" t="s">
        <v>40</v>
      </c>
      <c r="K648" t="s">
        <v>11</v>
      </c>
      <c r="L648" t="str">
        <f>T("9791191562323")</f>
        <v>9791191562323</v>
      </c>
    </row>
    <row r="649" spans="1:12">
      <c r="A649" s="2">
        <v>44786.458043981482</v>
      </c>
      <c r="B649">
        <v>298622481</v>
      </c>
      <c r="C649" t="s">
        <v>254</v>
      </c>
      <c r="D649" t="s">
        <v>12</v>
      </c>
      <c r="E649" s="3">
        <v>5040</v>
      </c>
      <c r="F649" s="3">
        <v>5040</v>
      </c>
      <c r="G649" s="3">
        <v>3528</v>
      </c>
      <c r="I649" t="s">
        <v>55</v>
      </c>
      <c r="J649" t="s">
        <v>50</v>
      </c>
      <c r="K649" t="s">
        <v>11</v>
      </c>
      <c r="L649" t="str">
        <f>T("9791166483226")</f>
        <v>9791166483226</v>
      </c>
    </row>
    <row r="650" spans="1:12">
      <c r="A650" s="2">
        <v>44786.510069444441</v>
      </c>
      <c r="B650">
        <v>299562124</v>
      </c>
      <c r="C650" t="s">
        <v>369</v>
      </c>
      <c r="D650" t="s">
        <v>9</v>
      </c>
      <c r="E650" s="3">
        <v>2000</v>
      </c>
      <c r="F650" s="3">
        <v>2000</v>
      </c>
      <c r="G650" s="3">
        <v>1400</v>
      </c>
      <c r="I650" t="s">
        <v>370</v>
      </c>
      <c r="J650" t="s">
        <v>40</v>
      </c>
      <c r="K650" t="s">
        <v>11</v>
      </c>
      <c r="L650" t="str">
        <f>T("9791191562873")</f>
        <v>9791191562873</v>
      </c>
    </row>
    <row r="651" spans="1:12">
      <c r="A651" s="2">
        <v>44786.527939814812</v>
      </c>
      <c r="B651">
        <v>297219988</v>
      </c>
      <c r="C651" t="s">
        <v>157</v>
      </c>
      <c r="D651" t="s">
        <v>9</v>
      </c>
      <c r="E651" s="3">
        <v>3000</v>
      </c>
      <c r="F651" s="3">
        <v>3000</v>
      </c>
      <c r="G651" s="3">
        <v>2100</v>
      </c>
      <c r="I651" t="s">
        <v>82</v>
      </c>
      <c r="J651" t="s">
        <v>40</v>
      </c>
      <c r="K651" t="s">
        <v>11</v>
      </c>
      <c r="L651" t="str">
        <f>T("9791191562811")</f>
        <v>9791191562811</v>
      </c>
    </row>
    <row r="652" spans="1:12">
      <c r="A652" s="2">
        <v>44786.546666666669</v>
      </c>
      <c r="B652">
        <v>295071451</v>
      </c>
      <c r="C652" t="s">
        <v>109</v>
      </c>
      <c r="D652" t="s">
        <v>9</v>
      </c>
      <c r="E652" s="3">
        <v>2500</v>
      </c>
      <c r="F652" s="3">
        <v>2500</v>
      </c>
      <c r="G652" s="3">
        <v>1750</v>
      </c>
      <c r="I652" t="s">
        <v>34</v>
      </c>
      <c r="J652" t="s">
        <v>40</v>
      </c>
      <c r="K652" t="s">
        <v>11</v>
      </c>
      <c r="L652" t="str">
        <f>T("9791191562439")</f>
        <v>9791191562439</v>
      </c>
    </row>
    <row r="653" spans="1:12">
      <c r="A653" s="2">
        <v>44786.579050925924</v>
      </c>
      <c r="B653">
        <v>292815408</v>
      </c>
      <c r="C653" t="s">
        <v>219</v>
      </c>
      <c r="D653" t="s">
        <v>12</v>
      </c>
      <c r="E653" s="3">
        <v>1600</v>
      </c>
      <c r="F653" s="3">
        <v>1600</v>
      </c>
      <c r="G653" s="3">
        <v>1120</v>
      </c>
      <c r="I653" t="s">
        <v>220</v>
      </c>
      <c r="J653" t="s">
        <v>40</v>
      </c>
      <c r="K653" t="s">
        <v>11</v>
      </c>
      <c r="L653" t="str">
        <f>T("9791191562286")</f>
        <v>9791191562286</v>
      </c>
    </row>
    <row r="654" spans="1:12">
      <c r="A654" s="2">
        <v>44786.622673611113</v>
      </c>
      <c r="B654">
        <v>299562124</v>
      </c>
      <c r="C654" t="s">
        <v>369</v>
      </c>
      <c r="D654" t="s">
        <v>9</v>
      </c>
      <c r="E654" s="3">
        <v>2000</v>
      </c>
      <c r="F654" s="3">
        <v>2000</v>
      </c>
      <c r="G654" s="3">
        <v>1400</v>
      </c>
      <c r="I654" t="s">
        <v>370</v>
      </c>
      <c r="J654" t="s">
        <v>40</v>
      </c>
      <c r="K654" t="s">
        <v>11</v>
      </c>
      <c r="L654" t="str">
        <f>T("9791191562873")</f>
        <v>9791191562873</v>
      </c>
    </row>
    <row r="655" spans="1:12">
      <c r="A655" s="2">
        <v>44786.667233796295</v>
      </c>
      <c r="B655">
        <v>299562124</v>
      </c>
      <c r="C655" t="s">
        <v>369</v>
      </c>
      <c r="D655" t="s">
        <v>9</v>
      </c>
      <c r="E655" s="3">
        <v>-2000</v>
      </c>
      <c r="F655" s="3">
        <v>-2000</v>
      </c>
      <c r="G655" s="3">
        <v>-1400</v>
      </c>
      <c r="H655" s="2">
        <v>44786.622673611113</v>
      </c>
      <c r="I655" t="s">
        <v>370</v>
      </c>
      <c r="J655" t="s">
        <v>40</v>
      </c>
      <c r="K655" t="s">
        <v>11</v>
      </c>
      <c r="L655" t="str">
        <f>T("9791191562873")</f>
        <v>9791191562873</v>
      </c>
    </row>
    <row r="656" spans="1:12">
      <c r="A656" s="2">
        <v>44786.630057870374</v>
      </c>
      <c r="B656">
        <v>291088925</v>
      </c>
      <c r="C656" t="s">
        <v>58</v>
      </c>
      <c r="D656" t="s">
        <v>9</v>
      </c>
      <c r="E656" s="3">
        <v>2000</v>
      </c>
      <c r="F656" s="3">
        <v>2000</v>
      </c>
      <c r="G656" s="3">
        <v>1400</v>
      </c>
      <c r="I656" t="s">
        <v>59</v>
      </c>
      <c r="J656" t="s">
        <v>40</v>
      </c>
      <c r="K656" t="s">
        <v>11</v>
      </c>
      <c r="L656" t="str">
        <f>T("9791191562187")</f>
        <v>9791191562187</v>
      </c>
    </row>
    <row r="657" spans="1:12">
      <c r="A657" s="2">
        <v>44786.630601851852</v>
      </c>
      <c r="B657">
        <v>292179681</v>
      </c>
      <c r="C657" t="s">
        <v>81</v>
      </c>
      <c r="D657" t="s">
        <v>12</v>
      </c>
      <c r="E657" s="3">
        <v>2000</v>
      </c>
      <c r="F657" s="3">
        <v>2000</v>
      </c>
      <c r="G657" s="3">
        <v>1400</v>
      </c>
      <c r="I657" t="s">
        <v>82</v>
      </c>
      <c r="J657" t="s">
        <v>40</v>
      </c>
      <c r="K657" t="s">
        <v>11</v>
      </c>
      <c r="L657" t="str">
        <f>T("9791191562224")</f>
        <v>9791191562224</v>
      </c>
    </row>
    <row r="658" spans="1:12">
      <c r="A658" s="2">
        <v>44786.659282407411</v>
      </c>
      <c r="B658">
        <v>292179681</v>
      </c>
      <c r="C658" t="s">
        <v>81</v>
      </c>
      <c r="D658" t="s">
        <v>12</v>
      </c>
      <c r="E658" s="3">
        <v>-2000</v>
      </c>
      <c r="F658" s="3">
        <v>-2000</v>
      </c>
      <c r="G658" s="3">
        <v>-1400</v>
      </c>
      <c r="H658" s="2">
        <v>44786.630601851852</v>
      </c>
      <c r="I658" t="s">
        <v>82</v>
      </c>
      <c r="J658" t="s">
        <v>40</v>
      </c>
      <c r="K658" t="s">
        <v>11</v>
      </c>
      <c r="L658" t="str">
        <f>T("9791191562224")</f>
        <v>9791191562224</v>
      </c>
    </row>
    <row r="659" spans="1:12">
      <c r="A659" s="2">
        <v>44786.660995370374</v>
      </c>
      <c r="B659">
        <v>291088925</v>
      </c>
      <c r="C659" t="s">
        <v>58</v>
      </c>
      <c r="D659" t="s">
        <v>9</v>
      </c>
      <c r="E659" s="3">
        <v>2000</v>
      </c>
      <c r="F659" s="3">
        <v>2000</v>
      </c>
      <c r="G659" s="3">
        <v>1400</v>
      </c>
      <c r="I659" t="s">
        <v>59</v>
      </c>
      <c r="J659" t="s">
        <v>40</v>
      </c>
      <c r="K659" t="s">
        <v>11</v>
      </c>
      <c r="L659" t="str">
        <f>T("9791191562187")</f>
        <v>9791191562187</v>
      </c>
    </row>
    <row r="660" spans="1:12">
      <c r="A660" s="2">
        <v>44786.662488425929</v>
      </c>
      <c r="B660">
        <v>296507184</v>
      </c>
      <c r="C660" t="s">
        <v>134</v>
      </c>
      <c r="D660" t="s">
        <v>9</v>
      </c>
      <c r="E660" s="3">
        <v>2000</v>
      </c>
      <c r="F660" s="3">
        <v>2000</v>
      </c>
      <c r="G660" s="3">
        <v>1400</v>
      </c>
      <c r="I660" t="s">
        <v>135</v>
      </c>
      <c r="J660" t="s">
        <v>40</v>
      </c>
      <c r="K660" t="s">
        <v>11</v>
      </c>
      <c r="L660" t="str">
        <f>T("9791191562828")</f>
        <v>9791191562828</v>
      </c>
    </row>
    <row r="661" spans="1:12">
      <c r="A661" s="2">
        <v>44786.676053240742</v>
      </c>
      <c r="B661">
        <v>299562124</v>
      </c>
      <c r="C661" t="s">
        <v>369</v>
      </c>
      <c r="D661" t="s">
        <v>9</v>
      </c>
      <c r="E661" s="3">
        <v>2000</v>
      </c>
      <c r="F661" s="3">
        <v>2000</v>
      </c>
      <c r="G661" s="3">
        <v>1400</v>
      </c>
      <c r="I661" t="s">
        <v>370</v>
      </c>
      <c r="J661" t="s">
        <v>40</v>
      </c>
      <c r="K661" t="s">
        <v>11</v>
      </c>
      <c r="L661" t="str">
        <f>T("9791191562873")</f>
        <v>9791191562873</v>
      </c>
    </row>
    <row r="662" spans="1:12">
      <c r="A662" s="2">
        <v>44786.724374999998</v>
      </c>
      <c r="B662">
        <v>291088925</v>
      </c>
      <c r="C662" t="s">
        <v>58</v>
      </c>
      <c r="D662" t="s">
        <v>9</v>
      </c>
      <c r="E662" s="3">
        <v>2000</v>
      </c>
      <c r="F662" s="3">
        <v>2000</v>
      </c>
      <c r="G662" s="3">
        <v>1400</v>
      </c>
      <c r="I662" t="s">
        <v>59</v>
      </c>
      <c r="J662" t="s">
        <v>40</v>
      </c>
      <c r="K662" t="s">
        <v>11</v>
      </c>
      <c r="L662" t="str">
        <f>T("9791191562187")</f>
        <v>9791191562187</v>
      </c>
    </row>
    <row r="663" spans="1:12">
      <c r="A663" s="2">
        <v>44786.728032407409</v>
      </c>
      <c r="B663">
        <v>295356530</v>
      </c>
      <c r="C663" t="s">
        <v>116</v>
      </c>
      <c r="D663" t="s">
        <v>9</v>
      </c>
      <c r="E663" s="3">
        <v>2500</v>
      </c>
      <c r="F663" s="3">
        <v>2500</v>
      </c>
      <c r="G663" s="3">
        <v>1750</v>
      </c>
      <c r="I663" t="s">
        <v>115</v>
      </c>
      <c r="J663" t="s">
        <v>40</v>
      </c>
      <c r="K663" t="s">
        <v>11</v>
      </c>
      <c r="L663" t="str">
        <f>T("9791191562460")</f>
        <v>9791191562460</v>
      </c>
    </row>
    <row r="664" spans="1:12">
      <c r="A664" s="2">
        <v>44786.728252314817</v>
      </c>
      <c r="B664">
        <v>297620121</v>
      </c>
      <c r="C664" t="s">
        <v>205</v>
      </c>
      <c r="D664" t="s">
        <v>9</v>
      </c>
      <c r="E664" s="3">
        <v>2000</v>
      </c>
      <c r="F664" s="3">
        <v>2000</v>
      </c>
      <c r="G664" s="3">
        <v>1400</v>
      </c>
      <c r="I664" t="s">
        <v>29</v>
      </c>
      <c r="J664" t="s">
        <v>40</v>
      </c>
      <c r="K664" t="s">
        <v>11</v>
      </c>
      <c r="L664" t="str">
        <f>T("9791191562484")</f>
        <v>9791191562484</v>
      </c>
    </row>
    <row r="665" spans="1:12">
      <c r="A665" s="2">
        <v>44786.765300925923</v>
      </c>
      <c r="B665">
        <v>299562124</v>
      </c>
      <c r="C665" t="s">
        <v>369</v>
      </c>
      <c r="D665" t="s">
        <v>9</v>
      </c>
      <c r="E665" s="3">
        <v>2000</v>
      </c>
      <c r="F665" s="3">
        <v>2000</v>
      </c>
      <c r="G665" s="3">
        <v>1400</v>
      </c>
      <c r="I665" t="s">
        <v>370</v>
      </c>
      <c r="J665" t="s">
        <v>40</v>
      </c>
      <c r="K665" t="s">
        <v>11</v>
      </c>
      <c r="L665" t="str">
        <f>T("9791191562873")</f>
        <v>9791191562873</v>
      </c>
    </row>
    <row r="666" spans="1:12">
      <c r="A666" s="2">
        <v>44786.78802083333</v>
      </c>
      <c r="B666">
        <v>297109357</v>
      </c>
      <c r="C666" t="s">
        <v>154</v>
      </c>
      <c r="D666" t="s">
        <v>9</v>
      </c>
      <c r="E666" s="3">
        <v>3600</v>
      </c>
      <c r="F666" s="3">
        <v>3600</v>
      </c>
      <c r="G666" s="3">
        <v>2520</v>
      </c>
      <c r="I666" t="s">
        <v>155</v>
      </c>
      <c r="J666" t="s">
        <v>40</v>
      </c>
      <c r="K666" t="s">
        <v>11</v>
      </c>
      <c r="L666" t="str">
        <f>T("9791191562774")</f>
        <v>9791191562774</v>
      </c>
    </row>
    <row r="667" spans="1:12">
      <c r="A667" s="2">
        <v>44786.788761574076</v>
      </c>
      <c r="B667">
        <v>291088925</v>
      </c>
      <c r="C667" t="s">
        <v>58</v>
      </c>
      <c r="D667" t="s">
        <v>9</v>
      </c>
      <c r="E667" s="3">
        <v>2000</v>
      </c>
      <c r="F667" s="3">
        <v>2000</v>
      </c>
      <c r="G667" s="3">
        <v>1400</v>
      </c>
      <c r="I667" t="s">
        <v>59</v>
      </c>
      <c r="J667" t="s">
        <v>40</v>
      </c>
      <c r="K667" t="s">
        <v>11</v>
      </c>
      <c r="L667" t="str">
        <f>T("9791191562187")</f>
        <v>9791191562187</v>
      </c>
    </row>
    <row r="668" spans="1:12">
      <c r="A668" s="2">
        <v>44786.795335648145</v>
      </c>
      <c r="B668">
        <v>299562124</v>
      </c>
      <c r="C668" t="s">
        <v>369</v>
      </c>
      <c r="D668" t="s">
        <v>9</v>
      </c>
      <c r="E668" s="3">
        <v>2000</v>
      </c>
      <c r="F668" s="3">
        <v>2000</v>
      </c>
      <c r="G668" s="3">
        <v>1400</v>
      </c>
      <c r="I668" t="s">
        <v>370</v>
      </c>
      <c r="J668" t="s">
        <v>40</v>
      </c>
      <c r="K668" t="s">
        <v>11</v>
      </c>
      <c r="L668" t="str">
        <f>T("9791191562873")</f>
        <v>9791191562873</v>
      </c>
    </row>
    <row r="669" spans="1:12">
      <c r="A669" s="2">
        <v>44786.806273148148</v>
      </c>
      <c r="B669">
        <v>299562124</v>
      </c>
      <c r="C669" t="s">
        <v>369</v>
      </c>
      <c r="D669" t="s">
        <v>9</v>
      </c>
      <c r="E669" s="3">
        <v>2000</v>
      </c>
      <c r="F669" s="3">
        <v>2000</v>
      </c>
      <c r="G669" s="3">
        <v>1400</v>
      </c>
      <c r="I669" t="s">
        <v>370</v>
      </c>
      <c r="J669" t="s">
        <v>40</v>
      </c>
      <c r="K669" t="s">
        <v>11</v>
      </c>
      <c r="L669" t="str">
        <f>T("9791191562873")</f>
        <v>9791191562873</v>
      </c>
    </row>
    <row r="670" spans="1:12">
      <c r="A670" s="2">
        <v>44786.851898148147</v>
      </c>
      <c r="B670">
        <v>286120663</v>
      </c>
      <c r="C670" t="s">
        <v>388</v>
      </c>
      <c r="D670" t="s">
        <v>9</v>
      </c>
      <c r="E670" s="3">
        <v>3200</v>
      </c>
      <c r="F670" s="3">
        <v>3200</v>
      </c>
      <c r="G670" s="3">
        <v>2240</v>
      </c>
      <c r="I670" t="s">
        <v>244</v>
      </c>
      <c r="J670" t="s">
        <v>45</v>
      </c>
      <c r="K670" t="s">
        <v>11</v>
      </c>
      <c r="L670" t="str">
        <f>T("9791166482687")</f>
        <v>9791166482687</v>
      </c>
    </row>
    <row r="671" spans="1:12">
      <c r="A671" s="2">
        <v>44786.879467592589</v>
      </c>
      <c r="B671">
        <v>290645912</v>
      </c>
      <c r="C671" t="s">
        <v>51</v>
      </c>
      <c r="D671" t="s">
        <v>9</v>
      </c>
      <c r="E671" s="3">
        <v>2000</v>
      </c>
      <c r="F671" s="3">
        <v>2000</v>
      </c>
      <c r="G671" s="3">
        <v>1400</v>
      </c>
      <c r="I671" t="s">
        <v>52</v>
      </c>
      <c r="J671" t="s">
        <v>40</v>
      </c>
      <c r="K671" t="s">
        <v>11</v>
      </c>
      <c r="L671" t="str">
        <f>T("9791191562170")</f>
        <v>9791191562170</v>
      </c>
    </row>
    <row r="672" spans="1:12">
      <c r="A672" s="2">
        <v>44786.88003472222</v>
      </c>
      <c r="B672">
        <v>299562124</v>
      </c>
      <c r="C672" t="s">
        <v>369</v>
      </c>
      <c r="D672" t="s">
        <v>9</v>
      </c>
      <c r="E672" s="3">
        <v>2000</v>
      </c>
      <c r="F672" s="3">
        <v>2000</v>
      </c>
      <c r="G672" s="3">
        <v>1400</v>
      </c>
      <c r="I672" t="s">
        <v>370</v>
      </c>
      <c r="J672" t="s">
        <v>40</v>
      </c>
      <c r="K672" t="s">
        <v>11</v>
      </c>
      <c r="L672" t="str">
        <f>T("9791191562873")</f>
        <v>9791191562873</v>
      </c>
    </row>
    <row r="673" spans="1:12">
      <c r="A673" s="2">
        <v>44786.890983796293</v>
      </c>
      <c r="B673">
        <v>295216088</v>
      </c>
      <c r="C673" t="s">
        <v>114</v>
      </c>
      <c r="D673" t="s">
        <v>9</v>
      </c>
      <c r="E673" s="3">
        <v>2500</v>
      </c>
      <c r="F673" s="3">
        <v>2500</v>
      </c>
      <c r="G673" s="3">
        <v>1750</v>
      </c>
      <c r="I673" t="s">
        <v>113</v>
      </c>
      <c r="J673" t="s">
        <v>40</v>
      </c>
      <c r="K673" t="s">
        <v>11</v>
      </c>
      <c r="L673" t="str">
        <f>T("9791191562453")</f>
        <v>9791191562453</v>
      </c>
    </row>
    <row r="674" spans="1:12">
      <c r="A674" s="2">
        <v>44786.892731481479</v>
      </c>
      <c r="B674">
        <v>286896672</v>
      </c>
      <c r="C674" t="s">
        <v>175</v>
      </c>
      <c r="D674" t="s">
        <v>9</v>
      </c>
      <c r="E674" s="3">
        <v>2500</v>
      </c>
      <c r="F674" s="3">
        <v>2500</v>
      </c>
      <c r="G674" s="3">
        <v>1750</v>
      </c>
      <c r="I674" t="s">
        <v>176</v>
      </c>
      <c r="J674" t="s">
        <v>40</v>
      </c>
      <c r="K674" t="s">
        <v>11</v>
      </c>
      <c r="L674" t="str">
        <f>T("9791191562002")</f>
        <v>9791191562002</v>
      </c>
    </row>
    <row r="675" spans="1:12">
      <c r="A675" s="2">
        <v>44786.919849537036</v>
      </c>
      <c r="B675">
        <v>295462572</v>
      </c>
      <c r="C675" t="s">
        <v>108</v>
      </c>
      <c r="D675" t="s">
        <v>9</v>
      </c>
      <c r="E675" s="3">
        <v>2000</v>
      </c>
      <c r="F675" s="3">
        <v>2000</v>
      </c>
      <c r="G675" s="3">
        <v>1400</v>
      </c>
      <c r="I675" t="s">
        <v>32</v>
      </c>
      <c r="J675" t="s">
        <v>40</v>
      </c>
      <c r="K675" t="s">
        <v>11</v>
      </c>
      <c r="L675" t="str">
        <f>T("9791191562361")</f>
        <v>9791191562361</v>
      </c>
    </row>
    <row r="676" spans="1:12">
      <c r="A676" s="2">
        <v>44786.925173611111</v>
      </c>
      <c r="B676">
        <v>294556455</v>
      </c>
      <c r="C676" t="s">
        <v>119</v>
      </c>
      <c r="D676" t="s">
        <v>9</v>
      </c>
      <c r="E676" s="3">
        <v>2000</v>
      </c>
      <c r="F676" s="3">
        <v>2000</v>
      </c>
      <c r="G676" s="3">
        <v>1400</v>
      </c>
      <c r="I676" t="s">
        <v>54</v>
      </c>
      <c r="J676" t="s">
        <v>40</v>
      </c>
      <c r="K676" t="s">
        <v>11</v>
      </c>
      <c r="L676" t="str">
        <f>T("9791191562415")</f>
        <v>9791191562415</v>
      </c>
    </row>
    <row r="677" spans="1:12">
      <c r="A677" s="2">
        <v>44786.925173611111</v>
      </c>
      <c r="B677">
        <v>290827241</v>
      </c>
      <c r="C677" t="s">
        <v>53</v>
      </c>
      <c r="D677" t="s">
        <v>9</v>
      </c>
      <c r="E677" s="3">
        <v>2000</v>
      </c>
      <c r="F677" s="3">
        <v>2000</v>
      </c>
      <c r="G677" s="3">
        <v>1400</v>
      </c>
      <c r="I677" t="s">
        <v>54</v>
      </c>
      <c r="J677" t="s">
        <v>40</v>
      </c>
      <c r="K677" t="s">
        <v>11</v>
      </c>
      <c r="L677" t="str">
        <f>T("9791191562149")</f>
        <v>9791191562149</v>
      </c>
    </row>
    <row r="678" spans="1:12">
      <c r="A678" s="2">
        <v>44786.926666666666</v>
      </c>
      <c r="B678">
        <v>299562124</v>
      </c>
      <c r="C678" t="s">
        <v>369</v>
      </c>
      <c r="D678" t="s">
        <v>9</v>
      </c>
      <c r="E678" s="3">
        <v>2000</v>
      </c>
      <c r="F678" s="3">
        <v>2000</v>
      </c>
      <c r="G678" s="3">
        <v>1400</v>
      </c>
      <c r="I678" t="s">
        <v>370</v>
      </c>
      <c r="J678" t="s">
        <v>40</v>
      </c>
      <c r="K678" t="s">
        <v>11</v>
      </c>
      <c r="L678" t="str">
        <f>T("9791191562873")</f>
        <v>9791191562873</v>
      </c>
    </row>
    <row r="679" spans="1:12">
      <c r="A679" s="2">
        <v>44786.929375</v>
      </c>
      <c r="B679">
        <v>299562124</v>
      </c>
      <c r="C679" t="s">
        <v>369</v>
      </c>
      <c r="D679" t="s">
        <v>9</v>
      </c>
      <c r="E679" s="3">
        <v>2000</v>
      </c>
      <c r="F679" s="3">
        <v>2000</v>
      </c>
      <c r="G679" s="3">
        <v>1400</v>
      </c>
      <c r="I679" t="s">
        <v>370</v>
      </c>
      <c r="J679" t="s">
        <v>40</v>
      </c>
      <c r="K679" t="s">
        <v>11</v>
      </c>
      <c r="L679" t="str">
        <f>T("9791191562873")</f>
        <v>9791191562873</v>
      </c>
    </row>
    <row r="680" spans="1:12">
      <c r="A680" s="2">
        <v>44786.929872685185</v>
      </c>
      <c r="B680">
        <v>299562124</v>
      </c>
      <c r="C680" t="s">
        <v>369</v>
      </c>
      <c r="D680" t="s">
        <v>9</v>
      </c>
      <c r="E680" s="3">
        <v>-2000</v>
      </c>
      <c r="F680" s="3">
        <v>-2000</v>
      </c>
      <c r="G680" s="3">
        <v>-1400</v>
      </c>
      <c r="H680" s="2">
        <v>44786.929375</v>
      </c>
      <c r="I680" t="s">
        <v>370</v>
      </c>
      <c r="J680" t="s">
        <v>40</v>
      </c>
      <c r="K680" t="s">
        <v>11</v>
      </c>
      <c r="L680" t="str">
        <f>T("9791191562873")</f>
        <v>9791191562873</v>
      </c>
    </row>
    <row r="681" spans="1:12">
      <c r="A681" s="2">
        <v>44786.931296296294</v>
      </c>
      <c r="B681">
        <v>299562124</v>
      </c>
      <c r="C681" t="s">
        <v>369</v>
      </c>
      <c r="D681" t="s">
        <v>9</v>
      </c>
      <c r="E681" s="3">
        <v>2000</v>
      </c>
      <c r="F681" s="3">
        <v>2000</v>
      </c>
      <c r="G681" s="3">
        <v>1400</v>
      </c>
      <c r="I681" t="s">
        <v>370</v>
      </c>
      <c r="J681" t="s">
        <v>40</v>
      </c>
      <c r="K681" t="s">
        <v>11</v>
      </c>
      <c r="L681" t="str">
        <f>T("9791191562873")</f>
        <v>9791191562873</v>
      </c>
    </row>
    <row r="682" spans="1:12">
      <c r="A682" s="2">
        <v>44786.936435185184</v>
      </c>
      <c r="B682">
        <v>291088925</v>
      </c>
      <c r="C682" t="s">
        <v>58</v>
      </c>
      <c r="D682" t="s">
        <v>9</v>
      </c>
      <c r="E682" s="3">
        <v>2000</v>
      </c>
      <c r="F682" s="3">
        <v>2000</v>
      </c>
      <c r="G682" s="3">
        <v>1400</v>
      </c>
      <c r="I682" t="s">
        <v>59</v>
      </c>
      <c r="J682" t="s">
        <v>40</v>
      </c>
      <c r="K682" t="s">
        <v>11</v>
      </c>
      <c r="L682" t="str">
        <f>T("9791191562187")</f>
        <v>9791191562187</v>
      </c>
    </row>
    <row r="683" spans="1:12">
      <c r="A683" s="2">
        <v>44786.944606481484</v>
      </c>
      <c r="B683">
        <v>299562124</v>
      </c>
      <c r="C683" t="s">
        <v>369</v>
      </c>
      <c r="D683" t="s">
        <v>9</v>
      </c>
      <c r="E683" s="3">
        <v>2000</v>
      </c>
      <c r="F683" s="3">
        <v>2000</v>
      </c>
      <c r="G683" s="3">
        <v>1400</v>
      </c>
      <c r="I683" t="s">
        <v>370</v>
      </c>
      <c r="J683" t="s">
        <v>40</v>
      </c>
      <c r="K683" t="s">
        <v>11</v>
      </c>
      <c r="L683" t="str">
        <f>T("9791191562873")</f>
        <v>9791191562873</v>
      </c>
    </row>
    <row r="684" spans="1:12">
      <c r="A684" s="2">
        <v>44786.965231481481</v>
      </c>
      <c r="B684">
        <v>299562124</v>
      </c>
      <c r="C684" t="s">
        <v>369</v>
      </c>
      <c r="D684" t="s">
        <v>9</v>
      </c>
      <c r="E684" s="3">
        <v>2000</v>
      </c>
      <c r="F684" s="3">
        <v>2000</v>
      </c>
      <c r="G684" s="3">
        <v>1400</v>
      </c>
      <c r="I684" t="s">
        <v>370</v>
      </c>
      <c r="J684" t="s">
        <v>40</v>
      </c>
      <c r="K684" t="s">
        <v>11</v>
      </c>
      <c r="L684" t="str">
        <f>T("9791191562873")</f>
        <v>9791191562873</v>
      </c>
    </row>
    <row r="685" spans="1:12">
      <c r="A685" s="2">
        <v>44786.966620370367</v>
      </c>
      <c r="B685">
        <v>297620121</v>
      </c>
      <c r="C685" t="s">
        <v>205</v>
      </c>
      <c r="D685" t="s">
        <v>9</v>
      </c>
      <c r="E685" s="3">
        <v>2000</v>
      </c>
      <c r="F685" s="3">
        <v>2000</v>
      </c>
      <c r="G685" s="3">
        <v>1400</v>
      </c>
      <c r="I685" t="s">
        <v>29</v>
      </c>
      <c r="J685" t="s">
        <v>40</v>
      </c>
      <c r="K685" t="s">
        <v>11</v>
      </c>
      <c r="L685" t="str">
        <f>T("9791191562484")</f>
        <v>9791191562484</v>
      </c>
    </row>
    <row r="686" spans="1:12">
      <c r="A686" s="2">
        <v>44786.969467592593</v>
      </c>
      <c r="B686">
        <v>149550326</v>
      </c>
      <c r="C686" t="s">
        <v>251</v>
      </c>
      <c r="D686" t="s">
        <v>12</v>
      </c>
      <c r="E686">
        <v>900</v>
      </c>
      <c r="F686">
        <v>900</v>
      </c>
      <c r="G686">
        <v>630</v>
      </c>
      <c r="I686" t="s">
        <v>124</v>
      </c>
      <c r="J686" t="s">
        <v>11</v>
      </c>
      <c r="K686" t="s">
        <v>11</v>
      </c>
      <c r="L686" t="str">
        <f>T("9791159286360")</f>
        <v>9791159286360</v>
      </c>
    </row>
    <row r="687" spans="1:12">
      <c r="A687" s="2">
        <v>44786.971828703703</v>
      </c>
      <c r="B687">
        <v>299562124</v>
      </c>
      <c r="C687" t="s">
        <v>369</v>
      </c>
      <c r="D687" t="s">
        <v>9</v>
      </c>
      <c r="E687" s="3">
        <v>2000</v>
      </c>
      <c r="F687" s="3">
        <v>2000</v>
      </c>
      <c r="G687" s="3">
        <v>1400</v>
      </c>
      <c r="I687" t="s">
        <v>370</v>
      </c>
      <c r="J687" t="s">
        <v>40</v>
      </c>
      <c r="K687" t="s">
        <v>11</v>
      </c>
      <c r="L687" t="str">
        <f>T("9791191562873")</f>
        <v>9791191562873</v>
      </c>
    </row>
    <row r="688" spans="1:12">
      <c r="A688" s="2">
        <v>44786.975925925923</v>
      </c>
      <c r="B688">
        <v>299562124</v>
      </c>
      <c r="C688" t="s">
        <v>369</v>
      </c>
      <c r="D688" t="s">
        <v>9</v>
      </c>
      <c r="E688" s="3">
        <v>2000</v>
      </c>
      <c r="F688" s="3">
        <v>2000</v>
      </c>
      <c r="G688" s="3">
        <v>1400</v>
      </c>
      <c r="I688" t="s">
        <v>370</v>
      </c>
      <c r="J688" t="s">
        <v>40</v>
      </c>
      <c r="K688" t="s">
        <v>11</v>
      </c>
      <c r="L688" t="str">
        <f>T("9791191562873")</f>
        <v>9791191562873</v>
      </c>
    </row>
    <row r="689" spans="1:12">
      <c r="A689" s="2">
        <v>44786.977002314816</v>
      </c>
      <c r="B689">
        <v>299154500</v>
      </c>
      <c r="C689" t="s">
        <v>287</v>
      </c>
      <c r="D689" t="s">
        <v>9</v>
      </c>
      <c r="E689" s="3">
        <v>2500</v>
      </c>
      <c r="F689" s="3">
        <v>2500</v>
      </c>
      <c r="G689" s="3">
        <v>1750</v>
      </c>
      <c r="I689" t="s">
        <v>220</v>
      </c>
      <c r="J689" t="s">
        <v>40</v>
      </c>
      <c r="K689" t="s">
        <v>11</v>
      </c>
      <c r="L689" t="str">
        <f>T("9791191562859")</f>
        <v>9791191562859</v>
      </c>
    </row>
    <row r="690" spans="1:12">
      <c r="A690" s="2">
        <v>44786.979270833333</v>
      </c>
      <c r="B690">
        <v>298750948</v>
      </c>
      <c r="C690" t="s">
        <v>259</v>
      </c>
      <c r="D690" t="s">
        <v>9</v>
      </c>
      <c r="E690" s="3">
        <v>3500</v>
      </c>
      <c r="F690" s="3">
        <v>3500</v>
      </c>
      <c r="G690" s="3">
        <v>2450</v>
      </c>
      <c r="I690" t="s">
        <v>38</v>
      </c>
      <c r="J690" t="s">
        <v>40</v>
      </c>
      <c r="K690" t="s">
        <v>11</v>
      </c>
      <c r="L690" t="str">
        <f>T("9791191562866")</f>
        <v>9791191562866</v>
      </c>
    </row>
    <row r="691" spans="1:12">
      <c r="A691" s="2">
        <v>44786.991180555553</v>
      </c>
      <c r="B691">
        <v>295462572</v>
      </c>
      <c r="C691" t="s">
        <v>108</v>
      </c>
      <c r="D691" t="s">
        <v>9</v>
      </c>
      <c r="E691" s="3">
        <v>2000</v>
      </c>
      <c r="F691" s="3">
        <v>2000</v>
      </c>
      <c r="G691" s="3">
        <v>1400</v>
      </c>
      <c r="I691" t="s">
        <v>32</v>
      </c>
      <c r="J691" t="s">
        <v>40</v>
      </c>
      <c r="K691" t="s">
        <v>11</v>
      </c>
      <c r="L691" t="str">
        <f>T("9791191562361")</f>
        <v>9791191562361</v>
      </c>
    </row>
    <row r="692" spans="1:12">
      <c r="A692" s="2">
        <v>44786.999976851854</v>
      </c>
      <c r="B692">
        <v>237497164</v>
      </c>
      <c r="C692" t="s">
        <v>389</v>
      </c>
      <c r="D692" t="s">
        <v>9</v>
      </c>
      <c r="E692" s="3">
        <v>3200</v>
      </c>
      <c r="F692" s="3">
        <v>3200</v>
      </c>
      <c r="G692" s="3">
        <v>2240</v>
      </c>
      <c r="I692" t="s">
        <v>390</v>
      </c>
      <c r="J692" t="s">
        <v>71</v>
      </c>
      <c r="K692" t="s">
        <v>11</v>
      </c>
      <c r="L692" t="str">
        <f>T("9791164372072")</f>
        <v>9791164372072</v>
      </c>
    </row>
    <row r="693" spans="1:12">
      <c r="A693" s="2">
        <v>44787.003981481481</v>
      </c>
      <c r="B693">
        <v>295356530</v>
      </c>
      <c r="C693" t="s">
        <v>116</v>
      </c>
      <c r="D693" t="s">
        <v>9</v>
      </c>
      <c r="E693" s="3">
        <v>2500</v>
      </c>
      <c r="F693" s="3">
        <v>2500</v>
      </c>
      <c r="G693" s="3">
        <v>1750</v>
      </c>
      <c r="I693" t="s">
        <v>115</v>
      </c>
      <c r="J693" t="s">
        <v>40</v>
      </c>
      <c r="K693" t="s">
        <v>11</v>
      </c>
      <c r="L693" t="str">
        <f>T("9791191562460")</f>
        <v>9791191562460</v>
      </c>
    </row>
    <row r="694" spans="1:12">
      <c r="A694" s="2">
        <v>44787.062962962962</v>
      </c>
      <c r="B694">
        <v>296235439</v>
      </c>
      <c r="C694" t="s">
        <v>131</v>
      </c>
      <c r="D694" t="s">
        <v>9</v>
      </c>
      <c r="E694" s="3">
        <v>2500</v>
      </c>
      <c r="F694" s="3">
        <v>2500</v>
      </c>
      <c r="G694" s="3">
        <v>1750</v>
      </c>
      <c r="I694" t="s">
        <v>47</v>
      </c>
      <c r="J694" t="s">
        <v>40</v>
      </c>
      <c r="K694" t="s">
        <v>11</v>
      </c>
      <c r="L694" t="str">
        <f>T("9791191562804")</f>
        <v>9791191562804</v>
      </c>
    </row>
    <row r="695" spans="1:12">
      <c r="A695" s="2">
        <v>44787.064340277779</v>
      </c>
      <c r="B695">
        <v>295071451</v>
      </c>
      <c r="C695" t="s">
        <v>109</v>
      </c>
      <c r="D695" t="s">
        <v>9</v>
      </c>
      <c r="E695" s="3">
        <v>2500</v>
      </c>
      <c r="F695" s="3">
        <v>2500</v>
      </c>
      <c r="G695" s="3">
        <v>1750</v>
      </c>
      <c r="I695" t="s">
        <v>34</v>
      </c>
      <c r="J695" t="s">
        <v>40</v>
      </c>
      <c r="K695" t="s">
        <v>11</v>
      </c>
      <c r="L695" t="str">
        <f>T("9791191562439")</f>
        <v>9791191562439</v>
      </c>
    </row>
    <row r="696" spans="1:12">
      <c r="A696" s="2">
        <v>44787.070625</v>
      </c>
      <c r="B696">
        <v>293046855</v>
      </c>
      <c r="C696" t="s">
        <v>99</v>
      </c>
      <c r="D696" t="s">
        <v>12</v>
      </c>
      <c r="E696" s="3">
        <v>2000</v>
      </c>
      <c r="F696" s="3">
        <v>2000</v>
      </c>
      <c r="G696" s="3">
        <v>1400</v>
      </c>
      <c r="I696" t="s">
        <v>100</v>
      </c>
      <c r="J696" t="s">
        <v>40</v>
      </c>
      <c r="K696" t="s">
        <v>11</v>
      </c>
      <c r="L696" t="str">
        <f>T("9791191562279")</f>
        <v>9791191562279</v>
      </c>
    </row>
    <row r="697" spans="1:12">
      <c r="A697" s="2">
        <v>44787.075497685182</v>
      </c>
      <c r="B697">
        <v>287834730</v>
      </c>
      <c r="C697" t="s">
        <v>37</v>
      </c>
      <c r="D697" t="s">
        <v>9</v>
      </c>
      <c r="E697" s="3">
        <v>2000</v>
      </c>
      <c r="F697" s="3">
        <v>2000</v>
      </c>
      <c r="G697" s="3">
        <v>1400</v>
      </c>
      <c r="I697" t="s">
        <v>32</v>
      </c>
      <c r="J697" t="s">
        <v>40</v>
      </c>
      <c r="K697" t="s">
        <v>11</v>
      </c>
      <c r="L697" t="str">
        <f>T("9791191562019")</f>
        <v>9791191562019</v>
      </c>
    </row>
    <row r="698" spans="1:12">
      <c r="A698" s="2">
        <v>44787.078553240739</v>
      </c>
      <c r="B698">
        <v>299562124</v>
      </c>
      <c r="C698" t="s">
        <v>369</v>
      </c>
      <c r="D698" t="s">
        <v>9</v>
      </c>
      <c r="E698" s="3">
        <v>2000</v>
      </c>
      <c r="F698" s="3">
        <v>2000</v>
      </c>
      <c r="G698" s="3">
        <v>1400</v>
      </c>
      <c r="I698" t="s">
        <v>370</v>
      </c>
      <c r="J698" t="s">
        <v>40</v>
      </c>
      <c r="K698" t="s">
        <v>11</v>
      </c>
      <c r="L698" t="str">
        <f>T("9791191562873")</f>
        <v>9791191562873</v>
      </c>
    </row>
    <row r="699" spans="1:12">
      <c r="A699" s="2">
        <v>44787.104814814818</v>
      </c>
      <c r="B699">
        <v>299562124</v>
      </c>
      <c r="C699" t="s">
        <v>369</v>
      </c>
      <c r="D699" t="s">
        <v>9</v>
      </c>
      <c r="E699" s="3">
        <v>2000</v>
      </c>
      <c r="F699" s="3">
        <v>2000</v>
      </c>
      <c r="G699" s="3">
        <v>1400</v>
      </c>
      <c r="I699" t="s">
        <v>370</v>
      </c>
      <c r="J699" t="s">
        <v>40</v>
      </c>
      <c r="K699" t="s">
        <v>11</v>
      </c>
      <c r="L699" t="str">
        <f>T("9791191562873")</f>
        <v>9791191562873</v>
      </c>
    </row>
    <row r="700" spans="1:12">
      <c r="A700" s="2">
        <v>44787.130648148152</v>
      </c>
      <c r="B700">
        <v>299562124</v>
      </c>
      <c r="C700" t="s">
        <v>369</v>
      </c>
      <c r="D700" t="s">
        <v>9</v>
      </c>
      <c r="E700" s="3">
        <v>2000</v>
      </c>
      <c r="F700" s="3">
        <v>2000</v>
      </c>
      <c r="G700" s="3">
        <v>1400</v>
      </c>
      <c r="I700" t="s">
        <v>370</v>
      </c>
      <c r="J700" t="s">
        <v>40</v>
      </c>
      <c r="K700" t="s">
        <v>11</v>
      </c>
      <c r="L700" t="str">
        <f>T("9791191562873")</f>
        <v>9791191562873</v>
      </c>
    </row>
    <row r="701" spans="1:12">
      <c r="A701" s="2">
        <v>44787.220682870371</v>
      </c>
      <c r="B701">
        <v>293957115</v>
      </c>
      <c r="C701" t="s">
        <v>228</v>
      </c>
      <c r="D701" t="s">
        <v>9</v>
      </c>
      <c r="E701" s="3">
        <v>3200</v>
      </c>
      <c r="F701" s="3">
        <v>3200</v>
      </c>
      <c r="G701" s="3">
        <v>2240</v>
      </c>
      <c r="I701" t="s">
        <v>14</v>
      </c>
      <c r="J701" t="s">
        <v>11</v>
      </c>
      <c r="K701" t="s">
        <v>11</v>
      </c>
      <c r="L701" t="str">
        <f>T("9791137603066")</f>
        <v>9791137603066</v>
      </c>
    </row>
    <row r="702" spans="1:12">
      <c r="A702" s="2">
        <v>44787.220682870371</v>
      </c>
      <c r="B702">
        <v>293957138</v>
      </c>
      <c r="C702" t="s">
        <v>232</v>
      </c>
      <c r="D702" t="s">
        <v>9</v>
      </c>
      <c r="E702" s="3">
        <v>3200</v>
      </c>
      <c r="F702" s="3">
        <v>3200</v>
      </c>
      <c r="G702" s="3">
        <v>2240</v>
      </c>
      <c r="I702" t="s">
        <v>14</v>
      </c>
      <c r="J702" t="s">
        <v>11</v>
      </c>
      <c r="K702" t="s">
        <v>11</v>
      </c>
      <c r="L702" t="str">
        <f>T("9791137603073")</f>
        <v>9791137603073</v>
      </c>
    </row>
    <row r="703" spans="1:12">
      <c r="A703" s="2">
        <v>44787.220682870371</v>
      </c>
      <c r="B703">
        <v>293957128</v>
      </c>
      <c r="C703" t="s">
        <v>233</v>
      </c>
      <c r="D703" t="s">
        <v>9</v>
      </c>
      <c r="E703" s="3">
        <v>3200</v>
      </c>
      <c r="F703" s="3">
        <v>3200</v>
      </c>
      <c r="G703" s="3">
        <v>2240</v>
      </c>
      <c r="I703" t="s">
        <v>14</v>
      </c>
      <c r="J703" t="s">
        <v>11</v>
      </c>
      <c r="K703" t="s">
        <v>11</v>
      </c>
      <c r="L703" t="str">
        <f>T("9791137603080")</f>
        <v>9791137603080</v>
      </c>
    </row>
    <row r="704" spans="1:12">
      <c r="A704" s="2">
        <v>44787.260451388887</v>
      </c>
      <c r="B704">
        <v>299562124</v>
      </c>
      <c r="C704" t="s">
        <v>369</v>
      </c>
      <c r="D704" t="s">
        <v>9</v>
      </c>
      <c r="E704" s="3">
        <v>2000</v>
      </c>
      <c r="F704" s="3">
        <v>2000</v>
      </c>
      <c r="G704" s="3">
        <v>1400</v>
      </c>
      <c r="I704" t="s">
        <v>370</v>
      </c>
      <c r="J704" t="s">
        <v>40</v>
      </c>
      <c r="K704" t="s">
        <v>11</v>
      </c>
      <c r="L704" t="str">
        <f>T("9791191562873")</f>
        <v>9791191562873</v>
      </c>
    </row>
    <row r="705" spans="1:12">
      <c r="A705" s="2">
        <v>44787.368055555555</v>
      </c>
      <c r="B705">
        <v>292815408</v>
      </c>
      <c r="C705" t="s">
        <v>219</v>
      </c>
      <c r="D705" t="s">
        <v>9</v>
      </c>
      <c r="E705" s="3">
        <v>2000</v>
      </c>
      <c r="F705" s="3">
        <v>2000</v>
      </c>
      <c r="G705" s="3">
        <v>1400</v>
      </c>
      <c r="I705" t="s">
        <v>220</v>
      </c>
      <c r="J705" t="s">
        <v>40</v>
      </c>
      <c r="K705" t="s">
        <v>11</v>
      </c>
      <c r="L705" t="str">
        <f>T("9791191562286")</f>
        <v>9791191562286</v>
      </c>
    </row>
    <row r="706" spans="1:12">
      <c r="A706" s="2">
        <v>44787.408275462964</v>
      </c>
      <c r="B706">
        <v>299562124</v>
      </c>
      <c r="C706" t="s">
        <v>369</v>
      </c>
      <c r="D706" t="s">
        <v>9</v>
      </c>
      <c r="E706" s="3">
        <v>2000</v>
      </c>
      <c r="F706" s="3">
        <v>2000</v>
      </c>
      <c r="G706" s="3">
        <v>1400</v>
      </c>
      <c r="I706" t="s">
        <v>370</v>
      </c>
      <c r="J706" t="s">
        <v>40</v>
      </c>
      <c r="K706" t="s">
        <v>11</v>
      </c>
      <c r="L706" t="str">
        <f>T("9791191562873")</f>
        <v>9791191562873</v>
      </c>
    </row>
    <row r="707" spans="1:12">
      <c r="A707" s="2">
        <v>44787.458715277775</v>
      </c>
      <c r="B707">
        <v>299154500</v>
      </c>
      <c r="C707" t="s">
        <v>287</v>
      </c>
      <c r="D707" t="s">
        <v>9</v>
      </c>
      <c r="E707" s="3">
        <v>2500</v>
      </c>
      <c r="F707" s="3">
        <v>2500</v>
      </c>
      <c r="G707" s="3">
        <v>1750</v>
      </c>
      <c r="I707" t="s">
        <v>220</v>
      </c>
      <c r="J707" t="s">
        <v>40</v>
      </c>
      <c r="K707" t="s">
        <v>11</v>
      </c>
      <c r="L707" t="str">
        <f>T("9791191562859")</f>
        <v>9791191562859</v>
      </c>
    </row>
    <row r="708" spans="1:12">
      <c r="A708" s="2">
        <v>44787.472337962965</v>
      </c>
      <c r="B708">
        <v>298750948</v>
      </c>
      <c r="C708" t="s">
        <v>259</v>
      </c>
      <c r="D708" t="s">
        <v>9</v>
      </c>
      <c r="E708" s="3">
        <v>3500</v>
      </c>
      <c r="F708" s="3">
        <v>3500</v>
      </c>
      <c r="G708" s="3">
        <v>2450</v>
      </c>
      <c r="I708" t="s">
        <v>38</v>
      </c>
      <c r="J708" t="s">
        <v>40</v>
      </c>
      <c r="K708" t="s">
        <v>11</v>
      </c>
      <c r="L708" t="str">
        <f>T("9791191562866")</f>
        <v>9791191562866</v>
      </c>
    </row>
    <row r="709" spans="1:12">
      <c r="A709" s="2">
        <v>44787.496874999997</v>
      </c>
      <c r="B709">
        <v>299562124</v>
      </c>
      <c r="C709" t="s">
        <v>369</v>
      </c>
      <c r="D709" t="s">
        <v>9</v>
      </c>
      <c r="E709" s="3">
        <v>2000</v>
      </c>
      <c r="F709" s="3">
        <v>2000</v>
      </c>
      <c r="G709" s="3">
        <v>1400</v>
      </c>
      <c r="I709" t="s">
        <v>370</v>
      </c>
      <c r="J709" t="s">
        <v>40</v>
      </c>
      <c r="K709" t="s">
        <v>11</v>
      </c>
      <c r="L709" t="str">
        <f>T("9791191562873")</f>
        <v>9791191562873</v>
      </c>
    </row>
    <row r="710" spans="1:12">
      <c r="A710" s="2">
        <v>44787.503263888888</v>
      </c>
      <c r="B710">
        <v>299562124</v>
      </c>
      <c r="C710" t="s">
        <v>369</v>
      </c>
      <c r="D710" t="s">
        <v>9</v>
      </c>
      <c r="E710" s="3">
        <v>2000</v>
      </c>
      <c r="F710" s="3">
        <v>2000</v>
      </c>
      <c r="G710" s="3">
        <v>1400</v>
      </c>
      <c r="I710" t="s">
        <v>370</v>
      </c>
      <c r="J710" t="s">
        <v>40</v>
      </c>
      <c r="K710" t="s">
        <v>11</v>
      </c>
      <c r="L710" t="str">
        <f>T("9791191562873")</f>
        <v>9791191562873</v>
      </c>
    </row>
    <row r="711" spans="1:12">
      <c r="A711" s="2">
        <v>44787.520567129628</v>
      </c>
      <c r="B711">
        <v>287834730</v>
      </c>
      <c r="C711" t="s">
        <v>37</v>
      </c>
      <c r="D711" t="s">
        <v>9</v>
      </c>
      <c r="E711" s="3">
        <v>2000</v>
      </c>
      <c r="F711" s="3">
        <v>2000</v>
      </c>
      <c r="G711" s="3">
        <v>1400</v>
      </c>
      <c r="I711" t="s">
        <v>32</v>
      </c>
      <c r="J711" t="s">
        <v>40</v>
      </c>
      <c r="K711" t="s">
        <v>11</v>
      </c>
      <c r="L711" t="str">
        <f>T("9791191562019")</f>
        <v>9791191562019</v>
      </c>
    </row>
    <row r="712" spans="1:12">
      <c r="A712" s="2">
        <v>44787.523888888885</v>
      </c>
      <c r="B712">
        <v>263958807</v>
      </c>
      <c r="C712" t="s">
        <v>328</v>
      </c>
      <c r="D712" t="s">
        <v>9</v>
      </c>
      <c r="E712" s="3">
        <v>3200</v>
      </c>
      <c r="F712" s="3">
        <v>3200</v>
      </c>
      <c r="G712" s="3">
        <v>2240</v>
      </c>
      <c r="I712" t="s">
        <v>13</v>
      </c>
      <c r="J712" t="s">
        <v>11</v>
      </c>
      <c r="K712" t="s">
        <v>11</v>
      </c>
      <c r="L712" t="str">
        <f>T("9791166300486")</f>
        <v>9791166300486</v>
      </c>
    </row>
    <row r="713" spans="1:12">
      <c r="A713" s="2">
        <v>44787.52685185185</v>
      </c>
      <c r="B713">
        <v>299618573</v>
      </c>
      <c r="C713" t="s">
        <v>386</v>
      </c>
      <c r="D713" t="s">
        <v>9</v>
      </c>
      <c r="E713" s="3">
        <v>4100</v>
      </c>
      <c r="F713" s="3">
        <v>4100</v>
      </c>
      <c r="G713" s="3">
        <v>2870</v>
      </c>
      <c r="I713" t="s">
        <v>385</v>
      </c>
      <c r="J713" t="s">
        <v>271</v>
      </c>
      <c r="K713" t="s">
        <v>11</v>
      </c>
      <c r="L713" t="str">
        <f>T("9791137604575")</f>
        <v>9791137604575</v>
      </c>
    </row>
    <row r="714" spans="1:12">
      <c r="A714" s="2">
        <v>44787.56050925926</v>
      </c>
      <c r="B714">
        <v>299562124</v>
      </c>
      <c r="C714" t="s">
        <v>369</v>
      </c>
      <c r="D714" t="s">
        <v>9</v>
      </c>
      <c r="E714" s="3">
        <v>2000</v>
      </c>
      <c r="F714" s="3">
        <v>2000</v>
      </c>
      <c r="G714" s="3">
        <v>1400</v>
      </c>
      <c r="I714" t="s">
        <v>370</v>
      </c>
      <c r="J714" t="s">
        <v>40</v>
      </c>
      <c r="K714" t="s">
        <v>11</v>
      </c>
      <c r="L714" t="str">
        <f>T("9791191562873")</f>
        <v>9791191562873</v>
      </c>
    </row>
    <row r="715" spans="1:12">
      <c r="A715" s="2">
        <v>44787.565497685187</v>
      </c>
      <c r="B715">
        <v>287834730</v>
      </c>
      <c r="C715" t="s">
        <v>37</v>
      </c>
      <c r="D715" t="s">
        <v>9</v>
      </c>
      <c r="E715" s="3">
        <v>2000</v>
      </c>
      <c r="F715" s="3">
        <v>2000</v>
      </c>
      <c r="G715" s="3">
        <v>1400</v>
      </c>
      <c r="I715" t="s">
        <v>32</v>
      </c>
      <c r="J715" t="s">
        <v>40</v>
      </c>
      <c r="K715" t="s">
        <v>11</v>
      </c>
      <c r="L715" t="str">
        <f>T("9791191562019")</f>
        <v>9791191562019</v>
      </c>
    </row>
    <row r="716" spans="1:12">
      <c r="A716" s="2">
        <v>44787.572685185187</v>
      </c>
      <c r="B716">
        <v>299562124</v>
      </c>
      <c r="C716" t="s">
        <v>369</v>
      </c>
      <c r="D716" t="s">
        <v>9</v>
      </c>
      <c r="E716" s="3">
        <v>2000</v>
      </c>
      <c r="F716" s="3">
        <v>2000</v>
      </c>
      <c r="G716" s="3">
        <v>1400</v>
      </c>
      <c r="I716" t="s">
        <v>370</v>
      </c>
      <c r="J716" t="s">
        <v>40</v>
      </c>
      <c r="K716" t="s">
        <v>11</v>
      </c>
      <c r="L716" t="str">
        <f>T("9791191562873")</f>
        <v>9791191562873</v>
      </c>
    </row>
    <row r="717" spans="1:12">
      <c r="A717" s="2">
        <v>44787.584444444445</v>
      </c>
      <c r="B717">
        <v>299562124</v>
      </c>
      <c r="C717" t="s">
        <v>369</v>
      </c>
      <c r="D717" t="s">
        <v>9</v>
      </c>
      <c r="E717" s="3">
        <v>2000</v>
      </c>
      <c r="F717" s="3">
        <v>2000</v>
      </c>
      <c r="G717" s="3">
        <v>1400</v>
      </c>
      <c r="I717" t="s">
        <v>370</v>
      </c>
      <c r="J717" t="s">
        <v>40</v>
      </c>
      <c r="K717" t="s">
        <v>11</v>
      </c>
      <c r="L717" t="str">
        <f>T("9791191562873")</f>
        <v>9791191562873</v>
      </c>
    </row>
    <row r="718" spans="1:12">
      <c r="A718" s="2">
        <v>44787.624108796299</v>
      </c>
      <c r="B718">
        <v>295462572</v>
      </c>
      <c r="C718" t="s">
        <v>108</v>
      </c>
      <c r="D718" t="s">
        <v>9</v>
      </c>
      <c r="E718" s="3">
        <v>2000</v>
      </c>
      <c r="F718" s="3">
        <v>2000</v>
      </c>
      <c r="G718" s="3">
        <v>1400</v>
      </c>
      <c r="I718" t="s">
        <v>32</v>
      </c>
      <c r="J718" t="s">
        <v>40</v>
      </c>
      <c r="K718" t="s">
        <v>11</v>
      </c>
      <c r="L718" t="str">
        <f>T("9791191562361")</f>
        <v>9791191562361</v>
      </c>
    </row>
    <row r="719" spans="1:12">
      <c r="A719" s="2">
        <v>44787.627060185187</v>
      </c>
      <c r="B719">
        <v>291906260</v>
      </c>
      <c r="C719" t="s">
        <v>64</v>
      </c>
      <c r="D719" t="s">
        <v>9</v>
      </c>
      <c r="E719" s="3">
        <v>3200</v>
      </c>
      <c r="F719" s="3">
        <v>3200</v>
      </c>
      <c r="G719" s="3">
        <v>2240</v>
      </c>
      <c r="I719" t="s">
        <v>13</v>
      </c>
      <c r="J719" t="s">
        <v>11</v>
      </c>
      <c r="K719" t="s">
        <v>11</v>
      </c>
      <c r="L719" t="str">
        <f>T("9791166300820")</f>
        <v>9791166300820</v>
      </c>
    </row>
    <row r="720" spans="1:12">
      <c r="A720" s="2">
        <v>44787.627060185187</v>
      </c>
      <c r="B720">
        <v>291906270</v>
      </c>
      <c r="C720" t="s">
        <v>67</v>
      </c>
      <c r="D720" t="s">
        <v>9</v>
      </c>
      <c r="E720" s="3">
        <v>3200</v>
      </c>
      <c r="F720" s="3">
        <v>3200</v>
      </c>
      <c r="G720" s="3">
        <v>2240</v>
      </c>
      <c r="I720" t="s">
        <v>13</v>
      </c>
      <c r="J720" t="s">
        <v>11</v>
      </c>
      <c r="K720" t="s">
        <v>11</v>
      </c>
      <c r="L720" t="str">
        <f>T("9791166300813")</f>
        <v>9791166300813</v>
      </c>
    </row>
    <row r="721" spans="1:12">
      <c r="A721" s="2">
        <v>44787.627060185187</v>
      </c>
      <c r="B721">
        <v>291906257</v>
      </c>
      <c r="C721" t="s">
        <v>63</v>
      </c>
      <c r="D721" t="s">
        <v>9</v>
      </c>
      <c r="E721" s="3">
        <v>3200</v>
      </c>
      <c r="F721" s="3">
        <v>3200</v>
      </c>
      <c r="G721" s="3">
        <v>2240</v>
      </c>
      <c r="I721" t="s">
        <v>13</v>
      </c>
      <c r="J721" t="s">
        <v>11</v>
      </c>
      <c r="K721" t="s">
        <v>11</v>
      </c>
      <c r="L721" t="str">
        <f>T("9791166300806")</f>
        <v>9791166300806</v>
      </c>
    </row>
    <row r="722" spans="1:12">
      <c r="A722" s="2">
        <v>44787.66337962963</v>
      </c>
      <c r="B722">
        <v>289315562</v>
      </c>
      <c r="C722" t="s">
        <v>41</v>
      </c>
      <c r="D722" t="s">
        <v>9</v>
      </c>
      <c r="E722" s="3">
        <v>3000</v>
      </c>
      <c r="F722" s="3">
        <v>3000</v>
      </c>
      <c r="G722" s="3">
        <v>2100</v>
      </c>
      <c r="I722" t="s">
        <v>38</v>
      </c>
      <c r="J722" t="s">
        <v>40</v>
      </c>
      <c r="K722" t="s">
        <v>11</v>
      </c>
      <c r="L722" t="str">
        <f>T("9791191562101")</f>
        <v>9791191562101</v>
      </c>
    </row>
    <row r="723" spans="1:12">
      <c r="A723" s="2">
        <v>44787.66337962963</v>
      </c>
      <c r="B723">
        <v>295216088</v>
      </c>
      <c r="C723" t="s">
        <v>114</v>
      </c>
      <c r="D723" t="s">
        <v>9</v>
      </c>
      <c r="E723" s="3">
        <v>2500</v>
      </c>
      <c r="F723" s="3">
        <v>2500</v>
      </c>
      <c r="G723" s="3">
        <v>1750</v>
      </c>
      <c r="I723" t="s">
        <v>113</v>
      </c>
      <c r="J723" t="s">
        <v>40</v>
      </c>
      <c r="K723" t="s">
        <v>11</v>
      </c>
      <c r="L723" t="str">
        <f>T("9791191562453")</f>
        <v>9791191562453</v>
      </c>
    </row>
    <row r="724" spans="1:12">
      <c r="A724" s="2">
        <v>44787.6875462963</v>
      </c>
      <c r="B724">
        <v>292179681</v>
      </c>
      <c r="C724" t="s">
        <v>81</v>
      </c>
      <c r="D724" t="s">
        <v>12</v>
      </c>
      <c r="E724" s="3">
        <v>2000</v>
      </c>
      <c r="F724" s="3">
        <v>2000</v>
      </c>
      <c r="G724" s="3">
        <v>1400</v>
      </c>
      <c r="I724" t="s">
        <v>82</v>
      </c>
      <c r="J724" t="s">
        <v>40</v>
      </c>
      <c r="K724" t="s">
        <v>11</v>
      </c>
      <c r="L724" t="str">
        <f>T("9791191562224")</f>
        <v>9791191562224</v>
      </c>
    </row>
    <row r="725" spans="1:12">
      <c r="A725" s="2">
        <v>44787.71638888889</v>
      </c>
      <c r="B725">
        <v>299562124</v>
      </c>
      <c r="C725" t="s">
        <v>369</v>
      </c>
      <c r="D725" t="s">
        <v>9</v>
      </c>
      <c r="E725" s="3">
        <v>2000</v>
      </c>
      <c r="F725" s="3">
        <v>2000</v>
      </c>
      <c r="G725" s="3">
        <v>1400</v>
      </c>
      <c r="I725" t="s">
        <v>370</v>
      </c>
      <c r="J725" t="s">
        <v>40</v>
      </c>
      <c r="K725" t="s">
        <v>11</v>
      </c>
      <c r="L725" t="str">
        <f>T("9791191562873")</f>
        <v>9791191562873</v>
      </c>
    </row>
    <row r="726" spans="1:12">
      <c r="A726" s="2">
        <v>44787.716574074075</v>
      </c>
      <c r="B726">
        <v>298750948</v>
      </c>
      <c r="C726" t="s">
        <v>259</v>
      </c>
      <c r="D726" t="s">
        <v>9</v>
      </c>
      <c r="E726" s="3">
        <v>3500</v>
      </c>
      <c r="F726" s="3">
        <v>3500</v>
      </c>
      <c r="G726" s="3">
        <v>2450</v>
      </c>
      <c r="I726" t="s">
        <v>38</v>
      </c>
      <c r="J726" t="s">
        <v>40</v>
      </c>
      <c r="K726" t="s">
        <v>11</v>
      </c>
      <c r="L726" t="str">
        <f>T("9791191562866")</f>
        <v>9791191562866</v>
      </c>
    </row>
    <row r="727" spans="1:12">
      <c r="A727" s="2">
        <v>44787.724583333336</v>
      </c>
      <c r="B727">
        <v>271217202</v>
      </c>
      <c r="C727" t="s">
        <v>280</v>
      </c>
      <c r="D727" t="s">
        <v>9</v>
      </c>
      <c r="E727" s="3">
        <v>9400</v>
      </c>
      <c r="F727" s="3">
        <v>9400</v>
      </c>
      <c r="G727" s="3">
        <v>6580</v>
      </c>
      <c r="I727" t="s">
        <v>44</v>
      </c>
      <c r="J727" t="s">
        <v>267</v>
      </c>
      <c r="K727" t="s">
        <v>11</v>
      </c>
      <c r="L727" t="str">
        <f>T("9791137601185")</f>
        <v>9791137601185</v>
      </c>
    </row>
    <row r="728" spans="1:12">
      <c r="A728" s="2">
        <v>44787.767407407409</v>
      </c>
      <c r="B728">
        <v>287834730</v>
      </c>
      <c r="C728" t="s">
        <v>37</v>
      </c>
      <c r="D728" t="s">
        <v>9</v>
      </c>
      <c r="E728" s="3">
        <v>2000</v>
      </c>
      <c r="F728" s="3">
        <v>2000</v>
      </c>
      <c r="G728" s="3">
        <v>1400</v>
      </c>
      <c r="I728" t="s">
        <v>32</v>
      </c>
      <c r="J728" t="s">
        <v>40</v>
      </c>
      <c r="K728" t="s">
        <v>11</v>
      </c>
      <c r="L728" t="str">
        <f>T("9791191562019")</f>
        <v>9791191562019</v>
      </c>
    </row>
    <row r="729" spans="1:12">
      <c r="A729" s="2">
        <v>44787.782523148147</v>
      </c>
      <c r="B729">
        <v>296861004</v>
      </c>
      <c r="C729" t="s">
        <v>144</v>
      </c>
      <c r="D729" t="s">
        <v>9</v>
      </c>
      <c r="E729" s="3">
        <v>2500</v>
      </c>
      <c r="F729" s="3">
        <v>2500</v>
      </c>
      <c r="G729" s="3">
        <v>1750</v>
      </c>
      <c r="I729" t="s">
        <v>57</v>
      </c>
      <c r="J729" t="s">
        <v>40</v>
      </c>
      <c r="K729" t="s">
        <v>11</v>
      </c>
      <c r="L729" t="str">
        <f>T("9791191562514")</f>
        <v>9791191562514</v>
      </c>
    </row>
    <row r="730" spans="1:12">
      <c r="A730" s="2">
        <v>44787.796655092592</v>
      </c>
      <c r="B730">
        <v>294374169</v>
      </c>
      <c r="C730" t="s">
        <v>367</v>
      </c>
      <c r="D730" t="s">
        <v>9</v>
      </c>
      <c r="E730" s="3">
        <v>2000</v>
      </c>
      <c r="F730" s="3">
        <v>2000</v>
      </c>
      <c r="G730" s="3">
        <v>1400</v>
      </c>
      <c r="I730" t="s">
        <v>368</v>
      </c>
      <c r="J730" t="s">
        <v>40</v>
      </c>
      <c r="K730" t="s">
        <v>11</v>
      </c>
      <c r="L730" t="str">
        <f>T("9791191562378")</f>
        <v>9791191562378</v>
      </c>
    </row>
    <row r="731" spans="1:12">
      <c r="A731" s="2">
        <v>44787.813784722224</v>
      </c>
      <c r="B731">
        <v>299562124</v>
      </c>
      <c r="C731" t="s">
        <v>369</v>
      </c>
      <c r="D731" t="s">
        <v>9</v>
      </c>
      <c r="E731" s="3">
        <v>2000</v>
      </c>
      <c r="F731" s="3">
        <v>2000</v>
      </c>
      <c r="G731" s="3">
        <v>1400</v>
      </c>
      <c r="I731" t="s">
        <v>370</v>
      </c>
      <c r="J731" t="s">
        <v>40</v>
      </c>
      <c r="K731" t="s">
        <v>11</v>
      </c>
      <c r="L731" t="str">
        <f>T("9791191562873")</f>
        <v>9791191562873</v>
      </c>
    </row>
    <row r="732" spans="1:12">
      <c r="A732" s="2">
        <v>44787.851458333331</v>
      </c>
      <c r="B732">
        <v>293046855</v>
      </c>
      <c r="C732" t="s">
        <v>99</v>
      </c>
      <c r="D732" t="s">
        <v>9</v>
      </c>
      <c r="E732" s="3">
        <v>2500</v>
      </c>
      <c r="F732" s="3">
        <v>2500</v>
      </c>
      <c r="G732" s="3">
        <v>1750</v>
      </c>
      <c r="I732" t="s">
        <v>100</v>
      </c>
      <c r="J732" t="s">
        <v>40</v>
      </c>
      <c r="K732" t="s">
        <v>11</v>
      </c>
      <c r="L732" t="str">
        <f>T("9791191562279")</f>
        <v>9791191562279</v>
      </c>
    </row>
    <row r="733" spans="1:12">
      <c r="A733" s="2">
        <v>44787.857210648152</v>
      </c>
      <c r="B733">
        <v>297219988</v>
      </c>
      <c r="C733" t="s">
        <v>157</v>
      </c>
      <c r="D733" t="s">
        <v>9</v>
      </c>
      <c r="E733" s="3">
        <v>3000</v>
      </c>
      <c r="F733" s="3">
        <v>3000</v>
      </c>
      <c r="G733" s="3">
        <v>2100</v>
      </c>
      <c r="I733" t="s">
        <v>82</v>
      </c>
      <c r="J733" t="s">
        <v>40</v>
      </c>
      <c r="K733" t="s">
        <v>11</v>
      </c>
      <c r="L733" t="str">
        <f>T("9791191562811")</f>
        <v>9791191562811</v>
      </c>
    </row>
    <row r="734" spans="1:12">
      <c r="A734" s="2">
        <v>44787.864675925928</v>
      </c>
      <c r="B734">
        <v>299619316</v>
      </c>
      <c r="C734" t="s">
        <v>391</v>
      </c>
      <c r="D734" t="s">
        <v>9</v>
      </c>
      <c r="E734" s="3">
        <v>8200</v>
      </c>
      <c r="F734" s="3">
        <v>8200</v>
      </c>
      <c r="G734" s="3">
        <v>5740</v>
      </c>
      <c r="I734" t="s">
        <v>385</v>
      </c>
      <c r="J734" t="s">
        <v>271</v>
      </c>
      <c r="K734" t="s">
        <v>11</v>
      </c>
      <c r="L734" t="str">
        <f>T("9791137604582")</f>
        <v>9791137604582</v>
      </c>
    </row>
    <row r="735" spans="1:12">
      <c r="A735" s="2">
        <v>44787.872395833336</v>
      </c>
      <c r="B735">
        <v>282585770</v>
      </c>
      <c r="C735" t="s">
        <v>74</v>
      </c>
      <c r="D735" t="s">
        <v>9</v>
      </c>
      <c r="E735" s="3">
        <v>3000</v>
      </c>
      <c r="F735" s="3">
        <v>3000</v>
      </c>
      <c r="G735" s="3">
        <v>2100</v>
      </c>
      <c r="I735" t="s">
        <v>30</v>
      </c>
      <c r="J735" t="s">
        <v>71</v>
      </c>
      <c r="K735" t="s">
        <v>11</v>
      </c>
      <c r="L735" t="str">
        <f>T("9791164374618")</f>
        <v>9791164374618</v>
      </c>
    </row>
    <row r="736" spans="1:12">
      <c r="A736" s="2">
        <v>44787.872395833336</v>
      </c>
      <c r="B736">
        <v>282585762</v>
      </c>
      <c r="C736" t="s">
        <v>75</v>
      </c>
      <c r="D736" t="s">
        <v>9</v>
      </c>
      <c r="E736" s="3">
        <v>3000</v>
      </c>
      <c r="F736" s="3">
        <v>3000</v>
      </c>
      <c r="G736" s="3">
        <v>2100</v>
      </c>
      <c r="I736" t="s">
        <v>30</v>
      </c>
      <c r="J736" t="s">
        <v>71</v>
      </c>
      <c r="K736" t="s">
        <v>11</v>
      </c>
      <c r="L736" t="str">
        <f>T("9791164374625")</f>
        <v>9791164374625</v>
      </c>
    </row>
    <row r="737" spans="1:12">
      <c r="A737" s="2">
        <v>44787.878935185188</v>
      </c>
      <c r="B737">
        <v>299562124</v>
      </c>
      <c r="C737" t="s">
        <v>369</v>
      </c>
      <c r="D737" t="s">
        <v>9</v>
      </c>
      <c r="E737" s="3">
        <v>2000</v>
      </c>
      <c r="F737" s="3">
        <v>2000</v>
      </c>
      <c r="G737" s="3">
        <v>1400</v>
      </c>
      <c r="I737" t="s">
        <v>370</v>
      </c>
      <c r="J737" t="s">
        <v>40</v>
      </c>
      <c r="K737" t="s">
        <v>11</v>
      </c>
      <c r="L737" t="str">
        <f>T("9791191562873")</f>
        <v>9791191562873</v>
      </c>
    </row>
    <row r="738" spans="1:12">
      <c r="A738" s="2">
        <v>44787.894050925926</v>
      </c>
      <c r="B738">
        <v>293771607</v>
      </c>
      <c r="C738" t="s">
        <v>292</v>
      </c>
      <c r="D738" t="s">
        <v>12</v>
      </c>
      <c r="E738" s="3">
        <v>2000</v>
      </c>
      <c r="F738" s="3">
        <v>2000</v>
      </c>
      <c r="G738" s="3">
        <v>1400</v>
      </c>
      <c r="I738" t="s">
        <v>293</v>
      </c>
      <c r="J738" t="s">
        <v>40</v>
      </c>
      <c r="K738" t="s">
        <v>11</v>
      </c>
      <c r="L738" t="str">
        <f>T("9791191562323")</f>
        <v>9791191562323</v>
      </c>
    </row>
    <row r="739" spans="1:12">
      <c r="A739" s="2">
        <v>44787.894050925926</v>
      </c>
      <c r="B739">
        <v>293046855</v>
      </c>
      <c r="C739" t="s">
        <v>99</v>
      </c>
      <c r="D739" t="s">
        <v>12</v>
      </c>
      <c r="E739" s="3">
        <v>2000</v>
      </c>
      <c r="F739" s="3">
        <v>2000</v>
      </c>
      <c r="G739" s="3">
        <v>1400</v>
      </c>
      <c r="I739" t="s">
        <v>100</v>
      </c>
      <c r="J739" t="s">
        <v>40</v>
      </c>
      <c r="K739" t="s">
        <v>11</v>
      </c>
      <c r="L739" t="str">
        <f>T("9791191562279")</f>
        <v>9791191562279</v>
      </c>
    </row>
    <row r="740" spans="1:12">
      <c r="A740" s="2">
        <v>44787.895578703705</v>
      </c>
      <c r="B740">
        <v>292316442</v>
      </c>
      <c r="C740" t="s">
        <v>84</v>
      </c>
      <c r="D740" t="s">
        <v>9</v>
      </c>
      <c r="E740" s="3">
        <v>2500</v>
      </c>
      <c r="F740" s="3">
        <v>2500</v>
      </c>
      <c r="G740" s="3">
        <v>1750</v>
      </c>
      <c r="I740" t="s">
        <v>85</v>
      </c>
      <c r="J740" t="s">
        <v>40</v>
      </c>
      <c r="K740" t="s">
        <v>11</v>
      </c>
      <c r="L740" t="str">
        <f>T("9791191562309")</f>
        <v>9791191562309</v>
      </c>
    </row>
    <row r="741" spans="1:12">
      <c r="A741" s="2">
        <v>44787.91369212963</v>
      </c>
      <c r="B741">
        <v>292179681</v>
      </c>
      <c r="C741" t="s">
        <v>81</v>
      </c>
      <c r="D741" t="s">
        <v>12</v>
      </c>
      <c r="E741" s="3">
        <v>2000</v>
      </c>
      <c r="F741" s="3">
        <v>2000</v>
      </c>
      <c r="G741" s="3">
        <v>1400</v>
      </c>
      <c r="I741" t="s">
        <v>82</v>
      </c>
      <c r="J741" t="s">
        <v>40</v>
      </c>
      <c r="K741" t="s">
        <v>11</v>
      </c>
      <c r="L741" t="str">
        <f>T("9791191562224")</f>
        <v>9791191562224</v>
      </c>
    </row>
    <row r="742" spans="1:12">
      <c r="A742" s="2">
        <v>44787.915659722225</v>
      </c>
      <c r="B742">
        <v>295462572</v>
      </c>
      <c r="C742" t="s">
        <v>108</v>
      </c>
      <c r="D742" t="s">
        <v>9</v>
      </c>
      <c r="E742" s="3">
        <v>2000</v>
      </c>
      <c r="F742" s="3">
        <v>2000</v>
      </c>
      <c r="G742" s="3">
        <v>1400</v>
      </c>
      <c r="I742" t="s">
        <v>32</v>
      </c>
      <c r="J742" t="s">
        <v>40</v>
      </c>
      <c r="K742" t="s">
        <v>11</v>
      </c>
      <c r="L742" t="str">
        <f>T("9791191562361")</f>
        <v>9791191562361</v>
      </c>
    </row>
    <row r="743" spans="1:12">
      <c r="A743" s="2">
        <v>44787.915659722225</v>
      </c>
      <c r="B743">
        <v>299562124</v>
      </c>
      <c r="C743" t="s">
        <v>369</v>
      </c>
      <c r="D743" t="s">
        <v>9</v>
      </c>
      <c r="E743" s="3">
        <v>2000</v>
      </c>
      <c r="F743" s="3">
        <v>2000</v>
      </c>
      <c r="G743" s="3">
        <v>1400</v>
      </c>
      <c r="I743" t="s">
        <v>370</v>
      </c>
      <c r="J743" t="s">
        <v>40</v>
      </c>
      <c r="K743" t="s">
        <v>11</v>
      </c>
      <c r="L743" t="str">
        <f>T("9791191562873")</f>
        <v>9791191562873</v>
      </c>
    </row>
    <row r="744" spans="1:12">
      <c r="A744" s="2">
        <v>44787.919050925928</v>
      </c>
      <c r="B744">
        <v>286896672</v>
      </c>
      <c r="C744" t="s">
        <v>175</v>
      </c>
      <c r="D744" t="s">
        <v>9</v>
      </c>
      <c r="E744" s="3">
        <v>2500</v>
      </c>
      <c r="F744" s="3">
        <v>2500</v>
      </c>
      <c r="G744" s="3">
        <v>1750</v>
      </c>
      <c r="I744" t="s">
        <v>176</v>
      </c>
      <c r="J744" t="s">
        <v>40</v>
      </c>
      <c r="K744" t="s">
        <v>11</v>
      </c>
      <c r="L744" t="str">
        <f>T("9791191562002")</f>
        <v>9791191562002</v>
      </c>
    </row>
    <row r="745" spans="1:12">
      <c r="A745" s="2">
        <v>44787.929178240738</v>
      </c>
      <c r="B745">
        <v>295216088</v>
      </c>
      <c r="C745" t="s">
        <v>114</v>
      </c>
      <c r="D745" t="s">
        <v>9</v>
      </c>
      <c r="E745" s="3">
        <v>2500</v>
      </c>
      <c r="F745" s="3">
        <v>2500</v>
      </c>
      <c r="G745" s="3">
        <v>1750</v>
      </c>
      <c r="I745" t="s">
        <v>113</v>
      </c>
      <c r="J745" t="s">
        <v>40</v>
      </c>
      <c r="K745" t="s">
        <v>11</v>
      </c>
      <c r="L745" t="str">
        <f>T("9791191562453")</f>
        <v>9791191562453</v>
      </c>
    </row>
    <row r="746" spans="1:12">
      <c r="A746" s="2">
        <v>44787.935972222222</v>
      </c>
      <c r="B746">
        <v>290963607</v>
      </c>
      <c r="C746" t="s">
        <v>56</v>
      </c>
      <c r="D746" t="s">
        <v>9</v>
      </c>
      <c r="E746" s="3">
        <v>3500</v>
      </c>
      <c r="F746" s="3">
        <v>3500</v>
      </c>
      <c r="G746" s="3">
        <v>2450</v>
      </c>
      <c r="I746" t="s">
        <v>57</v>
      </c>
      <c r="J746" t="s">
        <v>40</v>
      </c>
      <c r="K746" t="s">
        <v>11</v>
      </c>
      <c r="L746" t="str">
        <f>T("9791191562132")</f>
        <v>9791191562132</v>
      </c>
    </row>
    <row r="747" spans="1:12">
      <c r="A747" s="2">
        <v>44787.943472222221</v>
      </c>
      <c r="B747">
        <v>293484295</v>
      </c>
      <c r="C747" t="s">
        <v>106</v>
      </c>
      <c r="D747" t="s">
        <v>12</v>
      </c>
      <c r="E747" s="3">
        <v>2800</v>
      </c>
      <c r="F747" s="3">
        <v>2800</v>
      </c>
      <c r="G747" s="3">
        <v>1960</v>
      </c>
      <c r="I747" t="s">
        <v>107</v>
      </c>
      <c r="J747" t="s">
        <v>40</v>
      </c>
      <c r="K747" t="s">
        <v>11</v>
      </c>
      <c r="L747" t="str">
        <f>T("9791191562330")</f>
        <v>9791191562330</v>
      </c>
    </row>
    <row r="748" spans="1:12">
      <c r="A748" s="2">
        <v>44787.943472222221</v>
      </c>
      <c r="B748">
        <v>293771607</v>
      </c>
      <c r="C748" t="s">
        <v>292</v>
      </c>
      <c r="D748" t="s">
        <v>12</v>
      </c>
      <c r="E748" s="3">
        <v>2000</v>
      </c>
      <c r="F748" s="3">
        <v>2000</v>
      </c>
      <c r="G748" s="3">
        <v>1400</v>
      </c>
      <c r="I748" t="s">
        <v>293</v>
      </c>
      <c r="J748" t="s">
        <v>40</v>
      </c>
      <c r="K748" t="s">
        <v>11</v>
      </c>
      <c r="L748" t="str">
        <f>T("9791191562323")</f>
        <v>9791191562323</v>
      </c>
    </row>
    <row r="749" spans="1:12">
      <c r="A749" s="2">
        <v>44787.944953703707</v>
      </c>
      <c r="B749">
        <v>221587562</v>
      </c>
      <c r="C749" t="s">
        <v>392</v>
      </c>
      <c r="D749" t="s">
        <v>9</v>
      </c>
      <c r="E749" s="3">
        <v>3500</v>
      </c>
      <c r="F749" s="3">
        <v>3500</v>
      </c>
      <c r="G749" s="3">
        <v>2450</v>
      </c>
      <c r="I749" t="s">
        <v>393</v>
      </c>
      <c r="J749" t="s">
        <v>45</v>
      </c>
      <c r="K749" t="s">
        <v>11</v>
      </c>
      <c r="L749" t="str">
        <f>T("9791164896981")</f>
        <v>9791164896981</v>
      </c>
    </row>
    <row r="750" spans="1:12">
      <c r="A750" s="2">
        <v>44787.95815972222</v>
      </c>
      <c r="B750">
        <v>299562124</v>
      </c>
      <c r="C750" t="s">
        <v>369</v>
      </c>
      <c r="D750" t="s">
        <v>9</v>
      </c>
      <c r="E750" s="3">
        <v>2000</v>
      </c>
      <c r="F750" s="3">
        <v>2000</v>
      </c>
      <c r="G750" s="3">
        <v>1400</v>
      </c>
      <c r="I750" t="s">
        <v>370</v>
      </c>
      <c r="J750" t="s">
        <v>40</v>
      </c>
      <c r="K750" t="s">
        <v>11</v>
      </c>
      <c r="L750" t="str">
        <f>T("9791191562873")</f>
        <v>9791191562873</v>
      </c>
    </row>
    <row r="751" spans="1:12">
      <c r="A751" s="2">
        <v>44787.990243055552</v>
      </c>
      <c r="B751">
        <v>299562124</v>
      </c>
      <c r="C751" t="s">
        <v>369</v>
      </c>
      <c r="D751" t="s">
        <v>9</v>
      </c>
      <c r="E751" s="3">
        <v>2000</v>
      </c>
      <c r="F751" s="3">
        <v>2000</v>
      </c>
      <c r="G751" s="3">
        <v>1400</v>
      </c>
      <c r="I751" t="s">
        <v>370</v>
      </c>
      <c r="J751" t="s">
        <v>40</v>
      </c>
      <c r="K751" t="s">
        <v>11</v>
      </c>
      <c r="L751" t="str">
        <f>T("9791191562873")</f>
        <v>9791191562873</v>
      </c>
    </row>
    <row r="752" spans="1:12">
      <c r="A752" s="2">
        <v>44787.990543981483</v>
      </c>
      <c r="B752">
        <v>299562124</v>
      </c>
      <c r="C752" t="s">
        <v>369</v>
      </c>
      <c r="D752" t="s">
        <v>9</v>
      </c>
      <c r="E752" s="3">
        <v>-2000</v>
      </c>
      <c r="F752" s="3">
        <v>-2000</v>
      </c>
      <c r="G752" s="3">
        <v>-1400</v>
      </c>
      <c r="H752" s="2">
        <v>44787.990243055552</v>
      </c>
      <c r="I752" t="s">
        <v>370</v>
      </c>
      <c r="J752" t="s">
        <v>40</v>
      </c>
      <c r="K752" t="s">
        <v>11</v>
      </c>
      <c r="L752" t="str">
        <f>T("9791191562873")</f>
        <v>9791191562873</v>
      </c>
    </row>
    <row r="753" spans="1:12">
      <c r="A753" s="2">
        <v>44787.991111111114</v>
      </c>
      <c r="B753">
        <v>299562124</v>
      </c>
      <c r="C753" t="s">
        <v>369</v>
      </c>
      <c r="D753" t="s">
        <v>9</v>
      </c>
      <c r="E753" s="3">
        <v>2000</v>
      </c>
      <c r="F753" s="3">
        <v>2000</v>
      </c>
      <c r="G753" s="3">
        <v>1400</v>
      </c>
      <c r="I753" t="s">
        <v>370</v>
      </c>
      <c r="J753" t="s">
        <v>40</v>
      </c>
      <c r="K753" t="s">
        <v>11</v>
      </c>
      <c r="L753" t="str">
        <f>T("9791191562873")</f>
        <v>9791191562873</v>
      </c>
    </row>
    <row r="754" spans="1:12">
      <c r="A754" s="2">
        <v>44787.997546296298</v>
      </c>
      <c r="B754">
        <v>292045651</v>
      </c>
      <c r="C754" t="s">
        <v>78</v>
      </c>
      <c r="D754" t="s">
        <v>12</v>
      </c>
      <c r="E754" s="3">
        <v>1600</v>
      </c>
      <c r="F754" s="3">
        <v>1600</v>
      </c>
      <c r="G754" s="3">
        <v>1120</v>
      </c>
      <c r="I754" t="s">
        <v>29</v>
      </c>
      <c r="J754" t="s">
        <v>40</v>
      </c>
      <c r="K754" t="s">
        <v>11</v>
      </c>
      <c r="L754" t="str">
        <f>T("9791191562217")</f>
        <v>9791191562217</v>
      </c>
    </row>
    <row r="755" spans="1:12">
      <c r="A755" s="2">
        <v>44787.999918981484</v>
      </c>
      <c r="B755">
        <v>293957286</v>
      </c>
      <c r="C755" t="s">
        <v>118</v>
      </c>
      <c r="D755" t="s">
        <v>9</v>
      </c>
      <c r="E755" s="3">
        <v>3200</v>
      </c>
      <c r="F755" s="3">
        <v>3200</v>
      </c>
      <c r="G755" s="3">
        <v>2240</v>
      </c>
      <c r="I755" t="s">
        <v>117</v>
      </c>
      <c r="J755" t="s">
        <v>40</v>
      </c>
      <c r="K755" t="s">
        <v>11</v>
      </c>
      <c r="L755" t="str">
        <f>T("9791191562347")</f>
        <v>9791191562347</v>
      </c>
    </row>
    <row r="756" spans="1:12">
      <c r="A756" s="2">
        <v>44788.000034722223</v>
      </c>
      <c r="B756">
        <v>149550325</v>
      </c>
      <c r="C756" t="s">
        <v>252</v>
      </c>
      <c r="D756" t="s">
        <v>12</v>
      </c>
      <c r="E756">
        <v>900</v>
      </c>
      <c r="F756">
        <v>900</v>
      </c>
      <c r="G756">
        <v>630</v>
      </c>
      <c r="I756" t="s">
        <v>124</v>
      </c>
      <c r="J756" t="s">
        <v>11</v>
      </c>
      <c r="K756" t="s">
        <v>11</v>
      </c>
      <c r="L756" t="str">
        <f>T("9791159286377")</f>
        <v>9791159286377</v>
      </c>
    </row>
    <row r="757" spans="1:12">
      <c r="A757" s="2">
        <v>44788.000555555554</v>
      </c>
      <c r="B757">
        <v>149550325</v>
      </c>
      <c r="C757" t="s">
        <v>252</v>
      </c>
      <c r="D757" t="s">
        <v>12</v>
      </c>
      <c r="E757">
        <v>-900</v>
      </c>
      <c r="F757">
        <v>-900</v>
      </c>
      <c r="G757">
        <v>-630</v>
      </c>
      <c r="H757" s="2">
        <v>44788.000034722223</v>
      </c>
      <c r="I757" t="s">
        <v>124</v>
      </c>
      <c r="J757" t="s">
        <v>11</v>
      </c>
      <c r="K757" t="s">
        <v>11</v>
      </c>
      <c r="L757" t="str">
        <f>T("9791159286377")</f>
        <v>9791159286377</v>
      </c>
    </row>
    <row r="758" spans="1:12">
      <c r="A758" s="2">
        <v>44788.015127314815</v>
      </c>
      <c r="B758">
        <v>284241808</v>
      </c>
      <c r="C758" t="s">
        <v>27</v>
      </c>
      <c r="D758" t="s">
        <v>9</v>
      </c>
      <c r="E758" s="3">
        <v>3600</v>
      </c>
      <c r="F758" s="3">
        <v>3600</v>
      </c>
      <c r="G758" s="3">
        <v>2520</v>
      </c>
      <c r="I758" t="s">
        <v>21</v>
      </c>
      <c r="J758" t="s">
        <v>45</v>
      </c>
      <c r="K758" t="s">
        <v>11</v>
      </c>
      <c r="L758" t="str">
        <f>T("9791166482557")</f>
        <v>9791166482557</v>
      </c>
    </row>
    <row r="759" spans="1:12">
      <c r="A759" s="2">
        <v>44788.015636574077</v>
      </c>
      <c r="B759">
        <v>299562124</v>
      </c>
      <c r="C759" t="s">
        <v>369</v>
      </c>
      <c r="D759" t="s">
        <v>9</v>
      </c>
      <c r="E759" s="3">
        <v>2000</v>
      </c>
      <c r="F759" s="3">
        <v>2000</v>
      </c>
      <c r="G759" s="3">
        <v>1400</v>
      </c>
      <c r="I759" t="s">
        <v>370</v>
      </c>
      <c r="J759" t="s">
        <v>40</v>
      </c>
      <c r="K759" t="s">
        <v>11</v>
      </c>
      <c r="L759" t="str">
        <f>T("9791191562873")</f>
        <v>9791191562873</v>
      </c>
    </row>
    <row r="760" spans="1:12">
      <c r="A760" s="2">
        <v>44788.023553240739</v>
      </c>
      <c r="B760">
        <v>287834730</v>
      </c>
      <c r="C760" t="s">
        <v>37</v>
      </c>
      <c r="D760" t="s">
        <v>9</v>
      </c>
      <c r="E760" s="3">
        <v>2000</v>
      </c>
      <c r="F760" s="3">
        <v>2000</v>
      </c>
      <c r="G760" s="3">
        <v>1400</v>
      </c>
      <c r="I760" t="s">
        <v>32</v>
      </c>
      <c r="J760" t="s">
        <v>40</v>
      </c>
      <c r="K760" t="s">
        <v>11</v>
      </c>
      <c r="L760" t="str">
        <f>T("9791191562019")</f>
        <v>9791191562019</v>
      </c>
    </row>
    <row r="761" spans="1:12">
      <c r="A761" s="2">
        <v>44788.045115740744</v>
      </c>
      <c r="B761">
        <v>48799502</v>
      </c>
      <c r="C761" t="s">
        <v>394</v>
      </c>
      <c r="D761" t="s">
        <v>12</v>
      </c>
      <c r="E761">
        <v>0</v>
      </c>
      <c r="F761">
        <v>0</v>
      </c>
      <c r="G761">
        <v>0</v>
      </c>
      <c r="I761" t="s">
        <v>10</v>
      </c>
      <c r="J761" t="s">
        <v>11</v>
      </c>
      <c r="K761" t="s">
        <v>11</v>
      </c>
      <c r="L761" t="str">
        <f>T("9791159284724")</f>
        <v>9791159284724</v>
      </c>
    </row>
    <row r="762" spans="1:12">
      <c r="A762" s="2">
        <v>44788.068437499998</v>
      </c>
      <c r="B762">
        <v>48799527</v>
      </c>
      <c r="C762" t="s">
        <v>170</v>
      </c>
      <c r="D762" t="s">
        <v>12</v>
      </c>
      <c r="E762">
        <v>0</v>
      </c>
      <c r="F762">
        <v>0</v>
      </c>
      <c r="G762">
        <v>0</v>
      </c>
      <c r="I762" t="s">
        <v>10</v>
      </c>
      <c r="J762" t="s">
        <v>11</v>
      </c>
      <c r="K762" t="s">
        <v>11</v>
      </c>
      <c r="L762" t="str">
        <f>T("9791159283529")</f>
        <v>9791159283529</v>
      </c>
    </row>
    <row r="763" spans="1:12">
      <c r="A763" s="2">
        <v>44788.072233796294</v>
      </c>
      <c r="B763">
        <v>299562124</v>
      </c>
      <c r="C763" t="s">
        <v>369</v>
      </c>
      <c r="D763" t="s">
        <v>9</v>
      </c>
      <c r="E763" s="3">
        <v>2000</v>
      </c>
      <c r="F763" s="3">
        <v>2000</v>
      </c>
      <c r="G763" s="3">
        <v>1400</v>
      </c>
      <c r="I763" t="s">
        <v>370</v>
      </c>
      <c r="J763" t="s">
        <v>40</v>
      </c>
      <c r="K763" t="s">
        <v>11</v>
      </c>
      <c r="L763" t="str">
        <f>T("9791191562873")</f>
        <v>9791191562873</v>
      </c>
    </row>
    <row r="764" spans="1:12">
      <c r="A764" s="2">
        <v>44788.084675925929</v>
      </c>
      <c r="B764">
        <v>248962257</v>
      </c>
      <c r="C764" t="s">
        <v>174</v>
      </c>
      <c r="D764" t="s">
        <v>9</v>
      </c>
      <c r="E764">
        <v>0</v>
      </c>
      <c r="F764">
        <v>0</v>
      </c>
      <c r="G764">
        <v>0</v>
      </c>
      <c r="I764" t="s">
        <v>14</v>
      </c>
      <c r="J764" t="s">
        <v>11</v>
      </c>
      <c r="K764" t="s">
        <v>11</v>
      </c>
      <c r="L764" t="str">
        <f>T("9791166066740")</f>
        <v>9791166066740</v>
      </c>
    </row>
    <row r="765" spans="1:12">
      <c r="A765" s="2">
        <v>44788.166319444441</v>
      </c>
      <c r="B765">
        <v>248962258</v>
      </c>
      <c r="C765" t="s">
        <v>395</v>
      </c>
      <c r="D765" t="s">
        <v>9</v>
      </c>
      <c r="E765" s="3">
        <v>3200</v>
      </c>
      <c r="F765" s="3">
        <v>3200</v>
      </c>
      <c r="G765" s="3">
        <v>2240</v>
      </c>
      <c r="I765" t="s">
        <v>14</v>
      </c>
      <c r="J765" t="s">
        <v>11</v>
      </c>
      <c r="K765" t="s">
        <v>11</v>
      </c>
      <c r="L765" t="str">
        <f>T("9791166066771")</f>
        <v>9791166066771</v>
      </c>
    </row>
    <row r="766" spans="1:12">
      <c r="A766" s="2">
        <v>44788.166319444441</v>
      </c>
      <c r="B766">
        <v>248962259</v>
      </c>
      <c r="C766" t="s">
        <v>396</v>
      </c>
      <c r="D766" t="s">
        <v>9</v>
      </c>
      <c r="E766" s="3">
        <v>3200</v>
      </c>
      <c r="F766" s="3">
        <v>3200</v>
      </c>
      <c r="G766" s="3">
        <v>2240</v>
      </c>
      <c r="I766" t="s">
        <v>14</v>
      </c>
      <c r="J766" t="s">
        <v>11</v>
      </c>
      <c r="K766" t="s">
        <v>11</v>
      </c>
      <c r="L766" t="str">
        <f>T("9791166066757")</f>
        <v>9791166066757</v>
      </c>
    </row>
    <row r="767" spans="1:12">
      <c r="A767" s="2">
        <v>44788.166319444441</v>
      </c>
      <c r="B767">
        <v>248962260</v>
      </c>
      <c r="C767" t="s">
        <v>397</v>
      </c>
      <c r="D767" t="s">
        <v>9</v>
      </c>
      <c r="E767" s="3">
        <v>3200</v>
      </c>
      <c r="F767" s="3">
        <v>3200</v>
      </c>
      <c r="G767" s="3">
        <v>2240</v>
      </c>
      <c r="I767" t="s">
        <v>14</v>
      </c>
      <c r="J767" t="s">
        <v>11</v>
      </c>
      <c r="K767" t="s">
        <v>11</v>
      </c>
      <c r="L767" t="str">
        <f>T("9791166066764")</f>
        <v>9791166066764</v>
      </c>
    </row>
    <row r="768" spans="1:12">
      <c r="A768" s="2">
        <v>44788.166319444441</v>
      </c>
      <c r="B768">
        <v>248962261</v>
      </c>
      <c r="C768" t="s">
        <v>398</v>
      </c>
      <c r="D768" t="s">
        <v>9</v>
      </c>
      <c r="E768" s="3">
        <v>3200</v>
      </c>
      <c r="F768" s="3">
        <v>3200</v>
      </c>
      <c r="G768" s="3">
        <v>2240</v>
      </c>
      <c r="I768" t="s">
        <v>14</v>
      </c>
      <c r="J768" t="s">
        <v>11</v>
      </c>
      <c r="K768" t="s">
        <v>11</v>
      </c>
      <c r="L768" t="str">
        <f>T("9791166066788")</f>
        <v>9791166066788</v>
      </c>
    </row>
    <row r="769" spans="1:12">
      <c r="A769" s="2">
        <v>44788.166319444441</v>
      </c>
      <c r="B769">
        <v>248962263</v>
      </c>
      <c r="C769" t="s">
        <v>399</v>
      </c>
      <c r="D769" t="s">
        <v>9</v>
      </c>
      <c r="E769" s="3">
        <v>3200</v>
      </c>
      <c r="F769" s="3">
        <v>3200</v>
      </c>
      <c r="G769" s="3">
        <v>2240</v>
      </c>
      <c r="I769" t="s">
        <v>14</v>
      </c>
      <c r="J769" t="s">
        <v>11</v>
      </c>
      <c r="K769" t="s">
        <v>11</v>
      </c>
      <c r="L769" t="str">
        <f>T("9791166066795")</f>
        <v>9791166066795</v>
      </c>
    </row>
    <row r="770" spans="1:12">
      <c r="A770" s="2">
        <v>44788.174780092595</v>
      </c>
      <c r="B770">
        <v>282585770</v>
      </c>
      <c r="C770" t="s">
        <v>74</v>
      </c>
      <c r="D770" t="s">
        <v>9</v>
      </c>
      <c r="E770" s="3">
        <v>3000</v>
      </c>
      <c r="F770" s="3">
        <v>3000</v>
      </c>
      <c r="G770" s="3">
        <v>2100</v>
      </c>
      <c r="I770" t="s">
        <v>30</v>
      </c>
      <c r="J770" t="s">
        <v>71</v>
      </c>
      <c r="K770" t="s">
        <v>11</v>
      </c>
      <c r="L770" t="str">
        <f>T("9791164374618")</f>
        <v>9791164374618</v>
      </c>
    </row>
    <row r="771" spans="1:12">
      <c r="A771" s="2">
        <v>44788.174780092595</v>
      </c>
      <c r="B771">
        <v>299562124</v>
      </c>
      <c r="C771" t="s">
        <v>369</v>
      </c>
      <c r="D771" t="s">
        <v>9</v>
      </c>
      <c r="E771" s="3">
        <v>2000</v>
      </c>
      <c r="F771" s="3">
        <v>2000</v>
      </c>
      <c r="G771" s="3">
        <v>1400</v>
      </c>
      <c r="I771" t="s">
        <v>370</v>
      </c>
      <c r="J771" t="s">
        <v>40</v>
      </c>
      <c r="K771" t="s">
        <v>11</v>
      </c>
      <c r="L771" t="str">
        <f>T("9791191562873")</f>
        <v>9791191562873</v>
      </c>
    </row>
    <row r="772" spans="1:12">
      <c r="A772" s="2">
        <v>44788.276354166665</v>
      </c>
      <c r="B772">
        <v>299562124</v>
      </c>
      <c r="C772" t="s">
        <v>369</v>
      </c>
      <c r="D772" t="s">
        <v>9</v>
      </c>
      <c r="E772" s="3">
        <v>2000</v>
      </c>
      <c r="F772" s="3">
        <v>2000</v>
      </c>
      <c r="G772" s="3">
        <v>1400</v>
      </c>
      <c r="I772" t="s">
        <v>370</v>
      </c>
      <c r="J772" t="s">
        <v>40</v>
      </c>
      <c r="K772" t="s">
        <v>11</v>
      </c>
      <c r="L772" t="str">
        <f>T("9791191562873")</f>
        <v>9791191562873</v>
      </c>
    </row>
    <row r="773" spans="1:12">
      <c r="A773" s="2">
        <v>44788.286157407405</v>
      </c>
      <c r="B773">
        <v>284241808</v>
      </c>
      <c r="C773" t="s">
        <v>27</v>
      </c>
      <c r="D773" t="s">
        <v>9</v>
      </c>
      <c r="E773" s="3">
        <v>3600</v>
      </c>
      <c r="F773" s="3">
        <v>3600</v>
      </c>
      <c r="G773" s="3">
        <v>2520</v>
      </c>
      <c r="I773" t="s">
        <v>21</v>
      </c>
      <c r="J773" t="s">
        <v>45</v>
      </c>
      <c r="K773" t="s">
        <v>11</v>
      </c>
      <c r="L773" t="str">
        <f>T("9791166482557")</f>
        <v>9791166482557</v>
      </c>
    </row>
    <row r="774" spans="1:12">
      <c r="A774" s="2">
        <v>44788.345555555556</v>
      </c>
      <c r="B774">
        <v>287834730</v>
      </c>
      <c r="C774" t="s">
        <v>37</v>
      </c>
      <c r="D774" t="s">
        <v>9</v>
      </c>
      <c r="E774" s="3">
        <v>2000</v>
      </c>
      <c r="F774" s="3">
        <v>2000</v>
      </c>
      <c r="G774" s="3">
        <v>1400</v>
      </c>
      <c r="I774" t="s">
        <v>32</v>
      </c>
      <c r="J774" t="s">
        <v>40</v>
      </c>
      <c r="K774" t="s">
        <v>11</v>
      </c>
      <c r="L774" t="str">
        <f>T("9791191562019")</f>
        <v>9791191562019</v>
      </c>
    </row>
    <row r="775" spans="1:12">
      <c r="A775" s="2">
        <v>44788.348865740743</v>
      </c>
      <c r="B775">
        <v>299562124</v>
      </c>
      <c r="C775" t="s">
        <v>369</v>
      </c>
      <c r="D775" t="s">
        <v>9</v>
      </c>
      <c r="E775" s="3">
        <v>2000</v>
      </c>
      <c r="F775" s="3">
        <v>2000</v>
      </c>
      <c r="G775" s="3">
        <v>1400</v>
      </c>
      <c r="I775" t="s">
        <v>370</v>
      </c>
      <c r="J775" t="s">
        <v>40</v>
      </c>
      <c r="K775" t="s">
        <v>11</v>
      </c>
      <c r="L775" t="str">
        <f>T("9791191562873")</f>
        <v>9791191562873</v>
      </c>
    </row>
    <row r="776" spans="1:12">
      <c r="A776" s="2">
        <v>44788.410671296297</v>
      </c>
      <c r="B776">
        <v>299562124</v>
      </c>
      <c r="C776" t="s">
        <v>369</v>
      </c>
      <c r="D776" t="s">
        <v>9</v>
      </c>
      <c r="E776" s="3">
        <v>2000</v>
      </c>
      <c r="F776" s="3">
        <v>2000</v>
      </c>
      <c r="G776" s="3">
        <v>1400</v>
      </c>
      <c r="I776" t="s">
        <v>370</v>
      </c>
      <c r="J776" t="s">
        <v>40</v>
      </c>
      <c r="K776" t="s">
        <v>11</v>
      </c>
      <c r="L776" t="str">
        <f>T("9791191562873")</f>
        <v>9791191562873</v>
      </c>
    </row>
    <row r="777" spans="1:12">
      <c r="A777" s="2">
        <v>44788.433472222219</v>
      </c>
      <c r="B777">
        <v>284241886</v>
      </c>
      <c r="C777" t="s">
        <v>26</v>
      </c>
      <c r="D777" t="s">
        <v>9</v>
      </c>
      <c r="E777" s="3">
        <v>3600</v>
      </c>
      <c r="F777" s="3">
        <v>3600</v>
      </c>
      <c r="G777" s="3">
        <v>2520</v>
      </c>
      <c r="I777" t="s">
        <v>21</v>
      </c>
      <c r="J777" t="s">
        <v>45</v>
      </c>
      <c r="K777" t="s">
        <v>11</v>
      </c>
      <c r="L777" t="str">
        <f>T("9791166482564")</f>
        <v>9791166482564</v>
      </c>
    </row>
    <row r="778" spans="1:12">
      <c r="A778" s="2">
        <v>44788.449444444443</v>
      </c>
      <c r="B778">
        <v>299618551</v>
      </c>
      <c r="C778" t="s">
        <v>384</v>
      </c>
      <c r="D778" t="s">
        <v>9</v>
      </c>
      <c r="E778" s="3">
        <v>4100</v>
      </c>
      <c r="F778" s="3">
        <v>4100</v>
      </c>
      <c r="G778" s="3">
        <v>2870</v>
      </c>
      <c r="I778" t="s">
        <v>385</v>
      </c>
      <c r="J778" t="s">
        <v>271</v>
      </c>
      <c r="K778" t="s">
        <v>11</v>
      </c>
      <c r="L778" t="str">
        <f>T("9791137604582")</f>
        <v>9791137604582</v>
      </c>
    </row>
    <row r="779" spans="1:12">
      <c r="A779" s="2">
        <v>44788.449444444443</v>
      </c>
      <c r="B779">
        <v>299618573</v>
      </c>
      <c r="C779" t="s">
        <v>386</v>
      </c>
      <c r="D779" t="s">
        <v>9</v>
      </c>
      <c r="E779" s="3">
        <v>4100</v>
      </c>
      <c r="F779" s="3">
        <v>4100</v>
      </c>
      <c r="G779" s="3">
        <v>2870</v>
      </c>
      <c r="I779" t="s">
        <v>385</v>
      </c>
      <c r="J779" t="s">
        <v>271</v>
      </c>
      <c r="K779" t="s">
        <v>11</v>
      </c>
      <c r="L779" t="str">
        <f>T("9791137604575")</f>
        <v>9791137604575</v>
      </c>
    </row>
    <row r="780" spans="1:12">
      <c r="A780" s="2">
        <v>44788.455659722225</v>
      </c>
      <c r="B780">
        <v>299562124</v>
      </c>
      <c r="C780" t="s">
        <v>369</v>
      </c>
      <c r="D780" t="s">
        <v>9</v>
      </c>
      <c r="E780" s="3">
        <v>2000</v>
      </c>
      <c r="F780" s="3">
        <v>2000</v>
      </c>
      <c r="G780" s="3">
        <v>1400</v>
      </c>
      <c r="I780" t="s">
        <v>370</v>
      </c>
      <c r="J780" t="s">
        <v>40</v>
      </c>
      <c r="K780" t="s">
        <v>11</v>
      </c>
      <c r="L780" t="str">
        <f>T("9791191562873")</f>
        <v>9791191562873</v>
      </c>
    </row>
    <row r="781" spans="1:12">
      <c r="A781" s="2">
        <v>44788.456458333334</v>
      </c>
      <c r="B781">
        <v>299562124</v>
      </c>
      <c r="C781" t="s">
        <v>369</v>
      </c>
      <c r="D781" t="s">
        <v>9</v>
      </c>
      <c r="E781" s="3">
        <v>2000</v>
      </c>
      <c r="F781" s="3">
        <v>2000</v>
      </c>
      <c r="G781" s="3">
        <v>1400</v>
      </c>
      <c r="I781" t="s">
        <v>370</v>
      </c>
      <c r="J781" t="s">
        <v>40</v>
      </c>
      <c r="K781" t="s">
        <v>11</v>
      </c>
      <c r="L781" t="str">
        <f>T("9791191562873")</f>
        <v>9791191562873</v>
      </c>
    </row>
    <row r="782" spans="1:12">
      <c r="A782" s="2">
        <v>44788.459351851852</v>
      </c>
      <c r="B782">
        <v>294674998</v>
      </c>
      <c r="C782" t="s">
        <v>112</v>
      </c>
      <c r="D782" t="s">
        <v>9</v>
      </c>
      <c r="E782" s="3">
        <v>2000</v>
      </c>
      <c r="F782" s="3">
        <v>2000</v>
      </c>
      <c r="G782" s="3">
        <v>1400</v>
      </c>
      <c r="I782" t="s">
        <v>111</v>
      </c>
      <c r="J782" t="s">
        <v>40</v>
      </c>
      <c r="K782" t="s">
        <v>11</v>
      </c>
      <c r="L782" t="str">
        <f>T("9791191562385")</f>
        <v>9791191562385</v>
      </c>
    </row>
    <row r="783" spans="1:12">
      <c r="A783" s="2">
        <v>44788.481585648151</v>
      </c>
      <c r="B783">
        <v>299562124</v>
      </c>
      <c r="C783" t="s">
        <v>369</v>
      </c>
      <c r="D783" t="s">
        <v>9</v>
      </c>
      <c r="E783" s="3">
        <v>2000</v>
      </c>
      <c r="F783" s="3">
        <v>2000</v>
      </c>
      <c r="G783" s="3">
        <v>1400</v>
      </c>
      <c r="I783" t="s">
        <v>370</v>
      </c>
      <c r="J783" t="s">
        <v>40</v>
      </c>
      <c r="K783" t="s">
        <v>11</v>
      </c>
      <c r="L783" t="str">
        <f>T("9791191562873")</f>
        <v>9791191562873</v>
      </c>
    </row>
    <row r="784" spans="1:12">
      <c r="A784" s="2">
        <v>44788.601157407407</v>
      </c>
      <c r="B784">
        <v>292931820</v>
      </c>
      <c r="C784" t="s">
        <v>96</v>
      </c>
      <c r="D784" t="s">
        <v>12</v>
      </c>
      <c r="E784" s="3">
        <v>1600</v>
      </c>
      <c r="F784" s="3">
        <v>1600</v>
      </c>
      <c r="G784" s="3">
        <v>1120</v>
      </c>
      <c r="I784" t="s">
        <v>97</v>
      </c>
      <c r="J784" t="s">
        <v>40</v>
      </c>
      <c r="K784" t="s">
        <v>11</v>
      </c>
      <c r="L784" t="str">
        <f>T("9791191562262")</f>
        <v>9791191562262</v>
      </c>
    </row>
    <row r="785" spans="1:12">
      <c r="A785" s="2">
        <v>44788.612442129626</v>
      </c>
      <c r="B785">
        <v>298750948</v>
      </c>
      <c r="C785" t="s">
        <v>259</v>
      </c>
      <c r="D785" t="s">
        <v>9</v>
      </c>
      <c r="E785" s="3">
        <v>3500</v>
      </c>
      <c r="F785" s="3">
        <v>3500</v>
      </c>
      <c r="G785" s="3">
        <v>2450</v>
      </c>
      <c r="I785" t="s">
        <v>38</v>
      </c>
      <c r="J785" t="s">
        <v>40</v>
      </c>
      <c r="K785" t="s">
        <v>11</v>
      </c>
      <c r="L785" t="str">
        <f>T("9791191562866")</f>
        <v>9791191562866</v>
      </c>
    </row>
    <row r="786" spans="1:12">
      <c r="A786" s="2">
        <v>44788.615578703706</v>
      </c>
      <c r="B786">
        <v>298750948</v>
      </c>
      <c r="C786" t="s">
        <v>259</v>
      </c>
      <c r="D786" t="s">
        <v>9</v>
      </c>
      <c r="E786" s="3">
        <v>3500</v>
      </c>
      <c r="F786" s="3">
        <v>3500</v>
      </c>
      <c r="G786" s="3">
        <v>2450</v>
      </c>
      <c r="I786" t="s">
        <v>38</v>
      </c>
      <c r="J786" t="s">
        <v>40</v>
      </c>
      <c r="K786" t="s">
        <v>11</v>
      </c>
      <c r="L786" t="str">
        <f>T("9791191562866")</f>
        <v>9791191562866</v>
      </c>
    </row>
    <row r="787" spans="1:12">
      <c r="A787" s="2">
        <v>44788.624074074076</v>
      </c>
      <c r="B787">
        <v>299619316</v>
      </c>
      <c r="C787" t="s">
        <v>391</v>
      </c>
      <c r="D787" t="s">
        <v>9</v>
      </c>
      <c r="E787" s="3">
        <v>8200</v>
      </c>
      <c r="F787" s="3">
        <v>8200</v>
      </c>
      <c r="G787" s="3">
        <v>5740</v>
      </c>
      <c r="I787" t="s">
        <v>385</v>
      </c>
      <c r="J787" t="s">
        <v>271</v>
      </c>
      <c r="K787" t="s">
        <v>11</v>
      </c>
      <c r="L787" t="str">
        <f>T("9791137604582")</f>
        <v>9791137604582</v>
      </c>
    </row>
    <row r="788" spans="1:12">
      <c r="A788" s="2">
        <v>44788.64166666667</v>
      </c>
      <c r="B788">
        <v>248188645</v>
      </c>
      <c r="C788" t="s">
        <v>180</v>
      </c>
      <c r="D788" t="s">
        <v>9</v>
      </c>
      <c r="E788" s="3">
        <v>28800</v>
      </c>
      <c r="F788" s="3">
        <v>28800</v>
      </c>
      <c r="G788" s="3">
        <v>20160</v>
      </c>
      <c r="I788" t="s">
        <v>181</v>
      </c>
      <c r="J788" t="s">
        <v>11</v>
      </c>
      <c r="K788" t="s">
        <v>11</v>
      </c>
      <c r="L788" t="str">
        <f>T("9791190937399")</f>
        <v>9791190937399</v>
      </c>
    </row>
    <row r="789" spans="1:12">
      <c r="A789" s="2">
        <v>44788.644062500003</v>
      </c>
      <c r="B789">
        <v>292931820</v>
      </c>
      <c r="C789" t="s">
        <v>96</v>
      </c>
      <c r="D789" t="s">
        <v>12</v>
      </c>
      <c r="E789" s="3">
        <v>1600</v>
      </c>
      <c r="F789" s="3">
        <v>1600</v>
      </c>
      <c r="G789" s="3">
        <v>1120</v>
      </c>
      <c r="I789" t="s">
        <v>97</v>
      </c>
      <c r="J789" t="s">
        <v>40</v>
      </c>
      <c r="K789" t="s">
        <v>11</v>
      </c>
      <c r="L789" t="str">
        <f>T("9791191562262")</f>
        <v>9791191562262</v>
      </c>
    </row>
    <row r="790" spans="1:12">
      <c r="A790" s="2">
        <v>44788.647314814814</v>
      </c>
      <c r="B790">
        <v>292815408</v>
      </c>
      <c r="C790" t="s">
        <v>219</v>
      </c>
      <c r="D790" t="s">
        <v>12</v>
      </c>
      <c r="E790" s="3">
        <v>1600</v>
      </c>
      <c r="F790" s="3">
        <v>1600</v>
      </c>
      <c r="G790" s="3">
        <v>1120</v>
      </c>
      <c r="I790" t="s">
        <v>220</v>
      </c>
      <c r="J790" t="s">
        <v>40</v>
      </c>
      <c r="K790" t="s">
        <v>11</v>
      </c>
      <c r="L790" t="str">
        <f>T("9791191562286")</f>
        <v>9791191562286</v>
      </c>
    </row>
    <row r="791" spans="1:12">
      <c r="A791" s="2">
        <v>44788.67528935185</v>
      </c>
      <c r="B791">
        <v>295071451</v>
      </c>
      <c r="C791" t="s">
        <v>109</v>
      </c>
      <c r="D791" t="s">
        <v>9</v>
      </c>
      <c r="E791" s="3">
        <v>2500</v>
      </c>
      <c r="F791" s="3">
        <v>2500</v>
      </c>
      <c r="G791" s="3">
        <v>1750</v>
      </c>
      <c r="I791" t="s">
        <v>34</v>
      </c>
      <c r="J791" t="s">
        <v>40</v>
      </c>
      <c r="K791" t="s">
        <v>11</v>
      </c>
      <c r="L791" t="str">
        <f>T("9791191562439")</f>
        <v>9791191562439</v>
      </c>
    </row>
    <row r="792" spans="1:12">
      <c r="A792" s="2">
        <v>44788.748761574076</v>
      </c>
      <c r="B792">
        <v>281625185</v>
      </c>
      <c r="C792" t="s">
        <v>173</v>
      </c>
      <c r="D792" t="s">
        <v>9</v>
      </c>
      <c r="E792">
        <v>0</v>
      </c>
      <c r="F792">
        <v>0</v>
      </c>
      <c r="G792">
        <v>0</v>
      </c>
      <c r="I792" t="s">
        <v>14</v>
      </c>
      <c r="J792" t="s">
        <v>11</v>
      </c>
      <c r="K792" t="s">
        <v>11</v>
      </c>
      <c r="L792" t="str">
        <f>T("9791137601017")</f>
        <v>9791137601017</v>
      </c>
    </row>
    <row r="793" spans="1:12">
      <c r="A793" s="2">
        <v>44788.753946759258</v>
      </c>
      <c r="B793">
        <v>298014671</v>
      </c>
      <c r="C793" t="s">
        <v>231</v>
      </c>
      <c r="D793" t="s">
        <v>9</v>
      </c>
      <c r="E793" s="3">
        <v>2500</v>
      </c>
      <c r="F793" s="3">
        <v>2500</v>
      </c>
      <c r="G793" s="3">
        <v>1750</v>
      </c>
      <c r="I793" t="s">
        <v>100</v>
      </c>
      <c r="J793" t="s">
        <v>40</v>
      </c>
      <c r="K793" t="s">
        <v>11</v>
      </c>
      <c r="L793" t="str">
        <f>T("9791191562835")</f>
        <v>9791191562835</v>
      </c>
    </row>
    <row r="794" spans="1:12">
      <c r="A794" s="2">
        <v>44788.763275462959</v>
      </c>
      <c r="B794">
        <v>284241886</v>
      </c>
      <c r="C794" t="s">
        <v>26</v>
      </c>
      <c r="D794" t="s">
        <v>9</v>
      </c>
      <c r="E794" s="3">
        <v>3600</v>
      </c>
      <c r="F794" s="3">
        <v>3600</v>
      </c>
      <c r="G794" s="3">
        <v>2520</v>
      </c>
      <c r="I794" t="s">
        <v>21</v>
      </c>
      <c r="J794" t="s">
        <v>45</v>
      </c>
      <c r="K794" t="s">
        <v>11</v>
      </c>
      <c r="L794" t="str">
        <f>T("9791166482564")</f>
        <v>9791166482564</v>
      </c>
    </row>
    <row r="795" spans="1:12">
      <c r="A795" s="2">
        <v>44788.768379629626</v>
      </c>
      <c r="B795">
        <v>291088925</v>
      </c>
      <c r="C795" t="s">
        <v>58</v>
      </c>
      <c r="D795" t="s">
        <v>9</v>
      </c>
      <c r="E795" s="3">
        <v>2000</v>
      </c>
      <c r="F795" s="3">
        <v>2000</v>
      </c>
      <c r="G795" s="3">
        <v>1400</v>
      </c>
      <c r="I795" t="s">
        <v>59</v>
      </c>
      <c r="J795" t="s">
        <v>40</v>
      </c>
      <c r="K795" t="s">
        <v>11</v>
      </c>
      <c r="L795" t="str">
        <f>T("9791191562187")</f>
        <v>9791191562187</v>
      </c>
    </row>
    <row r="796" spans="1:12">
      <c r="A796" s="2">
        <v>44788.770682870374</v>
      </c>
      <c r="B796">
        <v>299562124</v>
      </c>
      <c r="C796" t="s">
        <v>369</v>
      </c>
      <c r="D796" t="s">
        <v>9</v>
      </c>
      <c r="E796" s="3">
        <v>2000</v>
      </c>
      <c r="F796" s="3">
        <v>2000</v>
      </c>
      <c r="G796" s="3">
        <v>1400</v>
      </c>
      <c r="I796" t="s">
        <v>370</v>
      </c>
      <c r="J796" t="s">
        <v>40</v>
      </c>
      <c r="K796" t="s">
        <v>11</v>
      </c>
      <c r="L796" t="str">
        <f>T("9791191562873")</f>
        <v>9791191562873</v>
      </c>
    </row>
    <row r="797" spans="1:12">
      <c r="A797" s="2">
        <v>44788.782141203701</v>
      </c>
      <c r="B797">
        <v>292045651</v>
      </c>
      <c r="C797" t="s">
        <v>78</v>
      </c>
      <c r="D797" t="s">
        <v>9</v>
      </c>
      <c r="E797" s="3">
        <v>2000</v>
      </c>
      <c r="F797" s="3">
        <v>2000</v>
      </c>
      <c r="G797" s="3">
        <v>1400</v>
      </c>
      <c r="I797" t="s">
        <v>29</v>
      </c>
      <c r="J797" t="s">
        <v>40</v>
      </c>
      <c r="K797" t="s">
        <v>11</v>
      </c>
      <c r="L797" t="str">
        <f>T("9791191562217")</f>
        <v>9791191562217</v>
      </c>
    </row>
    <row r="798" spans="1:12">
      <c r="A798" s="2">
        <v>44788.782395833332</v>
      </c>
      <c r="B798">
        <v>236154161</v>
      </c>
      <c r="C798" t="s">
        <v>243</v>
      </c>
      <c r="D798" t="s">
        <v>9</v>
      </c>
      <c r="E798" s="3">
        <v>7900</v>
      </c>
      <c r="F798" s="3">
        <v>7900</v>
      </c>
      <c r="G798" s="3">
        <v>5530</v>
      </c>
      <c r="I798" t="s">
        <v>141</v>
      </c>
      <c r="J798" t="s">
        <v>71</v>
      </c>
      <c r="K798" t="s">
        <v>11</v>
      </c>
      <c r="L798" t="str">
        <f>T("9791164372195")</f>
        <v>9791164372195</v>
      </c>
    </row>
    <row r="799" spans="1:12">
      <c r="A799" s="2">
        <v>44788.792164351849</v>
      </c>
      <c r="B799">
        <v>299562124</v>
      </c>
      <c r="C799" t="s">
        <v>369</v>
      </c>
      <c r="D799" t="s">
        <v>9</v>
      </c>
      <c r="E799" s="3">
        <v>2000</v>
      </c>
      <c r="F799" s="3">
        <v>2000</v>
      </c>
      <c r="G799" s="3">
        <v>1400</v>
      </c>
      <c r="I799" t="s">
        <v>370</v>
      </c>
      <c r="J799" t="s">
        <v>40</v>
      </c>
      <c r="K799" t="s">
        <v>11</v>
      </c>
      <c r="L799" t="str">
        <f>T("9791191562873")</f>
        <v>9791191562873</v>
      </c>
    </row>
    <row r="800" spans="1:12">
      <c r="A800" s="2">
        <v>44788.816319444442</v>
      </c>
      <c r="B800">
        <v>292316442</v>
      </c>
      <c r="C800" t="s">
        <v>84</v>
      </c>
      <c r="D800" t="s">
        <v>12</v>
      </c>
      <c r="E800" s="3">
        <v>2000</v>
      </c>
      <c r="F800" s="3">
        <v>2000</v>
      </c>
      <c r="G800" s="3">
        <v>1400</v>
      </c>
      <c r="I800" t="s">
        <v>85</v>
      </c>
      <c r="J800" t="s">
        <v>40</v>
      </c>
      <c r="K800" t="s">
        <v>11</v>
      </c>
      <c r="L800" t="str">
        <f>T("9791191562309")</f>
        <v>9791191562309</v>
      </c>
    </row>
    <row r="801" spans="1:12">
      <c r="A801" s="2">
        <v>44788.832974537036</v>
      </c>
      <c r="B801">
        <v>299562124</v>
      </c>
      <c r="C801" t="s">
        <v>369</v>
      </c>
      <c r="D801" t="s">
        <v>9</v>
      </c>
      <c r="E801" s="3">
        <v>2000</v>
      </c>
      <c r="F801" s="3">
        <v>2000</v>
      </c>
      <c r="G801" s="3">
        <v>1400</v>
      </c>
      <c r="I801" t="s">
        <v>370</v>
      </c>
      <c r="J801" t="s">
        <v>40</v>
      </c>
      <c r="K801" t="s">
        <v>11</v>
      </c>
      <c r="L801" t="str">
        <f>T("9791191562873")</f>
        <v>9791191562873</v>
      </c>
    </row>
    <row r="802" spans="1:12">
      <c r="A802" s="2">
        <v>44788.837789351855</v>
      </c>
      <c r="B802">
        <v>287086652</v>
      </c>
      <c r="C802" t="s">
        <v>33</v>
      </c>
      <c r="D802" t="s">
        <v>9</v>
      </c>
      <c r="E802" s="3">
        <v>2000</v>
      </c>
      <c r="F802" s="3">
        <v>2000</v>
      </c>
      <c r="G802" s="3">
        <v>1400</v>
      </c>
      <c r="I802" t="s">
        <v>30</v>
      </c>
      <c r="J802" t="s">
        <v>40</v>
      </c>
      <c r="K802" t="s">
        <v>11</v>
      </c>
      <c r="L802" t="str">
        <f>T("9791191562033")</f>
        <v>9791191562033</v>
      </c>
    </row>
    <row r="803" spans="1:12">
      <c r="A803" s="2">
        <v>44788.867303240739</v>
      </c>
      <c r="B803">
        <v>297620121</v>
      </c>
      <c r="C803" t="s">
        <v>205</v>
      </c>
      <c r="D803" t="s">
        <v>9</v>
      </c>
      <c r="E803" s="3">
        <v>2000</v>
      </c>
      <c r="F803" s="3">
        <v>2000</v>
      </c>
      <c r="G803" s="3">
        <v>1400</v>
      </c>
      <c r="I803" t="s">
        <v>29</v>
      </c>
      <c r="J803" t="s">
        <v>40</v>
      </c>
      <c r="K803" t="s">
        <v>11</v>
      </c>
      <c r="L803" t="str">
        <f>T("9791191562484")</f>
        <v>9791191562484</v>
      </c>
    </row>
    <row r="804" spans="1:12">
      <c r="A804" s="2">
        <v>44788.879178240742</v>
      </c>
      <c r="B804">
        <v>299562124</v>
      </c>
      <c r="C804" t="s">
        <v>369</v>
      </c>
      <c r="D804" t="s">
        <v>9</v>
      </c>
      <c r="E804" s="3">
        <v>2000</v>
      </c>
      <c r="F804" s="3">
        <v>2000</v>
      </c>
      <c r="G804" s="3">
        <v>1400</v>
      </c>
      <c r="I804" t="s">
        <v>370</v>
      </c>
      <c r="J804" t="s">
        <v>40</v>
      </c>
      <c r="K804" t="s">
        <v>11</v>
      </c>
      <c r="L804" t="str">
        <f>T("9791191562873")</f>
        <v>9791191562873</v>
      </c>
    </row>
    <row r="805" spans="1:12">
      <c r="A805" s="2">
        <v>44788.882395833331</v>
      </c>
      <c r="B805">
        <v>299562124</v>
      </c>
      <c r="C805" t="s">
        <v>369</v>
      </c>
      <c r="D805" t="s">
        <v>9</v>
      </c>
      <c r="E805" s="3">
        <v>2000</v>
      </c>
      <c r="F805" s="3">
        <v>2000</v>
      </c>
      <c r="G805" s="3">
        <v>1400</v>
      </c>
      <c r="I805" t="s">
        <v>370</v>
      </c>
      <c r="J805" t="s">
        <v>40</v>
      </c>
      <c r="K805" t="s">
        <v>11</v>
      </c>
      <c r="L805" t="str">
        <f>T("9791191562873")</f>
        <v>9791191562873</v>
      </c>
    </row>
    <row r="806" spans="1:12">
      <c r="A806" s="2">
        <v>44788.886400462965</v>
      </c>
      <c r="B806">
        <v>299562124</v>
      </c>
      <c r="C806" t="s">
        <v>369</v>
      </c>
      <c r="D806" t="s">
        <v>9</v>
      </c>
      <c r="E806" s="3">
        <v>2000</v>
      </c>
      <c r="F806" s="3">
        <v>2000</v>
      </c>
      <c r="G806" s="3">
        <v>1400</v>
      </c>
      <c r="I806" t="s">
        <v>370</v>
      </c>
      <c r="J806" t="s">
        <v>40</v>
      </c>
      <c r="K806" t="s">
        <v>11</v>
      </c>
      <c r="L806" t="str">
        <f>T("9791191562873")</f>
        <v>9791191562873</v>
      </c>
    </row>
    <row r="807" spans="1:12">
      <c r="A807" s="2">
        <v>44788.892476851855</v>
      </c>
      <c r="B807">
        <v>299562124</v>
      </c>
      <c r="C807" t="s">
        <v>369</v>
      </c>
      <c r="D807" t="s">
        <v>9</v>
      </c>
      <c r="E807" s="3">
        <v>2000</v>
      </c>
      <c r="F807" s="3">
        <v>2000</v>
      </c>
      <c r="G807" s="3">
        <v>1400</v>
      </c>
      <c r="I807" t="s">
        <v>370</v>
      </c>
      <c r="J807" t="s">
        <v>40</v>
      </c>
      <c r="K807" t="s">
        <v>11</v>
      </c>
      <c r="L807" t="str">
        <f>T("9791191562873")</f>
        <v>9791191562873</v>
      </c>
    </row>
    <row r="808" spans="1:12">
      <c r="A808" s="2">
        <v>44788.892476851855</v>
      </c>
      <c r="B808">
        <v>298014671</v>
      </c>
      <c r="C808" t="s">
        <v>231</v>
      </c>
      <c r="D808" t="s">
        <v>9</v>
      </c>
      <c r="E808" s="3">
        <v>2500</v>
      </c>
      <c r="F808" s="3">
        <v>2500</v>
      </c>
      <c r="G808" s="3">
        <v>1750</v>
      </c>
      <c r="I808" t="s">
        <v>100</v>
      </c>
      <c r="J808" t="s">
        <v>40</v>
      </c>
      <c r="K808" t="s">
        <v>11</v>
      </c>
      <c r="L808" t="str">
        <f>T("9791191562835")</f>
        <v>9791191562835</v>
      </c>
    </row>
    <row r="809" spans="1:12">
      <c r="A809" s="2">
        <v>44788.901724537034</v>
      </c>
      <c r="B809">
        <v>288284536</v>
      </c>
      <c r="C809" t="s">
        <v>275</v>
      </c>
      <c r="D809" t="s">
        <v>9</v>
      </c>
      <c r="E809" s="3">
        <v>2000</v>
      </c>
      <c r="F809" s="3">
        <v>2000</v>
      </c>
      <c r="G809" s="3">
        <v>1400</v>
      </c>
      <c r="I809" t="s">
        <v>276</v>
      </c>
      <c r="J809" t="s">
        <v>40</v>
      </c>
      <c r="K809" t="s">
        <v>11</v>
      </c>
      <c r="L809" t="str">
        <f>T("9791191562071")</f>
        <v>9791191562071</v>
      </c>
    </row>
    <row r="810" spans="1:12">
      <c r="A810" s="2">
        <v>44788.922488425924</v>
      </c>
      <c r="B810">
        <v>295462572</v>
      </c>
      <c r="C810" t="s">
        <v>108</v>
      </c>
      <c r="D810" t="s">
        <v>9</v>
      </c>
      <c r="E810" s="3">
        <v>2000</v>
      </c>
      <c r="F810" s="3">
        <v>2000</v>
      </c>
      <c r="G810" s="3">
        <v>1400</v>
      </c>
      <c r="I810" t="s">
        <v>32</v>
      </c>
      <c r="J810" t="s">
        <v>40</v>
      </c>
      <c r="K810" t="s">
        <v>11</v>
      </c>
      <c r="L810" t="str">
        <f>T("9791191562361")</f>
        <v>9791191562361</v>
      </c>
    </row>
    <row r="811" spans="1:12">
      <c r="A811" s="2">
        <v>44788.931377314817</v>
      </c>
      <c r="B811">
        <v>295216088</v>
      </c>
      <c r="C811" t="s">
        <v>114</v>
      </c>
      <c r="D811" t="s">
        <v>9</v>
      </c>
      <c r="E811" s="3">
        <v>2500</v>
      </c>
      <c r="F811" s="3">
        <v>2500</v>
      </c>
      <c r="G811" s="3">
        <v>1750</v>
      </c>
      <c r="I811" t="s">
        <v>113</v>
      </c>
      <c r="J811" t="s">
        <v>40</v>
      </c>
      <c r="K811" t="s">
        <v>11</v>
      </c>
      <c r="L811" t="str">
        <f>T("9791191562453")</f>
        <v>9791191562453</v>
      </c>
    </row>
    <row r="812" spans="1:12">
      <c r="A812" s="2">
        <v>44788.936099537037</v>
      </c>
      <c r="B812">
        <v>299562124</v>
      </c>
      <c r="C812" t="s">
        <v>369</v>
      </c>
      <c r="D812" t="s">
        <v>9</v>
      </c>
      <c r="E812" s="3">
        <v>2000</v>
      </c>
      <c r="F812" s="3">
        <v>2000</v>
      </c>
      <c r="G812" s="3">
        <v>1400</v>
      </c>
      <c r="I812" t="s">
        <v>370</v>
      </c>
      <c r="J812" t="s">
        <v>40</v>
      </c>
      <c r="K812" t="s">
        <v>11</v>
      </c>
      <c r="L812" t="str">
        <f>T("9791191562873")</f>
        <v>9791191562873</v>
      </c>
    </row>
    <row r="813" spans="1:12">
      <c r="A813" s="2">
        <v>44788.952800925923</v>
      </c>
      <c r="B813">
        <v>291805580</v>
      </c>
      <c r="C813" t="s">
        <v>60</v>
      </c>
      <c r="D813" t="s">
        <v>12</v>
      </c>
      <c r="E813" s="3">
        <v>1600</v>
      </c>
      <c r="F813" s="3">
        <v>1600</v>
      </c>
      <c r="G813" s="3">
        <v>1120</v>
      </c>
      <c r="I813" t="s">
        <v>61</v>
      </c>
      <c r="J813" t="s">
        <v>40</v>
      </c>
      <c r="K813" t="s">
        <v>11</v>
      </c>
      <c r="L813" t="str">
        <f>T("9791191562255")</f>
        <v>9791191562255</v>
      </c>
    </row>
    <row r="814" spans="1:12">
      <c r="A814" s="2">
        <v>44788.955266203702</v>
      </c>
      <c r="B814">
        <v>299562124</v>
      </c>
      <c r="C814" t="s">
        <v>369</v>
      </c>
      <c r="D814" t="s">
        <v>9</v>
      </c>
      <c r="E814" s="3">
        <v>2000</v>
      </c>
      <c r="F814" s="3">
        <v>2000</v>
      </c>
      <c r="G814" s="3">
        <v>1400</v>
      </c>
      <c r="I814" t="s">
        <v>370</v>
      </c>
      <c r="J814" t="s">
        <v>40</v>
      </c>
      <c r="K814" t="s">
        <v>11</v>
      </c>
      <c r="L814" t="str">
        <f>T("9791191562873")</f>
        <v>9791191562873</v>
      </c>
    </row>
    <row r="815" spans="1:12">
      <c r="A815" s="2">
        <v>44788.964247685188</v>
      </c>
      <c r="B815">
        <v>290197934</v>
      </c>
      <c r="C815" t="s">
        <v>48</v>
      </c>
      <c r="D815" t="s">
        <v>9</v>
      </c>
      <c r="E815" s="3">
        <v>2000</v>
      </c>
      <c r="F815" s="3">
        <v>2000</v>
      </c>
      <c r="G815" s="3">
        <v>1400</v>
      </c>
      <c r="I815" t="s">
        <v>49</v>
      </c>
      <c r="J815" t="s">
        <v>40</v>
      </c>
      <c r="K815" t="s">
        <v>11</v>
      </c>
      <c r="L815" t="str">
        <f>T("9791191562163")</f>
        <v>9791191562163</v>
      </c>
    </row>
    <row r="816" spans="1:12">
      <c r="A816" s="2">
        <v>44788.964398148149</v>
      </c>
      <c r="B816">
        <v>292316442</v>
      </c>
      <c r="C816" t="s">
        <v>84</v>
      </c>
      <c r="D816" t="s">
        <v>9</v>
      </c>
      <c r="E816" s="3">
        <v>2500</v>
      </c>
      <c r="F816" s="3">
        <v>2500</v>
      </c>
      <c r="G816" s="3">
        <v>1750</v>
      </c>
      <c r="I816" t="s">
        <v>85</v>
      </c>
      <c r="J816" t="s">
        <v>40</v>
      </c>
      <c r="K816" t="s">
        <v>11</v>
      </c>
      <c r="L816" t="str">
        <f>T("9791191562309")</f>
        <v>9791191562309</v>
      </c>
    </row>
    <row r="817" spans="1:12">
      <c r="A817" s="2">
        <v>44788.966817129629</v>
      </c>
      <c r="B817">
        <v>287834730</v>
      </c>
      <c r="C817" t="s">
        <v>37</v>
      </c>
      <c r="D817" t="s">
        <v>9</v>
      </c>
      <c r="E817" s="3">
        <v>2000</v>
      </c>
      <c r="F817" s="3">
        <v>2000</v>
      </c>
      <c r="G817" s="3">
        <v>1400</v>
      </c>
      <c r="I817" t="s">
        <v>32</v>
      </c>
      <c r="J817" t="s">
        <v>40</v>
      </c>
      <c r="K817" t="s">
        <v>11</v>
      </c>
      <c r="L817" t="str">
        <f>T("9791191562019")</f>
        <v>9791191562019</v>
      </c>
    </row>
    <row r="818" spans="1:12">
      <c r="A818" s="2">
        <v>44788.988182870373</v>
      </c>
      <c r="B818">
        <v>292179681</v>
      </c>
      <c r="C818" t="s">
        <v>81</v>
      </c>
      <c r="D818" t="s">
        <v>12</v>
      </c>
      <c r="E818" s="3">
        <v>2000</v>
      </c>
      <c r="F818" s="3">
        <v>2000</v>
      </c>
      <c r="G818" s="3">
        <v>1400</v>
      </c>
      <c r="I818" t="s">
        <v>82</v>
      </c>
      <c r="J818" t="s">
        <v>40</v>
      </c>
      <c r="K818" t="s">
        <v>11</v>
      </c>
      <c r="L818" t="str">
        <f>T("9791191562224")</f>
        <v>9791191562224</v>
      </c>
    </row>
    <row r="819" spans="1:12">
      <c r="A819" s="2">
        <v>44788.991562499999</v>
      </c>
      <c r="B819">
        <v>299562124</v>
      </c>
      <c r="C819" t="s">
        <v>369</v>
      </c>
      <c r="D819" t="s">
        <v>9</v>
      </c>
      <c r="E819" s="3">
        <v>2000</v>
      </c>
      <c r="F819" s="3">
        <v>2000</v>
      </c>
      <c r="G819" s="3">
        <v>1400</v>
      </c>
      <c r="I819" t="s">
        <v>370</v>
      </c>
      <c r="J819" t="s">
        <v>40</v>
      </c>
      <c r="K819" t="s">
        <v>11</v>
      </c>
      <c r="L819" t="str">
        <f>T("9791191562873")</f>
        <v>9791191562873</v>
      </c>
    </row>
    <row r="820" spans="1:12">
      <c r="A820" s="2">
        <v>44789.01158564815</v>
      </c>
      <c r="B820">
        <v>299562124</v>
      </c>
      <c r="C820" t="s">
        <v>369</v>
      </c>
      <c r="D820" t="s">
        <v>9</v>
      </c>
      <c r="E820" s="3">
        <v>2000</v>
      </c>
      <c r="F820" s="3">
        <v>2000</v>
      </c>
      <c r="G820" s="3">
        <v>1400</v>
      </c>
      <c r="I820" t="s">
        <v>370</v>
      </c>
      <c r="J820" t="s">
        <v>40</v>
      </c>
      <c r="K820" t="s">
        <v>11</v>
      </c>
      <c r="L820" t="str">
        <f>T("9791191562873")</f>
        <v>9791191562873</v>
      </c>
    </row>
    <row r="821" spans="1:12">
      <c r="A821" s="2">
        <v>44789.029351851852</v>
      </c>
      <c r="B821">
        <v>297620121</v>
      </c>
      <c r="C821" t="s">
        <v>205</v>
      </c>
      <c r="D821" t="s">
        <v>9</v>
      </c>
      <c r="E821" s="3">
        <v>2000</v>
      </c>
      <c r="F821" s="3">
        <v>2000</v>
      </c>
      <c r="G821" s="3">
        <v>1400</v>
      </c>
      <c r="I821" t="s">
        <v>29</v>
      </c>
      <c r="J821" t="s">
        <v>40</v>
      </c>
      <c r="K821" t="s">
        <v>11</v>
      </c>
      <c r="L821" t="str">
        <f>T("9791191562484")</f>
        <v>9791191562484</v>
      </c>
    </row>
    <row r="822" spans="1:12">
      <c r="A822" s="2">
        <v>44789.04755787037</v>
      </c>
      <c r="B822">
        <v>299619316</v>
      </c>
      <c r="C822" t="s">
        <v>391</v>
      </c>
      <c r="D822" t="s">
        <v>9</v>
      </c>
      <c r="E822" s="3">
        <v>8200</v>
      </c>
      <c r="F822" s="3">
        <v>8200</v>
      </c>
      <c r="G822" s="3">
        <v>5740</v>
      </c>
      <c r="I822" t="s">
        <v>385</v>
      </c>
      <c r="J822" t="s">
        <v>271</v>
      </c>
      <c r="K822" t="s">
        <v>11</v>
      </c>
      <c r="L822" t="str">
        <f>T("9791137604582")</f>
        <v>9791137604582</v>
      </c>
    </row>
    <row r="823" spans="1:12">
      <c r="A823" s="2">
        <v>44789.106585648151</v>
      </c>
      <c r="B823">
        <v>292316442</v>
      </c>
      <c r="C823" t="s">
        <v>84</v>
      </c>
      <c r="D823" t="s">
        <v>12</v>
      </c>
      <c r="E823" s="3">
        <v>2000</v>
      </c>
      <c r="F823" s="3">
        <v>2000</v>
      </c>
      <c r="G823" s="3">
        <v>1400</v>
      </c>
      <c r="I823" t="s">
        <v>85</v>
      </c>
      <c r="J823" t="s">
        <v>40</v>
      </c>
      <c r="K823" t="s">
        <v>11</v>
      </c>
      <c r="L823" t="str">
        <f>T("9791191562309")</f>
        <v>9791191562309</v>
      </c>
    </row>
    <row r="824" spans="1:12">
      <c r="A824" s="2">
        <v>44789.106886574074</v>
      </c>
      <c r="B824">
        <v>292316442</v>
      </c>
      <c r="C824" t="s">
        <v>84</v>
      </c>
      <c r="D824" t="s">
        <v>12</v>
      </c>
      <c r="E824" s="3">
        <v>-2000</v>
      </c>
      <c r="F824" s="3">
        <v>-2000</v>
      </c>
      <c r="G824" s="3">
        <v>-1400</v>
      </c>
      <c r="H824" s="2">
        <v>44789.106585648151</v>
      </c>
      <c r="I824" t="s">
        <v>85</v>
      </c>
      <c r="J824" t="s">
        <v>40</v>
      </c>
      <c r="K824" t="s">
        <v>11</v>
      </c>
      <c r="L824" t="str">
        <f>T("9791191562309")</f>
        <v>9791191562309</v>
      </c>
    </row>
    <row r="825" spans="1:12">
      <c r="A825" s="2">
        <v>44789.107604166667</v>
      </c>
      <c r="B825">
        <v>292316442</v>
      </c>
      <c r="C825" t="s">
        <v>84</v>
      </c>
      <c r="D825" t="s">
        <v>12</v>
      </c>
      <c r="E825" s="3">
        <v>2000</v>
      </c>
      <c r="F825" s="3">
        <v>2000</v>
      </c>
      <c r="G825" s="3">
        <v>1400</v>
      </c>
      <c r="I825" t="s">
        <v>85</v>
      </c>
      <c r="J825" t="s">
        <v>40</v>
      </c>
      <c r="K825" t="s">
        <v>11</v>
      </c>
      <c r="L825" t="str">
        <f>T("9791191562309")</f>
        <v>9791191562309</v>
      </c>
    </row>
    <row r="826" spans="1:12">
      <c r="A826" s="2">
        <v>44789.118368055555</v>
      </c>
      <c r="B826">
        <v>294228958</v>
      </c>
      <c r="C826" t="s">
        <v>121</v>
      </c>
      <c r="D826" t="s">
        <v>9</v>
      </c>
      <c r="E826" s="3">
        <v>3200</v>
      </c>
      <c r="F826" s="3">
        <v>3200</v>
      </c>
      <c r="G826" s="3">
        <v>2240</v>
      </c>
      <c r="I826" t="s">
        <v>120</v>
      </c>
      <c r="J826" t="s">
        <v>71</v>
      </c>
      <c r="K826" t="s">
        <v>11</v>
      </c>
      <c r="L826" t="str">
        <f>T("9791164375134")</f>
        <v>9791164375134</v>
      </c>
    </row>
    <row r="827" spans="1:12">
      <c r="A827" s="2">
        <v>44789.126608796294</v>
      </c>
      <c r="B827">
        <v>248962264</v>
      </c>
      <c r="C827" t="s">
        <v>400</v>
      </c>
      <c r="D827" t="s">
        <v>9</v>
      </c>
      <c r="E827" s="3">
        <v>3200</v>
      </c>
      <c r="F827" s="3">
        <v>3200</v>
      </c>
      <c r="G827" s="3">
        <v>2240</v>
      </c>
      <c r="I827" t="s">
        <v>14</v>
      </c>
      <c r="J827" t="s">
        <v>11</v>
      </c>
      <c r="K827" t="s">
        <v>11</v>
      </c>
      <c r="L827" t="str">
        <f>T("9791166066818")</f>
        <v>9791166066818</v>
      </c>
    </row>
    <row r="828" spans="1:12">
      <c r="A828" s="2">
        <v>44789.126608796294</v>
      </c>
      <c r="B828">
        <v>248962265</v>
      </c>
      <c r="C828" t="s">
        <v>401</v>
      </c>
      <c r="D828" t="s">
        <v>9</v>
      </c>
      <c r="E828" s="3">
        <v>3200</v>
      </c>
      <c r="F828" s="3">
        <v>3200</v>
      </c>
      <c r="G828" s="3">
        <v>2240</v>
      </c>
      <c r="I828" t="s">
        <v>14</v>
      </c>
      <c r="J828" t="s">
        <v>11</v>
      </c>
      <c r="K828" t="s">
        <v>11</v>
      </c>
      <c r="L828" t="str">
        <f>T("9791166066825")</f>
        <v>9791166066825</v>
      </c>
    </row>
    <row r="829" spans="1:12">
      <c r="A829" s="2">
        <v>44789.126608796294</v>
      </c>
      <c r="B829">
        <v>248962266</v>
      </c>
      <c r="C829" t="s">
        <v>402</v>
      </c>
      <c r="D829" t="s">
        <v>9</v>
      </c>
      <c r="E829" s="3">
        <v>3200</v>
      </c>
      <c r="F829" s="3">
        <v>3200</v>
      </c>
      <c r="G829" s="3">
        <v>2240</v>
      </c>
      <c r="I829" t="s">
        <v>14</v>
      </c>
      <c r="J829" t="s">
        <v>11</v>
      </c>
      <c r="K829" t="s">
        <v>11</v>
      </c>
      <c r="L829" t="str">
        <f>T("9791166066832")</f>
        <v>9791166066832</v>
      </c>
    </row>
    <row r="830" spans="1:12">
      <c r="A830" s="2">
        <v>44789.126608796294</v>
      </c>
      <c r="B830">
        <v>248962267</v>
      </c>
      <c r="C830" t="s">
        <v>403</v>
      </c>
      <c r="D830" t="s">
        <v>9</v>
      </c>
      <c r="E830" s="3">
        <v>3200</v>
      </c>
      <c r="F830" s="3">
        <v>3200</v>
      </c>
      <c r="G830" s="3">
        <v>2240</v>
      </c>
      <c r="I830" t="s">
        <v>14</v>
      </c>
      <c r="J830" t="s">
        <v>11</v>
      </c>
      <c r="K830" t="s">
        <v>11</v>
      </c>
      <c r="L830" t="str">
        <f>T("9791166066801")</f>
        <v>9791166066801</v>
      </c>
    </row>
    <row r="831" spans="1:12">
      <c r="A831" s="2">
        <v>44789.126608796294</v>
      </c>
      <c r="B831">
        <v>248962268</v>
      </c>
      <c r="C831" t="s">
        <v>404</v>
      </c>
      <c r="D831" t="s">
        <v>9</v>
      </c>
      <c r="E831" s="3">
        <v>3200</v>
      </c>
      <c r="F831" s="3">
        <v>3200</v>
      </c>
      <c r="G831" s="3">
        <v>2240</v>
      </c>
      <c r="I831" t="s">
        <v>14</v>
      </c>
      <c r="J831" t="s">
        <v>11</v>
      </c>
      <c r="K831" t="s">
        <v>11</v>
      </c>
      <c r="L831" t="str">
        <f>T("9791166066849")</f>
        <v>9791166066849</v>
      </c>
    </row>
    <row r="832" spans="1:12">
      <c r="A832" s="2">
        <v>44789.126608796294</v>
      </c>
      <c r="B832">
        <v>248962270</v>
      </c>
      <c r="C832" t="s">
        <v>405</v>
      </c>
      <c r="D832" t="s">
        <v>9</v>
      </c>
      <c r="E832" s="3">
        <v>3200</v>
      </c>
      <c r="F832" s="3">
        <v>3200</v>
      </c>
      <c r="G832" s="3">
        <v>2240</v>
      </c>
      <c r="I832" t="s">
        <v>14</v>
      </c>
      <c r="J832" t="s">
        <v>11</v>
      </c>
      <c r="K832" t="s">
        <v>11</v>
      </c>
      <c r="L832" t="str">
        <f>T("9791166066856")</f>
        <v>9791166066856</v>
      </c>
    </row>
    <row r="833" spans="1:12">
      <c r="A833" s="2">
        <v>44789.15315972222</v>
      </c>
      <c r="B833">
        <v>292815408</v>
      </c>
      <c r="C833" t="s">
        <v>219</v>
      </c>
      <c r="D833" t="s">
        <v>9</v>
      </c>
      <c r="E833" s="3">
        <v>2000</v>
      </c>
      <c r="F833" s="3">
        <v>2000</v>
      </c>
      <c r="G833" s="3">
        <v>1400</v>
      </c>
      <c r="I833" t="s">
        <v>220</v>
      </c>
      <c r="J833" t="s">
        <v>40</v>
      </c>
      <c r="K833" t="s">
        <v>11</v>
      </c>
      <c r="L833" t="str">
        <f>T("9791191562286")</f>
        <v>9791191562286</v>
      </c>
    </row>
    <row r="834" spans="1:12">
      <c r="A834" s="2">
        <v>44789.15315972222</v>
      </c>
      <c r="B834">
        <v>295836446</v>
      </c>
      <c r="C834" t="s">
        <v>129</v>
      </c>
      <c r="D834" t="s">
        <v>9</v>
      </c>
      <c r="E834" s="3">
        <v>2000</v>
      </c>
      <c r="F834" s="3">
        <v>2000</v>
      </c>
      <c r="G834" s="3">
        <v>1400</v>
      </c>
      <c r="I834" t="s">
        <v>59</v>
      </c>
      <c r="J834" t="s">
        <v>40</v>
      </c>
      <c r="K834" t="s">
        <v>11</v>
      </c>
      <c r="L834" t="str">
        <f>T("9791191562798")</f>
        <v>9791191562798</v>
      </c>
    </row>
    <row r="835" spans="1:12">
      <c r="A835" s="2">
        <v>44789.175381944442</v>
      </c>
      <c r="B835">
        <v>299562124</v>
      </c>
      <c r="C835" t="s">
        <v>369</v>
      </c>
      <c r="D835" t="s">
        <v>9</v>
      </c>
      <c r="E835" s="3">
        <v>2000</v>
      </c>
      <c r="F835" s="3">
        <v>2000</v>
      </c>
      <c r="G835" s="3">
        <v>1400</v>
      </c>
      <c r="I835" t="s">
        <v>370</v>
      </c>
      <c r="J835" t="s">
        <v>40</v>
      </c>
      <c r="K835" t="s">
        <v>11</v>
      </c>
      <c r="L835" t="str">
        <f>T("9791191562873")</f>
        <v>9791191562873</v>
      </c>
    </row>
    <row r="836" spans="1:12">
      <c r="A836" s="2">
        <v>44789.178391203706</v>
      </c>
      <c r="B836">
        <v>299562124</v>
      </c>
      <c r="C836" t="s">
        <v>369</v>
      </c>
      <c r="D836" t="s">
        <v>9</v>
      </c>
      <c r="E836" s="3">
        <v>2000</v>
      </c>
      <c r="F836" s="3">
        <v>2000</v>
      </c>
      <c r="G836" s="3">
        <v>1400</v>
      </c>
      <c r="I836" t="s">
        <v>370</v>
      </c>
      <c r="J836" t="s">
        <v>40</v>
      </c>
      <c r="K836" t="s">
        <v>11</v>
      </c>
      <c r="L836" t="str">
        <f>T("9791191562873")</f>
        <v>9791191562873</v>
      </c>
    </row>
    <row r="837" spans="1:12">
      <c r="A837" s="2">
        <v>44789.189791666664</v>
      </c>
      <c r="B837">
        <v>292815408</v>
      </c>
      <c r="C837" t="s">
        <v>219</v>
      </c>
      <c r="D837" t="s">
        <v>12</v>
      </c>
      <c r="E837" s="3">
        <v>1600</v>
      </c>
      <c r="F837" s="3">
        <v>1600</v>
      </c>
      <c r="G837" s="3">
        <v>1120</v>
      </c>
      <c r="I837" t="s">
        <v>220</v>
      </c>
      <c r="J837" t="s">
        <v>40</v>
      </c>
      <c r="K837" t="s">
        <v>11</v>
      </c>
      <c r="L837" t="str">
        <f>T("9791191562286")</f>
        <v>9791191562286</v>
      </c>
    </row>
    <row r="838" spans="1:12">
      <c r="A838" s="2">
        <v>44789.207858796297</v>
      </c>
      <c r="B838">
        <v>299562124</v>
      </c>
      <c r="C838" t="s">
        <v>369</v>
      </c>
      <c r="D838" t="s">
        <v>9</v>
      </c>
      <c r="E838" s="3">
        <v>2000</v>
      </c>
      <c r="F838" s="3">
        <v>2000</v>
      </c>
      <c r="G838" s="3">
        <v>1400</v>
      </c>
      <c r="I838" t="s">
        <v>370</v>
      </c>
      <c r="J838" t="s">
        <v>40</v>
      </c>
      <c r="K838" t="s">
        <v>11</v>
      </c>
      <c r="L838" t="str">
        <f>T("9791191562873")</f>
        <v>9791191562873</v>
      </c>
    </row>
    <row r="839" spans="1:12">
      <c r="A839" s="2">
        <v>44789.292430555557</v>
      </c>
      <c r="B839">
        <v>299562124</v>
      </c>
      <c r="C839" t="s">
        <v>369</v>
      </c>
      <c r="D839" t="s">
        <v>9</v>
      </c>
      <c r="E839" s="3">
        <v>2000</v>
      </c>
      <c r="F839" s="3">
        <v>2000</v>
      </c>
      <c r="G839" s="3">
        <v>1400</v>
      </c>
      <c r="I839" t="s">
        <v>370</v>
      </c>
      <c r="J839" t="s">
        <v>40</v>
      </c>
      <c r="K839" t="s">
        <v>11</v>
      </c>
      <c r="L839" t="str">
        <f>T("9791191562873")</f>
        <v>9791191562873</v>
      </c>
    </row>
    <row r="840" spans="1:12">
      <c r="A840" s="2">
        <v>44789.394756944443</v>
      </c>
      <c r="B840">
        <v>249311773</v>
      </c>
      <c r="C840" t="s">
        <v>303</v>
      </c>
      <c r="D840" t="s">
        <v>9</v>
      </c>
      <c r="E840">
        <v>0</v>
      </c>
      <c r="F840">
        <v>0</v>
      </c>
      <c r="G840">
        <v>0</v>
      </c>
      <c r="I840" t="s">
        <v>15</v>
      </c>
      <c r="J840" t="s">
        <v>11</v>
      </c>
      <c r="K840" t="s">
        <v>11</v>
      </c>
      <c r="L840" t="str">
        <f>T("9791159282614")</f>
        <v>9791159282614</v>
      </c>
    </row>
    <row r="841" spans="1:12">
      <c r="A841" s="2">
        <v>44789.445</v>
      </c>
      <c r="B841">
        <v>291088925</v>
      </c>
      <c r="C841" t="s">
        <v>58</v>
      </c>
      <c r="D841" t="s">
        <v>9</v>
      </c>
      <c r="E841" s="3">
        <v>2000</v>
      </c>
      <c r="F841" s="3">
        <v>2000</v>
      </c>
      <c r="G841" s="3">
        <v>1400</v>
      </c>
      <c r="I841" t="s">
        <v>59</v>
      </c>
      <c r="J841" t="s">
        <v>40</v>
      </c>
      <c r="K841" t="s">
        <v>11</v>
      </c>
      <c r="L841" t="str">
        <f>T("9791191562187")</f>
        <v>9791191562187</v>
      </c>
    </row>
    <row r="842" spans="1:12">
      <c r="A842" s="2">
        <v>44789.447314814817</v>
      </c>
      <c r="B842">
        <v>292815408</v>
      </c>
      <c r="C842" t="s">
        <v>219</v>
      </c>
      <c r="D842" t="s">
        <v>12</v>
      </c>
      <c r="E842" s="3">
        <v>1600</v>
      </c>
      <c r="F842" s="3">
        <v>1600</v>
      </c>
      <c r="G842" s="3">
        <v>1120</v>
      </c>
      <c r="I842" t="s">
        <v>220</v>
      </c>
      <c r="J842" t="s">
        <v>40</v>
      </c>
      <c r="K842" t="s">
        <v>11</v>
      </c>
      <c r="L842" t="str">
        <f>T("9791191562286")</f>
        <v>9791191562286</v>
      </c>
    </row>
    <row r="843" spans="1:12">
      <c r="A843" s="2">
        <v>44789.453958333332</v>
      </c>
      <c r="B843">
        <v>249311760</v>
      </c>
      <c r="C843" t="s">
        <v>310</v>
      </c>
      <c r="D843" t="s">
        <v>9</v>
      </c>
      <c r="E843" s="3">
        <v>3200</v>
      </c>
      <c r="F843" s="3">
        <v>3200</v>
      </c>
      <c r="G843" s="3">
        <v>2240</v>
      </c>
      <c r="I843" t="s">
        <v>15</v>
      </c>
      <c r="J843" t="s">
        <v>11</v>
      </c>
      <c r="K843" t="s">
        <v>11</v>
      </c>
      <c r="L843" t="str">
        <f>T("9791159282638")</f>
        <v>9791159282638</v>
      </c>
    </row>
    <row r="844" spans="1:12">
      <c r="A844" s="2">
        <v>44789.453958333332</v>
      </c>
      <c r="B844">
        <v>249311768</v>
      </c>
      <c r="C844" t="s">
        <v>305</v>
      </c>
      <c r="D844" t="s">
        <v>9</v>
      </c>
      <c r="E844" s="3">
        <v>3200</v>
      </c>
      <c r="F844" s="3">
        <v>3200</v>
      </c>
      <c r="G844" s="3">
        <v>2240</v>
      </c>
      <c r="I844" t="s">
        <v>15</v>
      </c>
      <c r="J844" t="s">
        <v>11</v>
      </c>
      <c r="K844" t="s">
        <v>11</v>
      </c>
      <c r="L844" t="str">
        <f>T("9791159282621")</f>
        <v>9791159282621</v>
      </c>
    </row>
    <row r="845" spans="1:12">
      <c r="A845" s="2">
        <v>44789.488171296296</v>
      </c>
      <c r="B845">
        <v>299562124</v>
      </c>
      <c r="C845" t="s">
        <v>369</v>
      </c>
      <c r="D845" t="s">
        <v>9</v>
      </c>
      <c r="E845" s="3">
        <v>2000</v>
      </c>
      <c r="F845" s="3">
        <v>2000</v>
      </c>
      <c r="G845" s="3">
        <v>1400</v>
      </c>
      <c r="I845" t="s">
        <v>370</v>
      </c>
      <c r="J845" t="s">
        <v>40</v>
      </c>
      <c r="K845" t="s">
        <v>11</v>
      </c>
      <c r="L845" t="str">
        <f>T("9791191562873")</f>
        <v>9791191562873</v>
      </c>
    </row>
    <row r="846" spans="1:12">
      <c r="A846" s="2">
        <v>44789.488726851851</v>
      </c>
      <c r="B846">
        <v>299562124</v>
      </c>
      <c r="C846" t="s">
        <v>369</v>
      </c>
      <c r="D846" t="s">
        <v>9</v>
      </c>
      <c r="E846" s="3">
        <v>2000</v>
      </c>
      <c r="F846" s="3">
        <v>2000</v>
      </c>
      <c r="G846" s="3">
        <v>1400</v>
      </c>
      <c r="I846" t="s">
        <v>370</v>
      </c>
      <c r="J846" t="s">
        <v>40</v>
      </c>
      <c r="K846" t="s">
        <v>11</v>
      </c>
      <c r="L846" t="str">
        <f>T("9791191562873")</f>
        <v>9791191562873</v>
      </c>
    </row>
    <row r="847" spans="1:12">
      <c r="A847" s="2">
        <v>44789.537939814814</v>
      </c>
      <c r="B847">
        <v>293180467</v>
      </c>
      <c r="C847" t="s">
        <v>104</v>
      </c>
      <c r="D847" t="s">
        <v>9</v>
      </c>
      <c r="E847" s="3">
        <v>2000</v>
      </c>
      <c r="F847" s="3">
        <v>2000</v>
      </c>
      <c r="G847" s="3">
        <v>1400</v>
      </c>
      <c r="I847" t="s">
        <v>31</v>
      </c>
      <c r="J847" t="s">
        <v>40</v>
      </c>
      <c r="K847" t="s">
        <v>11</v>
      </c>
      <c r="L847" t="str">
        <f>T("9791191562293")</f>
        <v>9791191562293</v>
      </c>
    </row>
    <row r="848" spans="1:12">
      <c r="A848" s="2">
        <v>44789.551539351851</v>
      </c>
      <c r="B848">
        <v>299619316</v>
      </c>
      <c r="C848" t="s">
        <v>391</v>
      </c>
      <c r="D848" t="s">
        <v>9</v>
      </c>
      <c r="E848" s="3">
        <v>8200</v>
      </c>
      <c r="F848" s="3">
        <v>8200</v>
      </c>
      <c r="G848" s="3">
        <v>5740</v>
      </c>
      <c r="I848" t="s">
        <v>385</v>
      </c>
      <c r="J848" t="s">
        <v>271</v>
      </c>
      <c r="K848" t="s">
        <v>11</v>
      </c>
      <c r="L848" t="str">
        <f>T("9791137604582")</f>
        <v>9791137604582</v>
      </c>
    </row>
    <row r="849" spans="1:12">
      <c r="A849" s="2">
        <v>44789.617835648147</v>
      </c>
      <c r="B849">
        <v>299562124</v>
      </c>
      <c r="C849" t="s">
        <v>369</v>
      </c>
      <c r="D849" t="s">
        <v>9</v>
      </c>
      <c r="E849" s="3">
        <v>2000</v>
      </c>
      <c r="F849" s="3">
        <v>2000</v>
      </c>
      <c r="G849" s="3">
        <v>1400</v>
      </c>
      <c r="I849" t="s">
        <v>370</v>
      </c>
      <c r="J849" t="s">
        <v>40</v>
      </c>
      <c r="K849" t="s">
        <v>11</v>
      </c>
      <c r="L849" t="str">
        <f>T("9791191562873")</f>
        <v>9791191562873</v>
      </c>
    </row>
    <row r="850" spans="1:12">
      <c r="A850" s="2">
        <v>44789.618530092594</v>
      </c>
      <c r="B850">
        <v>287834730</v>
      </c>
      <c r="C850" t="s">
        <v>37</v>
      </c>
      <c r="D850" t="s">
        <v>9</v>
      </c>
      <c r="E850" s="3">
        <v>2000</v>
      </c>
      <c r="F850" s="3">
        <v>2000</v>
      </c>
      <c r="G850" s="3">
        <v>1400</v>
      </c>
      <c r="I850" t="s">
        <v>32</v>
      </c>
      <c r="J850" t="s">
        <v>40</v>
      </c>
      <c r="K850" t="s">
        <v>11</v>
      </c>
      <c r="L850" t="str">
        <f>T("9791191562019")</f>
        <v>9791191562019</v>
      </c>
    </row>
    <row r="851" spans="1:12">
      <c r="A851" s="2">
        <v>44789.618530092594</v>
      </c>
      <c r="B851">
        <v>286896672</v>
      </c>
      <c r="C851" t="s">
        <v>175</v>
      </c>
      <c r="D851" t="s">
        <v>9</v>
      </c>
      <c r="E851" s="3">
        <v>2500</v>
      </c>
      <c r="F851" s="3">
        <v>2500</v>
      </c>
      <c r="G851" s="3">
        <v>1750</v>
      </c>
      <c r="I851" t="s">
        <v>176</v>
      </c>
      <c r="J851" t="s">
        <v>40</v>
      </c>
      <c r="K851" t="s">
        <v>11</v>
      </c>
      <c r="L851" t="str">
        <f>T("9791191562002")</f>
        <v>9791191562002</v>
      </c>
    </row>
    <row r="852" spans="1:12">
      <c r="A852" s="2">
        <v>44789.662673611114</v>
      </c>
      <c r="B852">
        <v>292045651</v>
      </c>
      <c r="C852" t="s">
        <v>78</v>
      </c>
      <c r="D852" t="s">
        <v>12</v>
      </c>
      <c r="E852" s="3">
        <v>1600</v>
      </c>
      <c r="F852" s="3">
        <v>1600</v>
      </c>
      <c r="G852" s="3">
        <v>1120</v>
      </c>
      <c r="I852" t="s">
        <v>29</v>
      </c>
      <c r="J852" t="s">
        <v>40</v>
      </c>
      <c r="K852" t="s">
        <v>11</v>
      </c>
      <c r="L852" t="str">
        <f>T("9791191562217")</f>
        <v>9791191562217</v>
      </c>
    </row>
    <row r="853" spans="1:12">
      <c r="A853" s="2">
        <v>44789.666597222225</v>
      </c>
      <c r="B853">
        <v>290829048</v>
      </c>
      <c r="C853" t="s">
        <v>198</v>
      </c>
      <c r="D853" t="s">
        <v>9</v>
      </c>
      <c r="E853">
        <v>0</v>
      </c>
      <c r="F853">
        <v>0</v>
      </c>
      <c r="G853">
        <v>0</v>
      </c>
      <c r="I853" t="s">
        <v>20</v>
      </c>
      <c r="J853" t="s">
        <v>17</v>
      </c>
      <c r="K853" t="s">
        <v>11</v>
      </c>
      <c r="L853" t="str">
        <f>T("9791164480401")</f>
        <v>9791164480401</v>
      </c>
    </row>
    <row r="854" spans="1:12">
      <c r="A854" s="2">
        <v>44789.698773148149</v>
      </c>
      <c r="B854">
        <v>292045651</v>
      </c>
      <c r="C854" t="s">
        <v>78</v>
      </c>
      <c r="D854" t="s">
        <v>12</v>
      </c>
      <c r="E854" s="3">
        <v>1600</v>
      </c>
      <c r="F854" s="3">
        <v>1600</v>
      </c>
      <c r="G854" s="3">
        <v>1120</v>
      </c>
      <c r="I854" t="s">
        <v>29</v>
      </c>
      <c r="J854" t="s">
        <v>40</v>
      </c>
      <c r="K854" t="s">
        <v>11</v>
      </c>
      <c r="L854" t="str">
        <f>T("9791191562217")</f>
        <v>9791191562217</v>
      </c>
    </row>
    <row r="855" spans="1:12">
      <c r="A855" s="2">
        <v>44789.698773148149</v>
      </c>
      <c r="B855">
        <v>291805580</v>
      </c>
      <c r="C855" t="s">
        <v>60</v>
      </c>
      <c r="D855" t="s">
        <v>12</v>
      </c>
      <c r="E855" s="3">
        <v>1600</v>
      </c>
      <c r="F855" s="3">
        <v>1600</v>
      </c>
      <c r="G855" s="3">
        <v>1120</v>
      </c>
      <c r="I855" t="s">
        <v>61</v>
      </c>
      <c r="J855" t="s">
        <v>40</v>
      </c>
      <c r="K855" t="s">
        <v>11</v>
      </c>
      <c r="L855" t="str">
        <f>T("9791191562255")</f>
        <v>9791191562255</v>
      </c>
    </row>
    <row r="856" spans="1:12">
      <c r="A856" s="2">
        <v>44789.698773148149</v>
      </c>
      <c r="B856">
        <v>293771607</v>
      </c>
      <c r="C856" t="s">
        <v>292</v>
      </c>
      <c r="D856" t="s">
        <v>12</v>
      </c>
      <c r="E856" s="3">
        <v>2000</v>
      </c>
      <c r="F856" s="3">
        <v>2000</v>
      </c>
      <c r="G856" s="3">
        <v>1400</v>
      </c>
      <c r="I856" t="s">
        <v>293</v>
      </c>
      <c r="J856" t="s">
        <v>40</v>
      </c>
      <c r="K856" t="s">
        <v>11</v>
      </c>
      <c r="L856" t="str">
        <f>T("9791191562323")</f>
        <v>9791191562323</v>
      </c>
    </row>
    <row r="857" spans="1:12">
      <c r="A857" s="2">
        <v>44789.698773148149</v>
      </c>
      <c r="B857">
        <v>292815408</v>
      </c>
      <c r="C857" t="s">
        <v>219</v>
      </c>
      <c r="D857" t="s">
        <v>12</v>
      </c>
      <c r="E857" s="3">
        <v>1600</v>
      </c>
      <c r="F857" s="3">
        <v>1600</v>
      </c>
      <c r="G857" s="3">
        <v>1120</v>
      </c>
      <c r="I857" t="s">
        <v>220</v>
      </c>
      <c r="J857" t="s">
        <v>40</v>
      </c>
      <c r="K857" t="s">
        <v>11</v>
      </c>
      <c r="L857" t="str">
        <f>T("9791191562286")</f>
        <v>9791191562286</v>
      </c>
    </row>
    <row r="858" spans="1:12">
      <c r="A858" s="2">
        <v>44789.698773148149</v>
      </c>
      <c r="B858">
        <v>292179681</v>
      </c>
      <c r="C858" t="s">
        <v>81</v>
      </c>
      <c r="D858" t="s">
        <v>12</v>
      </c>
      <c r="E858" s="3">
        <v>2000</v>
      </c>
      <c r="F858" s="3">
        <v>2000</v>
      </c>
      <c r="G858" s="3">
        <v>1400</v>
      </c>
      <c r="I858" t="s">
        <v>82</v>
      </c>
      <c r="J858" t="s">
        <v>40</v>
      </c>
      <c r="K858" t="s">
        <v>11</v>
      </c>
      <c r="L858" t="str">
        <f>T("9791191562224")</f>
        <v>9791191562224</v>
      </c>
    </row>
    <row r="859" spans="1:12">
      <c r="A859" s="2">
        <v>44789.703761574077</v>
      </c>
      <c r="B859">
        <v>299562124</v>
      </c>
      <c r="C859" t="s">
        <v>369</v>
      </c>
      <c r="D859" t="s">
        <v>9</v>
      </c>
      <c r="E859" s="3">
        <v>2000</v>
      </c>
      <c r="F859" s="3">
        <v>2000</v>
      </c>
      <c r="G859" s="3">
        <v>1400</v>
      </c>
      <c r="I859" t="s">
        <v>370</v>
      </c>
      <c r="J859" t="s">
        <v>40</v>
      </c>
      <c r="K859" t="s">
        <v>11</v>
      </c>
      <c r="L859" t="str">
        <f>T("9791191562873")</f>
        <v>9791191562873</v>
      </c>
    </row>
    <row r="860" spans="1:12">
      <c r="A860" s="2">
        <v>44789.730752314812</v>
      </c>
      <c r="B860">
        <v>299562124</v>
      </c>
      <c r="C860" t="s">
        <v>369</v>
      </c>
      <c r="D860" t="s">
        <v>9</v>
      </c>
      <c r="E860" s="3">
        <v>-2000</v>
      </c>
      <c r="F860" s="3">
        <v>-2000</v>
      </c>
      <c r="G860" s="3">
        <v>-1400</v>
      </c>
      <c r="H860" s="2">
        <v>44789.703761574077</v>
      </c>
      <c r="I860" t="s">
        <v>370</v>
      </c>
      <c r="J860" t="s">
        <v>40</v>
      </c>
      <c r="K860" t="s">
        <v>11</v>
      </c>
      <c r="L860" t="str">
        <f>T("9791191562873")</f>
        <v>9791191562873</v>
      </c>
    </row>
    <row r="861" spans="1:12">
      <c r="A861" s="2">
        <v>44789.786504629628</v>
      </c>
      <c r="B861">
        <v>291088925</v>
      </c>
      <c r="C861" t="s">
        <v>58</v>
      </c>
      <c r="D861" t="s">
        <v>9</v>
      </c>
      <c r="E861" s="3">
        <v>2000</v>
      </c>
      <c r="F861" s="3">
        <v>2000</v>
      </c>
      <c r="G861" s="3">
        <v>1400</v>
      </c>
      <c r="I861" t="s">
        <v>59</v>
      </c>
      <c r="J861" t="s">
        <v>40</v>
      </c>
      <c r="K861" t="s">
        <v>11</v>
      </c>
      <c r="L861" t="str">
        <f>T("9791191562187")</f>
        <v>9791191562187</v>
      </c>
    </row>
    <row r="862" spans="1:12">
      <c r="A862" s="2">
        <v>44789.798136574071</v>
      </c>
      <c r="B862">
        <v>299562124</v>
      </c>
      <c r="C862" t="s">
        <v>369</v>
      </c>
      <c r="D862" t="s">
        <v>9</v>
      </c>
      <c r="E862" s="3">
        <v>2000</v>
      </c>
      <c r="F862" s="3">
        <v>2000</v>
      </c>
      <c r="G862" s="3">
        <v>1400</v>
      </c>
      <c r="I862" t="s">
        <v>370</v>
      </c>
      <c r="J862" t="s">
        <v>40</v>
      </c>
      <c r="K862" t="s">
        <v>11</v>
      </c>
      <c r="L862" t="str">
        <f>T("9791191562873")</f>
        <v>9791191562873</v>
      </c>
    </row>
    <row r="863" spans="1:12">
      <c r="A863" s="2">
        <v>44789.872083333335</v>
      </c>
      <c r="B863">
        <v>295462572</v>
      </c>
      <c r="C863" t="s">
        <v>108</v>
      </c>
      <c r="D863" t="s">
        <v>9</v>
      </c>
      <c r="E863" s="3">
        <v>2000</v>
      </c>
      <c r="F863" s="3">
        <v>2000</v>
      </c>
      <c r="G863" s="3">
        <v>1400</v>
      </c>
      <c r="I863" t="s">
        <v>32</v>
      </c>
      <c r="J863" t="s">
        <v>40</v>
      </c>
      <c r="K863" t="s">
        <v>11</v>
      </c>
      <c r="L863" t="str">
        <f>T("9791191562361")</f>
        <v>9791191562361</v>
      </c>
    </row>
    <row r="864" spans="1:12">
      <c r="A864" s="2">
        <v>44789.873506944445</v>
      </c>
      <c r="B864">
        <v>287561708</v>
      </c>
      <c r="C864" t="s">
        <v>406</v>
      </c>
      <c r="D864" t="s">
        <v>9</v>
      </c>
      <c r="E864" s="3">
        <v>3500</v>
      </c>
      <c r="F864" s="3">
        <v>3500</v>
      </c>
      <c r="G864" s="3">
        <v>2450</v>
      </c>
      <c r="I864" t="s">
        <v>323</v>
      </c>
      <c r="J864" t="s">
        <v>45</v>
      </c>
      <c r="K864" t="s">
        <v>11</v>
      </c>
      <c r="L864" t="str">
        <f>T("9791166482861")</f>
        <v>9791166482861</v>
      </c>
    </row>
    <row r="865" spans="1:12">
      <c r="A865" s="2">
        <v>44789.898969907408</v>
      </c>
      <c r="B865">
        <v>291088925</v>
      </c>
      <c r="C865" t="s">
        <v>58</v>
      </c>
      <c r="D865" t="s">
        <v>9</v>
      </c>
      <c r="E865" s="3">
        <v>2000</v>
      </c>
      <c r="F865" s="3">
        <v>2000</v>
      </c>
      <c r="G865" s="3">
        <v>1400</v>
      </c>
      <c r="I865" t="s">
        <v>59</v>
      </c>
      <c r="J865" t="s">
        <v>40</v>
      </c>
      <c r="K865" t="s">
        <v>11</v>
      </c>
      <c r="L865" t="str">
        <f>T("9791191562187")</f>
        <v>9791191562187</v>
      </c>
    </row>
    <row r="866" spans="1:12">
      <c r="A866" s="2">
        <v>44789.901053240741</v>
      </c>
      <c r="B866">
        <v>294674998</v>
      </c>
      <c r="C866" t="s">
        <v>112</v>
      </c>
      <c r="D866" t="s">
        <v>9</v>
      </c>
      <c r="E866" s="3">
        <v>2000</v>
      </c>
      <c r="F866" s="3">
        <v>2000</v>
      </c>
      <c r="G866" s="3">
        <v>1400</v>
      </c>
      <c r="I866" t="s">
        <v>111</v>
      </c>
      <c r="J866" t="s">
        <v>40</v>
      </c>
      <c r="K866" t="s">
        <v>11</v>
      </c>
      <c r="L866" t="str">
        <f>T("9791191562385")</f>
        <v>9791191562385</v>
      </c>
    </row>
    <row r="867" spans="1:12">
      <c r="A867" s="2">
        <v>44789.902650462966</v>
      </c>
      <c r="B867">
        <v>296965886</v>
      </c>
      <c r="C867" t="s">
        <v>151</v>
      </c>
      <c r="D867" t="s">
        <v>9</v>
      </c>
      <c r="E867" s="3">
        <v>2500</v>
      </c>
      <c r="F867" s="3">
        <v>2500</v>
      </c>
      <c r="G867" s="3">
        <v>1750</v>
      </c>
      <c r="I867" t="s">
        <v>152</v>
      </c>
      <c r="J867" t="s">
        <v>40</v>
      </c>
      <c r="K867" t="s">
        <v>11</v>
      </c>
      <c r="L867" t="str">
        <f>T("9791191562507")</f>
        <v>9791191562507</v>
      </c>
    </row>
    <row r="868" spans="1:12">
      <c r="A868" s="2">
        <v>44789.916574074072</v>
      </c>
      <c r="B868">
        <v>299562124</v>
      </c>
      <c r="C868" t="s">
        <v>369</v>
      </c>
      <c r="D868" t="s">
        <v>9</v>
      </c>
      <c r="E868" s="3">
        <v>2000</v>
      </c>
      <c r="F868" s="3">
        <v>2000</v>
      </c>
      <c r="G868" s="3">
        <v>1400</v>
      </c>
      <c r="I868" t="s">
        <v>370</v>
      </c>
      <c r="J868" t="s">
        <v>40</v>
      </c>
      <c r="K868" t="s">
        <v>11</v>
      </c>
      <c r="L868" t="str">
        <f>T("9791191562873")</f>
        <v>9791191562873</v>
      </c>
    </row>
    <row r="869" spans="1:12">
      <c r="A869" s="2">
        <v>44789.919976851852</v>
      </c>
      <c r="B869">
        <v>289315562</v>
      </c>
      <c r="C869" t="s">
        <v>41</v>
      </c>
      <c r="D869" t="s">
        <v>9</v>
      </c>
      <c r="E869" s="3">
        <v>3000</v>
      </c>
      <c r="F869" s="3">
        <v>3000</v>
      </c>
      <c r="G869" s="3">
        <v>2100</v>
      </c>
      <c r="I869" t="s">
        <v>38</v>
      </c>
      <c r="J869" t="s">
        <v>40</v>
      </c>
      <c r="K869" t="s">
        <v>11</v>
      </c>
      <c r="L869" t="str">
        <f>T("9791191562101")</f>
        <v>9791191562101</v>
      </c>
    </row>
    <row r="870" spans="1:12">
      <c r="A870" s="2">
        <v>44789.921041666668</v>
      </c>
      <c r="B870">
        <v>291805580</v>
      </c>
      <c r="C870" t="s">
        <v>60</v>
      </c>
      <c r="D870" t="s">
        <v>9</v>
      </c>
      <c r="E870" s="3">
        <v>2000</v>
      </c>
      <c r="F870" s="3">
        <v>2000</v>
      </c>
      <c r="G870" s="3">
        <v>1400</v>
      </c>
      <c r="I870" t="s">
        <v>61</v>
      </c>
      <c r="J870" t="s">
        <v>40</v>
      </c>
      <c r="K870" t="s">
        <v>11</v>
      </c>
      <c r="L870" t="str">
        <f>T("9791191562255")</f>
        <v>9791191562255</v>
      </c>
    </row>
    <row r="871" spans="1:12">
      <c r="A871" s="2">
        <v>44789.931261574071</v>
      </c>
      <c r="B871">
        <v>292579571</v>
      </c>
      <c r="C871" t="s">
        <v>90</v>
      </c>
      <c r="D871" t="s">
        <v>12</v>
      </c>
      <c r="E871" s="3">
        <v>2000</v>
      </c>
      <c r="F871" s="3">
        <v>2000</v>
      </c>
      <c r="G871" s="3">
        <v>1400</v>
      </c>
      <c r="I871" t="s">
        <v>91</v>
      </c>
      <c r="J871" t="s">
        <v>40</v>
      </c>
      <c r="K871" t="s">
        <v>11</v>
      </c>
      <c r="L871" t="str">
        <f>T("9791191562231")</f>
        <v>9791191562231</v>
      </c>
    </row>
    <row r="872" spans="1:12">
      <c r="A872" s="2">
        <v>44789.936168981483</v>
      </c>
      <c r="B872">
        <v>295462572</v>
      </c>
      <c r="C872" t="s">
        <v>108</v>
      </c>
      <c r="D872" t="s">
        <v>9</v>
      </c>
      <c r="E872" s="3">
        <v>2000</v>
      </c>
      <c r="F872" s="3">
        <v>2000</v>
      </c>
      <c r="G872" s="3">
        <v>1400</v>
      </c>
      <c r="I872" t="s">
        <v>32</v>
      </c>
      <c r="J872" t="s">
        <v>40</v>
      </c>
      <c r="K872" t="s">
        <v>11</v>
      </c>
      <c r="L872" t="str">
        <f>T("9791191562361")</f>
        <v>9791191562361</v>
      </c>
    </row>
    <row r="873" spans="1:12">
      <c r="A873" s="2">
        <v>44789.939768518518</v>
      </c>
      <c r="B873">
        <v>291088925</v>
      </c>
      <c r="C873" t="s">
        <v>58</v>
      </c>
      <c r="D873" t="s">
        <v>9</v>
      </c>
      <c r="E873" s="3">
        <v>2000</v>
      </c>
      <c r="F873" s="3">
        <v>2000</v>
      </c>
      <c r="G873" s="3">
        <v>1400</v>
      </c>
      <c r="I873" t="s">
        <v>59</v>
      </c>
      <c r="J873" t="s">
        <v>40</v>
      </c>
      <c r="K873" t="s">
        <v>11</v>
      </c>
      <c r="L873" t="str">
        <f>T("9791191562187")</f>
        <v>9791191562187</v>
      </c>
    </row>
    <row r="874" spans="1:12">
      <c r="A874" s="2">
        <v>44789.943738425929</v>
      </c>
      <c r="B874">
        <v>295071451</v>
      </c>
      <c r="C874" t="s">
        <v>109</v>
      </c>
      <c r="D874" t="s">
        <v>9</v>
      </c>
      <c r="E874" s="3">
        <v>2500</v>
      </c>
      <c r="F874" s="3">
        <v>2500</v>
      </c>
      <c r="G874" s="3">
        <v>1750</v>
      </c>
      <c r="I874" t="s">
        <v>34</v>
      </c>
      <c r="J874" t="s">
        <v>40</v>
      </c>
      <c r="K874" t="s">
        <v>11</v>
      </c>
      <c r="L874" t="str">
        <f>T("9791191562439")</f>
        <v>9791191562439</v>
      </c>
    </row>
    <row r="875" spans="1:12">
      <c r="A875" s="2">
        <v>44789.951157407406</v>
      </c>
      <c r="B875">
        <v>288284467</v>
      </c>
      <c r="C875" t="s">
        <v>407</v>
      </c>
      <c r="D875" t="s">
        <v>12</v>
      </c>
      <c r="E875" s="3">
        <v>2400</v>
      </c>
      <c r="F875" s="3">
        <v>2400</v>
      </c>
      <c r="G875" s="3">
        <v>1680</v>
      </c>
      <c r="I875" t="s">
        <v>408</v>
      </c>
      <c r="J875" t="s">
        <v>45</v>
      </c>
      <c r="K875" t="s">
        <v>11</v>
      </c>
      <c r="L875" t="str">
        <f>T("9791166482762")</f>
        <v>9791166482762</v>
      </c>
    </row>
    <row r="876" spans="1:12">
      <c r="A876" s="2">
        <v>44789.951157407406</v>
      </c>
      <c r="B876">
        <v>288284508</v>
      </c>
      <c r="C876" t="s">
        <v>409</v>
      </c>
      <c r="D876" t="s">
        <v>12</v>
      </c>
      <c r="E876" s="3">
        <v>2400</v>
      </c>
      <c r="F876" s="3">
        <v>2400</v>
      </c>
      <c r="G876" s="3">
        <v>1680</v>
      </c>
      <c r="I876" t="s">
        <v>408</v>
      </c>
      <c r="J876" t="s">
        <v>45</v>
      </c>
      <c r="K876" t="s">
        <v>11</v>
      </c>
      <c r="L876" t="str">
        <f>T("9791166482779")</f>
        <v>9791166482779</v>
      </c>
    </row>
    <row r="877" spans="1:12">
      <c r="A877" s="2">
        <v>44789.951157407406</v>
      </c>
      <c r="B877">
        <v>288284443</v>
      </c>
      <c r="C877" t="s">
        <v>410</v>
      </c>
      <c r="D877" t="s">
        <v>12</v>
      </c>
      <c r="E877" s="3">
        <v>2400</v>
      </c>
      <c r="F877" s="3">
        <v>2400</v>
      </c>
      <c r="G877" s="3">
        <v>1680</v>
      </c>
      <c r="I877" t="s">
        <v>408</v>
      </c>
      <c r="J877" t="s">
        <v>45</v>
      </c>
      <c r="K877" t="s">
        <v>11</v>
      </c>
      <c r="L877" t="str">
        <f>T("9791166482786")</f>
        <v>9791166482786</v>
      </c>
    </row>
    <row r="878" spans="1:12">
      <c r="A878" s="2">
        <v>44789.953240740739</v>
      </c>
      <c r="B878">
        <v>299154500</v>
      </c>
      <c r="C878" t="s">
        <v>287</v>
      </c>
      <c r="D878" t="s">
        <v>9</v>
      </c>
      <c r="E878" s="3">
        <v>2500</v>
      </c>
      <c r="F878" s="3">
        <v>2500</v>
      </c>
      <c r="G878" s="3">
        <v>1750</v>
      </c>
      <c r="I878" t="s">
        <v>220</v>
      </c>
      <c r="J878" t="s">
        <v>40</v>
      </c>
      <c r="K878" t="s">
        <v>11</v>
      </c>
      <c r="L878" t="str">
        <f>T("9791191562859")</f>
        <v>9791191562859</v>
      </c>
    </row>
    <row r="879" spans="1:12">
      <c r="A879" s="2">
        <v>44789.955775462964</v>
      </c>
      <c r="B879">
        <v>299562124</v>
      </c>
      <c r="C879" t="s">
        <v>369</v>
      </c>
      <c r="D879" t="s">
        <v>9</v>
      </c>
      <c r="E879" s="3">
        <v>2000</v>
      </c>
      <c r="F879" s="3">
        <v>2000</v>
      </c>
      <c r="G879" s="3">
        <v>1400</v>
      </c>
      <c r="I879" t="s">
        <v>370</v>
      </c>
      <c r="J879" t="s">
        <v>40</v>
      </c>
      <c r="K879" t="s">
        <v>11</v>
      </c>
      <c r="L879" t="str">
        <f>T("9791191562873")</f>
        <v>9791191562873</v>
      </c>
    </row>
    <row r="880" spans="1:12">
      <c r="A880" s="2">
        <v>44789.988125000003</v>
      </c>
      <c r="B880">
        <v>293046855</v>
      </c>
      <c r="C880" t="s">
        <v>99</v>
      </c>
      <c r="D880" t="s">
        <v>12</v>
      </c>
      <c r="E880" s="3">
        <v>2000</v>
      </c>
      <c r="F880" s="3">
        <v>2000</v>
      </c>
      <c r="G880" s="3">
        <v>1400</v>
      </c>
      <c r="I880" t="s">
        <v>100</v>
      </c>
      <c r="J880" t="s">
        <v>40</v>
      </c>
      <c r="K880" t="s">
        <v>11</v>
      </c>
      <c r="L880" t="str">
        <f>T("9791191562279")</f>
        <v>9791191562279</v>
      </c>
    </row>
    <row r="881" spans="1:12">
      <c r="A881" s="2">
        <v>44789.996678240743</v>
      </c>
      <c r="B881">
        <v>299562124</v>
      </c>
      <c r="C881" t="s">
        <v>369</v>
      </c>
      <c r="D881" t="s">
        <v>9</v>
      </c>
      <c r="E881" s="3">
        <v>2000</v>
      </c>
      <c r="F881" s="3">
        <v>2000</v>
      </c>
      <c r="G881" s="3">
        <v>1400</v>
      </c>
      <c r="I881" t="s">
        <v>370</v>
      </c>
      <c r="J881" t="s">
        <v>40</v>
      </c>
      <c r="K881" t="s">
        <v>11</v>
      </c>
      <c r="L881" t="str">
        <f>T("9791191562873")</f>
        <v>9791191562873</v>
      </c>
    </row>
    <row r="882" spans="1:12">
      <c r="A882" s="2">
        <v>44789.997372685182</v>
      </c>
      <c r="B882">
        <v>299562124</v>
      </c>
      <c r="C882" t="s">
        <v>369</v>
      </c>
      <c r="D882" t="s">
        <v>9</v>
      </c>
      <c r="E882" s="3">
        <v>2000</v>
      </c>
      <c r="F882" s="3">
        <v>2000</v>
      </c>
      <c r="G882" s="3">
        <v>1400</v>
      </c>
      <c r="I882" t="s">
        <v>370</v>
      </c>
      <c r="J882" t="s">
        <v>40</v>
      </c>
      <c r="K882" t="s">
        <v>11</v>
      </c>
      <c r="L882" t="str">
        <f>T("9791191562873")</f>
        <v>9791191562873</v>
      </c>
    </row>
    <row r="883" spans="1:12">
      <c r="A883" s="2">
        <v>44789.999340277776</v>
      </c>
      <c r="B883">
        <v>293180467</v>
      </c>
      <c r="C883" t="s">
        <v>104</v>
      </c>
      <c r="D883" t="s">
        <v>9</v>
      </c>
      <c r="E883" s="3">
        <v>2000</v>
      </c>
      <c r="F883" s="3">
        <v>2000</v>
      </c>
      <c r="G883" s="3">
        <v>1400</v>
      </c>
      <c r="I883" t="s">
        <v>31</v>
      </c>
      <c r="J883" t="s">
        <v>40</v>
      </c>
      <c r="K883" t="s">
        <v>11</v>
      </c>
      <c r="L883" t="str">
        <f>T("9791191562293")</f>
        <v>9791191562293</v>
      </c>
    </row>
    <row r="884" spans="1:12">
      <c r="A884" s="2">
        <v>44790.000694444447</v>
      </c>
      <c r="B884">
        <v>299562124</v>
      </c>
      <c r="C884" t="s">
        <v>369</v>
      </c>
      <c r="D884" t="s">
        <v>9</v>
      </c>
      <c r="E884" s="3">
        <v>2000</v>
      </c>
      <c r="F884" s="3">
        <v>2000</v>
      </c>
      <c r="G884" s="3">
        <v>1400</v>
      </c>
      <c r="I884" t="s">
        <v>370</v>
      </c>
      <c r="J884" t="s">
        <v>40</v>
      </c>
      <c r="K884" t="s">
        <v>11</v>
      </c>
      <c r="L884" t="str">
        <f>T("9791191562873")</f>
        <v>9791191562873</v>
      </c>
    </row>
    <row r="885" spans="1:12">
      <c r="A885" s="2">
        <v>44790.027499999997</v>
      </c>
      <c r="B885">
        <v>287834730</v>
      </c>
      <c r="C885" t="s">
        <v>37</v>
      </c>
      <c r="D885" t="s">
        <v>9</v>
      </c>
      <c r="E885" s="3">
        <v>2000</v>
      </c>
      <c r="F885" s="3">
        <v>2000</v>
      </c>
      <c r="G885" s="3">
        <v>1400</v>
      </c>
      <c r="I885" t="s">
        <v>32</v>
      </c>
      <c r="J885" t="s">
        <v>40</v>
      </c>
      <c r="K885" t="s">
        <v>11</v>
      </c>
      <c r="L885" t="str">
        <f>T("9791191562019")</f>
        <v>9791191562019</v>
      </c>
    </row>
    <row r="886" spans="1:12">
      <c r="A886" s="2">
        <v>44790.034930555557</v>
      </c>
      <c r="B886">
        <v>296612458</v>
      </c>
      <c r="C886" t="s">
        <v>138</v>
      </c>
      <c r="D886" t="s">
        <v>9</v>
      </c>
      <c r="E886" s="3">
        <v>2000</v>
      </c>
      <c r="F886" s="3">
        <v>2000</v>
      </c>
      <c r="G886" s="3">
        <v>1400</v>
      </c>
      <c r="I886" t="s">
        <v>139</v>
      </c>
      <c r="J886" t="s">
        <v>40</v>
      </c>
      <c r="K886" t="s">
        <v>11</v>
      </c>
      <c r="L886" t="str">
        <f>T("9791191562545")</f>
        <v>9791191562545</v>
      </c>
    </row>
    <row r="887" spans="1:12">
      <c r="A887" s="2">
        <v>44790.046643518515</v>
      </c>
      <c r="B887">
        <v>267141331</v>
      </c>
      <c r="C887" t="s">
        <v>411</v>
      </c>
      <c r="D887" t="s">
        <v>9</v>
      </c>
      <c r="E887">
        <v>0</v>
      </c>
      <c r="F887">
        <v>0</v>
      </c>
      <c r="G887">
        <v>0</v>
      </c>
      <c r="I887" t="s">
        <v>349</v>
      </c>
      <c r="J887" t="s">
        <v>11</v>
      </c>
      <c r="K887" t="s">
        <v>11</v>
      </c>
      <c r="L887" t="str">
        <f>T("9791166069765")</f>
        <v>9791166069765</v>
      </c>
    </row>
    <row r="888" spans="1:12">
      <c r="A888" s="2">
        <v>44790.332407407404</v>
      </c>
      <c r="B888">
        <v>297109357</v>
      </c>
      <c r="C888" t="s">
        <v>154</v>
      </c>
      <c r="D888" t="s">
        <v>9</v>
      </c>
      <c r="E888" s="3">
        <v>3600</v>
      </c>
      <c r="F888" s="3">
        <v>3600</v>
      </c>
      <c r="G888" s="3">
        <v>2520</v>
      </c>
      <c r="I888" t="s">
        <v>155</v>
      </c>
      <c r="J888" t="s">
        <v>40</v>
      </c>
      <c r="K888" t="s">
        <v>11</v>
      </c>
      <c r="L888" t="str">
        <f>T("9791191562774")</f>
        <v>9791191562774</v>
      </c>
    </row>
    <row r="889" spans="1:12">
      <c r="A889" s="2">
        <v>44790.335717592592</v>
      </c>
      <c r="B889">
        <v>48799528</v>
      </c>
      <c r="C889" t="s">
        <v>412</v>
      </c>
      <c r="D889" t="s">
        <v>12</v>
      </c>
      <c r="E889">
        <v>900</v>
      </c>
      <c r="F889">
        <v>900</v>
      </c>
      <c r="G889">
        <v>630</v>
      </c>
      <c r="I889" t="s">
        <v>10</v>
      </c>
      <c r="J889" t="s">
        <v>11</v>
      </c>
      <c r="K889" t="s">
        <v>11</v>
      </c>
      <c r="L889" t="str">
        <f>T("9791159283536")</f>
        <v>9791159283536</v>
      </c>
    </row>
    <row r="890" spans="1:12">
      <c r="A890" s="2">
        <v>44790.335717592592</v>
      </c>
      <c r="B890">
        <v>48799535</v>
      </c>
      <c r="C890" t="s">
        <v>413</v>
      </c>
      <c r="D890" t="s">
        <v>12</v>
      </c>
      <c r="E890">
        <v>900</v>
      </c>
      <c r="F890">
        <v>900</v>
      </c>
      <c r="G890">
        <v>630</v>
      </c>
      <c r="I890" t="s">
        <v>10</v>
      </c>
      <c r="J890" t="s">
        <v>11</v>
      </c>
      <c r="K890" t="s">
        <v>11</v>
      </c>
      <c r="L890" t="str">
        <f>T("9791159283543")</f>
        <v>9791159283543</v>
      </c>
    </row>
    <row r="891" spans="1:12">
      <c r="A891" s="2">
        <v>44790.432187500002</v>
      </c>
      <c r="B891">
        <v>294556455</v>
      </c>
      <c r="C891" t="s">
        <v>119</v>
      </c>
      <c r="D891" t="s">
        <v>9</v>
      </c>
      <c r="E891" s="3">
        <v>2000</v>
      </c>
      <c r="F891" s="3">
        <v>2000</v>
      </c>
      <c r="G891" s="3">
        <v>1400</v>
      </c>
      <c r="I891" t="s">
        <v>54</v>
      </c>
      <c r="J891" t="s">
        <v>40</v>
      </c>
      <c r="K891" t="s">
        <v>11</v>
      </c>
      <c r="L891" t="str">
        <f>T("9791191562415")</f>
        <v>9791191562415</v>
      </c>
    </row>
    <row r="892" spans="1:12">
      <c r="A892" s="2">
        <v>44790.43854166667</v>
      </c>
      <c r="B892">
        <v>295356530</v>
      </c>
      <c r="C892" t="s">
        <v>116</v>
      </c>
      <c r="D892" t="s">
        <v>9</v>
      </c>
      <c r="E892" s="3">
        <v>2500</v>
      </c>
      <c r="F892" s="3">
        <v>2500</v>
      </c>
      <c r="G892" s="3">
        <v>1750</v>
      </c>
      <c r="I892" t="s">
        <v>115</v>
      </c>
      <c r="J892" t="s">
        <v>40</v>
      </c>
      <c r="K892" t="s">
        <v>11</v>
      </c>
      <c r="L892" t="str">
        <f>T("9791191562460")</f>
        <v>9791191562460</v>
      </c>
    </row>
    <row r="893" spans="1:12">
      <c r="A893" s="2">
        <v>44790.439166666663</v>
      </c>
      <c r="B893">
        <v>282585770</v>
      </c>
      <c r="C893" t="s">
        <v>74</v>
      </c>
      <c r="D893" t="s">
        <v>9</v>
      </c>
      <c r="E893" s="3">
        <v>3000</v>
      </c>
      <c r="F893" s="3">
        <v>3000</v>
      </c>
      <c r="G893" s="3">
        <v>2100</v>
      </c>
      <c r="I893" t="s">
        <v>30</v>
      </c>
      <c r="J893" t="s">
        <v>71</v>
      </c>
      <c r="K893" t="s">
        <v>11</v>
      </c>
      <c r="L893" t="str">
        <f>T("9791164374618")</f>
        <v>9791164374618</v>
      </c>
    </row>
    <row r="894" spans="1:12">
      <c r="A894" s="2">
        <v>44790.473067129627</v>
      </c>
      <c r="B894">
        <v>48799537</v>
      </c>
      <c r="C894" t="s">
        <v>414</v>
      </c>
      <c r="D894" t="s">
        <v>12</v>
      </c>
      <c r="E894">
        <v>900</v>
      </c>
      <c r="F894">
        <v>900</v>
      </c>
      <c r="G894">
        <v>630</v>
      </c>
      <c r="I894" t="s">
        <v>10</v>
      </c>
      <c r="J894" t="s">
        <v>11</v>
      </c>
      <c r="K894" t="s">
        <v>11</v>
      </c>
      <c r="L894" t="str">
        <f>T("9791159283550")</f>
        <v>9791159283550</v>
      </c>
    </row>
    <row r="895" spans="1:12">
      <c r="A895" s="2">
        <v>44790.473067129627</v>
      </c>
      <c r="B895">
        <v>48806277</v>
      </c>
      <c r="C895" t="s">
        <v>415</v>
      </c>
      <c r="D895" t="s">
        <v>12</v>
      </c>
      <c r="E895">
        <v>900</v>
      </c>
      <c r="F895">
        <v>900</v>
      </c>
      <c r="G895">
        <v>630</v>
      </c>
      <c r="I895" t="s">
        <v>10</v>
      </c>
      <c r="J895" t="s">
        <v>11</v>
      </c>
      <c r="K895" t="s">
        <v>11</v>
      </c>
      <c r="L895" t="str">
        <f>T("9791159283567")</f>
        <v>9791159283567</v>
      </c>
    </row>
    <row r="896" spans="1:12">
      <c r="A896" s="2">
        <v>44790.497245370374</v>
      </c>
      <c r="B896">
        <v>284241808</v>
      </c>
      <c r="C896" t="s">
        <v>27</v>
      </c>
      <c r="D896" t="s">
        <v>9</v>
      </c>
      <c r="E896" s="3">
        <v>3600</v>
      </c>
      <c r="F896" s="3">
        <v>3600</v>
      </c>
      <c r="G896" s="3">
        <v>2520</v>
      </c>
      <c r="I896" t="s">
        <v>21</v>
      </c>
      <c r="J896" t="s">
        <v>45</v>
      </c>
      <c r="K896" t="s">
        <v>11</v>
      </c>
      <c r="L896" t="str">
        <f>T("9791166482557")</f>
        <v>9791166482557</v>
      </c>
    </row>
    <row r="897" spans="1:12">
      <c r="A897" s="2">
        <v>44790.561469907407</v>
      </c>
      <c r="B897">
        <v>278962957</v>
      </c>
      <c r="C897" t="s">
        <v>416</v>
      </c>
      <c r="D897" t="s">
        <v>9</v>
      </c>
      <c r="E897" s="3">
        <v>8000</v>
      </c>
      <c r="F897" s="3">
        <v>8000</v>
      </c>
      <c r="G897" s="3">
        <v>5600</v>
      </c>
      <c r="I897" t="s">
        <v>145</v>
      </c>
      <c r="J897" t="s">
        <v>71</v>
      </c>
      <c r="K897" t="s">
        <v>11</v>
      </c>
      <c r="L897" t="str">
        <f>T("9791164374724")</f>
        <v>9791164374724</v>
      </c>
    </row>
    <row r="898" spans="1:12">
      <c r="A898" s="2">
        <v>44790.570092592592</v>
      </c>
      <c r="B898">
        <v>285477786</v>
      </c>
      <c r="C898" t="s">
        <v>126</v>
      </c>
      <c r="D898" t="s">
        <v>9</v>
      </c>
      <c r="E898">
        <v>0</v>
      </c>
      <c r="F898">
        <v>0</v>
      </c>
      <c r="G898">
        <v>0</v>
      </c>
      <c r="I898" t="s">
        <v>20</v>
      </c>
      <c r="J898" t="s">
        <v>17</v>
      </c>
      <c r="K898" t="s">
        <v>11</v>
      </c>
      <c r="L898" t="str">
        <f>T("9791164482856")</f>
        <v>9791164482856</v>
      </c>
    </row>
    <row r="899" spans="1:12">
      <c r="A899" s="2">
        <v>44790.596203703702</v>
      </c>
      <c r="B899">
        <v>299562124</v>
      </c>
      <c r="C899" t="s">
        <v>369</v>
      </c>
      <c r="D899" t="s">
        <v>9</v>
      </c>
      <c r="E899" s="3">
        <v>2000</v>
      </c>
      <c r="F899" s="3">
        <v>2000</v>
      </c>
      <c r="G899" s="3">
        <v>1400</v>
      </c>
      <c r="I899" t="s">
        <v>370</v>
      </c>
      <c r="J899" t="s">
        <v>40</v>
      </c>
      <c r="K899" t="s">
        <v>11</v>
      </c>
      <c r="L899" t="str">
        <f>T("9791191562873")</f>
        <v>9791191562873</v>
      </c>
    </row>
    <row r="900" spans="1:12">
      <c r="A900" s="2">
        <v>44790.598773148151</v>
      </c>
      <c r="B900">
        <v>287086652</v>
      </c>
      <c r="C900" t="s">
        <v>33</v>
      </c>
      <c r="D900" t="s">
        <v>9</v>
      </c>
      <c r="E900" s="3">
        <v>2000</v>
      </c>
      <c r="F900" s="3">
        <v>2000</v>
      </c>
      <c r="G900" s="3">
        <v>1400</v>
      </c>
      <c r="I900" t="s">
        <v>30</v>
      </c>
      <c r="J900" t="s">
        <v>40</v>
      </c>
      <c r="K900" t="s">
        <v>11</v>
      </c>
      <c r="L900" t="str">
        <f>T("9791191562033")</f>
        <v>9791191562033</v>
      </c>
    </row>
    <row r="901" spans="1:12">
      <c r="A901" s="2">
        <v>44790.617881944447</v>
      </c>
      <c r="B901">
        <v>282585762</v>
      </c>
      <c r="C901" t="s">
        <v>75</v>
      </c>
      <c r="D901" t="s">
        <v>9</v>
      </c>
      <c r="E901" s="3">
        <v>3000</v>
      </c>
      <c r="F901" s="3">
        <v>3000</v>
      </c>
      <c r="G901" s="3">
        <v>2100</v>
      </c>
      <c r="I901" t="s">
        <v>30</v>
      </c>
      <c r="J901" t="s">
        <v>71</v>
      </c>
      <c r="K901" t="s">
        <v>11</v>
      </c>
      <c r="L901" t="str">
        <f>T("9791164374625")</f>
        <v>9791164374625</v>
      </c>
    </row>
    <row r="902" spans="1:12">
      <c r="A902" s="2">
        <v>44790.619305555556</v>
      </c>
      <c r="B902">
        <v>294959700</v>
      </c>
      <c r="C902" t="s">
        <v>340</v>
      </c>
      <c r="D902" t="s">
        <v>9</v>
      </c>
      <c r="E902" s="3">
        <v>2500</v>
      </c>
      <c r="F902" s="3">
        <v>2500</v>
      </c>
      <c r="G902" s="3">
        <v>1750</v>
      </c>
      <c r="I902" t="s">
        <v>341</v>
      </c>
      <c r="J902" t="s">
        <v>40</v>
      </c>
      <c r="K902" t="s">
        <v>11</v>
      </c>
      <c r="L902" t="str">
        <f>T("9791191562446")</f>
        <v>9791191562446</v>
      </c>
    </row>
    <row r="903" spans="1:12">
      <c r="A903" s="2">
        <v>44790.622060185182</v>
      </c>
      <c r="B903">
        <v>142094124</v>
      </c>
      <c r="C903" t="s">
        <v>417</v>
      </c>
      <c r="D903" t="s">
        <v>9</v>
      </c>
      <c r="E903">
        <v>300</v>
      </c>
      <c r="F903">
        <v>300</v>
      </c>
      <c r="G903">
        <v>210</v>
      </c>
      <c r="I903" t="s">
        <v>313</v>
      </c>
      <c r="J903" t="s">
        <v>71</v>
      </c>
      <c r="K903" t="s">
        <v>11</v>
      </c>
      <c r="L903" t="str">
        <f>T("9791189084011")</f>
        <v>9791189084011</v>
      </c>
    </row>
    <row r="904" spans="1:12">
      <c r="A904" s="2">
        <v>44790.646215277775</v>
      </c>
      <c r="B904">
        <v>48806267</v>
      </c>
      <c r="C904" t="s">
        <v>418</v>
      </c>
      <c r="D904" t="s">
        <v>12</v>
      </c>
      <c r="E904">
        <v>900</v>
      </c>
      <c r="F904">
        <v>900</v>
      </c>
      <c r="G904">
        <v>630</v>
      </c>
      <c r="I904" t="s">
        <v>10</v>
      </c>
      <c r="J904" t="s">
        <v>11</v>
      </c>
      <c r="K904" t="s">
        <v>11</v>
      </c>
      <c r="L904" t="str">
        <f>T("9791159283581")</f>
        <v>9791159283581</v>
      </c>
    </row>
    <row r="905" spans="1:12">
      <c r="A905" s="2">
        <v>44790.646215277775</v>
      </c>
      <c r="B905">
        <v>48799539</v>
      </c>
      <c r="C905" t="s">
        <v>419</v>
      </c>
      <c r="D905" t="s">
        <v>12</v>
      </c>
      <c r="E905">
        <v>900</v>
      </c>
      <c r="F905">
        <v>900</v>
      </c>
      <c r="G905">
        <v>630</v>
      </c>
      <c r="I905" t="s">
        <v>10</v>
      </c>
      <c r="J905" t="s">
        <v>11</v>
      </c>
      <c r="K905" t="s">
        <v>11</v>
      </c>
      <c r="L905" t="str">
        <f>T("9791159283574")</f>
        <v>9791159283574</v>
      </c>
    </row>
    <row r="906" spans="1:12">
      <c r="A906" s="2">
        <v>44790.646469907406</v>
      </c>
      <c r="B906">
        <v>248962257</v>
      </c>
      <c r="C906" t="s">
        <v>174</v>
      </c>
      <c r="D906" t="s">
        <v>9</v>
      </c>
      <c r="E906">
        <v>0</v>
      </c>
      <c r="F906">
        <v>0</v>
      </c>
      <c r="G906">
        <v>0</v>
      </c>
      <c r="I906" t="s">
        <v>14</v>
      </c>
      <c r="J906" t="s">
        <v>11</v>
      </c>
      <c r="K906" t="s">
        <v>11</v>
      </c>
      <c r="L906" t="str">
        <f>T("9791166066740")</f>
        <v>9791166066740</v>
      </c>
    </row>
    <row r="907" spans="1:12">
      <c r="A907" s="2">
        <v>44790.702349537038</v>
      </c>
      <c r="B907">
        <v>48799541</v>
      </c>
      <c r="C907" t="s">
        <v>420</v>
      </c>
      <c r="D907" t="s">
        <v>12</v>
      </c>
      <c r="E907">
        <v>900</v>
      </c>
      <c r="F907">
        <v>900</v>
      </c>
      <c r="G907">
        <v>630</v>
      </c>
      <c r="I907" t="s">
        <v>10</v>
      </c>
      <c r="J907" t="s">
        <v>11</v>
      </c>
      <c r="K907" t="s">
        <v>11</v>
      </c>
      <c r="L907" t="str">
        <f>T("9791159283598")</f>
        <v>9791159283598</v>
      </c>
    </row>
    <row r="908" spans="1:12">
      <c r="A908" s="2">
        <v>44790.702349537038</v>
      </c>
      <c r="B908">
        <v>48799543</v>
      </c>
      <c r="C908" t="s">
        <v>421</v>
      </c>
      <c r="D908" t="s">
        <v>12</v>
      </c>
      <c r="E908">
        <v>900</v>
      </c>
      <c r="F908">
        <v>900</v>
      </c>
      <c r="G908">
        <v>630</v>
      </c>
      <c r="I908" t="s">
        <v>10</v>
      </c>
      <c r="J908" t="s">
        <v>11</v>
      </c>
      <c r="K908" t="s">
        <v>11</v>
      </c>
      <c r="L908" t="str">
        <f>T("9791159283604")</f>
        <v>9791159283604</v>
      </c>
    </row>
    <row r="909" spans="1:12">
      <c r="A909" s="2">
        <v>44790.702349537038</v>
      </c>
      <c r="B909">
        <v>48799545</v>
      </c>
      <c r="C909" t="s">
        <v>422</v>
      </c>
      <c r="D909" t="s">
        <v>12</v>
      </c>
      <c r="E909">
        <v>900</v>
      </c>
      <c r="F909">
        <v>900</v>
      </c>
      <c r="G909">
        <v>630</v>
      </c>
      <c r="I909" t="s">
        <v>10</v>
      </c>
      <c r="J909" t="s">
        <v>11</v>
      </c>
      <c r="K909" t="s">
        <v>11</v>
      </c>
      <c r="L909" t="str">
        <f>T("9791159283611")</f>
        <v>9791159283611</v>
      </c>
    </row>
    <row r="910" spans="1:12">
      <c r="A910" s="2">
        <v>44790.703344907408</v>
      </c>
      <c r="B910">
        <v>295462572</v>
      </c>
      <c r="C910" t="s">
        <v>108</v>
      </c>
      <c r="D910" t="s">
        <v>9</v>
      </c>
      <c r="E910" s="3">
        <v>2000</v>
      </c>
      <c r="F910" s="3">
        <v>2000</v>
      </c>
      <c r="G910" s="3">
        <v>1400</v>
      </c>
      <c r="I910" t="s">
        <v>32</v>
      </c>
      <c r="J910" t="s">
        <v>40</v>
      </c>
      <c r="K910" t="s">
        <v>11</v>
      </c>
      <c r="L910" t="str">
        <f>T("9791191562361")</f>
        <v>9791191562361</v>
      </c>
    </row>
    <row r="911" spans="1:12">
      <c r="A911" s="2">
        <v>44790.793576388889</v>
      </c>
      <c r="B911">
        <v>294228958</v>
      </c>
      <c r="C911" t="s">
        <v>121</v>
      </c>
      <c r="D911" t="s">
        <v>9</v>
      </c>
      <c r="E911" s="3">
        <v>3200</v>
      </c>
      <c r="F911" s="3">
        <v>3200</v>
      </c>
      <c r="G911" s="3">
        <v>2240</v>
      </c>
      <c r="I911" t="s">
        <v>120</v>
      </c>
      <c r="J911" t="s">
        <v>71</v>
      </c>
      <c r="K911" t="s">
        <v>11</v>
      </c>
      <c r="L911" t="str">
        <f>T("9791164375134")</f>
        <v>9791164375134</v>
      </c>
    </row>
    <row r="912" spans="1:12">
      <c r="A912" s="2">
        <v>44790.793576388889</v>
      </c>
      <c r="B912">
        <v>293957336</v>
      </c>
      <c r="C912" t="s">
        <v>122</v>
      </c>
      <c r="D912" t="s">
        <v>9</v>
      </c>
      <c r="E912" s="3">
        <v>3000</v>
      </c>
      <c r="F912" s="3">
        <v>3000</v>
      </c>
      <c r="G912" s="3">
        <v>2100</v>
      </c>
      <c r="I912" t="s">
        <v>120</v>
      </c>
      <c r="J912" t="s">
        <v>71</v>
      </c>
      <c r="K912" t="s">
        <v>11</v>
      </c>
      <c r="L912" t="str">
        <f>T("9791164375127")</f>
        <v>9791164375127</v>
      </c>
    </row>
    <row r="913" spans="1:12">
      <c r="A913" s="2">
        <v>44790.835578703707</v>
      </c>
      <c r="B913">
        <v>291088925</v>
      </c>
      <c r="C913" t="s">
        <v>58</v>
      </c>
      <c r="D913" t="s">
        <v>9</v>
      </c>
      <c r="E913" s="3">
        <v>2000</v>
      </c>
      <c r="F913" s="3">
        <v>2000</v>
      </c>
      <c r="G913" s="3">
        <v>1400</v>
      </c>
      <c r="I913" t="s">
        <v>59</v>
      </c>
      <c r="J913" t="s">
        <v>40</v>
      </c>
      <c r="K913" t="s">
        <v>11</v>
      </c>
      <c r="L913" t="str">
        <f>T("9791191562187")</f>
        <v>9791191562187</v>
      </c>
    </row>
    <row r="914" spans="1:12">
      <c r="A914" s="2">
        <v>44790.848124999997</v>
      </c>
      <c r="B914">
        <v>290829048</v>
      </c>
      <c r="C914" t="s">
        <v>198</v>
      </c>
      <c r="D914" t="s">
        <v>9</v>
      </c>
      <c r="E914">
        <v>0</v>
      </c>
      <c r="F914">
        <v>0</v>
      </c>
      <c r="G914">
        <v>0</v>
      </c>
      <c r="I914" t="s">
        <v>20</v>
      </c>
      <c r="J914" t="s">
        <v>17</v>
      </c>
      <c r="K914" t="s">
        <v>11</v>
      </c>
      <c r="L914" t="str">
        <f>T("9791164480401")</f>
        <v>9791164480401</v>
      </c>
    </row>
    <row r="915" spans="1:12">
      <c r="A915" s="2">
        <v>44790.884004629632</v>
      </c>
      <c r="B915">
        <v>295836446</v>
      </c>
      <c r="C915" t="s">
        <v>129</v>
      </c>
      <c r="D915" t="s">
        <v>9</v>
      </c>
      <c r="E915" s="3">
        <v>2000</v>
      </c>
      <c r="F915" s="3">
        <v>2000</v>
      </c>
      <c r="G915" s="3">
        <v>1400</v>
      </c>
      <c r="I915" t="s">
        <v>59</v>
      </c>
      <c r="J915" t="s">
        <v>40</v>
      </c>
      <c r="K915" t="s">
        <v>11</v>
      </c>
      <c r="L915" t="str">
        <f>T("9791191562798")</f>
        <v>9791191562798</v>
      </c>
    </row>
    <row r="916" spans="1:12">
      <c r="A916" s="2">
        <v>44790.920138888891</v>
      </c>
      <c r="B916">
        <v>289658948</v>
      </c>
      <c r="C916" t="s">
        <v>43</v>
      </c>
      <c r="D916" t="s">
        <v>9</v>
      </c>
      <c r="E916" s="3">
        <v>3600</v>
      </c>
      <c r="F916" s="3">
        <v>3600</v>
      </c>
      <c r="G916" s="3">
        <v>2520</v>
      </c>
      <c r="I916" t="s">
        <v>39</v>
      </c>
      <c r="J916" t="s">
        <v>40</v>
      </c>
      <c r="K916" t="s">
        <v>11</v>
      </c>
      <c r="L916" t="str">
        <f>T("9791191562095")</f>
        <v>9791191562095</v>
      </c>
    </row>
    <row r="917" spans="1:12">
      <c r="A917" s="2">
        <v>44790.921273148146</v>
      </c>
      <c r="B917">
        <v>298375208</v>
      </c>
      <c r="C917" t="s">
        <v>239</v>
      </c>
      <c r="D917" t="s">
        <v>9</v>
      </c>
      <c r="E917" s="3">
        <v>2500</v>
      </c>
      <c r="F917" s="3">
        <v>2500</v>
      </c>
      <c r="G917" s="3">
        <v>1750</v>
      </c>
      <c r="I917" t="s">
        <v>240</v>
      </c>
      <c r="J917" t="s">
        <v>40</v>
      </c>
      <c r="K917" t="s">
        <v>11</v>
      </c>
      <c r="L917" t="str">
        <f>T("9791191562842")</f>
        <v>9791191562842</v>
      </c>
    </row>
    <row r="918" spans="1:12">
      <c r="A918" s="2">
        <v>44790.926435185182</v>
      </c>
      <c r="B918">
        <v>248187281</v>
      </c>
      <c r="C918" t="s">
        <v>423</v>
      </c>
      <c r="D918" t="s">
        <v>9</v>
      </c>
      <c r="E918">
        <v>0</v>
      </c>
      <c r="F918">
        <v>0</v>
      </c>
      <c r="G918">
        <v>0</v>
      </c>
      <c r="I918" t="s">
        <v>181</v>
      </c>
      <c r="J918" t="s">
        <v>11</v>
      </c>
      <c r="K918" t="s">
        <v>11</v>
      </c>
      <c r="L918" t="str">
        <f>T("9791190937146")</f>
        <v>9791190937146</v>
      </c>
    </row>
    <row r="919" spans="1:12">
      <c r="A919" s="2">
        <v>44790.948263888888</v>
      </c>
      <c r="B919">
        <v>296965886</v>
      </c>
      <c r="C919" t="s">
        <v>151</v>
      </c>
      <c r="D919" t="s">
        <v>9</v>
      </c>
      <c r="E919" s="3">
        <v>2500</v>
      </c>
      <c r="F919" s="3">
        <v>2500</v>
      </c>
      <c r="G919" s="3">
        <v>1750</v>
      </c>
      <c r="I919" t="s">
        <v>152</v>
      </c>
      <c r="J919" t="s">
        <v>40</v>
      </c>
      <c r="K919" t="s">
        <v>11</v>
      </c>
      <c r="L919" t="str">
        <f>T("9791191562507")</f>
        <v>9791191562507</v>
      </c>
    </row>
    <row r="920" spans="1:12">
      <c r="A920" s="2">
        <v>44790.948321759257</v>
      </c>
      <c r="B920">
        <v>271216755</v>
      </c>
      <c r="C920" t="s">
        <v>237</v>
      </c>
      <c r="D920" t="s">
        <v>9</v>
      </c>
      <c r="E920" s="3">
        <v>2800</v>
      </c>
      <c r="F920" s="3">
        <v>2800</v>
      </c>
      <c r="G920" s="3">
        <v>1960</v>
      </c>
      <c r="I920" t="s">
        <v>44</v>
      </c>
      <c r="J920" t="s">
        <v>267</v>
      </c>
      <c r="K920" t="s">
        <v>11</v>
      </c>
      <c r="L920" t="str">
        <f>T("9791166068195")</f>
        <v>9791166068195</v>
      </c>
    </row>
    <row r="921" spans="1:12">
      <c r="A921" s="2">
        <v>44790.950162037036</v>
      </c>
      <c r="B921">
        <v>271216758</v>
      </c>
      <c r="C921" t="s">
        <v>236</v>
      </c>
      <c r="D921" t="s">
        <v>9</v>
      </c>
      <c r="E921" s="3">
        <v>2800</v>
      </c>
      <c r="F921" s="3">
        <v>2800</v>
      </c>
      <c r="G921" s="3">
        <v>1960</v>
      </c>
      <c r="I921" t="s">
        <v>44</v>
      </c>
      <c r="J921" t="s">
        <v>267</v>
      </c>
      <c r="K921" t="s">
        <v>11</v>
      </c>
      <c r="L921" t="str">
        <f>T("9791166068188")</f>
        <v>9791166068188</v>
      </c>
    </row>
    <row r="922" spans="1:12">
      <c r="A922" s="2">
        <v>44790.954097222224</v>
      </c>
      <c r="B922">
        <v>299618551</v>
      </c>
      <c r="C922" t="s">
        <v>384</v>
      </c>
      <c r="D922" t="s">
        <v>9</v>
      </c>
      <c r="E922" s="3">
        <v>4100</v>
      </c>
      <c r="F922" s="3">
        <v>4100</v>
      </c>
      <c r="G922" s="3">
        <v>2870</v>
      </c>
      <c r="I922" t="s">
        <v>385</v>
      </c>
      <c r="J922" t="s">
        <v>271</v>
      </c>
      <c r="K922" t="s">
        <v>11</v>
      </c>
      <c r="L922" t="str">
        <f>T("9791137604582")</f>
        <v>9791137604582</v>
      </c>
    </row>
    <row r="923" spans="1:12">
      <c r="A923" s="2">
        <v>44790.954097222224</v>
      </c>
      <c r="B923">
        <v>299618573</v>
      </c>
      <c r="C923" t="s">
        <v>386</v>
      </c>
      <c r="D923" t="s">
        <v>9</v>
      </c>
      <c r="E923" s="3">
        <v>4100</v>
      </c>
      <c r="F923" s="3">
        <v>4100</v>
      </c>
      <c r="G923" s="3">
        <v>2870</v>
      </c>
      <c r="I923" t="s">
        <v>385</v>
      </c>
      <c r="J923" t="s">
        <v>271</v>
      </c>
      <c r="K923" t="s">
        <v>11</v>
      </c>
      <c r="L923" t="str">
        <f>T("9791137604575")</f>
        <v>9791137604575</v>
      </c>
    </row>
    <row r="924" spans="1:12">
      <c r="A924" s="2">
        <v>44790.98364583333</v>
      </c>
      <c r="B924">
        <v>248187271</v>
      </c>
      <c r="C924" t="s">
        <v>424</v>
      </c>
      <c r="D924" t="s">
        <v>9</v>
      </c>
      <c r="E924" s="3">
        <v>3200</v>
      </c>
      <c r="F924" s="3">
        <v>3200</v>
      </c>
      <c r="G924" s="3">
        <v>2240</v>
      </c>
      <c r="I924" t="s">
        <v>181</v>
      </c>
      <c r="J924" t="s">
        <v>11</v>
      </c>
      <c r="K924" t="s">
        <v>11</v>
      </c>
      <c r="L924" t="str">
        <f>T("9791190937153")</f>
        <v>9791190937153</v>
      </c>
    </row>
    <row r="925" spans="1:12">
      <c r="A925" s="2">
        <v>44790.984074074076</v>
      </c>
      <c r="B925">
        <v>149550325</v>
      </c>
      <c r="C925" t="s">
        <v>252</v>
      </c>
      <c r="D925" t="s">
        <v>12</v>
      </c>
      <c r="E925">
        <v>900</v>
      </c>
      <c r="F925">
        <v>900</v>
      </c>
      <c r="G925">
        <v>630</v>
      </c>
      <c r="I925" t="s">
        <v>124</v>
      </c>
      <c r="J925" t="s">
        <v>11</v>
      </c>
      <c r="K925" t="s">
        <v>11</v>
      </c>
      <c r="L925" t="str">
        <f>T("9791159286377")</f>
        <v>9791159286377</v>
      </c>
    </row>
    <row r="926" spans="1:12">
      <c r="A926" s="2">
        <v>44790.989224537036</v>
      </c>
      <c r="B926">
        <v>296965886</v>
      </c>
      <c r="C926" t="s">
        <v>151</v>
      </c>
      <c r="D926" t="s">
        <v>9</v>
      </c>
      <c r="E926" s="3">
        <v>2500</v>
      </c>
      <c r="F926" s="3">
        <v>2500</v>
      </c>
      <c r="G926" s="3">
        <v>1750</v>
      </c>
      <c r="I926" t="s">
        <v>152</v>
      </c>
      <c r="J926" t="s">
        <v>40</v>
      </c>
      <c r="K926" t="s">
        <v>11</v>
      </c>
      <c r="L926" t="str">
        <f>T("9791191562507")</f>
        <v>9791191562507</v>
      </c>
    </row>
    <row r="927" spans="1:12">
      <c r="A927" s="2">
        <v>44791.010659722226</v>
      </c>
      <c r="B927">
        <v>298750948</v>
      </c>
      <c r="C927" t="s">
        <v>259</v>
      </c>
      <c r="D927" t="s">
        <v>9</v>
      </c>
      <c r="E927" s="3">
        <v>3500</v>
      </c>
      <c r="F927" s="3">
        <v>3500</v>
      </c>
      <c r="G927" s="3">
        <v>2450</v>
      </c>
      <c r="I927" t="s">
        <v>38</v>
      </c>
      <c r="J927" t="s">
        <v>40</v>
      </c>
      <c r="K927" t="s">
        <v>11</v>
      </c>
      <c r="L927" t="str">
        <f>T("9791191562866")</f>
        <v>9791191562866</v>
      </c>
    </row>
    <row r="928" spans="1:12">
      <c r="A928" s="2">
        <v>44791.028495370374</v>
      </c>
      <c r="B928">
        <v>248187305</v>
      </c>
      <c r="C928" t="s">
        <v>261</v>
      </c>
      <c r="D928" t="s">
        <v>9</v>
      </c>
      <c r="E928" s="3">
        <v>3200</v>
      </c>
      <c r="F928" s="3">
        <v>3200</v>
      </c>
      <c r="G928" s="3">
        <v>2240</v>
      </c>
      <c r="I928" t="s">
        <v>181</v>
      </c>
      <c r="J928" t="s">
        <v>11</v>
      </c>
      <c r="K928" t="s">
        <v>11</v>
      </c>
      <c r="L928" t="str">
        <f>T("9791190937238")</f>
        <v>9791190937238</v>
      </c>
    </row>
    <row r="929" spans="1:12">
      <c r="A929" s="2">
        <v>44791.029293981483</v>
      </c>
      <c r="B929">
        <v>248187260</v>
      </c>
      <c r="C929" t="s">
        <v>204</v>
      </c>
      <c r="D929" t="s">
        <v>9</v>
      </c>
      <c r="E929" s="3">
        <v>3200</v>
      </c>
      <c r="F929" s="3">
        <v>3200</v>
      </c>
      <c r="G929" s="3">
        <v>2240</v>
      </c>
      <c r="I929" t="s">
        <v>181</v>
      </c>
      <c r="J929" t="s">
        <v>11</v>
      </c>
      <c r="K929" t="s">
        <v>11</v>
      </c>
      <c r="L929" t="str">
        <f>T("9791190937160")</f>
        <v>9791190937160</v>
      </c>
    </row>
    <row r="930" spans="1:12">
      <c r="A930" s="2">
        <v>44791.048668981479</v>
      </c>
      <c r="B930">
        <v>295462572</v>
      </c>
      <c r="C930" t="s">
        <v>108</v>
      </c>
      <c r="D930" t="s">
        <v>9</v>
      </c>
      <c r="E930" s="3">
        <v>2000</v>
      </c>
      <c r="F930" s="3">
        <v>2000</v>
      </c>
      <c r="G930" s="3">
        <v>1400</v>
      </c>
      <c r="I930" t="s">
        <v>32</v>
      </c>
      <c r="J930" t="s">
        <v>40</v>
      </c>
      <c r="K930" t="s">
        <v>11</v>
      </c>
      <c r="L930" t="str">
        <f>T("9791191562361")</f>
        <v>9791191562361</v>
      </c>
    </row>
    <row r="931" spans="1:12">
      <c r="A931" s="2">
        <v>44791.214270833334</v>
      </c>
      <c r="B931">
        <v>299562124</v>
      </c>
      <c r="C931" t="s">
        <v>369</v>
      </c>
      <c r="D931" t="s">
        <v>9</v>
      </c>
      <c r="E931" s="3">
        <v>2000</v>
      </c>
      <c r="F931" s="3">
        <v>2000</v>
      </c>
      <c r="G931" s="3">
        <v>1400</v>
      </c>
      <c r="I931" t="s">
        <v>370</v>
      </c>
      <c r="J931" t="s">
        <v>40</v>
      </c>
      <c r="K931" t="s">
        <v>11</v>
      </c>
      <c r="L931" t="str">
        <f>T("9791191562873")</f>
        <v>9791191562873</v>
      </c>
    </row>
    <row r="932" spans="1:12">
      <c r="A932" s="2">
        <v>44791.352650462963</v>
      </c>
      <c r="B932">
        <v>299562124</v>
      </c>
      <c r="C932" t="s">
        <v>369</v>
      </c>
      <c r="D932" t="s">
        <v>9</v>
      </c>
      <c r="E932" s="3">
        <v>2000</v>
      </c>
      <c r="F932" s="3">
        <v>2000</v>
      </c>
      <c r="G932" s="3">
        <v>1400</v>
      </c>
      <c r="I932" t="s">
        <v>370</v>
      </c>
      <c r="J932" t="s">
        <v>40</v>
      </c>
      <c r="K932" t="s">
        <v>11</v>
      </c>
      <c r="L932" t="str">
        <f>T("9791191562873")</f>
        <v>9791191562873</v>
      </c>
    </row>
    <row r="933" spans="1:12">
      <c r="A933" s="2">
        <v>44791.431469907409</v>
      </c>
      <c r="B933">
        <v>299562124</v>
      </c>
      <c r="C933" t="s">
        <v>369</v>
      </c>
      <c r="D933" t="s">
        <v>9</v>
      </c>
      <c r="E933" s="3">
        <v>2000</v>
      </c>
      <c r="F933" s="3">
        <v>2000</v>
      </c>
      <c r="G933" s="3">
        <v>1400</v>
      </c>
      <c r="I933" t="s">
        <v>370</v>
      </c>
      <c r="J933" t="s">
        <v>40</v>
      </c>
      <c r="K933" t="s">
        <v>11</v>
      </c>
      <c r="L933" t="str">
        <f>T("9791191562873")</f>
        <v>9791191562873</v>
      </c>
    </row>
    <row r="934" spans="1:12">
      <c r="A934" s="2">
        <v>44791.438113425924</v>
      </c>
      <c r="B934">
        <v>295836446</v>
      </c>
      <c r="C934" t="s">
        <v>129</v>
      </c>
      <c r="D934" t="s">
        <v>9</v>
      </c>
      <c r="E934" s="3">
        <v>2000</v>
      </c>
      <c r="F934" s="3">
        <v>2000</v>
      </c>
      <c r="G934" s="3">
        <v>1400</v>
      </c>
      <c r="I934" t="s">
        <v>59</v>
      </c>
      <c r="J934" t="s">
        <v>40</v>
      </c>
      <c r="K934" t="s">
        <v>11</v>
      </c>
      <c r="L934" t="str">
        <f>T("9791191562798")</f>
        <v>9791191562798</v>
      </c>
    </row>
    <row r="935" spans="1:12">
      <c r="A935" s="2">
        <v>44791.438773148147</v>
      </c>
      <c r="B935">
        <v>291088925</v>
      </c>
      <c r="C935" t="s">
        <v>58</v>
      </c>
      <c r="D935" t="s">
        <v>9</v>
      </c>
      <c r="E935" s="3">
        <v>2000</v>
      </c>
      <c r="F935" s="3">
        <v>2000</v>
      </c>
      <c r="G935" s="3">
        <v>1400</v>
      </c>
      <c r="I935" t="s">
        <v>59</v>
      </c>
      <c r="J935" t="s">
        <v>40</v>
      </c>
      <c r="K935" t="s">
        <v>11</v>
      </c>
      <c r="L935" t="str">
        <f>T("9791191562187")</f>
        <v>9791191562187</v>
      </c>
    </row>
    <row r="936" spans="1:12">
      <c r="A936" s="2">
        <v>44791.478773148148</v>
      </c>
      <c r="B936">
        <v>229783679</v>
      </c>
      <c r="C936" t="s">
        <v>234</v>
      </c>
      <c r="D936" t="s">
        <v>9</v>
      </c>
      <c r="E936" s="3">
        <v>-6700</v>
      </c>
      <c r="F936" s="3">
        <v>-6700</v>
      </c>
      <c r="G936" s="3">
        <v>-4690</v>
      </c>
      <c r="H936" s="2">
        <v>44791.478344907409</v>
      </c>
      <c r="I936" t="s">
        <v>98</v>
      </c>
      <c r="J936" t="s">
        <v>71</v>
      </c>
      <c r="K936" t="s">
        <v>11</v>
      </c>
      <c r="L936" t="str">
        <f>T("9791164371730")</f>
        <v>9791164371730</v>
      </c>
    </row>
    <row r="937" spans="1:12">
      <c r="A937" s="2">
        <v>44791.478344907409</v>
      </c>
      <c r="B937">
        <v>229783679</v>
      </c>
      <c r="C937" t="s">
        <v>234</v>
      </c>
      <c r="D937" t="s">
        <v>9</v>
      </c>
      <c r="E937" s="3">
        <v>6700</v>
      </c>
      <c r="F937" s="3">
        <v>6700</v>
      </c>
      <c r="G937" s="3">
        <v>4690</v>
      </c>
      <c r="I937" t="s">
        <v>98</v>
      </c>
      <c r="J937" t="s">
        <v>71</v>
      </c>
      <c r="K937" t="s">
        <v>11</v>
      </c>
      <c r="L937" t="str">
        <f>T("9791164371730")</f>
        <v>9791164371730</v>
      </c>
    </row>
    <row r="938" spans="1:12">
      <c r="A938" s="2">
        <v>44791.478773148148</v>
      </c>
      <c r="B938">
        <v>257828594</v>
      </c>
      <c r="C938" t="s">
        <v>235</v>
      </c>
      <c r="D938" t="s">
        <v>9</v>
      </c>
      <c r="E938" s="3">
        <v>-8000</v>
      </c>
      <c r="F938" s="3">
        <v>-8000</v>
      </c>
      <c r="G938" s="3">
        <v>-5600</v>
      </c>
      <c r="H938" s="2">
        <v>44791.478344907409</v>
      </c>
      <c r="I938" t="s">
        <v>98</v>
      </c>
      <c r="J938" t="s">
        <v>71</v>
      </c>
      <c r="K938" t="s">
        <v>11</v>
      </c>
      <c r="L938" t="str">
        <f>T("9791164373796")</f>
        <v>9791164373796</v>
      </c>
    </row>
    <row r="939" spans="1:12">
      <c r="A939" s="2">
        <v>44791.478344907409</v>
      </c>
      <c r="B939">
        <v>257828594</v>
      </c>
      <c r="C939" t="s">
        <v>235</v>
      </c>
      <c r="D939" t="s">
        <v>9</v>
      </c>
      <c r="E939" s="3">
        <v>8000</v>
      </c>
      <c r="F939" s="3">
        <v>8000</v>
      </c>
      <c r="G939" s="3">
        <v>5600</v>
      </c>
      <c r="I939" t="s">
        <v>98</v>
      </c>
      <c r="J939" t="s">
        <v>71</v>
      </c>
      <c r="K939" t="s">
        <v>11</v>
      </c>
      <c r="L939" t="str">
        <f>T("9791164373796")</f>
        <v>9791164373796</v>
      </c>
    </row>
    <row r="940" spans="1:12">
      <c r="A940" s="2">
        <v>44791.478344907409</v>
      </c>
      <c r="B940">
        <v>299562124</v>
      </c>
      <c r="C940" t="s">
        <v>369</v>
      </c>
      <c r="D940" t="s">
        <v>9</v>
      </c>
      <c r="E940" s="3">
        <v>2000</v>
      </c>
      <c r="F940" s="3">
        <v>2000</v>
      </c>
      <c r="G940" s="3">
        <v>1400</v>
      </c>
      <c r="I940" t="s">
        <v>370</v>
      </c>
      <c r="J940" t="s">
        <v>40</v>
      </c>
      <c r="K940" t="s">
        <v>11</v>
      </c>
      <c r="L940" t="str">
        <f>T("9791191562873")</f>
        <v>9791191562873</v>
      </c>
    </row>
    <row r="941" spans="1:12">
      <c r="A941" s="2">
        <v>44791.478773148148</v>
      </c>
      <c r="B941">
        <v>299562124</v>
      </c>
      <c r="C941" t="s">
        <v>369</v>
      </c>
      <c r="D941" t="s">
        <v>9</v>
      </c>
      <c r="E941" s="3">
        <v>-2000</v>
      </c>
      <c r="F941" s="3">
        <v>-2000</v>
      </c>
      <c r="G941" s="3">
        <v>-1400</v>
      </c>
      <c r="H941" s="2">
        <v>44791.478344907409</v>
      </c>
      <c r="I941" t="s">
        <v>370</v>
      </c>
      <c r="J941" t="s">
        <v>40</v>
      </c>
      <c r="K941" t="s">
        <v>11</v>
      </c>
      <c r="L941" t="str">
        <f>T("9791191562873")</f>
        <v>9791191562873</v>
      </c>
    </row>
    <row r="942" spans="1:12">
      <c r="A942" s="2">
        <v>44791.526064814818</v>
      </c>
      <c r="B942">
        <v>299961390</v>
      </c>
      <c r="C942" t="s">
        <v>425</v>
      </c>
      <c r="D942" t="s">
        <v>9</v>
      </c>
      <c r="E942" s="3">
        <v>2000</v>
      </c>
      <c r="F942" s="3">
        <v>2000</v>
      </c>
      <c r="G942" s="3">
        <v>1400</v>
      </c>
      <c r="I942" t="s">
        <v>42</v>
      </c>
      <c r="J942" t="s">
        <v>40</v>
      </c>
      <c r="K942" t="s">
        <v>11</v>
      </c>
      <c r="L942" t="str">
        <f>T("9791191562880")</f>
        <v>9791191562880</v>
      </c>
    </row>
    <row r="943" spans="1:12">
      <c r="A943" s="2">
        <v>44791.571388888886</v>
      </c>
      <c r="B943">
        <v>299562124</v>
      </c>
      <c r="C943" t="s">
        <v>369</v>
      </c>
      <c r="D943" t="s">
        <v>9</v>
      </c>
      <c r="E943" s="3">
        <v>2000</v>
      </c>
      <c r="F943" s="3">
        <v>2000</v>
      </c>
      <c r="G943" s="3">
        <v>1400</v>
      </c>
      <c r="I943" t="s">
        <v>370</v>
      </c>
      <c r="J943" t="s">
        <v>40</v>
      </c>
      <c r="K943" t="s">
        <v>11</v>
      </c>
      <c r="L943" t="str">
        <f>T("9791191562873")</f>
        <v>9791191562873</v>
      </c>
    </row>
    <row r="944" spans="1:12">
      <c r="A944" s="2">
        <v>44791.608784722222</v>
      </c>
      <c r="B944">
        <v>292815408</v>
      </c>
      <c r="C944" t="s">
        <v>219</v>
      </c>
      <c r="D944" t="s">
        <v>9</v>
      </c>
      <c r="E944" s="3">
        <v>2000</v>
      </c>
      <c r="F944" s="3">
        <v>2000</v>
      </c>
      <c r="G944" s="3">
        <v>1400</v>
      </c>
      <c r="I944" t="s">
        <v>220</v>
      </c>
      <c r="J944" t="s">
        <v>40</v>
      </c>
      <c r="K944" t="s">
        <v>11</v>
      </c>
      <c r="L944" t="str">
        <f>T("9791191562286")</f>
        <v>9791191562286</v>
      </c>
    </row>
    <row r="945" spans="1:12">
      <c r="A945" s="2">
        <v>44791.741354166668</v>
      </c>
      <c r="B945">
        <v>299562124</v>
      </c>
      <c r="C945" t="s">
        <v>369</v>
      </c>
      <c r="D945" t="s">
        <v>9</v>
      </c>
      <c r="E945" s="3">
        <v>2000</v>
      </c>
      <c r="F945" s="3">
        <v>2000</v>
      </c>
      <c r="G945" s="3">
        <v>1400</v>
      </c>
      <c r="I945" t="s">
        <v>370</v>
      </c>
      <c r="J945" t="s">
        <v>40</v>
      </c>
      <c r="K945" t="s">
        <v>11</v>
      </c>
      <c r="L945" t="str">
        <f>T("9791191562873")</f>
        <v>9791191562873</v>
      </c>
    </row>
    <row r="946" spans="1:12">
      <c r="A946" s="2">
        <v>44791.744004629632</v>
      </c>
      <c r="B946">
        <v>223422666</v>
      </c>
      <c r="C946" t="s">
        <v>199</v>
      </c>
      <c r="D946" t="s">
        <v>9</v>
      </c>
      <c r="E946" s="3">
        <v>2500</v>
      </c>
      <c r="F946" s="3">
        <v>2500</v>
      </c>
      <c r="G946" s="3">
        <v>1750</v>
      </c>
      <c r="I946" t="s">
        <v>18</v>
      </c>
      <c r="J946" t="s">
        <v>17</v>
      </c>
      <c r="K946" t="s">
        <v>11</v>
      </c>
      <c r="L946" t="str">
        <f>T("9791164486137")</f>
        <v>9791164486137</v>
      </c>
    </row>
    <row r="947" spans="1:12">
      <c r="A947" s="2">
        <v>44791.744004629632</v>
      </c>
      <c r="B947">
        <v>223422661</v>
      </c>
      <c r="C947" t="s">
        <v>178</v>
      </c>
      <c r="D947" t="s">
        <v>9</v>
      </c>
      <c r="E947" s="3">
        <v>2500</v>
      </c>
      <c r="F947" s="3">
        <v>2500</v>
      </c>
      <c r="G947" s="3">
        <v>1750</v>
      </c>
      <c r="I947" t="s">
        <v>18</v>
      </c>
      <c r="J947" t="s">
        <v>17</v>
      </c>
      <c r="K947" t="s">
        <v>11</v>
      </c>
      <c r="L947" t="str">
        <f>T("9791164486090")</f>
        <v>9791164486090</v>
      </c>
    </row>
    <row r="948" spans="1:12">
      <c r="A948" s="2">
        <v>44791.744004629632</v>
      </c>
      <c r="B948">
        <v>223422662</v>
      </c>
      <c r="C948" t="s">
        <v>179</v>
      </c>
      <c r="D948" t="s">
        <v>9</v>
      </c>
      <c r="E948" s="3">
        <v>2500</v>
      </c>
      <c r="F948" s="3">
        <v>2500</v>
      </c>
      <c r="G948" s="3">
        <v>1750</v>
      </c>
      <c r="I948" t="s">
        <v>18</v>
      </c>
      <c r="J948" t="s">
        <v>17</v>
      </c>
      <c r="K948" t="s">
        <v>11</v>
      </c>
      <c r="L948" t="str">
        <f>T("9791164486106")</f>
        <v>9791164486106</v>
      </c>
    </row>
    <row r="949" spans="1:12">
      <c r="A949" s="2">
        <v>44791.744004629632</v>
      </c>
      <c r="B949">
        <v>223422663</v>
      </c>
      <c r="C949" t="s">
        <v>196</v>
      </c>
      <c r="D949" t="s">
        <v>9</v>
      </c>
      <c r="E949" s="3">
        <v>2500</v>
      </c>
      <c r="F949" s="3">
        <v>2500</v>
      </c>
      <c r="G949" s="3">
        <v>1750</v>
      </c>
      <c r="I949" t="s">
        <v>18</v>
      </c>
      <c r="J949" t="s">
        <v>17</v>
      </c>
      <c r="K949" t="s">
        <v>11</v>
      </c>
      <c r="L949" t="str">
        <f>T("9791164486113")</f>
        <v>9791164486113</v>
      </c>
    </row>
    <row r="950" spans="1:12">
      <c r="A950" s="2">
        <v>44791.744004629632</v>
      </c>
      <c r="B950">
        <v>223422664</v>
      </c>
      <c r="C950" t="s">
        <v>197</v>
      </c>
      <c r="D950" t="s">
        <v>9</v>
      </c>
      <c r="E950" s="3">
        <v>2500</v>
      </c>
      <c r="F950" s="3">
        <v>2500</v>
      </c>
      <c r="G950" s="3">
        <v>1750</v>
      </c>
      <c r="I950" t="s">
        <v>18</v>
      </c>
      <c r="J950" t="s">
        <v>17</v>
      </c>
      <c r="K950" t="s">
        <v>11</v>
      </c>
      <c r="L950" t="str">
        <f>T("9791164486120")</f>
        <v>9791164486120</v>
      </c>
    </row>
    <row r="951" spans="1:12">
      <c r="A951" s="2">
        <v>44791.744004629632</v>
      </c>
      <c r="B951">
        <v>223422658</v>
      </c>
      <c r="C951" t="s">
        <v>167</v>
      </c>
      <c r="D951" t="s">
        <v>9</v>
      </c>
      <c r="E951" s="3">
        <v>2500</v>
      </c>
      <c r="F951" s="3">
        <v>2500</v>
      </c>
      <c r="G951" s="3">
        <v>1750</v>
      </c>
      <c r="I951" t="s">
        <v>18</v>
      </c>
      <c r="J951" t="s">
        <v>17</v>
      </c>
      <c r="K951" t="s">
        <v>11</v>
      </c>
      <c r="L951" t="str">
        <f>T("9791164486076")</f>
        <v>9791164486076</v>
      </c>
    </row>
    <row r="952" spans="1:12">
      <c r="A952" s="2">
        <v>44791.744004629632</v>
      </c>
      <c r="B952">
        <v>223422659</v>
      </c>
      <c r="C952" t="s">
        <v>177</v>
      </c>
      <c r="D952" t="s">
        <v>9</v>
      </c>
      <c r="E952" s="3">
        <v>2500</v>
      </c>
      <c r="F952" s="3">
        <v>2500</v>
      </c>
      <c r="G952" s="3">
        <v>1750</v>
      </c>
      <c r="I952" t="s">
        <v>18</v>
      </c>
      <c r="J952" t="s">
        <v>17</v>
      </c>
      <c r="K952" t="s">
        <v>11</v>
      </c>
      <c r="L952" t="str">
        <f>T("9791164486083")</f>
        <v>9791164486083</v>
      </c>
    </row>
    <row r="953" spans="1:12">
      <c r="A953" s="2">
        <v>44791.752962962964</v>
      </c>
      <c r="B953">
        <v>287834730</v>
      </c>
      <c r="C953" t="s">
        <v>37</v>
      </c>
      <c r="D953" t="s">
        <v>9</v>
      </c>
      <c r="E953" s="3">
        <v>2000</v>
      </c>
      <c r="F953" s="3">
        <v>2000</v>
      </c>
      <c r="G953" s="3">
        <v>1400</v>
      </c>
      <c r="I953" t="s">
        <v>32</v>
      </c>
      <c r="J953" t="s">
        <v>40</v>
      </c>
      <c r="K953" t="s">
        <v>11</v>
      </c>
      <c r="L953" t="str">
        <f>T("9791191562019")</f>
        <v>9791191562019</v>
      </c>
    </row>
    <row r="954" spans="1:12">
      <c r="A954" s="2">
        <v>44791.819664351853</v>
      </c>
      <c r="B954">
        <v>298750948</v>
      </c>
      <c r="C954" t="s">
        <v>259</v>
      </c>
      <c r="D954" t="s">
        <v>9</v>
      </c>
      <c r="E954" s="3">
        <v>3500</v>
      </c>
      <c r="F954" s="3">
        <v>3500</v>
      </c>
      <c r="G954" s="3">
        <v>2450</v>
      </c>
      <c r="I954" t="s">
        <v>38</v>
      </c>
      <c r="J954" t="s">
        <v>40</v>
      </c>
      <c r="K954" t="s">
        <v>11</v>
      </c>
      <c r="L954" t="str">
        <f>T("9791191562866")</f>
        <v>9791191562866</v>
      </c>
    </row>
    <row r="955" spans="1:12">
      <c r="A955" s="2">
        <v>44791.855879629627</v>
      </c>
      <c r="B955">
        <v>48799527</v>
      </c>
      <c r="C955" t="s">
        <v>170</v>
      </c>
      <c r="D955" t="s">
        <v>9</v>
      </c>
      <c r="E955">
        <v>0</v>
      </c>
      <c r="F955">
        <v>0</v>
      </c>
      <c r="G955">
        <v>0</v>
      </c>
      <c r="I955" t="s">
        <v>10</v>
      </c>
      <c r="J955" t="s">
        <v>11</v>
      </c>
      <c r="K955" t="s">
        <v>11</v>
      </c>
      <c r="L955" t="str">
        <f>T("9791159283529")</f>
        <v>9791159283529</v>
      </c>
    </row>
    <row r="956" spans="1:12">
      <c r="A956" s="2">
        <v>44791.879930555559</v>
      </c>
      <c r="B956">
        <v>289315562</v>
      </c>
      <c r="C956" t="s">
        <v>41</v>
      </c>
      <c r="D956" t="s">
        <v>9</v>
      </c>
      <c r="E956" s="3">
        <v>3000</v>
      </c>
      <c r="F956" s="3">
        <v>3000</v>
      </c>
      <c r="G956" s="3">
        <v>2100</v>
      </c>
      <c r="I956" t="s">
        <v>38</v>
      </c>
      <c r="J956" t="s">
        <v>40</v>
      </c>
      <c r="K956" t="s">
        <v>11</v>
      </c>
      <c r="L956" t="str">
        <f>T("9791191562101")</f>
        <v>9791191562101</v>
      </c>
    </row>
    <row r="957" spans="1:12">
      <c r="A957" s="2">
        <v>44791.879930555559</v>
      </c>
      <c r="B957">
        <v>298750948</v>
      </c>
      <c r="C957" t="s">
        <v>259</v>
      </c>
      <c r="D957" t="s">
        <v>9</v>
      </c>
      <c r="E957" s="3">
        <v>3500</v>
      </c>
      <c r="F957" s="3">
        <v>3500</v>
      </c>
      <c r="G957" s="3">
        <v>2450</v>
      </c>
      <c r="I957" t="s">
        <v>38</v>
      </c>
      <c r="J957" t="s">
        <v>40</v>
      </c>
      <c r="K957" t="s">
        <v>11</v>
      </c>
      <c r="L957" t="str">
        <f>T("9791191562866")</f>
        <v>9791191562866</v>
      </c>
    </row>
    <row r="958" spans="1:12">
      <c r="A958" s="2">
        <v>44791.903912037036</v>
      </c>
      <c r="B958">
        <v>291088925</v>
      </c>
      <c r="C958" t="s">
        <v>58</v>
      </c>
      <c r="D958" t="s">
        <v>9</v>
      </c>
      <c r="E958" s="3">
        <v>2000</v>
      </c>
      <c r="F958" s="3">
        <v>2000</v>
      </c>
      <c r="G958" s="3">
        <v>1400</v>
      </c>
      <c r="I958" t="s">
        <v>59</v>
      </c>
      <c r="J958" t="s">
        <v>40</v>
      </c>
      <c r="K958" t="s">
        <v>11</v>
      </c>
      <c r="L958" t="str">
        <f>T("9791191562187")</f>
        <v>9791191562187</v>
      </c>
    </row>
    <row r="959" spans="1:12">
      <c r="A959" s="2">
        <v>44792.004016203704</v>
      </c>
      <c r="B959">
        <v>299562124</v>
      </c>
      <c r="C959" t="s">
        <v>369</v>
      </c>
      <c r="D959" t="s">
        <v>9</v>
      </c>
      <c r="E959" s="3">
        <v>2000</v>
      </c>
      <c r="F959" s="3">
        <v>2000</v>
      </c>
      <c r="G959" s="3">
        <v>1400</v>
      </c>
      <c r="I959" t="s">
        <v>370</v>
      </c>
      <c r="J959" t="s">
        <v>40</v>
      </c>
      <c r="K959" t="s">
        <v>11</v>
      </c>
      <c r="L959" t="str">
        <f>T("9791191562873")</f>
        <v>9791191562873</v>
      </c>
    </row>
    <row r="960" spans="1:12">
      <c r="A960" s="2">
        <v>44792.082361111112</v>
      </c>
      <c r="B960">
        <v>299562124</v>
      </c>
      <c r="C960" t="s">
        <v>369</v>
      </c>
      <c r="D960" t="s">
        <v>9</v>
      </c>
      <c r="E960" s="3">
        <v>2000</v>
      </c>
      <c r="F960" s="3">
        <v>2000</v>
      </c>
      <c r="G960" s="3">
        <v>1400</v>
      </c>
      <c r="I960" t="s">
        <v>370</v>
      </c>
      <c r="J960" t="s">
        <v>40</v>
      </c>
      <c r="K960" t="s">
        <v>11</v>
      </c>
      <c r="L960" t="str">
        <f>T("9791191562873")</f>
        <v>9791191562873</v>
      </c>
    </row>
    <row r="961" spans="1:12">
      <c r="A961" s="2">
        <v>44792.11824074074</v>
      </c>
      <c r="B961">
        <v>299562124</v>
      </c>
      <c r="C961" t="s">
        <v>369</v>
      </c>
      <c r="D961" t="s">
        <v>9</v>
      </c>
      <c r="E961" s="3">
        <v>2000</v>
      </c>
      <c r="F961" s="3">
        <v>2000</v>
      </c>
      <c r="G961" s="3">
        <v>1400</v>
      </c>
      <c r="I961" t="s">
        <v>370</v>
      </c>
      <c r="J961" t="s">
        <v>40</v>
      </c>
      <c r="K961" t="s">
        <v>11</v>
      </c>
      <c r="L961" t="str">
        <f>T("9791191562873")</f>
        <v>9791191562873</v>
      </c>
    </row>
    <row r="962" spans="1:12">
      <c r="A962" s="2">
        <v>44792.32545138889</v>
      </c>
      <c r="B962">
        <v>291906257</v>
      </c>
      <c r="C962" t="s">
        <v>63</v>
      </c>
      <c r="D962" t="s">
        <v>9</v>
      </c>
      <c r="E962" s="3">
        <v>3200</v>
      </c>
      <c r="F962" s="3">
        <v>3200</v>
      </c>
      <c r="G962" s="3">
        <v>2240</v>
      </c>
      <c r="I962" t="s">
        <v>13</v>
      </c>
      <c r="J962" t="s">
        <v>11</v>
      </c>
      <c r="K962" t="s">
        <v>11</v>
      </c>
      <c r="L962" t="str">
        <f>T("9791166300806")</f>
        <v>9791166300806</v>
      </c>
    </row>
    <row r="963" spans="1:12">
      <c r="A963" s="2">
        <v>44792.32545138889</v>
      </c>
      <c r="B963">
        <v>291906260</v>
      </c>
      <c r="C963" t="s">
        <v>64</v>
      </c>
      <c r="D963" t="s">
        <v>9</v>
      </c>
      <c r="E963" s="3">
        <v>3200</v>
      </c>
      <c r="F963" s="3">
        <v>3200</v>
      </c>
      <c r="G963" s="3">
        <v>2240</v>
      </c>
      <c r="I963" t="s">
        <v>13</v>
      </c>
      <c r="J963" t="s">
        <v>11</v>
      </c>
      <c r="K963" t="s">
        <v>11</v>
      </c>
      <c r="L963" t="str">
        <f>T("9791166300820")</f>
        <v>9791166300820</v>
      </c>
    </row>
    <row r="964" spans="1:12">
      <c r="A964" s="2">
        <v>44792.32545138889</v>
      </c>
      <c r="B964">
        <v>291906269</v>
      </c>
      <c r="C964" t="s">
        <v>66</v>
      </c>
      <c r="D964" t="s">
        <v>9</v>
      </c>
      <c r="E964" s="3">
        <v>3200</v>
      </c>
      <c r="F964" s="3">
        <v>3200</v>
      </c>
      <c r="G964" s="3">
        <v>2240</v>
      </c>
      <c r="I964" t="s">
        <v>13</v>
      </c>
      <c r="J964" t="s">
        <v>11</v>
      </c>
      <c r="K964" t="s">
        <v>11</v>
      </c>
      <c r="L964" t="str">
        <f>T("9791166300837")</f>
        <v>9791166300837</v>
      </c>
    </row>
    <row r="965" spans="1:12">
      <c r="A965" s="2">
        <v>44792.32545138889</v>
      </c>
      <c r="B965">
        <v>291906270</v>
      </c>
      <c r="C965" t="s">
        <v>67</v>
      </c>
      <c r="D965" t="s">
        <v>9</v>
      </c>
      <c r="E965" s="3">
        <v>3200</v>
      </c>
      <c r="F965" s="3">
        <v>3200</v>
      </c>
      <c r="G965" s="3">
        <v>2240</v>
      </c>
      <c r="I965" t="s">
        <v>13</v>
      </c>
      <c r="J965" t="s">
        <v>11</v>
      </c>
      <c r="K965" t="s">
        <v>11</v>
      </c>
      <c r="L965" t="str">
        <f>T("9791166300813")</f>
        <v>9791166300813</v>
      </c>
    </row>
    <row r="966" spans="1:12">
      <c r="A966" s="2">
        <v>44792.32545138889</v>
      </c>
      <c r="B966">
        <v>291906272</v>
      </c>
      <c r="C966" t="s">
        <v>69</v>
      </c>
      <c r="D966" t="s">
        <v>9</v>
      </c>
      <c r="E966" s="3">
        <v>3200</v>
      </c>
      <c r="F966" s="3">
        <v>3200</v>
      </c>
      <c r="G966" s="3">
        <v>2240</v>
      </c>
      <c r="I966" t="s">
        <v>13</v>
      </c>
      <c r="J966" t="s">
        <v>11</v>
      </c>
      <c r="K966" t="s">
        <v>11</v>
      </c>
      <c r="L966" t="str">
        <f>T("9791166300844")</f>
        <v>9791166300844</v>
      </c>
    </row>
    <row r="967" spans="1:12">
      <c r="A967" s="2">
        <v>44792.32545138889</v>
      </c>
      <c r="B967">
        <v>291906274</v>
      </c>
      <c r="C967" t="s">
        <v>70</v>
      </c>
      <c r="D967" t="s">
        <v>9</v>
      </c>
      <c r="E967" s="3">
        <v>3200</v>
      </c>
      <c r="F967" s="3">
        <v>3200</v>
      </c>
      <c r="G967" s="3">
        <v>2240</v>
      </c>
      <c r="I967" t="s">
        <v>13</v>
      </c>
      <c r="J967" t="s">
        <v>11</v>
      </c>
      <c r="K967" t="s">
        <v>11</v>
      </c>
      <c r="L967" t="str">
        <f>T("9791166300875")</f>
        <v>9791166300875</v>
      </c>
    </row>
    <row r="968" spans="1:12">
      <c r="A968" s="2">
        <v>44792.32545138889</v>
      </c>
      <c r="B968">
        <v>291906271</v>
      </c>
      <c r="C968" t="s">
        <v>68</v>
      </c>
      <c r="D968" t="s">
        <v>9</v>
      </c>
      <c r="E968" s="3">
        <v>3200</v>
      </c>
      <c r="F968" s="3">
        <v>3200</v>
      </c>
      <c r="G968" s="3">
        <v>2240</v>
      </c>
      <c r="I968" t="s">
        <v>13</v>
      </c>
      <c r="J968" t="s">
        <v>11</v>
      </c>
      <c r="K968" t="s">
        <v>11</v>
      </c>
      <c r="L968" t="str">
        <f>T("9791166300851")</f>
        <v>9791166300851</v>
      </c>
    </row>
    <row r="969" spans="1:12">
      <c r="A969" s="2">
        <v>44792.32545138889</v>
      </c>
      <c r="B969">
        <v>291906263</v>
      </c>
      <c r="C969" t="s">
        <v>65</v>
      </c>
      <c r="D969" t="s">
        <v>9</v>
      </c>
      <c r="E969" s="3">
        <v>3200</v>
      </c>
      <c r="F969" s="3">
        <v>3200</v>
      </c>
      <c r="G969" s="3">
        <v>2240</v>
      </c>
      <c r="I969" t="s">
        <v>13</v>
      </c>
      <c r="J969" t="s">
        <v>11</v>
      </c>
      <c r="K969" t="s">
        <v>11</v>
      </c>
      <c r="L969" t="str">
        <f>T("9791166300868")</f>
        <v>9791166300868</v>
      </c>
    </row>
    <row r="970" spans="1:12">
      <c r="A970" s="2">
        <v>44792.484155092592</v>
      </c>
      <c r="B970">
        <v>294674998</v>
      </c>
      <c r="C970" t="s">
        <v>112</v>
      </c>
      <c r="D970" t="s">
        <v>9</v>
      </c>
      <c r="E970" s="3">
        <v>2000</v>
      </c>
      <c r="F970" s="3">
        <v>2000</v>
      </c>
      <c r="G970" s="3">
        <v>1400</v>
      </c>
      <c r="I970" t="s">
        <v>111</v>
      </c>
      <c r="J970" t="s">
        <v>40</v>
      </c>
      <c r="K970" t="s">
        <v>11</v>
      </c>
      <c r="L970" t="str">
        <f>T("9791191562385")</f>
        <v>9791191562385</v>
      </c>
    </row>
    <row r="971" spans="1:12">
      <c r="A971" s="2">
        <v>44792.520173611112</v>
      </c>
      <c r="B971">
        <v>299562124</v>
      </c>
      <c r="C971" t="s">
        <v>369</v>
      </c>
      <c r="D971" t="s">
        <v>9</v>
      </c>
      <c r="E971" s="3">
        <v>2000</v>
      </c>
      <c r="F971" s="3">
        <v>2000</v>
      </c>
      <c r="G971" s="3">
        <v>1400</v>
      </c>
      <c r="I971" t="s">
        <v>370</v>
      </c>
      <c r="J971" t="s">
        <v>40</v>
      </c>
      <c r="K971" t="s">
        <v>11</v>
      </c>
      <c r="L971" t="str">
        <f>T("9791191562873")</f>
        <v>9791191562873</v>
      </c>
    </row>
    <row r="972" spans="1:12">
      <c r="A972" s="2">
        <v>44792.542569444442</v>
      </c>
      <c r="B972">
        <v>287086652</v>
      </c>
      <c r="C972" t="s">
        <v>33</v>
      </c>
      <c r="D972" t="s">
        <v>9</v>
      </c>
      <c r="E972" s="3">
        <v>2000</v>
      </c>
      <c r="F972" s="3">
        <v>2000</v>
      </c>
      <c r="G972" s="3">
        <v>1400</v>
      </c>
      <c r="I972" t="s">
        <v>30</v>
      </c>
      <c r="J972" t="s">
        <v>40</v>
      </c>
      <c r="K972" t="s">
        <v>11</v>
      </c>
      <c r="L972" t="str">
        <f>T("9791191562033")</f>
        <v>9791191562033</v>
      </c>
    </row>
    <row r="973" spans="1:12">
      <c r="A973" s="2">
        <v>44792.555648148147</v>
      </c>
      <c r="B973">
        <v>297620121</v>
      </c>
      <c r="C973" t="s">
        <v>205</v>
      </c>
      <c r="D973" t="s">
        <v>9</v>
      </c>
      <c r="E973" s="3">
        <v>2000</v>
      </c>
      <c r="F973" s="3">
        <v>2000</v>
      </c>
      <c r="G973" s="3">
        <v>1400</v>
      </c>
      <c r="I973" t="s">
        <v>29</v>
      </c>
      <c r="J973" t="s">
        <v>40</v>
      </c>
      <c r="K973" t="s">
        <v>11</v>
      </c>
      <c r="L973" t="str">
        <f>T("9791191562484")</f>
        <v>9791191562484</v>
      </c>
    </row>
    <row r="974" spans="1:12">
      <c r="A974" s="2">
        <v>44792.558344907404</v>
      </c>
      <c r="B974">
        <v>291088925</v>
      </c>
      <c r="C974" t="s">
        <v>58</v>
      </c>
      <c r="D974" t="s">
        <v>9</v>
      </c>
      <c r="E974" s="3">
        <v>2000</v>
      </c>
      <c r="F974" s="3">
        <v>2000</v>
      </c>
      <c r="G974" s="3">
        <v>1400</v>
      </c>
      <c r="I974" t="s">
        <v>59</v>
      </c>
      <c r="J974" t="s">
        <v>40</v>
      </c>
      <c r="K974" t="s">
        <v>11</v>
      </c>
      <c r="L974" t="str">
        <f>T("9791191562187")</f>
        <v>9791191562187</v>
      </c>
    </row>
    <row r="975" spans="1:12">
      <c r="A975" s="2">
        <v>44792.572071759256</v>
      </c>
      <c r="B975">
        <v>299562124</v>
      </c>
      <c r="C975" t="s">
        <v>369</v>
      </c>
      <c r="D975" t="s">
        <v>9</v>
      </c>
      <c r="E975" s="3">
        <v>2000</v>
      </c>
      <c r="F975" s="3">
        <v>2000</v>
      </c>
      <c r="G975" s="3">
        <v>1400</v>
      </c>
      <c r="I975" t="s">
        <v>370</v>
      </c>
      <c r="J975" t="s">
        <v>40</v>
      </c>
      <c r="K975" t="s">
        <v>11</v>
      </c>
      <c r="L975" t="str">
        <f>T("9791191562873")</f>
        <v>9791191562873</v>
      </c>
    </row>
    <row r="976" spans="1:12">
      <c r="A976" s="2">
        <v>44792.579293981478</v>
      </c>
      <c r="B976">
        <v>296745858</v>
      </c>
      <c r="C976" t="s">
        <v>142</v>
      </c>
      <c r="D976" t="s">
        <v>9</v>
      </c>
      <c r="E976" s="3">
        <v>2000</v>
      </c>
      <c r="F976" s="3">
        <v>2000</v>
      </c>
      <c r="G976" s="3">
        <v>1400</v>
      </c>
      <c r="I976" t="s">
        <v>143</v>
      </c>
      <c r="J976" t="s">
        <v>40</v>
      </c>
      <c r="K976" t="s">
        <v>11</v>
      </c>
      <c r="L976" t="str">
        <f>T("9791191562521")</f>
        <v>9791191562521</v>
      </c>
    </row>
    <row r="977" spans="1:12">
      <c r="A977" s="2">
        <v>44792.689432870371</v>
      </c>
      <c r="B977">
        <v>297620121</v>
      </c>
      <c r="C977" t="s">
        <v>205</v>
      </c>
      <c r="D977" t="s">
        <v>9</v>
      </c>
      <c r="E977" s="3">
        <v>2000</v>
      </c>
      <c r="F977" s="3">
        <v>2000</v>
      </c>
      <c r="G977" s="3">
        <v>1400</v>
      </c>
      <c r="I977" t="s">
        <v>29</v>
      </c>
      <c r="J977" t="s">
        <v>40</v>
      </c>
      <c r="K977" t="s">
        <v>11</v>
      </c>
      <c r="L977" t="str">
        <f>T("9791191562484")</f>
        <v>9791191562484</v>
      </c>
    </row>
    <row r="978" spans="1:12">
      <c r="A978" s="2">
        <v>44792.755891203706</v>
      </c>
      <c r="B978">
        <v>287834730</v>
      </c>
      <c r="C978" t="s">
        <v>37</v>
      </c>
      <c r="D978" t="s">
        <v>9</v>
      </c>
      <c r="E978" s="3">
        <v>2000</v>
      </c>
      <c r="F978" s="3">
        <v>2000</v>
      </c>
      <c r="G978" s="3">
        <v>1400</v>
      </c>
      <c r="I978" t="s">
        <v>32</v>
      </c>
      <c r="J978" t="s">
        <v>40</v>
      </c>
      <c r="K978" t="s">
        <v>11</v>
      </c>
      <c r="L978" t="str">
        <f>T("9791191562019")</f>
        <v>9791191562019</v>
      </c>
    </row>
    <row r="979" spans="1:12">
      <c r="A979" s="2">
        <v>44792.760509259257</v>
      </c>
      <c r="B979">
        <v>299562124</v>
      </c>
      <c r="C979" t="s">
        <v>369</v>
      </c>
      <c r="D979" t="s">
        <v>9</v>
      </c>
      <c r="E979" s="3">
        <v>2000</v>
      </c>
      <c r="F979" s="3">
        <v>2000</v>
      </c>
      <c r="G979" s="3">
        <v>1400</v>
      </c>
      <c r="I979" t="s">
        <v>370</v>
      </c>
      <c r="J979" t="s">
        <v>40</v>
      </c>
      <c r="K979" t="s">
        <v>11</v>
      </c>
      <c r="L979" t="str">
        <f>T("9791191562873")</f>
        <v>9791191562873</v>
      </c>
    </row>
    <row r="980" spans="1:12">
      <c r="A980" s="2">
        <v>44792.782905092594</v>
      </c>
      <c r="B980">
        <v>299562124</v>
      </c>
      <c r="C980" t="s">
        <v>369</v>
      </c>
      <c r="D980" t="s">
        <v>9</v>
      </c>
      <c r="E980" s="3">
        <v>2000</v>
      </c>
      <c r="F980" s="3">
        <v>2000</v>
      </c>
      <c r="G980" s="3">
        <v>1400</v>
      </c>
      <c r="I980" t="s">
        <v>370</v>
      </c>
      <c r="J980" t="s">
        <v>40</v>
      </c>
      <c r="K980" t="s">
        <v>11</v>
      </c>
      <c r="L980" t="str">
        <f>T("9791191562873")</f>
        <v>9791191562873</v>
      </c>
    </row>
    <row r="981" spans="1:12">
      <c r="A981" s="2">
        <v>44792.794108796297</v>
      </c>
      <c r="B981">
        <v>292815408</v>
      </c>
      <c r="C981" t="s">
        <v>219</v>
      </c>
      <c r="D981" t="s">
        <v>9</v>
      </c>
      <c r="E981" s="3">
        <v>2000</v>
      </c>
      <c r="F981" s="3">
        <v>2000</v>
      </c>
      <c r="G981" s="3">
        <v>1400</v>
      </c>
      <c r="I981" t="s">
        <v>220</v>
      </c>
      <c r="J981" t="s">
        <v>40</v>
      </c>
      <c r="K981" t="s">
        <v>11</v>
      </c>
      <c r="L981" t="str">
        <f>T("9791191562286")</f>
        <v>9791191562286</v>
      </c>
    </row>
    <row r="982" spans="1:12">
      <c r="A982" s="2">
        <v>44792.800127314818</v>
      </c>
      <c r="B982">
        <v>296965886</v>
      </c>
      <c r="C982" t="s">
        <v>151</v>
      </c>
      <c r="D982" t="s">
        <v>9</v>
      </c>
      <c r="E982" s="3">
        <v>2500</v>
      </c>
      <c r="F982" s="3">
        <v>2500</v>
      </c>
      <c r="G982" s="3">
        <v>1750</v>
      </c>
      <c r="I982" t="s">
        <v>152</v>
      </c>
      <c r="J982" t="s">
        <v>40</v>
      </c>
      <c r="K982" t="s">
        <v>11</v>
      </c>
      <c r="L982" t="str">
        <f>T("9791191562507")</f>
        <v>9791191562507</v>
      </c>
    </row>
    <row r="983" spans="1:12">
      <c r="A983" s="2">
        <v>44792.85434027778</v>
      </c>
      <c r="B983">
        <v>298014671</v>
      </c>
      <c r="C983" t="s">
        <v>231</v>
      </c>
      <c r="D983" t="s">
        <v>9</v>
      </c>
      <c r="E983" s="3">
        <v>2500</v>
      </c>
      <c r="F983" s="3">
        <v>2500</v>
      </c>
      <c r="G983" s="3">
        <v>1750</v>
      </c>
      <c r="I983" t="s">
        <v>100</v>
      </c>
      <c r="J983" t="s">
        <v>40</v>
      </c>
      <c r="K983" t="s">
        <v>11</v>
      </c>
      <c r="L983" t="str">
        <f>T("9791191562835")</f>
        <v>9791191562835</v>
      </c>
    </row>
    <row r="984" spans="1:12">
      <c r="A984" s="2">
        <v>44792.863483796296</v>
      </c>
      <c r="B984">
        <v>295836446</v>
      </c>
      <c r="C984" t="s">
        <v>129</v>
      </c>
      <c r="D984" t="s">
        <v>9</v>
      </c>
      <c r="E984" s="3">
        <v>2000</v>
      </c>
      <c r="F984" s="3">
        <v>2000</v>
      </c>
      <c r="G984" s="3">
        <v>1400</v>
      </c>
      <c r="I984" t="s">
        <v>59</v>
      </c>
      <c r="J984" t="s">
        <v>40</v>
      </c>
      <c r="K984" t="s">
        <v>11</v>
      </c>
      <c r="L984" t="str">
        <f>T("9791191562798")</f>
        <v>9791191562798</v>
      </c>
    </row>
    <row r="985" spans="1:12">
      <c r="A985" s="2">
        <v>44792.876192129632</v>
      </c>
      <c r="B985">
        <v>149550330</v>
      </c>
      <c r="C985" t="s">
        <v>125</v>
      </c>
      <c r="D985" t="s">
        <v>9</v>
      </c>
      <c r="E985">
        <v>0</v>
      </c>
      <c r="F985">
        <v>0</v>
      </c>
      <c r="G985">
        <v>0</v>
      </c>
      <c r="I985" t="s">
        <v>124</v>
      </c>
      <c r="J985" t="s">
        <v>11</v>
      </c>
      <c r="K985" t="s">
        <v>11</v>
      </c>
      <c r="L985" t="str">
        <f>T("9791159286322")</f>
        <v>9791159286322</v>
      </c>
    </row>
    <row r="986" spans="1:12">
      <c r="A986" s="2">
        <v>44792.881736111114</v>
      </c>
      <c r="B986">
        <v>291088925</v>
      </c>
      <c r="C986" t="s">
        <v>58</v>
      </c>
      <c r="D986" t="s">
        <v>9</v>
      </c>
      <c r="E986" s="3">
        <v>2000</v>
      </c>
      <c r="F986" s="3">
        <v>2000</v>
      </c>
      <c r="G986" s="3">
        <v>1400</v>
      </c>
      <c r="I986" t="s">
        <v>59</v>
      </c>
      <c r="J986" t="s">
        <v>40</v>
      </c>
      <c r="K986" t="s">
        <v>11</v>
      </c>
      <c r="L986" t="str">
        <f>T("9791191562187")</f>
        <v>9791191562187</v>
      </c>
    </row>
    <row r="987" spans="1:12">
      <c r="A987" s="2">
        <v>44792.892581018517</v>
      </c>
      <c r="B987">
        <v>295071451</v>
      </c>
      <c r="C987" t="s">
        <v>109</v>
      </c>
      <c r="D987" t="s">
        <v>9</v>
      </c>
      <c r="E987" s="3">
        <v>2500</v>
      </c>
      <c r="F987" s="3">
        <v>2500</v>
      </c>
      <c r="G987" s="3">
        <v>1750</v>
      </c>
      <c r="I987" t="s">
        <v>34</v>
      </c>
      <c r="J987" t="s">
        <v>40</v>
      </c>
      <c r="K987" t="s">
        <v>11</v>
      </c>
      <c r="L987" t="str">
        <f>T("9791191562439")</f>
        <v>9791191562439</v>
      </c>
    </row>
    <row r="988" spans="1:12">
      <c r="A988" s="2">
        <v>44792.904039351852</v>
      </c>
      <c r="B988">
        <v>299562124</v>
      </c>
      <c r="C988" t="s">
        <v>369</v>
      </c>
      <c r="D988" t="s">
        <v>9</v>
      </c>
      <c r="E988" s="3">
        <v>2000</v>
      </c>
      <c r="F988" s="3">
        <v>2000</v>
      </c>
      <c r="G988" s="3">
        <v>1400</v>
      </c>
      <c r="I988" t="s">
        <v>370</v>
      </c>
      <c r="J988" t="s">
        <v>40</v>
      </c>
      <c r="K988" t="s">
        <v>11</v>
      </c>
      <c r="L988" t="str">
        <f>T("9791191562873")</f>
        <v>9791191562873</v>
      </c>
    </row>
    <row r="989" spans="1:12">
      <c r="A989" s="2">
        <v>44792.905219907407</v>
      </c>
      <c r="B989">
        <v>299562124</v>
      </c>
      <c r="C989" t="s">
        <v>369</v>
      </c>
      <c r="D989" t="s">
        <v>9</v>
      </c>
      <c r="E989" s="3">
        <v>2000</v>
      </c>
      <c r="F989" s="3">
        <v>2000</v>
      </c>
      <c r="G989" s="3">
        <v>1400</v>
      </c>
      <c r="I989" t="s">
        <v>370</v>
      </c>
      <c r="J989" t="s">
        <v>40</v>
      </c>
      <c r="K989" t="s">
        <v>11</v>
      </c>
      <c r="L989" t="str">
        <f>T("9791191562873")</f>
        <v>9791191562873</v>
      </c>
    </row>
    <row r="990" spans="1:12">
      <c r="A990" s="2">
        <v>44792.916689814818</v>
      </c>
      <c r="B990">
        <v>291088925</v>
      </c>
      <c r="C990" t="s">
        <v>58</v>
      </c>
      <c r="D990" t="s">
        <v>9</v>
      </c>
      <c r="E990" s="3">
        <v>2000</v>
      </c>
      <c r="F990" s="3">
        <v>2000</v>
      </c>
      <c r="G990" s="3">
        <v>1400</v>
      </c>
      <c r="I990" t="s">
        <v>59</v>
      </c>
      <c r="J990" t="s">
        <v>40</v>
      </c>
      <c r="K990" t="s">
        <v>11</v>
      </c>
      <c r="L990" t="str">
        <f>T("9791191562187")</f>
        <v>9791191562187</v>
      </c>
    </row>
    <row r="991" spans="1:12">
      <c r="A991" s="2">
        <v>44792.91982638889</v>
      </c>
      <c r="B991">
        <v>299562124</v>
      </c>
      <c r="C991" t="s">
        <v>369</v>
      </c>
      <c r="D991" t="s">
        <v>9</v>
      </c>
      <c r="E991" s="3">
        <v>2000</v>
      </c>
      <c r="F991" s="3">
        <v>2000</v>
      </c>
      <c r="G991" s="3">
        <v>1400</v>
      </c>
      <c r="I991" t="s">
        <v>370</v>
      </c>
      <c r="J991" t="s">
        <v>40</v>
      </c>
      <c r="K991" t="s">
        <v>11</v>
      </c>
      <c r="L991" t="str">
        <f>T("9791191562873")</f>
        <v>9791191562873</v>
      </c>
    </row>
    <row r="992" spans="1:12">
      <c r="A992" s="2">
        <v>44792.924421296295</v>
      </c>
      <c r="B992">
        <v>289315562</v>
      </c>
      <c r="C992" t="s">
        <v>41</v>
      </c>
      <c r="D992" t="s">
        <v>9</v>
      </c>
      <c r="E992" s="3">
        <v>3000</v>
      </c>
      <c r="F992" s="3">
        <v>3000</v>
      </c>
      <c r="G992" s="3">
        <v>2100</v>
      </c>
      <c r="I992" t="s">
        <v>38</v>
      </c>
      <c r="J992" t="s">
        <v>40</v>
      </c>
      <c r="K992" t="s">
        <v>11</v>
      </c>
      <c r="L992" t="str">
        <f>T("9791191562101")</f>
        <v>9791191562101</v>
      </c>
    </row>
    <row r="993" spans="1:12">
      <c r="A993" s="2">
        <v>44792.948275462964</v>
      </c>
      <c r="B993">
        <v>293180467</v>
      </c>
      <c r="C993" t="s">
        <v>104</v>
      </c>
      <c r="D993" t="s">
        <v>9</v>
      </c>
      <c r="E993" s="3">
        <v>2000</v>
      </c>
      <c r="F993" s="3">
        <v>2000</v>
      </c>
      <c r="G993" s="3">
        <v>1400</v>
      </c>
      <c r="I993" t="s">
        <v>31</v>
      </c>
      <c r="J993" t="s">
        <v>40</v>
      </c>
      <c r="K993" t="s">
        <v>11</v>
      </c>
      <c r="L993" t="str">
        <f>T("9791191562293")</f>
        <v>9791191562293</v>
      </c>
    </row>
    <row r="994" spans="1:12">
      <c r="A994" s="2">
        <v>44792.952002314814</v>
      </c>
      <c r="B994">
        <v>287834730</v>
      </c>
      <c r="C994" t="s">
        <v>37</v>
      </c>
      <c r="D994" t="s">
        <v>9</v>
      </c>
      <c r="E994" s="3">
        <v>2000</v>
      </c>
      <c r="F994" s="3">
        <v>2000</v>
      </c>
      <c r="G994" s="3">
        <v>1400</v>
      </c>
      <c r="I994" t="s">
        <v>32</v>
      </c>
      <c r="J994" t="s">
        <v>40</v>
      </c>
      <c r="K994" t="s">
        <v>11</v>
      </c>
      <c r="L994" t="str">
        <f>T("9791191562019")</f>
        <v>9791191562019</v>
      </c>
    </row>
    <row r="995" spans="1:12">
      <c r="A995" s="2">
        <v>44792.966087962966</v>
      </c>
      <c r="B995">
        <v>291088925</v>
      </c>
      <c r="C995" t="s">
        <v>58</v>
      </c>
      <c r="D995" t="s">
        <v>9</v>
      </c>
      <c r="E995" s="3">
        <v>2000</v>
      </c>
      <c r="F995" s="3">
        <v>2000</v>
      </c>
      <c r="G995" s="3">
        <v>1400</v>
      </c>
      <c r="I995" t="s">
        <v>59</v>
      </c>
      <c r="J995" t="s">
        <v>40</v>
      </c>
      <c r="K995" t="s">
        <v>11</v>
      </c>
      <c r="L995" t="str">
        <f>T("9791191562187")</f>
        <v>9791191562187</v>
      </c>
    </row>
    <row r="996" spans="1:12">
      <c r="A996" s="2">
        <v>44792.975648148145</v>
      </c>
      <c r="B996">
        <v>291088925</v>
      </c>
      <c r="C996" t="s">
        <v>58</v>
      </c>
      <c r="D996" t="s">
        <v>9</v>
      </c>
      <c r="E996" s="3">
        <v>2000</v>
      </c>
      <c r="F996" s="3">
        <v>2000</v>
      </c>
      <c r="G996" s="3">
        <v>1400</v>
      </c>
      <c r="I996" t="s">
        <v>59</v>
      </c>
      <c r="J996" t="s">
        <v>40</v>
      </c>
      <c r="K996" t="s">
        <v>11</v>
      </c>
      <c r="L996" t="str">
        <f>T("9791191562187")</f>
        <v>9791191562187</v>
      </c>
    </row>
    <row r="997" spans="1:12">
      <c r="A997" s="2">
        <v>44792.978194444448</v>
      </c>
      <c r="B997">
        <v>299562124</v>
      </c>
      <c r="C997" t="s">
        <v>369</v>
      </c>
      <c r="D997" t="s">
        <v>9</v>
      </c>
      <c r="E997" s="3">
        <v>2000</v>
      </c>
      <c r="F997" s="3">
        <v>2000</v>
      </c>
      <c r="G997" s="3">
        <v>1400</v>
      </c>
      <c r="I997" t="s">
        <v>370</v>
      </c>
      <c r="J997" t="s">
        <v>40</v>
      </c>
      <c r="K997" t="s">
        <v>11</v>
      </c>
      <c r="L997" t="str">
        <f>T("9791191562873")</f>
        <v>9791191562873</v>
      </c>
    </row>
    <row r="998" spans="1:12">
      <c r="A998" s="2">
        <v>44792.979872685188</v>
      </c>
      <c r="B998">
        <v>290197934</v>
      </c>
      <c r="C998" t="s">
        <v>48</v>
      </c>
      <c r="D998" t="s">
        <v>9</v>
      </c>
      <c r="E998" s="3">
        <v>2000</v>
      </c>
      <c r="F998" s="3">
        <v>2000</v>
      </c>
      <c r="G998" s="3">
        <v>1400</v>
      </c>
      <c r="I998" t="s">
        <v>49</v>
      </c>
      <c r="J998" t="s">
        <v>40</v>
      </c>
      <c r="K998" t="s">
        <v>11</v>
      </c>
      <c r="L998" t="str">
        <f>T("9791191562163")</f>
        <v>9791191562163</v>
      </c>
    </row>
    <row r="999" spans="1:12">
      <c r="A999" s="2">
        <v>44792.98064814815</v>
      </c>
      <c r="B999">
        <v>295836446</v>
      </c>
      <c r="C999" t="s">
        <v>129</v>
      </c>
      <c r="D999" t="s">
        <v>9</v>
      </c>
      <c r="E999" s="3">
        <v>2000</v>
      </c>
      <c r="F999" s="3">
        <v>2000</v>
      </c>
      <c r="G999" s="3">
        <v>1400</v>
      </c>
      <c r="I999" t="s">
        <v>59</v>
      </c>
      <c r="J999" t="s">
        <v>40</v>
      </c>
      <c r="K999" t="s">
        <v>11</v>
      </c>
      <c r="L999" t="str">
        <f>T("9791191562798")</f>
        <v>9791191562798</v>
      </c>
    </row>
    <row r="1000" spans="1:12">
      <c r="A1000" s="2">
        <v>44792.99559027778</v>
      </c>
      <c r="B1000">
        <v>287086652</v>
      </c>
      <c r="C1000" t="s">
        <v>33</v>
      </c>
      <c r="D1000" t="s">
        <v>9</v>
      </c>
      <c r="E1000" s="3">
        <v>2000</v>
      </c>
      <c r="F1000" s="3">
        <v>2000</v>
      </c>
      <c r="G1000" s="3">
        <v>1400</v>
      </c>
      <c r="I1000" t="s">
        <v>30</v>
      </c>
      <c r="J1000" t="s">
        <v>40</v>
      </c>
      <c r="K1000" t="s">
        <v>11</v>
      </c>
      <c r="L1000" t="str">
        <f>T("9791191562033")</f>
        <v>9791191562033</v>
      </c>
    </row>
    <row r="1001" spans="1:12">
      <c r="A1001" s="2">
        <v>44792.999826388892</v>
      </c>
      <c r="B1001">
        <v>291088925</v>
      </c>
      <c r="C1001" t="s">
        <v>58</v>
      </c>
      <c r="D1001" t="s">
        <v>9</v>
      </c>
      <c r="E1001" s="3">
        <v>2000</v>
      </c>
      <c r="F1001" s="3">
        <v>2000</v>
      </c>
      <c r="G1001" s="3">
        <v>1400</v>
      </c>
      <c r="I1001" t="s">
        <v>59</v>
      </c>
      <c r="J1001" t="s">
        <v>40</v>
      </c>
      <c r="K1001" t="s">
        <v>11</v>
      </c>
      <c r="L1001" t="str">
        <f>T("9791191562187")</f>
        <v>9791191562187</v>
      </c>
    </row>
    <row r="1002" spans="1:12">
      <c r="A1002" s="2">
        <v>44793.05369212963</v>
      </c>
      <c r="B1002">
        <v>299562124</v>
      </c>
      <c r="C1002" t="s">
        <v>369</v>
      </c>
      <c r="D1002" t="s">
        <v>9</v>
      </c>
      <c r="E1002" s="3">
        <v>2000</v>
      </c>
      <c r="F1002" s="3">
        <v>2000</v>
      </c>
      <c r="G1002" s="3">
        <v>1400</v>
      </c>
      <c r="I1002" t="s">
        <v>370</v>
      </c>
      <c r="J1002" t="s">
        <v>40</v>
      </c>
      <c r="K1002" t="s">
        <v>11</v>
      </c>
      <c r="L1002" t="str">
        <f>T("9791191562873")</f>
        <v>9791191562873</v>
      </c>
    </row>
    <row r="1003" spans="1:12">
      <c r="A1003" s="2">
        <v>44793.302083333336</v>
      </c>
      <c r="B1003">
        <v>293046855</v>
      </c>
      <c r="C1003" t="s">
        <v>99</v>
      </c>
      <c r="D1003" t="s">
        <v>9</v>
      </c>
      <c r="E1003" s="3">
        <v>2500</v>
      </c>
      <c r="F1003" s="3">
        <v>2500</v>
      </c>
      <c r="G1003" s="3">
        <v>1750</v>
      </c>
      <c r="I1003" t="s">
        <v>100</v>
      </c>
      <c r="J1003" t="s">
        <v>40</v>
      </c>
      <c r="K1003" t="s">
        <v>11</v>
      </c>
      <c r="L1003" t="str">
        <f>T("9791191562279")</f>
        <v>9791191562279</v>
      </c>
    </row>
    <row r="1004" spans="1:12">
      <c r="A1004" s="2">
        <v>44793.405914351853</v>
      </c>
      <c r="B1004">
        <v>298014671</v>
      </c>
      <c r="C1004" t="s">
        <v>231</v>
      </c>
      <c r="D1004" t="s">
        <v>9</v>
      </c>
      <c r="E1004" s="3">
        <v>2500</v>
      </c>
      <c r="F1004" s="3">
        <v>2500</v>
      </c>
      <c r="G1004" s="3">
        <v>1750</v>
      </c>
      <c r="I1004" t="s">
        <v>100</v>
      </c>
      <c r="J1004" t="s">
        <v>40</v>
      </c>
      <c r="K1004" t="s">
        <v>11</v>
      </c>
      <c r="L1004" t="str">
        <f>T("9791191562835")</f>
        <v>9791191562835</v>
      </c>
    </row>
    <row r="1005" spans="1:12">
      <c r="A1005" s="2">
        <v>44793.46199074074</v>
      </c>
      <c r="B1005">
        <v>299562124</v>
      </c>
      <c r="C1005" t="s">
        <v>369</v>
      </c>
      <c r="D1005" t="s">
        <v>9</v>
      </c>
      <c r="E1005" s="3">
        <v>2000</v>
      </c>
      <c r="F1005" s="3">
        <v>2000</v>
      </c>
      <c r="G1005" s="3">
        <v>1400</v>
      </c>
      <c r="I1005" t="s">
        <v>370</v>
      </c>
      <c r="J1005" t="s">
        <v>40</v>
      </c>
      <c r="K1005" t="s">
        <v>11</v>
      </c>
      <c r="L1005" t="str">
        <f>T("9791191562873")</f>
        <v>9791191562873</v>
      </c>
    </row>
    <row r="1006" spans="1:12">
      <c r="A1006" s="2">
        <v>44793.462314814817</v>
      </c>
      <c r="B1006">
        <v>299562124</v>
      </c>
      <c r="C1006" t="s">
        <v>369</v>
      </c>
      <c r="D1006" t="s">
        <v>9</v>
      </c>
      <c r="E1006" s="3">
        <v>-2000</v>
      </c>
      <c r="F1006" s="3">
        <v>-2000</v>
      </c>
      <c r="G1006" s="3">
        <v>-1400</v>
      </c>
      <c r="H1006" s="2">
        <v>44793.46199074074</v>
      </c>
      <c r="I1006" t="s">
        <v>370</v>
      </c>
      <c r="J1006" t="s">
        <v>40</v>
      </c>
      <c r="K1006" t="s">
        <v>11</v>
      </c>
      <c r="L1006" t="str">
        <f>T("9791191562873")</f>
        <v>9791191562873</v>
      </c>
    </row>
    <row r="1007" spans="1:12">
      <c r="A1007" s="2">
        <v>44793.462314814817</v>
      </c>
      <c r="B1007">
        <v>229783679</v>
      </c>
      <c r="C1007" t="s">
        <v>234</v>
      </c>
      <c r="D1007" t="s">
        <v>9</v>
      </c>
      <c r="E1007" s="3">
        <v>-6700</v>
      </c>
      <c r="F1007" s="3">
        <v>-6700</v>
      </c>
      <c r="G1007" s="3">
        <v>-4690</v>
      </c>
      <c r="H1007" s="2">
        <v>44793.46199074074</v>
      </c>
      <c r="I1007" t="s">
        <v>98</v>
      </c>
      <c r="J1007" t="s">
        <v>71</v>
      </c>
      <c r="K1007" t="s">
        <v>11</v>
      </c>
      <c r="L1007" t="str">
        <f>T("9791164371730")</f>
        <v>9791164371730</v>
      </c>
    </row>
    <row r="1008" spans="1:12">
      <c r="A1008" s="2">
        <v>44793.46199074074</v>
      </c>
      <c r="B1008">
        <v>229783679</v>
      </c>
      <c r="C1008" t="s">
        <v>234</v>
      </c>
      <c r="D1008" t="s">
        <v>9</v>
      </c>
      <c r="E1008" s="3">
        <v>6700</v>
      </c>
      <c r="F1008" s="3">
        <v>6700</v>
      </c>
      <c r="G1008" s="3">
        <v>4690</v>
      </c>
      <c r="I1008" t="s">
        <v>98</v>
      </c>
      <c r="J1008" t="s">
        <v>71</v>
      </c>
      <c r="K1008" t="s">
        <v>11</v>
      </c>
      <c r="L1008" t="str">
        <f>T("9791164371730")</f>
        <v>9791164371730</v>
      </c>
    </row>
    <row r="1009" spans="1:12">
      <c r="A1009" s="2">
        <v>44793.462314814817</v>
      </c>
      <c r="B1009">
        <v>257828594</v>
      </c>
      <c r="C1009" t="s">
        <v>235</v>
      </c>
      <c r="D1009" t="s">
        <v>9</v>
      </c>
      <c r="E1009" s="3">
        <v>-8000</v>
      </c>
      <c r="F1009" s="3">
        <v>-8000</v>
      </c>
      <c r="G1009" s="3">
        <v>-5600</v>
      </c>
      <c r="H1009" s="2">
        <v>44793.46199074074</v>
      </c>
      <c r="I1009" t="s">
        <v>98</v>
      </c>
      <c r="J1009" t="s">
        <v>71</v>
      </c>
      <c r="K1009" t="s">
        <v>11</v>
      </c>
      <c r="L1009" t="str">
        <f>T("9791164373796")</f>
        <v>9791164373796</v>
      </c>
    </row>
    <row r="1010" spans="1:12">
      <c r="A1010" s="2">
        <v>44793.46199074074</v>
      </c>
      <c r="B1010">
        <v>257828594</v>
      </c>
      <c r="C1010" t="s">
        <v>235</v>
      </c>
      <c r="D1010" t="s">
        <v>9</v>
      </c>
      <c r="E1010" s="3">
        <v>8000</v>
      </c>
      <c r="F1010" s="3">
        <v>8000</v>
      </c>
      <c r="G1010" s="3">
        <v>5600</v>
      </c>
      <c r="I1010" t="s">
        <v>98</v>
      </c>
      <c r="J1010" t="s">
        <v>71</v>
      </c>
      <c r="K1010" t="s">
        <v>11</v>
      </c>
      <c r="L1010" t="str">
        <f>T("9791164373796")</f>
        <v>9791164373796</v>
      </c>
    </row>
    <row r="1011" spans="1:12">
      <c r="A1011" s="2">
        <v>44793.464004629626</v>
      </c>
      <c r="B1011">
        <v>257828594</v>
      </c>
      <c r="C1011" t="s">
        <v>235</v>
      </c>
      <c r="D1011" t="s">
        <v>9</v>
      </c>
      <c r="E1011" s="3">
        <v>8000</v>
      </c>
      <c r="F1011" s="3">
        <v>8000</v>
      </c>
      <c r="G1011" s="3">
        <v>5600</v>
      </c>
      <c r="I1011" t="s">
        <v>98</v>
      </c>
      <c r="J1011" t="s">
        <v>71</v>
      </c>
      <c r="K1011" t="s">
        <v>11</v>
      </c>
      <c r="L1011" t="str">
        <f>T("9791164373796")</f>
        <v>9791164373796</v>
      </c>
    </row>
    <row r="1012" spans="1:12">
      <c r="A1012" s="2">
        <v>44793.464004629626</v>
      </c>
      <c r="B1012">
        <v>229783679</v>
      </c>
      <c r="C1012" t="s">
        <v>234</v>
      </c>
      <c r="D1012" t="s">
        <v>9</v>
      </c>
      <c r="E1012" s="3">
        <v>6700</v>
      </c>
      <c r="F1012" s="3">
        <v>6700</v>
      </c>
      <c r="G1012" s="3">
        <v>4690</v>
      </c>
      <c r="I1012" t="s">
        <v>98</v>
      </c>
      <c r="J1012" t="s">
        <v>71</v>
      </c>
      <c r="K1012" t="s">
        <v>11</v>
      </c>
      <c r="L1012" t="str">
        <f>T("9791164371730")</f>
        <v>9791164371730</v>
      </c>
    </row>
    <row r="1013" spans="1:12">
      <c r="A1013" s="2">
        <v>44793.464560185188</v>
      </c>
      <c r="B1013">
        <v>299562124</v>
      </c>
      <c r="C1013" t="s">
        <v>369</v>
      </c>
      <c r="D1013" t="s">
        <v>9</v>
      </c>
      <c r="E1013" s="3">
        <v>2000</v>
      </c>
      <c r="F1013" s="3">
        <v>2000</v>
      </c>
      <c r="G1013" s="3">
        <v>1400</v>
      </c>
      <c r="I1013" t="s">
        <v>370</v>
      </c>
      <c r="J1013" t="s">
        <v>40</v>
      </c>
      <c r="K1013" t="s">
        <v>11</v>
      </c>
      <c r="L1013" t="str">
        <f>T("9791191562873")</f>
        <v>9791191562873</v>
      </c>
    </row>
    <row r="1014" spans="1:12">
      <c r="A1014" s="2">
        <v>44793.479907407411</v>
      </c>
      <c r="B1014">
        <v>149550329</v>
      </c>
      <c r="C1014" t="s">
        <v>343</v>
      </c>
      <c r="D1014" t="s">
        <v>12</v>
      </c>
      <c r="E1014">
        <v>900</v>
      </c>
      <c r="F1014">
        <v>900</v>
      </c>
      <c r="G1014">
        <v>630</v>
      </c>
      <c r="I1014" t="s">
        <v>124</v>
      </c>
      <c r="J1014" t="s">
        <v>11</v>
      </c>
      <c r="K1014" t="s">
        <v>11</v>
      </c>
      <c r="L1014" t="str">
        <f>T("9791159286339")</f>
        <v>9791159286339</v>
      </c>
    </row>
    <row r="1015" spans="1:12">
      <c r="A1015" s="2">
        <v>44793.503935185188</v>
      </c>
      <c r="B1015">
        <v>299562124</v>
      </c>
      <c r="C1015" t="s">
        <v>369</v>
      </c>
      <c r="D1015" t="s">
        <v>9</v>
      </c>
      <c r="E1015" s="3">
        <v>2000</v>
      </c>
      <c r="F1015" s="3">
        <v>2000</v>
      </c>
      <c r="G1015" s="3">
        <v>1400</v>
      </c>
      <c r="I1015" t="s">
        <v>370</v>
      </c>
      <c r="J1015" t="s">
        <v>40</v>
      </c>
      <c r="K1015" t="s">
        <v>11</v>
      </c>
      <c r="L1015" t="str">
        <f>T("9791191562873")</f>
        <v>9791191562873</v>
      </c>
    </row>
    <row r="1016" spans="1:12">
      <c r="A1016" s="2">
        <v>44793.564143518517</v>
      </c>
      <c r="B1016">
        <v>299961390</v>
      </c>
      <c r="C1016" t="s">
        <v>425</v>
      </c>
      <c r="D1016" t="s">
        <v>9</v>
      </c>
      <c r="E1016" s="3">
        <v>2000</v>
      </c>
      <c r="F1016" s="3">
        <v>2000</v>
      </c>
      <c r="G1016" s="3">
        <v>1400</v>
      </c>
      <c r="I1016" t="s">
        <v>42</v>
      </c>
      <c r="J1016" t="s">
        <v>40</v>
      </c>
      <c r="K1016" t="s">
        <v>11</v>
      </c>
      <c r="L1016" t="str">
        <f>T("9791191562880")</f>
        <v>9791191562880</v>
      </c>
    </row>
    <row r="1017" spans="1:12">
      <c r="A1017" s="2">
        <v>44793.583726851852</v>
      </c>
      <c r="B1017">
        <v>295462572</v>
      </c>
      <c r="C1017" t="s">
        <v>108</v>
      </c>
      <c r="D1017" t="s">
        <v>9</v>
      </c>
      <c r="E1017" s="3">
        <v>2000</v>
      </c>
      <c r="F1017" s="3">
        <v>2000</v>
      </c>
      <c r="G1017" s="3">
        <v>1400</v>
      </c>
      <c r="I1017" t="s">
        <v>32</v>
      </c>
      <c r="J1017" t="s">
        <v>40</v>
      </c>
      <c r="K1017" t="s">
        <v>11</v>
      </c>
      <c r="L1017" t="str">
        <f>T("9791191562361")</f>
        <v>9791191562361</v>
      </c>
    </row>
    <row r="1018" spans="1:12">
      <c r="A1018" s="2">
        <v>44793.598923611113</v>
      </c>
      <c r="B1018">
        <v>299562124</v>
      </c>
      <c r="C1018" t="s">
        <v>369</v>
      </c>
      <c r="D1018" t="s">
        <v>9</v>
      </c>
      <c r="E1018" s="3">
        <v>2000</v>
      </c>
      <c r="F1018" s="3">
        <v>2000</v>
      </c>
      <c r="G1018" s="3">
        <v>1400</v>
      </c>
      <c r="I1018" t="s">
        <v>370</v>
      </c>
      <c r="J1018" t="s">
        <v>40</v>
      </c>
      <c r="K1018" t="s">
        <v>11</v>
      </c>
      <c r="L1018" t="str">
        <f>T("9791191562873")</f>
        <v>9791191562873</v>
      </c>
    </row>
    <row r="1019" spans="1:12">
      <c r="A1019" s="2">
        <v>44793.61037037037</v>
      </c>
      <c r="B1019">
        <v>295462572</v>
      </c>
      <c r="C1019" t="s">
        <v>108</v>
      </c>
      <c r="D1019" t="s">
        <v>9</v>
      </c>
      <c r="E1019" s="3">
        <v>2000</v>
      </c>
      <c r="F1019" s="3">
        <v>2000</v>
      </c>
      <c r="G1019" s="3">
        <v>1400</v>
      </c>
      <c r="I1019" t="s">
        <v>32</v>
      </c>
      <c r="J1019" t="s">
        <v>40</v>
      </c>
      <c r="K1019" t="s">
        <v>11</v>
      </c>
      <c r="L1019" t="str">
        <f>T("9791191562361")</f>
        <v>9791191562361</v>
      </c>
    </row>
    <row r="1020" spans="1:12">
      <c r="A1020" s="2">
        <v>44793.631342592591</v>
      </c>
      <c r="B1020">
        <v>295601353</v>
      </c>
      <c r="C1020" t="s">
        <v>426</v>
      </c>
      <c r="D1020" t="s">
        <v>9</v>
      </c>
      <c r="E1020" s="3">
        <v>2000</v>
      </c>
      <c r="F1020" s="3">
        <v>2000</v>
      </c>
      <c r="G1020" s="3">
        <v>1400</v>
      </c>
      <c r="I1020" t="s">
        <v>427</v>
      </c>
      <c r="J1020" t="s">
        <v>40</v>
      </c>
      <c r="K1020" t="s">
        <v>11</v>
      </c>
      <c r="L1020" t="str">
        <f>T("9791191562477")</f>
        <v>9791191562477</v>
      </c>
    </row>
    <row r="1021" spans="1:12">
      <c r="A1021" s="2">
        <v>44793.650868055556</v>
      </c>
      <c r="B1021">
        <v>281625185</v>
      </c>
      <c r="C1021" t="s">
        <v>173</v>
      </c>
      <c r="D1021" t="s">
        <v>9</v>
      </c>
      <c r="E1021">
        <v>0</v>
      </c>
      <c r="F1021">
        <v>0</v>
      </c>
      <c r="G1021">
        <v>0</v>
      </c>
      <c r="I1021" t="s">
        <v>14</v>
      </c>
      <c r="J1021" t="s">
        <v>11</v>
      </c>
      <c r="K1021" t="s">
        <v>11</v>
      </c>
      <c r="L1021" t="str">
        <f>T("9791137601017")</f>
        <v>9791137601017</v>
      </c>
    </row>
    <row r="1022" spans="1:12">
      <c r="A1022" s="2">
        <v>44793.78597222222</v>
      </c>
      <c r="B1022">
        <v>299562124</v>
      </c>
      <c r="C1022" t="s">
        <v>369</v>
      </c>
      <c r="D1022" t="s">
        <v>9</v>
      </c>
      <c r="E1022" s="3">
        <v>2000</v>
      </c>
      <c r="F1022" s="3">
        <v>2000</v>
      </c>
      <c r="G1022" s="3">
        <v>1400</v>
      </c>
      <c r="I1022" t="s">
        <v>370</v>
      </c>
      <c r="J1022" t="s">
        <v>40</v>
      </c>
      <c r="K1022" t="s">
        <v>11</v>
      </c>
      <c r="L1022" t="str">
        <f>T("9791191562873")</f>
        <v>9791191562873</v>
      </c>
    </row>
    <row r="1023" spans="1:12">
      <c r="A1023" s="2">
        <v>44793.787395833337</v>
      </c>
      <c r="B1023">
        <v>296861004</v>
      </c>
      <c r="C1023" t="s">
        <v>144</v>
      </c>
      <c r="D1023" t="s">
        <v>9</v>
      </c>
      <c r="E1023" s="3">
        <v>2500</v>
      </c>
      <c r="F1023" s="3">
        <v>2500</v>
      </c>
      <c r="G1023" s="3">
        <v>1750</v>
      </c>
      <c r="I1023" t="s">
        <v>57</v>
      </c>
      <c r="J1023" t="s">
        <v>40</v>
      </c>
      <c r="K1023" t="s">
        <v>11</v>
      </c>
      <c r="L1023" t="str">
        <f>T("9791191562514")</f>
        <v>9791191562514</v>
      </c>
    </row>
    <row r="1024" spans="1:12">
      <c r="A1024" s="2">
        <v>44793.792615740742</v>
      </c>
      <c r="B1024">
        <v>299154500</v>
      </c>
      <c r="C1024" t="s">
        <v>287</v>
      </c>
      <c r="D1024" t="s">
        <v>9</v>
      </c>
      <c r="E1024" s="3">
        <v>2500</v>
      </c>
      <c r="F1024" s="3">
        <v>2500</v>
      </c>
      <c r="G1024" s="3">
        <v>1750</v>
      </c>
      <c r="I1024" t="s">
        <v>220</v>
      </c>
      <c r="J1024" t="s">
        <v>40</v>
      </c>
      <c r="K1024" t="s">
        <v>11</v>
      </c>
      <c r="L1024" t="str">
        <f>T("9791191562859")</f>
        <v>9791191562859</v>
      </c>
    </row>
    <row r="1025" spans="1:12">
      <c r="A1025" s="2">
        <v>44793.847453703704</v>
      </c>
      <c r="B1025">
        <v>299619316</v>
      </c>
      <c r="C1025" t="s">
        <v>391</v>
      </c>
      <c r="D1025" t="s">
        <v>9</v>
      </c>
      <c r="E1025" s="3">
        <v>8200</v>
      </c>
      <c r="F1025" s="3">
        <v>8200</v>
      </c>
      <c r="G1025" s="3">
        <v>5740</v>
      </c>
      <c r="I1025" t="s">
        <v>385</v>
      </c>
      <c r="J1025" t="s">
        <v>271</v>
      </c>
      <c r="K1025" t="s">
        <v>11</v>
      </c>
      <c r="L1025" t="str">
        <f>T("9791137604582")</f>
        <v>9791137604582</v>
      </c>
    </row>
    <row r="1026" spans="1:12">
      <c r="A1026" s="2">
        <v>44793.880115740743</v>
      </c>
      <c r="B1026">
        <v>299562124</v>
      </c>
      <c r="C1026" t="s">
        <v>369</v>
      </c>
      <c r="D1026" t="s">
        <v>9</v>
      </c>
      <c r="E1026" s="3">
        <v>2000</v>
      </c>
      <c r="F1026" s="3">
        <v>2000</v>
      </c>
      <c r="G1026" s="3">
        <v>1400</v>
      </c>
      <c r="I1026" t="s">
        <v>370</v>
      </c>
      <c r="J1026" t="s">
        <v>40</v>
      </c>
      <c r="K1026" t="s">
        <v>11</v>
      </c>
      <c r="L1026" t="str">
        <f>T("9791191562873")</f>
        <v>9791191562873</v>
      </c>
    </row>
    <row r="1027" spans="1:12">
      <c r="A1027" s="2">
        <v>44793.888877314814</v>
      </c>
      <c r="B1027">
        <v>299562124</v>
      </c>
      <c r="C1027" t="s">
        <v>369</v>
      </c>
      <c r="D1027" t="s">
        <v>9</v>
      </c>
      <c r="E1027" s="3">
        <v>2000</v>
      </c>
      <c r="F1027" s="3">
        <v>2000</v>
      </c>
      <c r="G1027" s="3">
        <v>1400</v>
      </c>
      <c r="I1027" t="s">
        <v>370</v>
      </c>
      <c r="J1027" t="s">
        <v>40</v>
      </c>
      <c r="K1027" t="s">
        <v>11</v>
      </c>
      <c r="L1027" t="str">
        <f>T("9791191562873")</f>
        <v>9791191562873</v>
      </c>
    </row>
    <row r="1028" spans="1:12">
      <c r="A1028" s="2">
        <v>44793.899212962962</v>
      </c>
      <c r="B1028">
        <v>295216088</v>
      </c>
      <c r="C1028" t="s">
        <v>114</v>
      </c>
      <c r="D1028" t="s">
        <v>9</v>
      </c>
      <c r="E1028" s="3">
        <v>2500</v>
      </c>
      <c r="F1028" s="3">
        <v>2500</v>
      </c>
      <c r="G1028" s="3">
        <v>1750</v>
      </c>
      <c r="I1028" t="s">
        <v>113</v>
      </c>
      <c r="J1028" t="s">
        <v>40</v>
      </c>
      <c r="K1028" t="s">
        <v>11</v>
      </c>
      <c r="L1028" t="str">
        <f>T("9791191562453")</f>
        <v>9791191562453</v>
      </c>
    </row>
    <row r="1029" spans="1:12">
      <c r="A1029" s="2">
        <v>44793.923530092594</v>
      </c>
      <c r="B1029">
        <v>291088925</v>
      </c>
      <c r="C1029" t="s">
        <v>58</v>
      </c>
      <c r="D1029" t="s">
        <v>9</v>
      </c>
      <c r="E1029" s="3">
        <v>2000</v>
      </c>
      <c r="F1029" s="3">
        <v>2000</v>
      </c>
      <c r="G1029" s="3">
        <v>1400</v>
      </c>
      <c r="I1029" t="s">
        <v>59</v>
      </c>
      <c r="J1029" t="s">
        <v>40</v>
      </c>
      <c r="K1029" t="s">
        <v>11</v>
      </c>
      <c r="L1029" t="str">
        <f>T("9791191562187")</f>
        <v>9791191562187</v>
      </c>
    </row>
    <row r="1030" spans="1:12">
      <c r="A1030" s="2">
        <v>44793.956759259258</v>
      </c>
      <c r="B1030">
        <v>290197934</v>
      </c>
      <c r="C1030" t="s">
        <v>48</v>
      </c>
      <c r="D1030" t="s">
        <v>9</v>
      </c>
      <c r="E1030" s="3">
        <v>2000</v>
      </c>
      <c r="F1030" s="3">
        <v>2000</v>
      </c>
      <c r="G1030" s="3">
        <v>1400</v>
      </c>
      <c r="I1030" t="s">
        <v>49</v>
      </c>
      <c r="J1030" t="s">
        <v>40</v>
      </c>
      <c r="K1030" t="s">
        <v>11</v>
      </c>
      <c r="L1030" t="str">
        <f>T("9791191562163")</f>
        <v>9791191562163</v>
      </c>
    </row>
    <row r="1031" spans="1:12">
      <c r="A1031" s="2">
        <v>44793.972083333334</v>
      </c>
      <c r="B1031">
        <v>293180467</v>
      </c>
      <c r="C1031" t="s">
        <v>104</v>
      </c>
      <c r="D1031" t="s">
        <v>9</v>
      </c>
      <c r="E1031" s="3">
        <v>2000</v>
      </c>
      <c r="F1031" s="3">
        <v>2000</v>
      </c>
      <c r="G1031" s="3">
        <v>1400</v>
      </c>
      <c r="I1031" t="s">
        <v>31</v>
      </c>
      <c r="J1031" t="s">
        <v>40</v>
      </c>
      <c r="K1031" t="s">
        <v>11</v>
      </c>
      <c r="L1031" t="str">
        <f>T("9791191562293")</f>
        <v>9791191562293</v>
      </c>
    </row>
    <row r="1032" spans="1:12">
      <c r="A1032" s="2">
        <v>44793.988738425927</v>
      </c>
      <c r="B1032">
        <v>291088925</v>
      </c>
      <c r="C1032" t="s">
        <v>58</v>
      </c>
      <c r="D1032" t="s">
        <v>9</v>
      </c>
      <c r="E1032" s="3">
        <v>2000</v>
      </c>
      <c r="F1032" s="3">
        <v>2000</v>
      </c>
      <c r="G1032" s="3">
        <v>1400</v>
      </c>
      <c r="I1032" t="s">
        <v>59</v>
      </c>
      <c r="J1032" t="s">
        <v>40</v>
      </c>
      <c r="K1032" t="s">
        <v>11</v>
      </c>
      <c r="L1032" t="str">
        <f>T("9791191562187")</f>
        <v>9791191562187</v>
      </c>
    </row>
    <row r="1033" spans="1:12">
      <c r="A1033" s="2">
        <v>44793.990648148145</v>
      </c>
      <c r="B1033">
        <v>292316442</v>
      </c>
      <c r="C1033" t="s">
        <v>84</v>
      </c>
      <c r="D1033" t="s">
        <v>9</v>
      </c>
      <c r="E1033" s="3">
        <v>2500</v>
      </c>
      <c r="F1033" s="3">
        <v>2500</v>
      </c>
      <c r="G1033" s="3">
        <v>1750</v>
      </c>
      <c r="I1033" t="s">
        <v>85</v>
      </c>
      <c r="J1033" t="s">
        <v>40</v>
      </c>
      <c r="K1033" t="s">
        <v>11</v>
      </c>
      <c r="L1033" t="str">
        <f>T("9791191562309")</f>
        <v>9791191562309</v>
      </c>
    </row>
    <row r="1034" spans="1:12">
      <c r="A1034" s="2">
        <v>44793.996446759258</v>
      </c>
      <c r="B1034">
        <v>287086652</v>
      </c>
      <c r="C1034" t="s">
        <v>33</v>
      </c>
      <c r="D1034" t="s">
        <v>9</v>
      </c>
      <c r="E1034" s="3">
        <v>2000</v>
      </c>
      <c r="F1034" s="3">
        <v>2000</v>
      </c>
      <c r="G1034" s="3">
        <v>1400</v>
      </c>
      <c r="I1034" t="s">
        <v>30</v>
      </c>
      <c r="J1034" t="s">
        <v>40</v>
      </c>
      <c r="K1034" t="s">
        <v>11</v>
      </c>
      <c r="L1034" t="str">
        <f>T("9791191562033")</f>
        <v>9791191562033</v>
      </c>
    </row>
    <row r="1035" spans="1:12">
      <c r="A1035" s="2">
        <v>44794.019675925927</v>
      </c>
      <c r="B1035">
        <v>282585762</v>
      </c>
      <c r="C1035" t="s">
        <v>75</v>
      </c>
      <c r="D1035" t="s">
        <v>9</v>
      </c>
      <c r="E1035" s="3">
        <v>3000</v>
      </c>
      <c r="F1035" s="3">
        <v>3000</v>
      </c>
      <c r="G1035" s="3">
        <v>2100</v>
      </c>
      <c r="I1035" t="s">
        <v>30</v>
      </c>
      <c r="J1035" t="s">
        <v>71</v>
      </c>
      <c r="K1035" t="s">
        <v>11</v>
      </c>
      <c r="L1035" t="str">
        <f>T("9791164374625")</f>
        <v>9791164374625</v>
      </c>
    </row>
    <row r="1036" spans="1:12">
      <c r="A1036" s="2">
        <v>44794.019675925927</v>
      </c>
      <c r="B1036">
        <v>282585770</v>
      </c>
      <c r="C1036" t="s">
        <v>74</v>
      </c>
      <c r="D1036" t="s">
        <v>9</v>
      </c>
      <c r="E1036" s="3">
        <v>3000</v>
      </c>
      <c r="F1036" s="3">
        <v>3000</v>
      </c>
      <c r="G1036" s="3">
        <v>2100</v>
      </c>
      <c r="I1036" t="s">
        <v>30</v>
      </c>
      <c r="J1036" t="s">
        <v>71</v>
      </c>
      <c r="K1036" t="s">
        <v>11</v>
      </c>
      <c r="L1036" t="str">
        <f>T("9791164374618")</f>
        <v>9791164374618</v>
      </c>
    </row>
    <row r="1037" spans="1:12">
      <c r="A1037" s="2">
        <v>44794.130208333336</v>
      </c>
      <c r="B1037">
        <v>299562124</v>
      </c>
      <c r="C1037" t="s">
        <v>369</v>
      </c>
      <c r="D1037" t="s">
        <v>9</v>
      </c>
      <c r="E1037" s="3">
        <v>2000</v>
      </c>
      <c r="F1037" s="3">
        <v>2000</v>
      </c>
      <c r="G1037" s="3">
        <v>1400</v>
      </c>
      <c r="I1037" t="s">
        <v>370</v>
      </c>
      <c r="J1037" t="s">
        <v>40</v>
      </c>
      <c r="K1037" t="s">
        <v>11</v>
      </c>
      <c r="L1037" t="str">
        <f>T("9791191562873")</f>
        <v>9791191562873</v>
      </c>
    </row>
    <row r="1038" spans="1:12">
      <c r="A1038" s="2">
        <v>44794.240370370368</v>
      </c>
      <c r="B1038">
        <v>297620121</v>
      </c>
      <c r="C1038" t="s">
        <v>205</v>
      </c>
      <c r="D1038" t="s">
        <v>9</v>
      </c>
      <c r="E1038" s="3">
        <v>2000</v>
      </c>
      <c r="F1038" s="3">
        <v>2000</v>
      </c>
      <c r="G1038" s="3">
        <v>1400</v>
      </c>
      <c r="I1038" t="s">
        <v>29</v>
      </c>
      <c r="J1038" t="s">
        <v>40</v>
      </c>
      <c r="K1038" t="s">
        <v>11</v>
      </c>
      <c r="L1038" t="str">
        <f>T("9791191562484")</f>
        <v>9791191562484</v>
      </c>
    </row>
    <row r="1039" spans="1:12">
      <c r="A1039" s="2">
        <v>44794.329652777778</v>
      </c>
      <c r="B1039">
        <v>295462572</v>
      </c>
      <c r="C1039" t="s">
        <v>108</v>
      </c>
      <c r="D1039" t="s">
        <v>9</v>
      </c>
      <c r="E1039" s="3">
        <v>2000</v>
      </c>
      <c r="F1039" s="3">
        <v>2000</v>
      </c>
      <c r="G1039" s="3">
        <v>1400</v>
      </c>
      <c r="I1039" t="s">
        <v>32</v>
      </c>
      <c r="J1039" t="s">
        <v>40</v>
      </c>
      <c r="K1039" t="s">
        <v>11</v>
      </c>
      <c r="L1039" t="str">
        <f>T("9791191562361")</f>
        <v>9791191562361</v>
      </c>
    </row>
    <row r="1040" spans="1:12">
      <c r="A1040" s="2">
        <v>44794.514502314814</v>
      </c>
      <c r="B1040">
        <v>248354924</v>
      </c>
      <c r="C1040" t="s">
        <v>172</v>
      </c>
      <c r="D1040" t="s">
        <v>9</v>
      </c>
      <c r="E1040">
        <v>0</v>
      </c>
      <c r="F1040">
        <v>0</v>
      </c>
      <c r="G1040">
        <v>0</v>
      </c>
      <c r="I1040" t="s">
        <v>18</v>
      </c>
      <c r="J1040" t="s">
        <v>17</v>
      </c>
      <c r="K1040" t="s">
        <v>11</v>
      </c>
      <c r="L1040" t="str">
        <f>T("9791164489725")</f>
        <v>9791164489725</v>
      </c>
    </row>
    <row r="1041" spans="1:12">
      <c r="A1041" s="2">
        <v>44794.551076388889</v>
      </c>
      <c r="B1041">
        <v>216848260</v>
      </c>
      <c r="C1041" t="s">
        <v>153</v>
      </c>
      <c r="D1041" t="s">
        <v>9</v>
      </c>
      <c r="E1041">
        <v>0</v>
      </c>
      <c r="F1041">
        <v>0</v>
      </c>
      <c r="G1041">
        <v>0</v>
      </c>
      <c r="I1041" t="s">
        <v>62</v>
      </c>
      <c r="J1041" t="s">
        <v>17</v>
      </c>
      <c r="K1041" t="s">
        <v>11</v>
      </c>
      <c r="L1041" t="str">
        <f>T("9791164482542")</f>
        <v>9791164482542</v>
      </c>
    </row>
    <row r="1042" spans="1:12">
      <c r="A1042" s="2">
        <v>44794.551076388889</v>
      </c>
      <c r="B1042">
        <v>216848281</v>
      </c>
      <c r="C1042" t="s">
        <v>428</v>
      </c>
      <c r="D1042" t="s">
        <v>9</v>
      </c>
      <c r="E1042">
        <v>0</v>
      </c>
      <c r="F1042">
        <v>0</v>
      </c>
      <c r="G1042">
        <v>0</v>
      </c>
      <c r="I1042" t="s">
        <v>62</v>
      </c>
      <c r="J1042" t="s">
        <v>17</v>
      </c>
      <c r="K1042" t="s">
        <v>11</v>
      </c>
      <c r="L1042" t="str">
        <f>T("9791164482979")</f>
        <v>9791164482979</v>
      </c>
    </row>
    <row r="1043" spans="1:12">
      <c r="A1043" s="2">
        <v>44794.634027777778</v>
      </c>
      <c r="B1043">
        <v>296612458</v>
      </c>
      <c r="C1043" t="s">
        <v>138</v>
      </c>
      <c r="D1043" t="s">
        <v>9</v>
      </c>
      <c r="E1043" s="3">
        <v>2000</v>
      </c>
      <c r="F1043" s="3">
        <v>2000</v>
      </c>
      <c r="G1043" s="3">
        <v>1400</v>
      </c>
      <c r="I1043" t="s">
        <v>139</v>
      </c>
      <c r="J1043" t="s">
        <v>40</v>
      </c>
      <c r="K1043" t="s">
        <v>11</v>
      </c>
      <c r="L1043" t="str">
        <f>T("9791191562545")</f>
        <v>9791191562545</v>
      </c>
    </row>
    <row r="1044" spans="1:12">
      <c r="A1044" s="2">
        <v>44794.679062499999</v>
      </c>
      <c r="B1044">
        <v>295462572</v>
      </c>
      <c r="C1044" t="s">
        <v>108</v>
      </c>
      <c r="D1044" t="s">
        <v>9</v>
      </c>
      <c r="E1044" s="3">
        <v>2000</v>
      </c>
      <c r="F1044" s="3">
        <v>2000</v>
      </c>
      <c r="G1044" s="3">
        <v>1400</v>
      </c>
      <c r="I1044" t="s">
        <v>32</v>
      </c>
      <c r="J1044" t="s">
        <v>40</v>
      </c>
      <c r="K1044" t="s">
        <v>11</v>
      </c>
      <c r="L1044" t="str">
        <f>T("9791191562361")</f>
        <v>9791191562361</v>
      </c>
    </row>
    <row r="1045" spans="1:12">
      <c r="A1045" s="2">
        <v>44794.754236111112</v>
      </c>
      <c r="B1045">
        <v>299562124</v>
      </c>
      <c r="C1045" t="s">
        <v>369</v>
      </c>
      <c r="D1045" t="s">
        <v>9</v>
      </c>
      <c r="E1045" s="3">
        <v>2000</v>
      </c>
      <c r="F1045" s="3">
        <v>2000</v>
      </c>
      <c r="G1045" s="3">
        <v>1400</v>
      </c>
      <c r="I1045" t="s">
        <v>370</v>
      </c>
      <c r="J1045" t="s">
        <v>40</v>
      </c>
      <c r="K1045" t="s">
        <v>11</v>
      </c>
      <c r="L1045" t="str">
        <f>T("9791191562873")</f>
        <v>9791191562873</v>
      </c>
    </row>
    <row r="1046" spans="1:12">
      <c r="A1046" s="2">
        <v>44794.76289351852</v>
      </c>
      <c r="B1046">
        <v>299154500</v>
      </c>
      <c r="C1046" t="s">
        <v>287</v>
      </c>
      <c r="D1046" t="s">
        <v>9</v>
      </c>
      <c r="E1046" s="3">
        <v>2500</v>
      </c>
      <c r="F1046" s="3">
        <v>2500</v>
      </c>
      <c r="G1046" s="3">
        <v>1750</v>
      </c>
      <c r="I1046" t="s">
        <v>220</v>
      </c>
      <c r="J1046" t="s">
        <v>40</v>
      </c>
      <c r="K1046" t="s">
        <v>11</v>
      </c>
      <c r="L1046" t="str">
        <f>T("9791191562859")</f>
        <v>9791191562859</v>
      </c>
    </row>
    <row r="1047" spans="1:12">
      <c r="A1047" s="2">
        <v>44794.769583333335</v>
      </c>
      <c r="B1047">
        <v>295836446</v>
      </c>
      <c r="C1047" t="s">
        <v>129</v>
      </c>
      <c r="D1047" t="s">
        <v>9</v>
      </c>
      <c r="E1047" s="3">
        <v>2000</v>
      </c>
      <c r="F1047" s="3">
        <v>2000</v>
      </c>
      <c r="G1047" s="3">
        <v>1400</v>
      </c>
      <c r="I1047" t="s">
        <v>59</v>
      </c>
      <c r="J1047" t="s">
        <v>40</v>
      </c>
      <c r="K1047" t="s">
        <v>11</v>
      </c>
      <c r="L1047" t="str">
        <f>T("9791191562798")</f>
        <v>9791191562798</v>
      </c>
    </row>
    <row r="1048" spans="1:12">
      <c r="A1048" s="2">
        <v>44794.804398148146</v>
      </c>
      <c r="B1048">
        <v>299154500</v>
      </c>
      <c r="C1048" t="s">
        <v>287</v>
      </c>
      <c r="D1048" t="s">
        <v>9</v>
      </c>
      <c r="E1048" s="3">
        <v>2500</v>
      </c>
      <c r="F1048" s="3">
        <v>2500</v>
      </c>
      <c r="G1048" s="3">
        <v>1750</v>
      </c>
      <c r="I1048" t="s">
        <v>220</v>
      </c>
      <c r="J1048" t="s">
        <v>40</v>
      </c>
      <c r="K1048" t="s">
        <v>11</v>
      </c>
      <c r="L1048" t="str">
        <f>T("9791191562859")</f>
        <v>9791191562859</v>
      </c>
    </row>
    <row r="1049" spans="1:12">
      <c r="A1049" s="2">
        <v>44794.811331018522</v>
      </c>
      <c r="B1049">
        <v>256291110</v>
      </c>
      <c r="C1049" t="s">
        <v>429</v>
      </c>
      <c r="D1049" t="s">
        <v>9</v>
      </c>
      <c r="E1049">
        <v>0</v>
      </c>
      <c r="F1049">
        <v>0</v>
      </c>
      <c r="G1049">
        <v>0</v>
      </c>
      <c r="I1049" t="s">
        <v>430</v>
      </c>
      <c r="J1049" t="s">
        <v>11</v>
      </c>
      <c r="K1049" t="s">
        <v>11</v>
      </c>
      <c r="L1049" t="str">
        <f>T("9791166064388")</f>
        <v>9791166064388</v>
      </c>
    </row>
    <row r="1050" spans="1:12">
      <c r="A1050" s="2">
        <v>44794.854907407411</v>
      </c>
      <c r="B1050">
        <v>267141322</v>
      </c>
      <c r="C1050" t="s">
        <v>431</v>
      </c>
      <c r="D1050" t="s">
        <v>9</v>
      </c>
      <c r="E1050" s="3">
        <v>3200</v>
      </c>
      <c r="F1050" s="3">
        <v>3200</v>
      </c>
      <c r="G1050" s="3">
        <v>2240</v>
      </c>
      <c r="I1050" t="s">
        <v>349</v>
      </c>
      <c r="J1050" t="s">
        <v>11</v>
      </c>
      <c r="K1050" t="s">
        <v>11</v>
      </c>
      <c r="L1050" t="str">
        <f>T("9791166069772")</f>
        <v>9791166069772</v>
      </c>
    </row>
    <row r="1051" spans="1:12">
      <c r="A1051" s="2">
        <v>44794.854907407411</v>
      </c>
      <c r="B1051">
        <v>267141350</v>
      </c>
      <c r="C1051" t="s">
        <v>432</v>
      </c>
      <c r="D1051" t="s">
        <v>9</v>
      </c>
      <c r="E1051" s="3">
        <v>3200</v>
      </c>
      <c r="F1051" s="3">
        <v>3200</v>
      </c>
      <c r="G1051" s="3">
        <v>2240</v>
      </c>
      <c r="I1051" t="s">
        <v>349</v>
      </c>
      <c r="J1051" t="s">
        <v>11</v>
      </c>
      <c r="K1051" t="s">
        <v>11</v>
      </c>
      <c r="L1051" t="str">
        <f>T("9791166069796")</f>
        <v>9791166069796</v>
      </c>
    </row>
    <row r="1052" spans="1:12">
      <c r="A1052" s="2">
        <v>44794.854907407411</v>
      </c>
      <c r="B1052">
        <v>267141359</v>
      </c>
      <c r="C1052" t="s">
        <v>433</v>
      </c>
      <c r="D1052" t="s">
        <v>9</v>
      </c>
      <c r="E1052" s="3">
        <v>3200</v>
      </c>
      <c r="F1052" s="3">
        <v>3200</v>
      </c>
      <c r="G1052" s="3">
        <v>2240</v>
      </c>
      <c r="I1052" t="s">
        <v>349</v>
      </c>
      <c r="J1052" t="s">
        <v>11</v>
      </c>
      <c r="K1052" t="s">
        <v>11</v>
      </c>
      <c r="L1052" t="str">
        <f>T("9791166069796")</f>
        <v>9791166069796</v>
      </c>
    </row>
    <row r="1053" spans="1:12">
      <c r="A1053" s="2">
        <v>44794.855983796297</v>
      </c>
      <c r="B1053">
        <v>285477742</v>
      </c>
      <c r="C1053" t="s">
        <v>434</v>
      </c>
      <c r="D1053" t="s">
        <v>9</v>
      </c>
      <c r="E1053">
        <v>0</v>
      </c>
      <c r="F1053">
        <v>0</v>
      </c>
      <c r="G1053">
        <v>0</v>
      </c>
      <c r="I1053" t="s">
        <v>221</v>
      </c>
      <c r="J1053" t="s">
        <v>17</v>
      </c>
      <c r="K1053" t="s">
        <v>11</v>
      </c>
      <c r="L1053" t="str">
        <f>T("9791166004063")</f>
        <v>9791166004063</v>
      </c>
    </row>
    <row r="1054" spans="1:12">
      <c r="A1054" s="2">
        <v>44794.910891203705</v>
      </c>
      <c r="B1054">
        <v>299562124</v>
      </c>
      <c r="C1054" t="s">
        <v>369</v>
      </c>
      <c r="D1054" t="s">
        <v>9</v>
      </c>
      <c r="E1054" s="3">
        <v>2000</v>
      </c>
      <c r="F1054" s="3">
        <v>2000</v>
      </c>
      <c r="G1054" s="3">
        <v>1400</v>
      </c>
      <c r="I1054" t="s">
        <v>370</v>
      </c>
      <c r="J1054" t="s">
        <v>40</v>
      </c>
      <c r="K1054" t="s">
        <v>11</v>
      </c>
      <c r="L1054" t="str">
        <f>T("9791191562873")</f>
        <v>9791191562873</v>
      </c>
    </row>
    <row r="1055" spans="1:12">
      <c r="A1055" s="2">
        <v>44794.961458333331</v>
      </c>
      <c r="B1055">
        <v>299562124</v>
      </c>
      <c r="C1055" t="s">
        <v>369</v>
      </c>
      <c r="D1055" t="s">
        <v>9</v>
      </c>
      <c r="E1055" s="3">
        <v>2000</v>
      </c>
      <c r="F1055" s="3">
        <v>2000</v>
      </c>
      <c r="G1055" s="3">
        <v>1400</v>
      </c>
      <c r="I1055" t="s">
        <v>370</v>
      </c>
      <c r="J1055" t="s">
        <v>40</v>
      </c>
      <c r="K1055" t="s">
        <v>11</v>
      </c>
      <c r="L1055" t="str">
        <f>T("9791191562873")</f>
        <v>9791191562873</v>
      </c>
    </row>
    <row r="1056" spans="1:12">
      <c r="A1056" s="2">
        <v>44794.96162037037</v>
      </c>
      <c r="B1056">
        <v>299562124</v>
      </c>
      <c r="C1056" t="s">
        <v>369</v>
      </c>
      <c r="D1056" t="s">
        <v>9</v>
      </c>
      <c r="E1056" s="3">
        <v>2000</v>
      </c>
      <c r="F1056" s="3">
        <v>2000</v>
      </c>
      <c r="G1056" s="3">
        <v>1400</v>
      </c>
      <c r="I1056" t="s">
        <v>370</v>
      </c>
      <c r="J1056" t="s">
        <v>40</v>
      </c>
      <c r="K1056" t="s">
        <v>11</v>
      </c>
      <c r="L1056" t="str">
        <f>T("9791191562873")</f>
        <v>9791191562873</v>
      </c>
    </row>
    <row r="1057" spans="1:12">
      <c r="A1057" s="2">
        <v>44794.988495370373</v>
      </c>
      <c r="B1057">
        <v>292179681</v>
      </c>
      <c r="C1057" t="s">
        <v>81</v>
      </c>
      <c r="D1057" t="s">
        <v>9</v>
      </c>
      <c r="E1057" s="3">
        <v>2500</v>
      </c>
      <c r="F1057" s="3">
        <v>2500</v>
      </c>
      <c r="G1057" s="3">
        <v>1750</v>
      </c>
      <c r="I1057" t="s">
        <v>82</v>
      </c>
      <c r="J1057" t="s">
        <v>40</v>
      </c>
      <c r="K1057" t="s">
        <v>11</v>
      </c>
      <c r="L1057" t="str">
        <f>T("9791191562224")</f>
        <v>9791191562224</v>
      </c>
    </row>
    <row r="1058" spans="1:12">
      <c r="A1058" s="2">
        <v>44794.992314814815</v>
      </c>
      <c r="B1058">
        <v>299562124</v>
      </c>
      <c r="C1058" t="s">
        <v>369</v>
      </c>
      <c r="D1058" t="s">
        <v>9</v>
      </c>
      <c r="E1058" s="3">
        <v>2000</v>
      </c>
      <c r="F1058" s="3">
        <v>2000</v>
      </c>
      <c r="G1058" s="3">
        <v>1400</v>
      </c>
      <c r="I1058" t="s">
        <v>370</v>
      </c>
      <c r="J1058" t="s">
        <v>40</v>
      </c>
      <c r="K1058" t="s">
        <v>11</v>
      </c>
      <c r="L1058" t="str">
        <f>T("9791191562873")</f>
        <v>9791191562873</v>
      </c>
    </row>
    <row r="1059" spans="1:12">
      <c r="A1059" s="2">
        <v>44795.04891203704</v>
      </c>
      <c r="B1059">
        <v>254628542</v>
      </c>
      <c r="C1059" t="s">
        <v>156</v>
      </c>
      <c r="D1059" t="s">
        <v>9</v>
      </c>
      <c r="E1059" s="3">
        <v>22400</v>
      </c>
      <c r="F1059" s="3">
        <v>22400</v>
      </c>
      <c r="G1059" s="3">
        <v>15680</v>
      </c>
      <c r="I1059" t="s">
        <v>124</v>
      </c>
      <c r="J1059" t="s">
        <v>11</v>
      </c>
      <c r="K1059" t="s">
        <v>11</v>
      </c>
      <c r="L1059" t="str">
        <f>T("9791166069260")</f>
        <v>9791166069260</v>
      </c>
    </row>
    <row r="1060" spans="1:12">
      <c r="A1060" s="2">
        <v>44795.100057870368</v>
      </c>
      <c r="B1060">
        <v>296378939</v>
      </c>
      <c r="C1060" t="s">
        <v>132</v>
      </c>
      <c r="D1060" t="s">
        <v>9</v>
      </c>
      <c r="E1060" s="3">
        <v>2500</v>
      </c>
      <c r="F1060" s="3">
        <v>2500</v>
      </c>
      <c r="G1060" s="3">
        <v>1750</v>
      </c>
      <c r="I1060" t="s">
        <v>91</v>
      </c>
      <c r="J1060" t="s">
        <v>40</v>
      </c>
      <c r="K1060" t="s">
        <v>11</v>
      </c>
      <c r="L1060" t="str">
        <f>T("9791191562781")</f>
        <v>9791191562781</v>
      </c>
    </row>
    <row r="1061" spans="1:12">
      <c r="A1061" s="2">
        <v>44795.166354166664</v>
      </c>
      <c r="B1061">
        <v>295462572</v>
      </c>
      <c r="C1061" t="s">
        <v>108</v>
      </c>
      <c r="D1061" t="s">
        <v>9</v>
      </c>
      <c r="E1061" s="3">
        <v>2000</v>
      </c>
      <c r="F1061" s="3">
        <v>2000</v>
      </c>
      <c r="G1061" s="3">
        <v>1400</v>
      </c>
      <c r="I1061" t="s">
        <v>32</v>
      </c>
      <c r="J1061" t="s">
        <v>40</v>
      </c>
      <c r="K1061" t="s">
        <v>11</v>
      </c>
      <c r="L1061" t="str">
        <f>T("9791191562361")</f>
        <v>9791191562361</v>
      </c>
    </row>
    <row r="1062" spans="1:12">
      <c r="A1062" s="2">
        <v>44795.311249999999</v>
      </c>
      <c r="B1062">
        <v>296920455</v>
      </c>
      <c r="C1062" t="s">
        <v>148</v>
      </c>
      <c r="D1062" t="s">
        <v>9</v>
      </c>
      <c r="E1062">
        <v>0</v>
      </c>
      <c r="F1062">
        <v>0</v>
      </c>
      <c r="G1062">
        <v>0</v>
      </c>
      <c r="I1062" t="s">
        <v>149</v>
      </c>
      <c r="J1062" t="s">
        <v>11</v>
      </c>
      <c r="K1062" t="s">
        <v>11</v>
      </c>
      <c r="L1062" t="str">
        <f>T("9791137604308")</f>
        <v>9791137604308</v>
      </c>
    </row>
    <row r="1063" spans="1:12">
      <c r="A1063" s="2">
        <v>44795.336493055554</v>
      </c>
      <c r="B1063">
        <v>300204282</v>
      </c>
      <c r="C1063" t="s">
        <v>435</v>
      </c>
      <c r="D1063" t="s">
        <v>9</v>
      </c>
      <c r="E1063">
        <v>0</v>
      </c>
      <c r="F1063">
        <v>0</v>
      </c>
      <c r="G1063">
        <v>0</v>
      </c>
      <c r="I1063" t="s">
        <v>436</v>
      </c>
      <c r="J1063" t="s">
        <v>11</v>
      </c>
      <c r="K1063" t="s">
        <v>11</v>
      </c>
      <c r="L1063" t="str">
        <f>T("9791137605145")</f>
        <v>9791137605145</v>
      </c>
    </row>
    <row r="1064" spans="1:12">
      <c r="A1064" s="2">
        <v>44795.337638888886</v>
      </c>
      <c r="B1064">
        <v>291906263</v>
      </c>
      <c r="C1064" t="s">
        <v>65</v>
      </c>
      <c r="D1064" t="s">
        <v>9</v>
      </c>
      <c r="E1064" s="3">
        <v>3200</v>
      </c>
      <c r="F1064" s="3">
        <v>3200</v>
      </c>
      <c r="G1064" s="3">
        <v>2240</v>
      </c>
      <c r="I1064" t="s">
        <v>13</v>
      </c>
      <c r="J1064" t="s">
        <v>11</v>
      </c>
      <c r="K1064" t="s">
        <v>11</v>
      </c>
      <c r="L1064" t="str">
        <f>T("9791166300868")</f>
        <v>9791166300868</v>
      </c>
    </row>
    <row r="1065" spans="1:12">
      <c r="A1065" s="2">
        <v>44795.337638888886</v>
      </c>
      <c r="B1065">
        <v>291906269</v>
      </c>
      <c r="C1065" t="s">
        <v>66</v>
      </c>
      <c r="D1065" t="s">
        <v>9</v>
      </c>
      <c r="E1065" s="3">
        <v>3200</v>
      </c>
      <c r="F1065" s="3">
        <v>3200</v>
      </c>
      <c r="G1065" s="3">
        <v>2240</v>
      </c>
      <c r="I1065" t="s">
        <v>13</v>
      </c>
      <c r="J1065" t="s">
        <v>11</v>
      </c>
      <c r="K1065" t="s">
        <v>11</v>
      </c>
      <c r="L1065" t="str">
        <f>T("9791166300837")</f>
        <v>9791166300837</v>
      </c>
    </row>
    <row r="1066" spans="1:12">
      <c r="A1066" s="2">
        <v>44795.337638888886</v>
      </c>
      <c r="B1066">
        <v>291906271</v>
      </c>
      <c r="C1066" t="s">
        <v>68</v>
      </c>
      <c r="D1066" t="s">
        <v>9</v>
      </c>
      <c r="E1066" s="3">
        <v>3200</v>
      </c>
      <c r="F1066" s="3">
        <v>3200</v>
      </c>
      <c r="G1066" s="3">
        <v>2240</v>
      </c>
      <c r="I1066" t="s">
        <v>13</v>
      </c>
      <c r="J1066" t="s">
        <v>11</v>
      </c>
      <c r="K1066" t="s">
        <v>11</v>
      </c>
      <c r="L1066" t="str">
        <f>T("9791166300851")</f>
        <v>9791166300851</v>
      </c>
    </row>
    <row r="1067" spans="1:12">
      <c r="A1067" s="2">
        <v>44795.337638888886</v>
      </c>
      <c r="B1067">
        <v>291906272</v>
      </c>
      <c r="C1067" t="s">
        <v>69</v>
      </c>
      <c r="D1067" t="s">
        <v>9</v>
      </c>
      <c r="E1067" s="3">
        <v>3200</v>
      </c>
      <c r="F1067" s="3">
        <v>3200</v>
      </c>
      <c r="G1067" s="3">
        <v>2240</v>
      </c>
      <c r="I1067" t="s">
        <v>13</v>
      </c>
      <c r="J1067" t="s">
        <v>11</v>
      </c>
      <c r="K1067" t="s">
        <v>11</v>
      </c>
      <c r="L1067" t="str">
        <f>T("9791166300844")</f>
        <v>9791166300844</v>
      </c>
    </row>
    <row r="1068" spans="1:12">
      <c r="A1068" s="2">
        <v>44795.422060185185</v>
      </c>
      <c r="B1068">
        <v>292179681</v>
      </c>
      <c r="C1068" t="s">
        <v>81</v>
      </c>
      <c r="D1068" t="s">
        <v>9</v>
      </c>
      <c r="E1068" s="3">
        <v>2500</v>
      </c>
      <c r="F1068" s="3">
        <v>2500</v>
      </c>
      <c r="G1068" s="3">
        <v>1750</v>
      </c>
      <c r="I1068" t="s">
        <v>82</v>
      </c>
      <c r="J1068" t="s">
        <v>40</v>
      </c>
      <c r="K1068" t="s">
        <v>11</v>
      </c>
      <c r="L1068" t="str">
        <f>T("9791191562224")</f>
        <v>9791191562224</v>
      </c>
    </row>
    <row r="1069" spans="1:12">
      <c r="A1069" s="2">
        <v>44795.460358796299</v>
      </c>
      <c r="B1069">
        <v>300204282</v>
      </c>
      <c r="C1069" t="s">
        <v>435</v>
      </c>
      <c r="D1069" t="s">
        <v>9</v>
      </c>
      <c r="E1069">
        <v>0</v>
      </c>
      <c r="F1069">
        <v>0</v>
      </c>
      <c r="G1069">
        <v>0</v>
      </c>
      <c r="I1069" t="s">
        <v>436</v>
      </c>
      <c r="J1069" t="s">
        <v>11</v>
      </c>
      <c r="K1069" t="s">
        <v>11</v>
      </c>
      <c r="L1069" t="str">
        <f>T("9791137605145")</f>
        <v>9791137605145</v>
      </c>
    </row>
    <row r="1070" spans="1:12">
      <c r="A1070" s="2">
        <v>44795.466192129628</v>
      </c>
      <c r="B1070">
        <v>300204357</v>
      </c>
      <c r="C1070" t="s">
        <v>437</v>
      </c>
      <c r="D1070" t="s">
        <v>9</v>
      </c>
      <c r="E1070" s="3">
        <v>22400</v>
      </c>
      <c r="F1070" s="3">
        <v>22400</v>
      </c>
      <c r="G1070" s="3">
        <v>15680</v>
      </c>
      <c r="I1070" t="s">
        <v>438</v>
      </c>
      <c r="J1070" t="s">
        <v>11</v>
      </c>
      <c r="K1070" t="s">
        <v>11</v>
      </c>
      <c r="L1070" t="str">
        <f>T("9791137605251")</f>
        <v>9791137605251</v>
      </c>
    </row>
    <row r="1071" spans="1:12">
      <c r="A1071" s="2">
        <v>44795.470092592594</v>
      </c>
      <c r="B1071">
        <v>300204288</v>
      </c>
      <c r="C1071" t="s">
        <v>439</v>
      </c>
      <c r="D1071" t="s">
        <v>9</v>
      </c>
      <c r="E1071">
        <v>0</v>
      </c>
      <c r="F1071">
        <v>0</v>
      </c>
      <c r="G1071">
        <v>0</v>
      </c>
      <c r="I1071" t="s">
        <v>440</v>
      </c>
      <c r="J1071" t="s">
        <v>11</v>
      </c>
      <c r="K1071" t="s">
        <v>11</v>
      </c>
      <c r="L1071" t="str">
        <f>T("9791137605268")</f>
        <v>9791137605268</v>
      </c>
    </row>
    <row r="1072" spans="1:12">
      <c r="A1072" s="2">
        <v>44795.482881944445</v>
      </c>
      <c r="B1072">
        <v>299154500</v>
      </c>
      <c r="C1072" t="s">
        <v>287</v>
      </c>
      <c r="D1072" t="s">
        <v>9</v>
      </c>
      <c r="E1072" s="3">
        <v>2500</v>
      </c>
      <c r="F1072" s="3">
        <v>2500</v>
      </c>
      <c r="G1072" s="3">
        <v>1750</v>
      </c>
      <c r="I1072" t="s">
        <v>220</v>
      </c>
      <c r="J1072" t="s">
        <v>40</v>
      </c>
      <c r="K1072" t="s">
        <v>11</v>
      </c>
      <c r="L1072" t="str">
        <f>T("9791191562859")</f>
        <v>9791191562859</v>
      </c>
    </row>
    <row r="1073" spans="1:12">
      <c r="A1073" s="2">
        <v>44795.504328703704</v>
      </c>
      <c r="B1073">
        <v>291088925</v>
      </c>
      <c r="C1073" t="s">
        <v>58</v>
      </c>
      <c r="D1073" t="s">
        <v>9</v>
      </c>
      <c r="E1073" s="3">
        <v>2000</v>
      </c>
      <c r="F1073" s="3">
        <v>2000</v>
      </c>
      <c r="G1073" s="3">
        <v>1400</v>
      </c>
      <c r="I1073" t="s">
        <v>59</v>
      </c>
      <c r="J1073" t="s">
        <v>40</v>
      </c>
      <c r="K1073" t="s">
        <v>11</v>
      </c>
      <c r="L1073" t="str">
        <f>T("9791191562187")</f>
        <v>9791191562187</v>
      </c>
    </row>
    <row r="1074" spans="1:12">
      <c r="A1074" s="2">
        <v>44795.504328703704</v>
      </c>
      <c r="B1074">
        <v>286405921</v>
      </c>
      <c r="C1074" t="s">
        <v>36</v>
      </c>
      <c r="D1074" t="s">
        <v>9</v>
      </c>
      <c r="E1074" s="3">
        <v>2500</v>
      </c>
      <c r="F1074" s="3">
        <v>2500</v>
      </c>
      <c r="G1074" s="3">
        <v>1750</v>
      </c>
      <c r="I1074" t="s">
        <v>34</v>
      </c>
      <c r="J1074" t="s">
        <v>40</v>
      </c>
      <c r="K1074" t="s">
        <v>11</v>
      </c>
      <c r="L1074" t="str">
        <f>T("9791196945268")</f>
        <v>9791196945268</v>
      </c>
    </row>
    <row r="1075" spans="1:12">
      <c r="A1075" s="2">
        <v>44795.504328703704</v>
      </c>
      <c r="B1075">
        <v>287834730</v>
      </c>
      <c r="C1075" t="s">
        <v>37</v>
      </c>
      <c r="D1075" t="s">
        <v>9</v>
      </c>
      <c r="E1075" s="3">
        <v>2000</v>
      </c>
      <c r="F1075" s="3">
        <v>2000</v>
      </c>
      <c r="G1075" s="3">
        <v>1400</v>
      </c>
      <c r="I1075" t="s">
        <v>32</v>
      </c>
      <c r="J1075" t="s">
        <v>40</v>
      </c>
      <c r="K1075" t="s">
        <v>11</v>
      </c>
      <c r="L1075" t="str">
        <f>T("9791191562019")</f>
        <v>9791191562019</v>
      </c>
    </row>
    <row r="1076" spans="1:12">
      <c r="A1076" s="2">
        <v>44795.518460648149</v>
      </c>
      <c r="B1076">
        <v>298750948</v>
      </c>
      <c r="C1076" t="s">
        <v>259</v>
      </c>
      <c r="D1076" t="s">
        <v>9</v>
      </c>
      <c r="E1076" s="3">
        <v>3500</v>
      </c>
      <c r="F1076" s="3">
        <v>3500</v>
      </c>
      <c r="G1076" s="3">
        <v>2450</v>
      </c>
      <c r="I1076" t="s">
        <v>38</v>
      </c>
      <c r="J1076" t="s">
        <v>40</v>
      </c>
      <c r="K1076" t="s">
        <v>11</v>
      </c>
      <c r="L1076" t="str">
        <f>T("9791191562866")</f>
        <v>9791191562866</v>
      </c>
    </row>
    <row r="1077" spans="1:12">
      <c r="A1077" s="2">
        <v>44795.530532407407</v>
      </c>
      <c r="B1077">
        <v>170138826</v>
      </c>
      <c r="C1077" t="s">
        <v>186</v>
      </c>
      <c r="D1077" t="s">
        <v>9</v>
      </c>
      <c r="E1077">
        <v>0</v>
      </c>
      <c r="F1077">
        <v>0</v>
      </c>
      <c r="G1077">
        <v>0</v>
      </c>
      <c r="I1077" t="s">
        <v>14</v>
      </c>
      <c r="J1077" t="s">
        <v>11</v>
      </c>
      <c r="K1077" t="s">
        <v>11</v>
      </c>
      <c r="L1077" t="str">
        <f>T("9788928091126")</f>
        <v>9788928091126</v>
      </c>
    </row>
    <row r="1078" spans="1:12">
      <c r="A1078" s="2">
        <v>44795.540092592593</v>
      </c>
      <c r="B1078">
        <v>300204288</v>
      </c>
      <c r="C1078" t="s">
        <v>439</v>
      </c>
      <c r="D1078" t="s">
        <v>9</v>
      </c>
      <c r="E1078">
        <v>0</v>
      </c>
      <c r="F1078">
        <v>0</v>
      </c>
      <c r="G1078">
        <v>0</v>
      </c>
      <c r="I1078" t="s">
        <v>440</v>
      </c>
      <c r="J1078" t="s">
        <v>11</v>
      </c>
      <c r="K1078" t="s">
        <v>11</v>
      </c>
      <c r="L1078" t="str">
        <f>T("9791137605268")</f>
        <v>9791137605268</v>
      </c>
    </row>
    <row r="1079" spans="1:12">
      <c r="A1079" s="2">
        <v>44795.540092592593</v>
      </c>
      <c r="B1079">
        <v>300204272</v>
      </c>
      <c r="C1079" t="s">
        <v>441</v>
      </c>
      <c r="D1079" t="s">
        <v>9</v>
      </c>
      <c r="E1079">
        <v>0</v>
      </c>
      <c r="F1079">
        <v>0</v>
      </c>
      <c r="G1079">
        <v>0</v>
      </c>
      <c r="I1079" t="s">
        <v>438</v>
      </c>
      <c r="J1079" t="s">
        <v>11</v>
      </c>
      <c r="K1079" t="s">
        <v>11</v>
      </c>
      <c r="L1079" t="str">
        <f>T("9791137604490")</f>
        <v>9791137604490</v>
      </c>
    </row>
    <row r="1080" spans="1:12">
      <c r="A1080" s="2">
        <v>44795.540092592593</v>
      </c>
      <c r="B1080">
        <v>300204282</v>
      </c>
      <c r="C1080" t="s">
        <v>435</v>
      </c>
      <c r="D1080" t="s">
        <v>9</v>
      </c>
      <c r="E1080">
        <v>0</v>
      </c>
      <c r="F1080">
        <v>0</v>
      </c>
      <c r="G1080">
        <v>0</v>
      </c>
      <c r="I1080" t="s">
        <v>436</v>
      </c>
      <c r="J1080" t="s">
        <v>11</v>
      </c>
      <c r="K1080" t="s">
        <v>11</v>
      </c>
      <c r="L1080" t="str">
        <f>T("9791137605145")</f>
        <v>9791137605145</v>
      </c>
    </row>
    <row r="1081" spans="1:12">
      <c r="A1081" s="2">
        <v>44795.548796296294</v>
      </c>
      <c r="B1081">
        <v>300204274</v>
      </c>
      <c r="C1081" t="s">
        <v>442</v>
      </c>
      <c r="D1081" t="s">
        <v>12</v>
      </c>
      <c r="E1081">
        <v>630</v>
      </c>
      <c r="F1081">
        <v>630</v>
      </c>
      <c r="G1081">
        <v>441</v>
      </c>
      <c r="I1081" t="s">
        <v>436</v>
      </c>
      <c r="J1081" t="s">
        <v>11</v>
      </c>
      <c r="K1081" t="s">
        <v>11</v>
      </c>
      <c r="L1081" t="str">
        <f>T("9791137605152")</f>
        <v>9791137605152</v>
      </c>
    </row>
    <row r="1082" spans="1:12">
      <c r="A1082" s="2">
        <v>44795.55259259259</v>
      </c>
      <c r="B1082">
        <v>299562124</v>
      </c>
      <c r="C1082" t="s">
        <v>369</v>
      </c>
      <c r="D1082" t="s">
        <v>9</v>
      </c>
      <c r="E1082" s="3">
        <v>2000</v>
      </c>
      <c r="F1082" s="3">
        <v>2000</v>
      </c>
      <c r="G1082" s="3">
        <v>1400</v>
      </c>
      <c r="I1082" t="s">
        <v>370</v>
      </c>
      <c r="J1082" t="s">
        <v>40</v>
      </c>
      <c r="K1082" t="s">
        <v>11</v>
      </c>
      <c r="L1082" t="str">
        <f>T("9791191562873")</f>
        <v>9791191562873</v>
      </c>
    </row>
    <row r="1083" spans="1:12">
      <c r="A1083" s="2">
        <v>44795.571423611109</v>
      </c>
      <c r="B1083">
        <v>291088925</v>
      </c>
      <c r="C1083" t="s">
        <v>58</v>
      </c>
      <c r="D1083" t="s">
        <v>9</v>
      </c>
      <c r="E1083" s="3">
        <v>2000</v>
      </c>
      <c r="F1083" s="3">
        <v>2000</v>
      </c>
      <c r="G1083" s="3">
        <v>1400</v>
      </c>
      <c r="I1083" t="s">
        <v>59</v>
      </c>
      <c r="J1083" t="s">
        <v>40</v>
      </c>
      <c r="K1083" t="s">
        <v>11</v>
      </c>
      <c r="L1083" t="str">
        <f>T("9791191562187")</f>
        <v>9791191562187</v>
      </c>
    </row>
    <row r="1084" spans="1:12">
      <c r="A1084" s="2">
        <v>44795.633703703701</v>
      </c>
      <c r="B1084">
        <v>299154500</v>
      </c>
      <c r="C1084" t="s">
        <v>287</v>
      </c>
      <c r="D1084" t="s">
        <v>9</v>
      </c>
      <c r="E1084" s="3">
        <v>2500</v>
      </c>
      <c r="F1084" s="3">
        <v>2500</v>
      </c>
      <c r="G1084" s="3">
        <v>1750</v>
      </c>
      <c r="I1084" t="s">
        <v>220</v>
      </c>
      <c r="J1084" t="s">
        <v>40</v>
      </c>
      <c r="K1084" t="s">
        <v>11</v>
      </c>
      <c r="L1084" t="str">
        <f>T("9791191562859")</f>
        <v>9791191562859</v>
      </c>
    </row>
    <row r="1085" spans="1:12">
      <c r="A1085" s="2">
        <v>44795.642453703702</v>
      </c>
      <c r="B1085">
        <v>291801915</v>
      </c>
      <c r="C1085" t="s">
        <v>443</v>
      </c>
      <c r="D1085" t="s">
        <v>9</v>
      </c>
      <c r="E1085" s="3">
        <v>2000</v>
      </c>
      <c r="F1085" s="3">
        <v>2000</v>
      </c>
      <c r="G1085" s="3">
        <v>1400</v>
      </c>
      <c r="I1085" t="s">
        <v>341</v>
      </c>
      <c r="J1085" t="s">
        <v>40</v>
      </c>
      <c r="K1085" t="s">
        <v>11</v>
      </c>
      <c r="L1085" t="str">
        <f>T("9791191562200")</f>
        <v>9791191562200</v>
      </c>
    </row>
    <row r="1086" spans="1:12">
      <c r="A1086" s="2">
        <v>44795.647974537038</v>
      </c>
      <c r="B1086">
        <v>291088925</v>
      </c>
      <c r="C1086" t="s">
        <v>58</v>
      </c>
      <c r="D1086" t="s">
        <v>9</v>
      </c>
      <c r="E1086" s="3">
        <v>2000</v>
      </c>
      <c r="F1086" s="3">
        <v>2000</v>
      </c>
      <c r="G1086" s="3">
        <v>1400</v>
      </c>
      <c r="I1086" t="s">
        <v>59</v>
      </c>
      <c r="J1086" t="s">
        <v>40</v>
      </c>
      <c r="K1086" t="s">
        <v>11</v>
      </c>
      <c r="L1086" t="str">
        <f>T("9791191562187")</f>
        <v>9791191562187</v>
      </c>
    </row>
    <row r="1087" spans="1:12">
      <c r="A1087" s="2">
        <v>44795.648784722223</v>
      </c>
      <c r="B1087">
        <v>290084502</v>
      </c>
      <c r="C1087" t="s">
        <v>46</v>
      </c>
      <c r="D1087" t="s">
        <v>9</v>
      </c>
      <c r="E1087" s="3">
        <v>2500</v>
      </c>
      <c r="F1087" s="3">
        <v>2500</v>
      </c>
      <c r="G1087" s="3">
        <v>1750</v>
      </c>
      <c r="I1087" t="s">
        <v>47</v>
      </c>
      <c r="J1087" t="s">
        <v>40</v>
      </c>
      <c r="K1087" t="s">
        <v>11</v>
      </c>
      <c r="L1087" t="str">
        <f>T("9791191562125")</f>
        <v>9791191562125</v>
      </c>
    </row>
    <row r="1088" spans="1:12">
      <c r="A1088" s="2">
        <v>44795.727870370371</v>
      </c>
      <c r="B1088">
        <v>295216088</v>
      </c>
      <c r="C1088" t="s">
        <v>114</v>
      </c>
      <c r="D1088" t="s">
        <v>9</v>
      </c>
      <c r="E1088" s="3">
        <v>2500</v>
      </c>
      <c r="F1088" s="3">
        <v>2500</v>
      </c>
      <c r="G1088" s="3">
        <v>1750</v>
      </c>
      <c r="I1088" t="s">
        <v>113</v>
      </c>
      <c r="J1088" t="s">
        <v>40</v>
      </c>
      <c r="K1088" t="s">
        <v>11</v>
      </c>
      <c r="L1088" t="str">
        <f>T("9791191562453")</f>
        <v>9791191562453</v>
      </c>
    </row>
    <row r="1089" spans="1:12">
      <c r="A1089" s="2">
        <v>44795.749444444446</v>
      </c>
      <c r="B1089">
        <v>297109357</v>
      </c>
      <c r="C1089" t="s">
        <v>154</v>
      </c>
      <c r="D1089" t="s">
        <v>9</v>
      </c>
      <c r="E1089" s="3">
        <v>3600</v>
      </c>
      <c r="F1089" s="3">
        <v>3600</v>
      </c>
      <c r="G1089" s="3">
        <v>2520</v>
      </c>
      <c r="I1089" t="s">
        <v>155</v>
      </c>
      <c r="J1089" t="s">
        <v>40</v>
      </c>
      <c r="K1089" t="s">
        <v>11</v>
      </c>
      <c r="L1089" t="str">
        <f>T("9791191562774")</f>
        <v>9791191562774</v>
      </c>
    </row>
    <row r="1090" spans="1:12">
      <c r="A1090" s="2">
        <v>44795.749444444446</v>
      </c>
      <c r="B1090">
        <v>299562124</v>
      </c>
      <c r="C1090" t="s">
        <v>369</v>
      </c>
      <c r="D1090" t="s">
        <v>9</v>
      </c>
      <c r="E1090" s="3">
        <v>2000</v>
      </c>
      <c r="F1090" s="3">
        <v>2000</v>
      </c>
      <c r="G1090" s="3">
        <v>1400</v>
      </c>
      <c r="I1090" t="s">
        <v>370</v>
      </c>
      <c r="J1090" t="s">
        <v>40</v>
      </c>
      <c r="K1090" t="s">
        <v>11</v>
      </c>
      <c r="L1090" t="str">
        <f>T("9791191562873")</f>
        <v>9791191562873</v>
      </c>
    </row>
    <row r="1091" spans="1:12">
      <c r="A1091" s="2">
        <v>44795.755567129629</v>
      </c>
      <c r="B1091">
        <v>295462572</v>
      </c>
      <c r="C1091" t="s">
        <v>108</v>
      </c>
      <c r="D1091" t="s">
        <v>9</v>
      </c>
      <c r="E1091" s="3">
        <v>2000</v>
      </c>
      <c r="F1091" s="3">
        <v>2000</v>
      </c>
      <c r="G1091" s="3">
        <v>1400</v>
      </c>
      <c r="I1091" t="s">
        <v>32</v>
      </c>
      <c r="J1091" t="s">
        <v>40</v>
      </c>
      <c r="K1091" t="s">
        <v>11</v>
      </c>
      <c r="L1091" t="str">
        <f>T("9791191562361")</f>
        <v>9791191562361</v>
      </c>
    </row>
    <row r="1092" spans="1:12">
      <c r="A1092" s="2">
        <v>44795.796331018515</v>
      </c>
      <c r="B1092">
        <v>295836446</v>
      </c>
      <c r="C1092" t="s">
        <v>129</v>
      </c>
      <c r="D1092" t="s">
        <v>9</v>
      </c>
      <c r="E1092" s="3">
        <v>2000</v>
      </c>
      <c r="F1092" s="3">
        <v>2000</v>
      </c>
      <c r="G1092" s="3">
        <v>1400</v>
      </c>
      <c r="I1092" t="s">
        <v>59</v>
      </c>
      <c r="J1092" t="s">
        <v>40</v>
      </c>
      <c r="K1092" t="s">
        <v>11</v>
      </c>
      <c r="L1092" t="str">
        <f>T("9791191562798")</f>
        <v>9791191562798</v>
      </c>
    </row>
    <row r="1093" spans="1:12">
      <c r="A1093" s="2">
        <v>44795.815949074073</v>
      </c>
      <c r="B1093">
        <v>290963607</v>
      </c>
      <c r="C1093" t="s">
        <v>56</v>
      </c>
      <c r="D1093" t="s">
        <v>9</v>
      </c>
      <c r="E1093" s="3">
        <v>3500</v>
      </c>
      <c r="F1093" s="3">
        <v>3500</v>
      </c>
      <c r="G1093" s="3">
        <v>2450</v>
      </c>
      <c r="I1093" t="s">
        <v>57</v>
      </c>
      <c r="J1093" t="s">
        <v>40</v>
      </c>
      <c r="K1093" t="s">
        <v>11</v>
      </c>
      <c r="L1093" t="str">
        <f>T("9791191562132")</f>
        <v>9791191562132</v>
      </c>
    </row>
    <row r="1094" spans="1:12">
      <c r="A1094" s="2">
        <v>44795.82371527778</v>
      </c>
      <c r="B1094">
        <v>297219988</v>
      </c>
      <c r="C1094" t="s">
        <v>157</v>
      </c>
      <c r="D1094" t="s">
        <v>9</v>
      </c>
      <c r="E1094" s="3">
        <v>3000</v>
      </c>
      <c r="F1094" s="3">
        <v>3000</v>
      </c>
      <c r="G1094" s="3">
        <v>2100</v>
      </c>
      <c r="I1094" t="s">
        <v>82</v>
      </c>
      <c r="J1094" t="s">
        <v>40</v>
      </c>
      <c r="K1094" t="s">
        <v>11</v>
      </c>
      <c r="L1094" t="str">
        <f>T("9791191562811")</f>
        <v>9791191562811</v>
      </c>
    </row>
    <row r="1095" spans="1:12">
      <c r="A1095" s="2">
        <v>44795.831273148149</v>
      </c>
      <c r="B1095">
        <v>300204272</v>
      </c>
      <c r="C1095" t="s">
        <v>441</v>
      </c>
      <c r="D1095" t="s">
        <v>9</v>
      </c>
      <c r="E1095">
        <v>0</v>
      </c>
      <c r="F1095">
        <v>0</v>
      </c>
      <c r="G1095">
        <v>0</v>
      </c>
      <c r="I1095" t="s">
        <v>438</v>
      </c>
      <c r="J1095" t="s">
        <v>11</v>
      </c>
      <c r="K1095" t="s">
        <v>11</v>
      </c>
      <c r="L1095" t="str">
        <f>T("9791137604490")</f>
        <v>9791137604490</v>
      </c>
    </row>
    <row r="1096" spans="1:12">
      <c r="A1096" s="2">
        <v>44795.831273148149</v>
      </c>
      <c r="B1096">
        <v>300204288</v>
      </c>
      <c r="C1096" t="s">
        <v>439</v>
      </c>
      <c r="D1096" t="s">
        <v>9</v>
      </c>
      <c r="E1096">
        <v>0</v>
      </c>
      <c r="F1096">
        <v>0</v>
      </c>
      <c r="G1096">
        <v>0</v>
      </c>
      <c r="I1096" t="s">
        <v>440</v>
      </c>
      <c r="J1096" t="s">
        <v>11</v>
      </c>
      <c r="K1096" t="s">
        <v>11</v>
      </c>
      <c r="L1096" t="str">
        <f>T("9791137605268")</f>
        <v>9791137605268</v>
      </c>
    </row>
    <row r="1097" spans="1:12">
      <c r="A1097" s="2">
        <v>44795.844837962963</v>
      </c>
      <c r="B1097">
        <v>295462572</v>
      </c>
      <c r="C1097" t="s">
        <v>108</v>
      </c>
      <c r="D1097" t="s">
        <v>9</v>
      </c>
      <c r="E1097" s="3">
        <v>2000</v>
      </c>
      <c r="F1097" s="3">
        <v>2000</v>
      </c>
      <c r="G1097" s="3">
        <v>1400</v>
      </c>
      <c r="I1097" t="s">
        <v>32</v>
      </c>
      <c r="J1097" t="s">
        <v>40</v>
      </c>
      <c r="K1097" t="s">
        <v>11</v>
      </c>
      <c r="L1097" t="str">
        <f>T("9791191562361")</f>
        <v>9791191562361</v>
      </c>
    </row>
    <row r="1098" spans="1:12">
      <c r="A1098" s="2">
        <v>44795.85125</v>
      </c>
      <c r="B1098">
        <v>299562124</v>
      </c>
      <c r="C1098" t="s">
        <v>369</v>
      </c>
      <c r="D1098" t="s">
        <v>9</v>
      </c>
      <c r="E1098" s="3">
        <v>2000</v>
      </c>
      <c r="F1098" s="3">
        <v>2000</v>
      </c>
      <c r="G1098" s="3">
        <v>1400</v>
      </c>
      <c r="I1098" t="s">
        <v>370</v>
      </c>
      <c r="J1098" t="s">
        <v>40</v>
      </c>
      <c r="K1098" t="s">
        <v>11</v>
      </c>
      <c r="L1098" t="str">
        <f>T("9791191562873")</f>
        <v>9791191562873</v>
      </c>
    </row>
    <row r="1099" spans="1:12">
      <c r="A1099" s="2">
        <v>44795.878125000003</v>
      </c>
      <c r="B1099">
        <v>298622481</v>
      </c>
      <c r="C1099" t="s">
        <v>254</v>
      </c>
      <c r="D1099" t="s">
        <v>9</v>
      </c>
      <c r="E1099" s="3">
        <v>6300</v>
      </c>
      <c r="F1099" s="3">
        <v>6300</v>
      </c>
      <c r="G1099" s="3">
        <v>4410</v>
      </c>
      <c r="I1099" t="s">
        <v>55</v>
      </c>
      <c r="J1099" t="s">
        <v>50</v>
      </c>
      <c r="K1099" t="s">
        <v>11</v>
      </c>
      <c r="L1099" t="str">
        <f>T("9791166483226")</f>
        <v>9791166483226</v>
      </c>
    </row>
    <row r="1100" spans="1:12">
      <c r="A1100" s="2">
        <v>44795.884733796294</v>
      </c>
      <c r="B1100">
        <v>300204288</v>
      </c>
      <c r="C1100" t="s">
        <v>439</v>
      </c>
      <c r="D1100" t="s">
        <v>9</v>
      </c>
      <c r="E1100">
        <v>0</v>
      </c>
      <c r="F1100">
        <v>0</v>
      </c>
      <c r="G1100">
        <v>0</v>
      </c>
      <c r="I1100" t="s">
        <v>440</v>
      </c>
      <c r="J1100" t="s">
        <v>11</v>
      </c>
      <c r="K1100" t="s">
        <v>11</v>
      </c>
      <c r="L1100" t="str">
        <f>T("9791137605268")</f>
        <v>9791137605268</v>
      </c>
    </row>
    <row r="1101" spans="1:12">
      <c r="A1101" s="2">
        <v>44795.884733796294</v>
      </c>
      <c r="B1101">
        <v>300204282</v>
      </c>
      <c r="C1101" t="s">
        <v>435</v>
      </c>
      <c r="D1101" t="s">
        <v>9</v>
      </c>
      <c r="E1101">
        <v>0</v>
      </c>
      <c r="F1101">
        <v>0</v>
      </c>
      <c r="G1101">
        <v>0</v>
      </c>
      <c r="I1101" t="s">
        <v>436</v>
      </c>
      <c r="J1101" t="s">
        <v>11</v>
      </c>
      <c r="K1101" t="s">
        <v>11</v>
      </c>
      <c r="L1101" t="str">
        <f>T("9791137605145")</f>
        <v>9791137605145</v>
      </c>
    </row>
    <row r="1102" spans="1:12">
      <c r="A1102" s="2">
        <v>44795.884733796294</v>
      </c>
      <c r="B1102">
        <v>300204272</v>
      </c>
      <c r="C1102" t="s">
        <v>441</v>
      </c>
      <c r="D1102" t="s">
        <v>9</v>
      </c>
      <c r="E1102">
        <v>0</v>
      </c>
      <c r="F1102">
        <v>0</v>
      </c>
      <c r="G1102">
        <v>0</v>
      </c>
      <c r="I1102" t="s">
        <v>438</v>
      </c>
      <c r="J1102" t="s">
        <v>11</v>
      </c>
      <c r="K1102" t="s">
        <v>11</v>
      </c>
      <c r="L1102" t="str">
        <f>T("9791137604490")</f>
        <v>9791137604490</v>
      </c>
    </row>
    <row r="1103" spans="1:12">
      <c r="A1103" s="2">
        <v>44795.887719907405</v>
      </c>
      <c r="B1103">
        <v>300204359</v>
      </c>
      <c r="C1103" t="s">
        <v>444</v>
      </c>
      <c r="D1103" t="s">
        <v>9</v>
      </c>
      <c r="E1103" s="3">
        <v>22400</v>
      </c>
      <c r="F1103" s="3">
        <v>22400</v>
      </c>
      <c r="G1103" s="3">
        <v>15680</v>
      </c>
      <c r="I1103" t="s">
        <v>440</v>
      </c>
      <c r="J1103" t="s">
        <v>11</v>
      </c>
      <c r="K1103" t="s">
        <v>11</v>
      </c>
      <c r="L1103" t="str">
        <f>T("9791137605824")</f>
        <v>9791137605824</v>
      </c>
    </row>
    <row r="1104" spans="1:12">
      <c r="A1104" s="2">
        <v>44795.898032407407</v>
      </c>
      <c r="B1104">
        <v>287834730</v>
      </c>
      <c r="C1104" t="s">
        <v>37</v>
      </c>
      <c r="D1104" t="s">
        <v>9</v>
      </c>
      <c r="E1104" s="3">
        <v>2000</v>
      </c>
      <c r="F1104" s="3">
        <v>2000</v>
      </c>
      <c r="G1104" s="3">
        <v>1400</v>
      </c>
      <c r="I1104" t="s">
        <v>32</v>
      </c>
      <c r="J1104" t="s">
        <v>40</v>
      </c>
      <c r="K1104" t="s">
        <v>11</v>
      </c>
      <c r="L1104" t="str">
        <f>T("9791191562019")</f>
        <v>9791191562019</v>
      </c>
    </row>
    <row r="1105" spans="1:12">
      <c r="A1105" s="2">
        <v>44795.901261574072</v>
      </c>
      <c r="B1105">
        <v>299562124</v>
      </c>
      <c r="C1105" t="s">
        <v>369</v>
      </c>
      <c r="D1105" t="s">
        <v>9</v>
      </c>
      <c r="E1105" s="3">
        <v>2000</v>
      </c>
      <c r="F1105" s="3">
        <v>2000</v>
      </c>
      <c r="G1105" s="3">
        <v>1400</v>
      </c>
      <c r="I1105" t="s">
        <v>370</v>
      </c>
      <c r="J1105" t="s">
        <v>40</v>
      </c>
      <c r="K1105" t="s">
        <v>11</v>
      </c>
      <c r="L1105" t="str">
        <f>T("9791191562873")</f>
        <v>9791191562873</v>
      </c>
    </row>
    <row r="1106" spans="1:12">
      <c r="A1106" s="2">
        <v>44795.902638888889</v>
      </c>
      <c r="B1106">
        <v>299562124</v>
      </c>
      <c r="C1106" t="s">
        <v>369</v>
      </c>
      <c r="D1106" t="s">
        <v>9</v>
      </c>
      <c r="E1106" s="3">
        <v>2000</v>
      </c>
      <c r="F1106" s="3">
        <v>2000</v>
      </c>
      <c r="G1106" s="3">
        <v>1400</v>
      </c>
      <c r="I1106" t="s">
        <v>370</v>
      </c>
      <c r="J1106" t="s">
        <v>40</v>
      </c>
      <c r="K1106" t="s">
        <v>11</v>
      </c>
      <c r="L1106" t="str">
        <f>T("9791191562873")</f>
        <v>9791191562873</v>
      </c>
    </row>
    <row r="1107" spans="1:12">
      <c r="A1107" s="2">
        <v>44795.908587962964</v>
      </c>
      <c r="B1107">
        <v>299562124</v>
      </c>
      <c r="C1107" t="s">
        <v>369</v>
      </c>
      <c r="D1107" t="s">
        <v>9</v>
      </c>
      <c r="E1107" s="3">
        <v>2000</v>
      </c>
      <c r="F1107" s="3">
        <v>2000</v>
      </c>
      <c r="G1107" s="3">
        <v>1400</v>
      </c>
      <c r="I1107" t="s">
        <v>370</v>
      </c>
      <c r="J1107" t="s">
        <v>40</v>
      </c>
      <c r="K1107" t="s">
        <v>11</v>
      </c>
      <c r="L1107" t="str">
        <f>T("9791191562873")</f>
        <v>9791191562873</v>
      </c>
    </row>
    <row r="1108" spans="1:12">
      <c r="A1108" s="2">
        <v>44795.921226851853</v>
      </c>
      <c r="B1108">
        <v>296965886</v>
      </c>
      <c r="C1108" t="s">
        <v>151</v>
      </c>
      <c r="D1108" t="s">
        <v>9</v>
      </c>
      <c r="E1108" s="3">
        <v>2500</v>
      </c>
      <c r="F1108" s="3">
        <v>2500</v>
      </c>
      <c r="G1108" s="3">
        <v>1750</v>
      </c>
      <c r="I1108" t="s">
        <v>152</v>
      </c>
      <c r="J1108" t="s">
        <v>40</v>
      </c>
      <c r="K1108" t="s">
        <v>11</v>
      </c>
      <c r="L1108" t="str">
        <f>T("9791191562507")</f>
        <v>9791191562507</v>
      </c>
    </row>
    <row r="1109" spans="1:12">
      <c r="A1109" s="2">
        <v>44795.933310185188</v>
      </c>
      <c r="B1109">
        <v>286896672</v>
      </c>
      <c r="C1109" t="s">
        <v>175</v>
      </c>
      <c r="D1109" t="s">
        <v>9</v>
      </c>
      <c r="E1109" s="3">
        <v>2500</v>
      </c>
      <c r="F1109" s="3">
        <v>2500</v>
      </c>
      <c r="G1109" s="3">
        <v>1750</v>
      </c>
      <c r="I1109" t="s">
        <v>176</v>
      </c>
      <c r="J1109" t="s">
        <v>40</v>
      </c>
      <c r="K1109" t="s">
        <v>11</v>
      </c>
      <c r="L1109" t="str">
        <f>T("9791191562002")</f>
        <v>9791191562002</v>
      </c>
    </row>
    <row r="1110" spans="1:12">
      <c r="A1110" s="2">
        <v>44795.95380787037</v>
      </c>
      <c r="B1110">
        <v>298750948</v>
      </c>
      <c r="C1110" t="s">
        <v>259</v>
      </c>
      <c r="D1110" t="s">
        <v>9</v>
      </c>
      <c r="E1110" s="3">
        <v>3500</v>
      </c>
      <c r="F1110" s="3">
        <v>3500</v>
      </c>
      <c r="G1110" s="3">
        <v>2450</v>
      </c>
      <c r="I1110" t="s">
        <v>38</v>
      </c>
      <c r="J1110" t="s">
        <v>40</v>
      </c>
      <c r="K1110" t="s">
        <v>11</v>
      </c>
      <c r="L1110" t="str">
        <f>T("9791191562866")</f>
        <v>9791191562866</v>
      </c>
    </row>
    <row r="1111" spans="1:12">
      <c r="A1111" s="2">
        <v>44795.958460648151</v>
      </c>
      <c r="B1111">
        <v>299562124</v>
      </c>
      <c r="C1111" t="s">
        <v>369</v>
      </c>
      <c r="D1111" t="s">
        <v>9</v>
      </c>
      <c r="E1111" s="3">
        <v>2000</v>
      </c>
      <c r="F1111" s="3">
        <v>2000</v>
      </c>
      <c r="G1111" s="3">
        <v>1400</v>
      </c>
      <c r="I1111" t="s">
        <v>370</v>
      </c>
      <c r="J1111" t="s">
        <v>40</v>
      </c>
      <c r="K1111" t="s">
        <v>11</v>
      </c>
      <c r="L1111" t="str">
        <f>T("9791191562873")</f>
        <v>9791191562873</v>
      </c>
    </row>
    <row r="1112" spans="1:12">
      <c r="A1112" s="2">
        <v>44795.959861111114</v>
      </c>
      <c r="B1112">
        <v>293180467</v>
      </c>
      <c r="C1112" t="s">
        <v>104</v>
      </c>
      <c r="D1112" t="s">
        <v>9</v>
      </c>
      <c r="E1112" s="3">
        <v>2000</v>
      </c>
      <c r="F1112" s="3">
        <v>2000</v>
      </c>
      <c r="G1112" s="3">
        <v>1400</v>
      </c>
      <c r="I1112" t="s">
        <v>31</v>
      </c>
      <c r="J1112" t="s">
        <v>40</v>
      </c>
      <c r="K1112" t="s">
        <v>11</v>
      </c>
      <c r="L1112" t="str">
        <f>T("9791191562293")</f>
        <v>9791191562293</v>
      </c>
    </row>
    <row r="1113" spans="1:12">
      <c r="A1113" s="2">
        <v>44795.972129629627</v>
      </c>
      <c r="B1113">
        <v>299562124</v>
      </c>
      <c r="C1113" t="s">
        <v>369</v>
      </c>
      <c r="D1113" t="s">
        <v>9</v>
      </c>
      <c r="E1113" s="3">
        <v>2000</v>
      </c>
      <c r="F1113" s="3">
        <v>2000</v>
      </c>
      <c r="G1113" s="3">
        <v>1400</v>
      </c>
      <c r="I1113" t="s">
        <v>370</v>
      </c>
      <c r="J1113" t="s">
        <v>40</v>
      </c>
      <c r="K1113" t="s">
        <v>11</v>
      </c>
      <c r="L1113" t="str">
        <f>T("9791191562873")</f>
        <v>9791191562873</v>
      </c>
    </row>
    <row r="1114" spans="1:12">
      <c r="A1114" s="2">
        <v>44795.972881944443</v>
      </c>
      <c r="B1114">
        <v>286896672</v>
      </c>
      <c r="C1114" t="s">
        <v>175</v>
      </c>
      <c r="D1114" t="s">
        <v>9</v>
      </c>
      <c r="E1114" s="3">
        <v>2500</v>
      </c>
      <c r="F1114" s="3">
        <v>2500</v>
      </c>
      <c r="G1114" s="3">
        <v>1750</v>
      </c>
      <c r="I1114" t="s">
        <v>176</v>
      </c>
      <c r="J1114" t="s">
        <v>40</v>
      </c>
      <c r="K1114" t="s">
        <v>11</v>
      </c>
      <c r="L1114" t="str">
        <f>T("9791191562002")</f>
        <v>9791191562002</v>
      </c>
    </row>
    <row r="1115" spans="1:12">
      <c r="A1115" s="2">
        <v>44795.981516203705</v>
      </c>
      <c r="B1115">
        <v>299562124</v>
      </c>
      <c r="C1115" t="s">
        <v>369</v>
      </c>
      <c r="D1115" t="s">
        <v>9</v>
      </c>
      <c r="E1115" s="3">
        <v>2000</v>
      </c>
      <c r="F1115" s="3">
        <v>2000</v>
      </c>
      <c r="G1115" s="3">
        <v>1400</v>
      </c>
      <c r="I1115" t="s">
        <v>370</v>
      </c>
      <c r="J1115" t="s">
        <v>40</v>
      </c>
      <c r="K1115" t="s">
        <v>11</v>
      </c>
      <c r="L1115" t="str">
        <f>T("9791191562873")</f>
        <v>9791191562873</v>
      </c>
    </row>
    <row r="1116" spans="1:12">
      <c r="A1116" s="2">
        <v>44795.990659722222</v>
      </c>
      <c r="B1116">
        <v>292681653</v>
      </c>
      <c r="C1116" t="s">
        <v>92</v>
      </c>
      <c r="D1116" t="s">
        <v>9</v>
      </c>
      <c r="E1116" s="3">
        <v>2500</v>
      </c>
      <c r="F1116" s="3">
        <v>2500</v>
      </c>
      <c r="G1116" s="3">
        <v>1750</v>
      </c>
      <c r="I1116" t="s">
        <v>93</v>
      </c>
      <c r="J1116" t="s">
        <v>40</v>
      </c>
      <c r="K1116" t="s">
        <v>11</v>
      </c>
      <c r="L1116" t="str">
        <f>T("9791191562316")</f>
        <v>9791191562316</v>
      </c>
    </row>
    <row r="1117" spans="1:12">
      <c r="A1117" s="2">
        <v>44796.078969907408</v>
      </c>
      <c r="B1117">
        <v>116447154</v>
      </c>
      <c r="C1117" t="s">
        <v>445</v>
      </c>
      <c r="D1117" t="s">
        <v>9</v>
      </c>
      <c r="E1117">
        <v>0</v>
      </c>
      <c r="F1117">
        <v>0</v>
      </c>
      <c r="G1117">
        <v>0</v>
      </c>
      <c r="I1117" t="s">
        <v>446</v>
      </c>
      <c r="J1117" t="s">
        <v>11</v>
      </c>
      <c r="K1117" t="s">
        <v>11</v>
      </c>
      <c r="L1117" t="str">
        <f>T("9791159283079")</f>
        <v>9791159283079</v>
      </c>
    </row>
    <row r="1118" spans="1:12">
      <c r="A1118" s="2">
        <v>44796.078969907408</v>
      </c>
      <c r="B1118">
        <v>300204288</v>
      </c>
      <c r="C1118" t="s">
        <v>439</v>
      </c>
      <c r="D1118" t="s">
        <v>9</v>
      </c>
      <c r="E1118">
        <v>0</v>
      </c>
      <c r="F1118">
        <v>0</v>
      </c>
      <c r="G1118">
        <v>0</v>
      </c>
      <c r="I1118" t="s">
        <v>440</v>
      </c>
      <c r="J1118" t="s">
        <v>11</v>
      </c>
      <c r="K1118" t="s">
        <v>11</v>
      </c>
      <c r="L1118" t="str">
        <f>T("9791137605268")</f>
        <v>9791137605268</v>
      </c>
    </row>
    <row r="1119" spans="1:12">
      <c r="A1119" s="2">
        <v>44796.09165509259</v>
      </c>
      <c r="B1119">
        <v>292179681</v>
      </c>
      <c r="C1119" t="s">
        <v>81</v>
      </c>
      <c r="D1119" t="s">
        <v>9</v>
      </c>
      <c r="E1119" s="3">
        <v>2500</v>
      </c>
      <c r="F1119" s="3">
        <v>2500</v>
      </c>
      <c r="G1119" s="3">
        <v>1750</v>
      </c>
      <c r="I1119" t="s">
        <v>82</v>
      </c>
      <c r="J1119" t="s">
        <v>40</v>
      </c>
      <c r="K1119" t="s">
        <v>11</v>
      </c>
      <c r="L1119" t="str">
        <f>T("9791191562224")</f>
        <v>9791191562224</v>
      </c>
    </row>
    <row r="1120" spans="1:12">
      <c r="A1120" s="2">
        <v>44796.340983796297</v>
      </c>
      <c r="B1120">
        <v>300204357</v>
      </c>
      <c r="C1120" t="s">
        <v>437</v>
      </c>
      <c r="D1120" t="s">
        <v>9</v>
      </c>
      <c r="E1120" s="3">
        <v>22400</v>
      </c>
      <c r="F1120" s="3">
        <v>22400</v>
      </c>
      <c r="G1120" s="3">
        <v>15680</v>
      </c>
      <c r="I1120" t="s">
        <v>438</v>
      </c>
      <c r="J1120" t="s">
        <v>11</v>
      </c>
      <c r="K1120" t="s">
        <v>11</v>
      </c>
      <c r="L1120" t="str">
        <f>T("9791137605251")</f>
        <v>9791137605251</v>
      </c>
    </row>
    <row r="1121" spans="1:12">
      <c r="A1121" s="2">
        <v>44796.390856481485</v>
      </c>
      <c r="B1121">
        <v>300204288</v>
      </c>
      <c r="C1121" t="s">
        <v>439</v>
      </c>
      <c r="D1121" t="s">
        <v>9</v>
      </c>
      <c r="E1121">
        <v>0</v>
      </c>
      <c r="F1121">
        <v>0</v>
      </c>
      <c r="G1121">
        <v>0</v>
      </c>
      <c r="I1121" t="s">
        <v>440</v>
      </c>
      <c r="J1121" t="s">
        <v>11</v>
      </c>
      <c r="K1121" t="s">
        <v>11</v>
      </c>
      <c r="L1121" t="str">
        <f>T("9791137605268")</f>
        <v>9791137605268</v>
      </c>
    </row>
    <row r="1122" spans="1:12">
      <c r="A1122" s="2">
        <v>44796.43109953704</v>
      </c>
      <c r="B1122">
        <v>300204288</v>
      </c>
      <c r="C1122" t="s">
        <v>439</v>
      </c>
      <c r="D1122" t="s">
        <v>9</v>
      </c>
      <c r="E1122">
        <v>0</v>
      </c>
      <c r="F1122">
        <v>0</v>
      </c>
      <c r="G1122">
        <v>0</v>
      </c>
      <c r="I1122" t="s">
        <v>440</v>
      </c>
      <c r="J1122" t="s">
        <v>11</v>
      </c>
      <c r="K1122" t="s">
        <v>11</v>
      </c>
      <c r="L1122" t="str">
        <f>T("9791137605268")</f>
        <v>9791137605268</v>
      </c>
    </row>
    <row r="1123" spans="1:12">
      <c r="A1123" s="2">
        <v>44796.43109953704</v>
      </c>
      <c r="B1123">
        <v>300204291</v>
      </c>
      <c r="C1123" t="s">
        <v>447</v>
      </c>
      <c r="D1123" t="s">
        <v>9</v>
      </c>
      <c r="E1123" s="3">
        <v>3200</v>
      </c>
      <c r="F1123" s="3">
        <v>3200</v>
      </c>
      <c r="G1123" s="3">
        <v>2240</v>
      </c>
      <c r="I1123" t="s">
        <v>438</v>
      </c>
      <c r="J1123" t="s">
        <v>11</v>
      </c>
      <c r="K1123" t="s">
        <v>11</v>
      </c>
      <c r="L1123" t="str">
        <f>T("9791137604506")</f>
        <v>9791137604506</v>
      </c>
    </row>
    <row r="1124" spans="1:12">
      <c r="A1124" s="2">
        <v>44796.43109953704</v>
      </c>
      <c r="B1124">
        <v>300204292</v>
      </c>
      <c r="C1124" t="s">
        <v>448</v>
      </c>
      <c r="D1124" t="s">
        <v>9</v>
      </c>
      <c r="E1124" s="3">
        <v>3200</v>
      </c>
      <c r="F1124" s="3">
        <v>3200</v>
      </c>
      <c r="G1124" s="3">
        <v>2240</v>
      </c>
      <c r="I1124" t="s">
        <v>440</v>
      </c>
      <c r="J1124" t="s">
        <v>11</v>
      </c>
      <c r="K1124" t="s">
        <v>11</v>
      </c>
      <c r="L1124" t="str">
        <f>T("9791137605305")</f>
        <v>9791137605305</v>
      </c>
    </row>
    <row r="1125" spans="1:12">
      <c r="A1125" s="2">
        <v>44796.43109953704</v>
      </c>
      <c r="B1125">
        <v>300204293</v>
      </c>
      <c r="C1125" t="s">
        <v>449</v>
      </c>
      <c r="D1125" t="s">
        <v>9</v>
      </c>
      <c r="E1125" s="3">
        <v>3200</v>
      </c>
      <c r="F1125" s="3">
        <v>3200</v>
      </c>
      <c r="G1125" s="3">
        <v>2240</v>
      </c>
      <c r="I1125" t="s">
        <v>440</v>
      </c>
      <c r="J1125" t="s">
        <v>11</v>
      </c>
      <c r="K1125" t="s">
        <v>11</v>
      </c>
      <c r="L1125" t="str">
        <f>T("9791137605299")</f>
        <v>9791137605299</v>
      </c>
    </row>
    <row r="1126" spans="1:12">
      <c r="A1126" s="2">
        <v>44796.43109953704</v>
      </c>
      <c r="B1126">
        <v>300204295</v>
      </c>
      <c r="C1126" t="s">
        <v>450</v>
      </c>
      <c r="D1126" t="s">
        <v>9</v>
      </c>
      <c r="E1126" s="3">
        <v>3200</v>
      </c>
      <c r="F1126" s="3">
        <v>3200</v>
      </c>
      <c r="G1126" s="3">
        <v>2240</v>
      </c>
      <c r="I1126" t="s">
        <v>440</v>
      </c>
      <c r="J1126" t="s">
        <v>11</v>
      </c>
      <c r="K1126" t="s">
        <v>11</v>
      </c>
      <c r="L1126" t="str">
        <f>T("9791137605336")</f>
        <v>9791137605336</v>
      </c>
    </row>
    <row r="1127" spans="1:12">
      <c r="A1127" s="2">
        <v>44796.43109953704</v>
      </c>
      <c r="B1127">
        <v>300204296</v>
      </c>
      <c r="C1127" t="s">
        <v>451</v>
      </c>
      <c r="D1127" t="s">
        <v>9</v>
      </c>
      <c r="E1127" s="3">
        <v>3200</v>
      </c>
      <c r="F1127" s="3">
        <v>3200</v>
      </c>
      <c r="G1127" s="3">
        <v>2240</v>
      </c>
      <c r="I1127" t="s">
        <v>438</v>
      </c>
      <c r="J1127" t="s">
        <v>11</v>
      </c>
      <c r="K1127" t="s">
        <v>11</v>
      </c>
      <c r="L1127" t="str">
        <f>T("9791137604551")</f>
        <v>9791137604551</v>
      </c>
    </row>
    <row r="1128" spans="1:12">
      <c r="A1128" s="2">
        <v>44796.43109953704</v>
      </c>
      <c r="B1128">
        <v>300204297</v>
      </c>
      <c r="C1128" t="s">
        <v>452</v>
      </c>
      <c r="D1128" t="s">
        <v>9</v>
      </c>
      <c r="E1128" s="3">
        <v>3200</v>
      </c>
      <c r="F1128" s="3">
        <v>3200</v>
      </c>
      <c r="G1128" s="3">
        <v>2240</v>
      </c>
      <c r="I1128" t="s">
        <v>440</v>
      </c>
      <c r="J1128" t="s">
        <v>11</v>
      </c>
      <c r="K1128" t="s">
        <v>11</v>
      </c>
      <c r="L1128" t="str">
        <f>T("9791137605329")</f>
        <v>9791137605329</v>
      </c>
    </row>
    <row r="1129" spans="1:12">
      <c r="A1129" s="2">
        <v>44796.43109953704</v>
      </c>
      <c r="B1129">
        <v>300204298</v>
      </c>
      <c r="C1129" t="s">
        <v>453</v>
      </c>
      <c r="D1129" t="s">
        <v>9</v>
      </c>
      <c r="E1129" s="3">
        <v>3200</v>
      </c>
      <c r="F1129" s="3">
        <v>3200</v>
      </c>
      <c r="G1129" s="3">
        <v>2240</v>
      </c>
      <c r="I1129" t="s">
        <v>440</v>
      </c>
      <c r="J1129" t="s">
        <v>11</v>
      </c>
      <c r="K1129" t="s">
        <v>11</v>
      </c>
      <c r="L1129" t="str">
        <f>T("9791137605312")</f>
        <v>9791137605312</v>
      </c>
    </row>
    <row r="1130" spans="1:12">
      <c r="A1130" s="2">
        <v>44796.43109953704</v>
      </c>
      <c r="B1130">
        <v>300204306</v>
      </c>
      <c r="C1130" t="s">
        <v>454</v>
      </c>
      <c r="D1130" t="s">
        <v>9</v>
      </c>
      <c r="E1130" s="3">
        <v>3200</v>
      </c>
      <c r="F1130" s="3">
        <v>3200</v>
      </c>
      <c r="G1130" s="3">
        <v>2240</v>
      </c>
      <c r="I1130" t="s">
        <v>440</v>
      </c>
      <c r="J1130" t="s">
        <v>11</v>
      </c>
      <c r="K1130" t="s">
        <v>11</v>
      </c>
      <c r="L1130" t="str">
        <f>T("9791137605282")</f>
        <v>9791137605282</v>
      </c>
    </row>
    <row r="1131" spans="1:12">
      <c r="A1131" s="2">
        <v>44796.43109953704</v>
      </c>
      <c r="B1131">
        <v>300204270</v>
      </c>
      <c r="C1131" t="s">
        <v>455</v>
      </c>
      <c r="D1131" t="s">
        <v>9</v>
      </c>
      <c r="E1131" s="3">
        <v>3200</v>
      </c>
      <c r="F1131" s="3">
        <v>3200</v>
      </c>
      <c r="G1131" s="3">
        <v>2240</v>
      </c>
      <c r="I1131" t="s">
        <v>438</v>
      </c>
      <c r="J1131" t="s">
        <v>11</v>
      </c>
      <c r="K1131" t="s">
        <v>11</v>
      </c>
      <c r="L1131" t="str">
        <f>T("9791137604513")</f>
        <v>9791137604513</v>
      </c>
    </row>
    <row r="1132" spans="1:12">
      <c r="A1132" s="2">
        <v>44796.43109953704</v>
      </c>
      <c r="B1132">
        <v>300204271</v>
      </c>
      <c r="C1132" t="s">
        <v>456</v>
      </c>
      <c r="D1132" t="s">
        <v>9</v>
      </c>
      <c r="E1132" s="3">
        <v>3200</v>
      </c>
      <c r="F1132" s="3">
        <v>3200</v>
      </c>
      <c r="G1132" s="3">
        <v>2240</v>
      </c>
      <c r="I1132" t="s">
        <v>438</v>
      </c>
      <c r="J1132" t="s">
        <v>11</v>
      </c>
      <c r="K1132" t="s">
        <v>11</v>
      </c>
      <c r="L1132" t="str">
        <f>T("9791137604544")</f>
        <v>9791137604544</v>
      </c>
    </row>
    <row r="1133" spans="1:12">
      <c r="A1133" s="2">
        <v>44796.43109953704</v>
      </c>
      <c r="B1133">
        <v>300204272</v>
      </c>
      <c r="C1133" t="s">
        <v>441</v>
      </c>
      <c r="D1133" t="s">
        <v>9</v>
      </c>
      <c r="E1133">
        <v>0</v>
      </c>
      <c r="F1133">
        <v>0</v>
      </c>
      <c r="G1133">
        <v>0</v>
      </c>
      <c r="I1133" t="s">
        <v>438</v>
      </c>
      <c r="J1133" t="s">
        <v>11</v>
      </c>
      <c r="K1133" t="s">
        <v>11</v>
      </c>
      <c r="L1133" t="str">
        <f>T("9791137604490")</f>
        <v>9791137604490</v>
      </c>
    </row>
    <row r="1134" spans="1:12">
      <c r="A1134" s="2">
        <v>44796.43109953704</v>
      </c>
      <c r="B1134">
        <v>300204273</v>
      </c>
      <c r="C1134" t="s">
        <v>457</v>
      </c>
      <c r="D1134" t="s">
        <v>9</v>
      </c>
      <c r="E1134" s="3">
        <v>3200</v>
      </c>
      <c r="F1134" s="3">
        <v>3200</v>
      </c>
      <c r="G1134" s="3">
        <v>2240</v>
      </c>
      <c r="I1134" t="s">
        <v>438</v>
      </c>
      <c r="J1134" t="s">
        <v>11</v>
      </c>
      <c r="K1134" t="s">
        <v>11</v>
      </c>
      <c r="L1134" t="str">
        <f>T("9791137604568")</f>
        <v>9791137604568</v>
      </c>
    </row>
    <row r="1135" spans="1:12">
      <c r="A1135" s="2">
        <v>44796.43109953704</v>
      </c>
      <c r="B1135">
        <v>300204276</v>
      </c>
      <c r="C1135" t="s">
        <v>458</v>
      </c>
      <c r="D1135" t="s">
        <v>9</v>
      </c>
      <c r="E1135" s="3">
        <v>3200</v>
      </c>
      <c r="F1135" s="3">
        <v>3200</v>
      </c>
      <c r="G1135" s="3">
        <v>2240</v>
      </c>
      <c r="I1135" t="s">
        <v>438</v>
      </c>
      <c r="J1135" t="s">
        <v>11</v>
      </c>
      <c r="K1135" t="s">
        <v>11</v>
      </c>
      <c r="L1135" t="str">
        <f>T("9791137604537")</f>
        <v>9791137604537</v>
      </c>
    </row>
    <row r="1136" spans="1:12">
      <c r="A1136" s="2">
        <v>44796.43109953704</v>
      </c>
      <c r="B1136">
        <v>300204279</v>
      </c>
      <c r="C1136" t="s">
        <v>459</v>
      </c>
      <c r="D1136" t="s">
        <v>9</v>
      </c>
      <c r="E1136" s="3">
        <v>3200</v>
      </c>
      <c r="F1136" s="3">
        <v>3200</v>
      </c>
      <c r="G1136" s="3">
        <v>2240</v>
      </c>
      <c r="I1136" t="s">
        <v>440</v>
      </c>
      <c r="J1136" t="s">
        <v>11</v>
      </c>
      <c r="K1136" t="s">
        <v>11</v>
      </c>
      <c r="L1136" t="str">
        <f>T("9791137605275")</f>
        <v>9791137605275</v>
      </c>
    </row>
    <row r="1137" spans="1:12">
      <c r="A1137" s="2">
        <v>44796.43109953704</v>
      </c>
      <c r="B1137">
        <v>300204281</v>
      </c>
      <c r="C1137" t="s">
        <v>460</v>
      </c>
      <c r="D1137" t="s">
        <v>9</v>
      </c>
      <c r="E1137" s="3">
        <v>3200</v>
      </c>
      <c r="F1137" s="3">
        <v>3200</v>
      </c>
      <c r="G1137" s="3">
        <v>2240</v>
      </c>
      <c r="I1137" t="s">
        <v>438</v>
      </c>
      <c r="J1137" t="s">
        <v>11</v>
      </c>
      <c r="K1137" t="s">
        <v>11</v>
      </c>
      <c r="L1137" t="str">
        <f>T("9791137604520")</f>
        <v>9791137604520</v>
      </c>
    </row>
    <row r="1138" spans="1:12">
      <c r="A1138" s="2">
        <v>44796.58152777778</v>
      </c>
      <c r="B1138">
        <v>300204361</v>
      </c>
      <c r="C1138" t="s">
        <v>461</v>
      </c>
      <c r="D1138" t="s">
        <v>12</v>
      </c>
      <c r="E1138" s="3">
        <v>4410</v>
      </c>
      <c r="F1138" s="3">
        <v>4410</v>
      </c>
      <c r="G1138" s="3">
        <v>3087</v>
      </c>
      <c r="I1138" t="s">
        <v>436</v>
      </c>
      <c r="J1138" t="s">
        <v>11</v>
      </c>
      <c r="K1138" t="s">
        <v>11</v>
      </c>
      <c r="L1138" t="str">
        <f>T("9791137605244")</f>
        <v>9791137605244</v>
      </c>
    </row>
    <row r="1139" spans="1:12">
      <c r="A1139" s="2">
        <v>44796.670972222222</v>
      </c>
      <c r="B1139">
        <v>299961390</v>
      </c>
      <c r="C1139" t="s">
        <v>425</v>
      </c>
      <c r="D1139" t="s">
        <v>9</v>
      </c>
      <c r="E1139" s="3">
        <v>2000</v>
      </c>
      <c r="F1139" s="3">
        <v>2000</v>
      </c>
      <c r="G1139" s="3">
        <v>1400</v>
      </c>
      <c r="I1139" t="s">
        <v>42</v>
      </c>
      <c r="J1139" t="s">
        <v>40</v>
      </c>
      <c r="K1139" t="s">
        <v>11</v>
      </c>
      <c r="L1139" t="str">
        <f>T("9791191562880")</f>
        <v>9791191562880</v>
      </c>
    </row>
    <row r="1140" spans="1:12">
      <c r="A1140" s="2">
        <v>44796.682962962965</v>
      </c>
      <c r="B1140">
        <v>300204288</v>
      </c>
      <c r="C1140" t="s">
        <v>439</v>
      </c>
      <c r="D1140" t="s">
        <v>9</v>
      </c>
      <c r="E1140">
        <v>0</v>
      </c>
      <c r="F1140">
        <v>0</v>
      </c>
      <c r="G1140">
        <v>0</v>
      </c>
      <c r="I1140" t="s">
        <v>440</v>
      </c>
      <c r="J1140" t="s">
        <v>11</v>
      </c>
      <c r="K1140" t="s">
        <v>11</v>
      </c>
      <c r="L1140" t="str">
        <f>T("9791137605268")</f>
        <v>9791137605268</v>
      </c>
    </row>
    <row r="1141" spans="1:12">
      <c r="A1141" s="2">
        <v>44796.688645833332</v>
      </c>
      <c r="B1141">
        <v>149550330</v>
      </c>
      <c r="C1141" t="s">
        <v>125</v>
      </c>
      <c r="D1141" t="s">
        <v>9</v>
      </c>
      <c r="E1141">
        <v>0</v>
      </c>
      <c r="F1141">
        <v>0</v>
      </c>
      <c r="G1141">
        <v>0</v>
      </c>
      <c r="I1141" t="s">
        <v>124</v>
      </c>
      <c r="J1141" t="s">
        <v>11</v>
      </c>
      <c r="K1141" t="s">
        <v>11</v>
      </c>
      <c r="L1141" t="str">
        <f>T("9791159286322")</f>
        <v>9791159286322</v>
      </c>
    </row>
    <row r="1142" spans="1:12">
      <c r="A1142" s="2">
        <v>44796.780671296299</v>
      </c>
      <c r="B1142">
        <v>299562124</v>
      </c>
      <c r="C1142" t="s">
        <v>369</v>
      </c>
      <c r="D1142" t="s">
        <v>9</v>
      </c>
      <c r="E1142" s="3">
        <v>2000</v>
      </c>
      <c r="F1142" s="3">
        <v>2000</v>
      </c>
      <c r="G1142" s="3">
        <v>1400</v>
      </c>
      <c r="I1142" t="s">
        <v>370</v>
      </c>
      <c r="J1142" t="s">
        <v>40</v>
      </c>
      <c r="K1142" t="s">
        <v>11</v>
      </c>
      <c r="L1142" t="str">
        <f>T("9791191562873")</f>
        <v>9791191562873</v>
      </c>
    </row>
    <row r="1143" spans="1:12">
      <c r="A1143" s="2">
        <v>44796.853518518517</v>
      </c>
      <c r="B1143">
        <v>294228958</v>
      </c>
      <c r="C1143" t="s">
        <v>121</v>
      </c>
      <c r="D1143" t="s">
        <v>9</v>
      </c>
      <c r="E1143" s="3">
        <v>3200</v>
      </c>
      <c r="F1143" s="3">
        <v>3200</v>
      </c>
      <c r="G1143" s="3">
        <v>2240</v>
      </c>
      <c r="I1143" t="s">
        <v>120</v>
      </c>
      <c r="J1143" t="s">
        <v>71</v>
      </c>
      <c r="K1143" t="s">
        <v>11</v>
      </c>
      <c r="L1143" t="str">
        <f>T("9791164375134")</f>
        <v>9791164375134</v>
      </c>
    </row>
    <row r="1144" spans="1:12">
      <c r="A1144" s="2">
        <v>44796.919305555559</v>
      </c>
      <c r="B1144">
        <v>299562124</v>
      </c>
      <c r="C1144" t="s">
        <v>369</v>
      </c>
      <c r="D1144" t="s">
        <v>9</v>
      </c>
      <c r="E1144" s="3">
        <v>2000</v>
      </c>
      <c r="F1144" s="3">
        <v>2000</v>
      </c>
      <c r="G1144" s="3">
        <v>1400</v>
      </c>
      <c r="I1144" t="s">
        <v>370</v>
      </c>
      <c r="J1144" t="s">
        <v>40</v>
      </c>
      <c r="K1144" t="s">
        <v>11</v>
      </c>
      <c r="L1144" t="str">
        <f>T("9791191562873")</f>
        <v>9791191562873</v>
      </c>
    </row>
    <row r="1145" spans="1:12">
      <c r="A1145" s="2">
        <v>44796.973460648151</v>
      </c>
      <c r="B1145">
        <v>291088925</v>
      </c>
      <c r="C1145" t="s">
        <v>58</v>
      </c>
      <c r="D1145" t="s">
        <v>9</v>
      </c>
      <c r="E1145" s="3">
        <v>2000</v>
      </c>
      <c r="F1145" s="3">
        <v>2000</v>
      </c>
      <c r="G1145" s="3">
        <v>1400</v>
      </c>
      <c r="I1145" t="s">
        <v>59</v>
      </c>
      <c r="J1145" t="s">
        <v>40</v>
      </c>
      <c r="K1145" t="s">
        <v>11</v>
      </c>
      <c r="L1145" t="str">
        <f>T("9791191562187")</f>
        <v>9791191562187</v>
      </c>
    </row>
    <row r="1146" spans="1:12">
      <c r="A1146" s="2">
        <v>44797.340601851851</v>
      </c>
      <c r="B1146">
        <v>300204288</v>
      </c>
      <c r="C1146" t="s">
        <v>439</v>
      </c>
      <c r="D1146" t="s">
        <v>9</v>
      </c>
      <c r="E1146">
        <v>0</v>
      </c>
      <c r="F1146">
        <v>0</v>
      </c>
      <c r="G1146">
        <v>0</v>
      </c>
      <c r="I1146" t="s">
        <v>440</v>
      </c>
      <c r="J1146" t="s">
        <v>11</v>
      </c>
      <c r="K1146" t="s">
        <v>11</v>
      </c>
      <c r="L1146" t="str">
        <f>T("9791137605268")</f>
        <v>9791137605268</v>
      </c>
    </row>
    <row r="1147" spans="1:12">
      <c r="A1147" s="2">
        <v>44797.429988425924</v>
      </c>
      <c r="B1147">
        <v>297319246</v>
      </c>
      <c r="C1147" t="s">
        <v>168</v>
      </c>
      <c r="D1147" t="s">
        <v>9</v>
      </c>
      <c r="E1147" s="3">
        <v>2700</v>
      </c>
      <c r="F1147" s="3">
        <v>2700</v>
      </c>
      <c r="G1147" s="3">
        <v>1890</v>
      </c>
      <c r="I1147" t="s">
        <v>165</v>
      </c>
      <c r="J1147" t="s">
        <v>267</v>
      </c>
      <c r="K1147" t="s">
        <v>11</v>
      </c>
      <c r="L1147" t="str">
        <f>T("9791137604247")</f>
        <v>9791137604247</v>
      </c>
    </row>
    <row r="1148" spans="1:12">
      <c r="A1148" s="2">
        <v>44797.472673611112</v>
      </c>
      <c r="B1148">
        <v>300204272</v>
      </c>
      <c r="C1148" t="s">
        <v>441</v>
      </c>
      <c r="D1148" t="s">
        <v>9</v>
      </c>
      <c r="E1148">
        <v>0</v>
      </c>
      <c r="F1148">
        <v>0</v>
      </c>
      <c r="G1148">
        <v>0</v>
      </c>
      <c r="I1148" t="s">
        <v>438</v>
      </c>
      <c r="J1148" t="s">
        <v>11</v>
      </c>
      <c r="K1148" t="s">
        <v>11</v>
      </c>
      <c r="L1148" t="str">
        <f>T("9791137604490")</f>
        <v>9791137604490</v>
      </c>
    </row>
    <row r="1149" spans="1:12">
      <c r="A1149" s="2">
        <v>44797.537187499998</v>
      </c>
      <c r="B1149">
        <v>300204291</v>
      </c>
      <c r="C1149" t="s">
        <v>447</v>
      </c>
      <c r="D1149" t="s">
        <v>9</v>
      </c>
      <c r="E1149" s="3">
        <v>3200</v>
      </c>
      <c r="F1149" s="3">
        <v>3200</v>
      </c>
      <c r="G1149" s="3">
        <v>2240</v>
      </c>
      <c r="I1149" t="s">
        <v>438</v>
      </c>
      <c r="J1149" t="s">
        <v>11</v>
      </c>
      <c r="K1149" t="s">
        <v>11</v>
      </c>
      <c r="L1149" t="str">
        <f>T("9791137604506")</f>
        <v>9791137604506</v>
      </c>
    </row>
    <row r="1150" spans="1:12">
      <c r="A1150" s="2">
        <v>44797.579097222224</v>
      </c>
      <c r="B1150">
        <v>300204357</v>
      </c>
      <c r="C1150" t="s">
        <v>437</v>
      </c>
      <c r="D1150" t="s">
        <v>9</v>
      </c>
      <c r="E1150" s="3">
        <v>22400</v>
      </c>
      <c r="F1150" s="3">
        <v>22400</v>
      </c>
      <c r="G1150" s="3">
        <v>15680</v>
      </c>
      <c r="I1150" t="s">
        <v>438</v>
      </c>
      <c r="J1150" t="s">
        <v>11</v>
      </c>
      <c r="K1150" t="s">
        <v>11</v>
      </c>
      <c r="L1150" t="str">
        <f>T("9791137605251")</f>
        <v>9791137605251</v>
      </c>
    </row>
    <row r="1151" spans="1:12">
      <c r="A1151" s="2">
        <v>44797.668622685182</v>
      </c>
      <c r="B1151">
        <v>296103744</v>
      </c>
      <c r="C1151" t="s">
        <v>130</v>
      </c>
      <c r="D1151" t="s">
        <v>9</v>
      </c>
      <c r="E1151" s="3">
        <v>2000</v>
      </c>
      <c r="F1151" s="3">
        <v>2000</v>
      </c>
      <c r="G1151" s="3">
        <v>1400</v>
      </c>
      <c r="I1151" t="s">
        <v>30</v>
      </c>
      <c r="J1151" t="s">
        <v>40</v>
      </c>
      <c r="K1151" t="s">
        <v>11</v>
      </c>
      <c r="L1151" t="str">
        <f>T("9791191562538")</f>
        <v>9791191562538</v>
      </c>
    </row>
    <row r="1152" spans="1:12">
      <c r="A1152" s="2">
        <v>44797.679050925923</v>
      </c>
      <c r="B1152">
        <v>170138817</v>
      </c>
      <c r="C1152" t="s">
        <v>195</v>
      </c>
      <c r="D1152" t="s">
        <v>9</v>
      </c>
      <c r="E1152" s="3">
        <v>3200</v>
      </c>
      <c r="F1152" s="3">
        <v>3200</v>
      </c>
      <c r="G1152" s="3">
        <v>2240</v>
      </c>
      <c r="I1152" t="s">
        <v>14</v>
      </c>
      <c r="J1152" t="s">
        <v>11</v>
      </c>
      <c r="K1152" t="s">
        <v>11</v>
      </c>
      <c r="L1152" t="str">
        <f>T("9788928091218")</f>
        <v>9788928091218</v>
      </c>
    </row>
    <row r="1153" spans="1:12">
      <c r="A1153" s="2">
        <v>44797.679050925923</v>
      </c>
      <c r="B1153">
        <v>170138818</v>
      </c>
      <c r="C1153" t="s">
        <v>194</v>
      </c>
      <c r="D1153" t="s">
        <v>9</v>
      </c>
      <c r="E1153" s="3">
        <v>3200</v>
      </c>
      <c r="F1153" s="3">
        <v>3200</v>
      </c>
      <c r="G1153" s="3">
        <v>2240</v>
      </c>
      <c r="I1153" t="s">
        <v>14</v>
      </c>
      <c r="J1153" t="s">
        <v>11</v>
      </c>
      <c r="K1153" t="s">
        <v>11</v>
      </c>
      <c r="L1153" t="str">
        <f>T("9788928091201")</f>
        <v>9788928091201</v>
      </c>
    </row>
    <row r="1154" spans="1:12">
      <c r="A1154" s="2">
        <v>44797.679050925923</v>
      </c>
      <c r="B1154">
        <v>170138819</v>
      </c>
      <c r="C1154" t="s">
        <v>193</v>
      </c>
      <c r="D1154" t="s">
        <v>9</v>
      </c>
      <c r="E1154" s="3">
        <v>3200</v>
      </c>
      <c r="F1154" s="3">
        <v>3200</v>
      </c>
      <c r="G1154" s="3">
        <v>2240</v>
      </c>
      <c r="I1154" t="s">
        <v>14</v>
      </c>
      <c r="J1154" t="s">
        <v>11</v>
      </c>
      <c r="K1154" t="s">
        <v>11</v>
      </c>
      <c r="L1154" t="str">
        <f>T("9788928091195")</f>
        <v>9788928091195</v>
      </c>
    </row>
    <row r="1155" spans="1:12">
      <c r="A1155" s="2">
        <v>44797.679050925923</v>
      </c>
      <c r="B1155">
        <v>170138820</v>
      </c>
      <c r="C1155" t="s">
        <v>192</v>
      </c>
      <c r="D1155" t="s">
        <v>9</v>
      </c>
      <c r="E1155" s="3">
        <v>3200</v>
      </c>
      <c r="F1155" s="3">
        <v>3200</v>
      </c>
      <c r="G1155" s="3">
        <v>2240</v>
      </c>
      <c r="I1155" t="s">
        <v>14</v>
      </c>
      <c r="J1155" t="s">
        <v>11</v>
      </c>
      <c r="K1155" t="s">
        <v>11</v>
      </c>
      <c r="L1155" t="str">
        <f>T("9788928091188")</f>
        <v>9788928091188</v>
      </c>
    </row>
    <row r="1156" spans="1:12">
      <c r="A1156" s="2">
        <v>44797.679050925923</v>
      </c>
      <c r="B1156">
        <v>170138821</v>
      </c>
      <c r="C1156" t="s">
        <v>191</v>
      </c>
      <c r="D1156" t="s">
        <v>9</v>
      </c>
      <c r="E1156" s="3">
        <v>3200</v>
      </c>
      <c r="F1156" s="3">
        <v>3200</v>
      </c>
      <c r="G1156" s="3">
        <v>2240</v>
      </c>
      <c r="I1156" t="s">
        <v>14</v>
      </c>
      <c r="J1156" t="s">
        <v>11</v>
      </c>
      <c r="K1156" t="s">
        <v>11</v>
      </c>
      <c r="L1156" t="str">
        <f>T("9788928091171")</f>
        <v>9788928091171</v>
      </c>
    </row>
    <row r="1157" spans="1:12">
      <c r="A1157" s="2">
        <v>44797.679050925923</v>
      </c>
      <c r="B1157">
        <v>170138822</v>
      </c>
      <c r="C1157" t="s">
        <v>190</v>
      </c>
      <c r="D1157" t="s">
        <v>9</v>
      </c>
      <c r="E1157" s="3">
        <v>3200</v>
      </c>
      <c r="F1157" s="3">
        <v>3200</v>
      </c>
      <c r="G1157" s="3">
        <v>2240</v>
      </c>
      <c r="I1157" t="s">
        <v>14</v>
      </c>
      <c r="J1157" t="s">
        <v>11</v>
      </c>
      <c r="K1157" t="s">
        <v>11</v>
      </c>
      <c r="L1157" t="str">
        <f>T("9788928091164")</f>
        <v>9788928091164</v>
      </c>
    </row>
    <row r="1158" spans="1:12">
      <c r="A1158" s="2">
        <v>44797.679050925923</v>
      </c>
      <c r="B1158">
        <v>170138823</v>
      </c>
      <c r="C1158" t="s">
        <v>189</v>
      </c>
      <c r="D1158" t="s">
        <v>9</v>
      </c>
      <c r="E1158" s="3">
        <v>3200</v>
      </c>
      <c r="F1158" s="3">
        <v>3200</v>
      </c>
      <c r="G1158" s="3">
        <v>2240</v>
      </c>
      <c r="I1158" t="s">
        <v>14</v>
      </c>
      <c r="J1158" t="s">
        <v>11</v>
      </c>
      <c r="K1158" t="s">
        <v>11</v>
      </c>
      <c r="L1158" t="str">
        <f>T("9788928091157")</f>
        <v>9788928091157</v>
      </c>
    </row>
    <row r="1159" spans="1:12">
      <c r="A1159" s="2">
        <v>44797.679050925923</v>
      </c>
      <c r="B1159">
        <v>170138824</v>
      </c>
      <c r="C1159" t="s">
        <v>188</v>
      </c>
      <c r="D1159" t="s">
        <v>9</v>
      </c>
      <c r="E1159" s="3">
        <v>3200</v>
      </c>
      <c r="F1159" s="3">
        <v>3200</v>
      </c>
      <c r="G1159" s="3">
        <v>2240</v>
      </c>
      <c r="I1159" t="s">
        <v>14</v>
      </c>
      <c r="J1159" t="s">
        <v>11</v>
      </c>
      <c r="K1159" t="s">
        <v>11</v>
      </c>
      <c r="L1159" t="str">
        <f>T("9788928091140")</f>
        <v>9788928091140</v>
      </c>
    </row>
    <row r="1160" spans="1:12">
      <c r="A1160" s="2">
        <v>44797.679050925923</v>
      </c>
      <c r="B1160">
        <v>170138825</v>
      </c>
      <c r="C1160" t="s">
        <v>187</v>
      </c>
      <c r="D1160" t="s">
        <v>9</v>
      </c>
      <c r="E1160" s="3">
        <v>3200</v>
      </c>
      <c r="F1160" s="3">
        <v>3200</v>
      </c>
      <c r="G1160" s="3">
        <v>2240</v>
      </c>
      <c r="I1160" t="s">
        <v>14</v>
      </c>
      <c r="J1160" t="s">
        <v>11</v>
      </c>
      <c r="K1160" t="s">
        <v>11</v>
      </c>
      <c r="L1160" t="str">
        <f>T("9788928091133")</f>
        <v>9788928091133</v>
      </c>
    </row>
    <row r="1161" spans="1:12">
      <c r="A1161" s="2">
        <v>44797.720231481479</v>
      </c>
      <c r="B1161">
        <v>237252408</v>
      </c>
      <c r="C1161" t="s">
        <v>462</v>
      </c>
      <c r="D1161" t="s">
        <v>9</v>
      </c>
      <c r="E1161" s="3">
        <v>2500</v>
      </c>
      <c r="F1161" s="3">
        <v>2500</v>
      </c>
      <c r="G1161" s="3">
        <v>1750</v>
      </c>
      <c r="I1161" t="s">
        <v>62</v>
      </c>
      <c r="J1161" t="s">
        <v>17</v>
      </c>
      <c r="K1161" t="s">
        <v>11</v>
      </c>
      <c r="L1161" t="str">
        <f>T("9791164486151")</f>
        <v>9791164486151</v>
      </c>
    </row>
    <row r="1162" spans="1:12">
      <c r="A1162" s="2">
        <v>44797.739861111113</v>
      </c>
      <c r="B1162">
        <v>299562124</v>
      </c>
      <c r="C1162" t="s">
        <v>369</v>
      </c>
      <c r="D1162" t="s">
        <v>9</v>
      </c>
      <c r="E1162" s="3">
        <v>2000</v>
      </c>
      <c r="F1162" s="3">
        <v>2000</v>
      </c>
      <c r="G1162" s="3">
        <v>1400</v>
      </c>
      <c r="I1162" t="s">
        <v>370</v>
      </c>
      <c r="J1162" t="s">
        <v>40</v>
      </c>
      <c r="K1162" t="s">
        <v>11</v>
      </c>
      <c r="L1162" t="str">
        <f>T("9791191562873")</f>
        <v>9791191562873</v>
      </c>
    </row>
    <row r="1163" spans="1:12">
      <c r="A1163" s="2">
        <v>44797.828298611108</v>
      </c>
      <c r="B1163">
        <v>190314845</v>
      </c>
      <c r="C1163" t="s">
        <v>463</v>
      </c>
      <c r="D1163" t="s">
        <v>9</v>
      </c>
      <c r="E1163" s="3">
        <v>7000</v>
      </c>
      <c r="F1163" s="3">
        <v>6300</v>
      </c>
      <c r="G1163" s="3">
        <v>4410</v>
      </c>
      <c r="I1163" t="s">
        <v>230</v>
      </c>
      <c r="J1163" t="s">
        <v>50</v>
      </c>
      <c r="K1163" t="s">
        <v>11</v>
      </c>
      <c r="L1163" t="str">
        <f>T("9791164897643")</f>
        <v>9791164897643</v>
      </c>
    </row>
    <row r="1164" spans="1:12">
      <c r="A1164" s="2">
        <v>44797.850358796299</v>
      </c>
      <c r="B1164">
        <v>299562124</v>
      </c>
      <c r="C1164" t="s">
        <v>369</v>
      </c>
      <c r="D1164" t="s">
        <v>9</v>
      </c>
      <c r="E1164" s="3">
        <v>2000</v>
      </c>
      <c r="F1164" s="3">
        <v>2000</v>
      </c>
      <c r="G1164" s="3">
        <v>1400</v>
      </c>
      <c r="I1164" t="s">
        <v>370</v>
      </c>
      <c r="J1164" t="s">
        <v>40</v>
      </c>
      <c r="K1164" t="s">
        <v>11</v>
      </c>
      <c r="L1164" t="str">
        <f>T("9791191562873")</f>
        <v>9791191562873</v>
      </c>
    </row>
    <row r="1165" spans="1:12">
      <c r="A1165" s="2">
        <v>44797.884317129632</v>
      </c>
      <c r="B1165">
        <v>289315562</v>
      </c>
      <c r="C1165" t="s">
        <v>41</v>
      </c>
      <c r="D1165" t="s">
        <v>9</v>
      </c>
      <c r="E1165" s="3">
        <v>3000</v>
      </c>
      <c r="F1165" s="3">
        <v>3000</v>
      </c>
      <c r="G1165" s="3">
        <v>2100</v>
      </c>
      <c r="I1165" t="s">
        <v>38</v>
      </c>
      <c r="J1165" t="s">
        <v>40</v>
      </c>
      <c r="K1165" t="s">
        <v>11</v>
      </c>
      <c r="L1165" t="str">
        <f>T("9791191562101")</f>
        <v>9791191562101</v>
      </c>
    </row>
    <row r="1166" spans="1:12">
      <c r="A1166" s="2">
        <v>44798.005532407406</v>
      </c>
      <c r="B1166">
        <v>300204288</v>
      </c>
      <c r="C1166" t="s">
        <v>439</v>
      </c>
      <c r="D1166" t="s">
        <v>9</v>
      </c>
      <c r="E1166">
        <v>0</v>
      </c>
      <c r="F1166">
        <v>0</v>
      </c>
      <c r="G1166">
        <v>0</v>
      </c>
      <c r="I1166" t="s">
        <v>440</v>
      </c>
      <c r="J1166" t="s">
        <v>11</v>
      </c>
      <c r="K1166" t="s">
        <v>11</v>
      </c>
      <c r="L1166" t="str">
        <f>T("9791137605268")</f>
        <v>9791137605268</v>
      </c>
    </row>
    <row r="1167" spans="1:12">
      <c r="A1167" s="2">
        <v>44798.005532407406</v>
      </c>
      <c r="B1167">
        <v>300204272</v>
      </c>
      <c r="C1167" t="s">
        <v>441</v>
      </c>
      <c r="D1167" t="s">
        <v>9</v>
      </c>
      <c r="E1167">
        <v>0</v>
      </c>
      <c r="F1167">
        <v>0</v>
      </c>
      <c r="G1167">
        <v>0</v>
      </c>
      <c r="I1167" t="s">
        <v>438</v>
      </c>
      <c r="J1167" t="s">
        <v>11</v>
      </c>
      <c r="K1167" t="s">
        <v>11</v>
      </c>
      <c r="L1167" t="str">
        <f>T("9791137604490")</f>
        <v>9791137604490</v>
      </c>
    </row>
    <row r="1168" spans="1:12">
      <c r="A1168" s="2">
        <v>44798.075243055559</v>
      </c>
      <c r="B1168">
        <v>48799527</v>
      </c>
      <c r="C1168" t="s">
        <v>170</v>
      </c>
      <c r="D1168" t="s">
        <v>12</v>
      </c>
      <c r="E1168">
        <v>0</v>
      </c>
      <c r="F1168">
        <v>0</v>
      </c>
      <c r="G1168">
        <v>0</v>
      </c>
      <c r="I1168" t="s">
        <v>10</v>
      </c>
      <c r="J1168" t="s">
        <v>11</v>
      </c>
      <c r="K1168" t="s">
        <v>11</v>
      </c>
      <c r="L1168" t="str">
        <f>T("9791159283529")</f>
        <v>9791159283529</v>
      </c>
    </row>
    <row r="1169" spans="1:12">
      <c r="A1169" s="2">
        <v>44798.275023148148</v>
      </c>
      <c r="B1169">
        <v>292179681</v>
      </c>
      <c r="C1169" t="s">
        <v>81</v>
      </c>
      <c r="D1169" t="s">
        <v>9</v>
      </c>
      <c r="E1169" s="3">
        <v>2500</v>
      </c>
      <c r="F1169" s="3">
        <v>2500</v>
      </c>
      <c r="G1169" s="3">
        <v>1750</v>
      </c>
      <c r="I1169" t="s">
        <v>82</v>
      </c>
      <c r="J1169" t="s">
        <v>40</v>
      </c>
      <c r="K1169" t="s">
        <v>11</v>
      </c>
      <c r="L1169" t="str">
        <f>T("9791191562224")</f>
        <v>9791191562224</v>
      </c>
    </row>
    <row r="1170" spans="1:12">
      <c r="A1170" s="2">
        <v>44798.275023148148</v>
      </c>
      <c r="B1170">
        <v>298750948</v>
      </c>
      <c r="C1170" t="s">
        <v>259</v>
      </c>
      <c r="D1170" t="s">
        <v>9</v>
      </c>
      <c r="E1170" s="3">
        <v>3500</v>
      </c>
      <c r="F1170" s="3">
        <v>3500</v>
      </c>
      <c r="G1170" s="3">
        <v>2450</v>
      </c>
      <c r="I1170" t="s">
        <v>38</v>
      </c>
      <c r="J1170" t="s">
        <v>40</v>
      </c>
      <c r="K1170" t="s">
        <v>11</v>
      </c>
      <c r="L1170" t="str">
        <f>T("9791191562866")</f>
        <v>9791191562866</v>
      </c>
    </row>
    <row r="1171" spans="1:12">
      <c r="A1171" s="2">
        <v>44798.288032407407</v>
      </c>
      <c r="B1171">
        <v>300204272</v>
      </c>
      <c r="C1171" t="s">
        <v>441</v>
      </c>
      <c r="D1171" t="s">
        <v>9</v>
      </c>
      <c r="E1171">
        <v>0</v>
      </c>
      <c r="F1171">
        <v>0</v>
      </c>
      <c r="G1171">
        <v>0</v>
      </c>
      <c r="I1171" t="s">
        <v>438</v>
      </c>
      <c r="J1171" t="s">
        <v>11</v>
      </c>
      <c r="K1171" t="s">
        <v>11</v>
      </c>
      <c r="L1171" t="str">
        <f>T("9791137604490")</f>
        <v>9791137604490</v>
      </c>
    </row>
    <row r="1172" spans="1:12">
      <c r="A1172" s="2">
        <v>44798.328634259262</v>
      </c>
      <c r="B1172">
        <v>199138996</v>
      </c>
      <c r="C1172" t="s">
        <v>362</v>
      </c>
      <c r="D1172" t="s">
        <v>9</v>
      </c>
      <c r="E1172" s="3">
        <v>3500</v>
      </c>
      <c r="F1172" s="3">
        <v>3500</v>
      </c>
      <c r="G1172" s="3">
        <v>2450</v>
      </c>
      <c r="I1172" t="s">
        <v>363</v>
      </c>
      <c r="J1172" t="s">
        <v>50</v>
      </c>
      <c r="K1172" t="s">
        <v>11</v>
      </c>
      <c r="L1172" t="str">
        <f>T("9791190132947")</f>
        <v>9791190132947</v>
      </c>
    </row>
    <row r="1173" spans="1:12">
      <c r="A1173" s="2">
        <v>44798.385798611111</v>
      </c>
      <c r="B1173">
        <v>300405818</v>
      </c>
      <c r="C1173" t="s">
        <v>464</v>
      </c>
      <c r="D1173" t="s">
        <v>9</v>
      </c>
      <c r="E1173" s="3">
        <v>2000</v>
      </c>
      <c r="F1173" s="3">
        <v>2000</v>
      </c>
      <c r="G1173" s="3">
        <v>1400</v>
      </c>
      <c r="I1173" t="s">
        <v>176</v>
      </c>
      <c r="J1173" t="s">
        <v>40</v>
      </c>
      <c r="K1173" t="s">
        <v>11</v>
      </c>
      <c r="L1173" t="str">
        <f>T("9791191562903")</f>
        <v>9791191562903</v>
      </c>
    </row>
    <row r="1174" spans="1:12">
      <c r="A1174" s="2">
        <v>44798.390416666669</v>
      </c>
      <c r="B1174">
        <v>292815408</v>
      </c>
      <c r="C1174" t="s">
        <v>219</v>
      </c>
      <c r="D1174" t="s">
        <v>9</v>
      </c>
      <c r="E1174" s="3">
        <v>2000</v>
      </c>
      <c r="F1174" s="3">
        <v>2000</v>
      </c>
      <c r="G1174" s="3">
        <v>1400</v>
      </c>
      <c r="I1174" t="s">
        <v>220</v>
      </c>
      <c r="J1174" t="s">
        <v>40</v>
      </c>
      <c r="K1174" t="s">
        <v>11</v>
      </c>
      <c r="L1174" t="str">
        <f>T("9791191562286")</f>
        <v>9791191562286</v>
      </c>
    </row>
    <row r="1175" spans="1:12">
      <c r="A1175" s="2">
        <v>44798.400613425925</v>
      </c>
      <c r="B1175">
        <v>300405818</v>
      </c>
      <c r="C1175" t="s">
        <v>464</v>
      </c>
      <c r="D1175" t="s">
        <v>9</v>
      </c>
      <c r="E1175" s="3">
        <v>2000</v>
      </c>
      <c r="F1175" s="3">
        <v>2000</v>
      </c>
      <c r="G1175" s="3">
        <v>1400</v>
      </c>
      <c r="I1175" t="s">
        <v>176</v>
      </c>
      <c r="J1175" t="s">
        <v>40</v>
      </c>
      <c r="K1175" t="s">
        <v>11</v>
      </c>
      <c r="L1175" t="str">
        <f>T("9791191562903")</f>
        <v>9791191562903</v>
      </c>
    </row>
    <row r="1176" spans="1:12">
      <c r="A1176" s="2">
        <v>44798.432337962964</v>
      </c>
      <c r="B1176">
        <v>300405818</v>
      </c>
      <c r="C1176" t="s">
        <v>464</v>
      </c>
      <c r="D1176" t="s">
        <v>9</v>
      </c>
      <c r="E1176" s="3">
        <v>2000</v>
      </c>
      <c r="F1176" s="3">
        <v>2000</v>
      </c>
      <c r="G1176" s="3">
        <v>1400</v>
      </c>
      <c r="I1176" t="s">
        <v>176</v>
      </c>
      <c r="J1176" t="s">
        <v>40</v>
      </c>
      <c r="K1176" t="s">
        <v>11</v>
      </c>
      <c r="L1176" t="str">
        <f>T("9791191562903")</f>
        <v>9791191562903</v>
      </c>
    </row>
    <row r="1177" spans="1:12">
      <c r="A1177" s="2">
        <v>44798.490833333337</v>
      </c>
      <c r="B1177">
        <v>300405818</v>
      </c>
      <c r="C1177" t="s">
        <v>464</v>
      </c>
      <c r="D1177" t="s">
        <v>9</v>
      </c>
      <c r="E1177" s="3">
        <v>2000</v>
      </c>
      <c r="F1177" s="3">
        <v>2000</v>
      </c>
      <c r="G1177" s="3">
        <v>1400</v>
      </c>
      <c r="I1177" t="s">
        <v>176</v>
      </c>
      <c r="J1177" t="s">
        <v>40</v>
      </c>
      <c r="K1177" t="s">
        <v>11</v>
      </c>
      <c r="L1177" t="str">
        <f>T("9791191562903")</f>
        <v>9791191562903</v>
      </c>
    </row>
    <row r="1178" spans="1:12">
      <c r="A1178" s="2">
        <v>44798.52270833333</v>
      </c>
      <c r="B1178">
        <v>300405818</v>
      </c>
      <c r="C1178" t="s">
        <v>464</v>
      </c>
      <c r="D1178" t="s">
        <v>9</v>
      </c>
      <c r="E1178" s="3">
        <v>2000</v>
      </c>
      <c r="F1178" s="3">
        <v>2000</v>
      </c>
      <c r="G1178" s="3">
        <v>1400</v>
      </c>
      <c r="I1178" t="s">
        <v>176</v>
      </c>
      <c r="J1178" t="s">
        <v>40</v>
      </c>
      <c r="K1178" t="s">
        <v>11</v>
      </c>
      <c r="L1178" t="str">
        <f>T("9791191562903")</f>
        <v>9791191562903</v>
      </c>
    </row>
    <row r="1179" spans="1:12">
      <c r="A1179" s="2">
        <v>44798.543449074074</v>
      </c>
      <c r="B1179">
        <v>300405818</v>
      </c>
      <c r="C1179" t="s">
        <v>464</v>
      </c>
      <c r="D1179" t="s">
        <v>9</v>
      </c>
      <c r="E1179" s="3">
        <v>2000</v>
      </c>
      <c r="F1179" s="3">
        <v>2000</v>
      </c>
      <c r="G1179" s="3">
        <v>1400</v>
      </c>
      <c r="I1179" t="s">
        <v>176</v>
      </c>
      <c r="J1179" t="s">
        <v>40</v>
      </c>
      <c r="K1179" t="s">
        <v>11</v>
      </c>
      <c r="L1179" t="str">
        <f>T("9791191562903")</f>
        <v>9791191562903</v>
      </c>
    </row>
    <row r="1180" spans="1:12">
      <c r="A1180" s="2">
        <v>44798.567407407405</v>
      </c>
      <c r="B1180">
        <v>287834689</v>
      </c>
      <c r="C1180" t="s">
        <v>200</v>
      </c>
      <c r="D1180" t="s">
        <v>9</v>
      </c>
      <c r="E1180" s="3">
        <v>3000</v>
      </c>
      <c r="F1180" s="3">
        <v>3000</v>
      </c>
      <c r="G1180" s="3">
        <v>2100</v>
      </c>
      <c r="I1180" t="s">
        <v>77</v>
      </c>
      <c r="J1180" t="s">
        <v>71</v>
      </c>
      <c r="K1180" t="s">
        <v>11</v>
      </c>
      <c r="L1180" t="str">
        <f>T("9791164372102")</f>
        <v>9791164372102</v>
      </c>
    </row>
    <row r="1181" spans="1:12">
      <c r="A1181" s="2">
        <v>44798.592523148145</v>
      </c>
      <c r="B1181">
        <v>296745858</v>
      </c>
      <c r="C1181" t="s">
        <v>142</v>
      </c>
      <c r="D1181" t="s">
        <v>9</v>
      </c>
      <c r="E1181" s="3">
        <v>2000</v>
      </c>
      <c r="F1181" s="3">
        <v>2000</v>
      </c>
      <c r="G1181" s="3">
        <v>1400</v>
      </c>
      <c r="I1181" t="s">
        <v>143</v>
      </c>
      <c r="J1181" t="s">
        <v>40</v>
      </c>
      <c r="K1181" t="s">
        <v>11</v>
      </c>
      <c r="L1181" t="str">
        <f>T("9791191562521")</f>
        <v>9791191562521</v>
      </c>
    </row>
    <row r="1182" spans="1:12">
      <c r="A1182" s="2">
        <v>44798.592569444445</v>
      </c>
      <c r="B1182">
        <v>300405818</v>
      </c>
      <c r="C1182" t="s">
        <v>464</v>
      </c>
      <c r="D1182" t="s">
        <v>9</v>
      </c>
      <c r="E1182" s="3">
        <v>2000</v>
      </c>
      <c r="F1182" s="3">
        <v>2000</v>
      </c>
      <c r="G1182" s="3">
        <v>1400</v>
      </c>
      <c r="I1182" t="s">
        <v>176</v>
      </c>
      <c r="J1182" t="s">
        <v>40</v>
      </c>
      <c r="K1182" t="s">
        <v>11</v>
      </c>
      <c r="L1182" t="str">
        <f>T("9791191562903")</f>
        <v>9791191562903</v>
      </c>
    </row>
    <row r="1183" spans="1:12">
      <c r="A1183" s="2">
        <v>44798.59783564815</v>
      </c>
      <c r="B1183">
        <v>294556455</v>
      </c>
      <c r="C1183" t="s">
        <v>119</v>
      </c>
      <c r="D1183" t="s">
        <v>9</v>
      </c>
      <c r="E1183" s="3">
        <v>2000</v>
      </c>
      <c r="F1183" s="3">
        <v>2000</v>
      </c>
      <c r="G1183" s="3">
        <v>1400</v>
      </c>
      <c r="I1183" t="s">
        <v>54</v>
      </c>
      <c r="J1183" t="s">
        <v>40</v>
      </c>
      <c r="K1183" t="s">
        <v>11</v>
      </c>
      <c r="L1183" t="str">
        <f>T("9791191562415")</f>
        <v>9791191562415</v>
      </c>
    </row>
    <row r="1184" spans="1:12">
      <c r="A1184" s="2">
        <v>44798.600057870368</v>
      </c>
      <c r="B1184">
        <v>300405818</v>
      </c>
      <c r="C1184" t="s">
        <v>464</v>
      </c>
      <c r="D1184" t="s">
        <v>9</v>
      </c>
      <c r="E1184" s="3">
        <v>2000</v>
      </c>
      <c r="F1184" s="3">
        <v>2000</v>
      </c>
      <c r="G1184" s="3">
        <v>1400</v>
      </c>
      <c r="I1184" t="s">
        <v>176</v>
      </c>
      <c r="J1184" t="s">
        <v>40</v>
      </c>
      <c r="K1184" t="s">
        <v>11</v>
      </c>
      <c r="L1184" t="str">
        <f>T("9791191562903")</f>
        <v>9791191562903</v>
      </c>
    </row>
    <row r="1185" spans="1:12">
      <c r="A1185" s="2">
        <v>44798.626655092594</v>
      </c>
      <c r="B1185">
        <v>294374169</v>
      </c>
      <c r="C1185" t="s">
        <v>367</v>
      </c>
      <c r="D1185" t="s">
        <v>9</v>
      </c>
      <c r="E1185" s="3">
        <v>2000</v>
      </c>
      <c r="F1185" s="3">
        <v>2000</v>
      </c>
      <c r="G1185" s="3">
        <v>1400</v>
      </c>
      <c r="I1185" t="s">
        <v>368</v>
      </c>
      <c r="J1185" t="s">
        <v>40</v>
      </c>
      <c r="K1185" t="s">
        <v>11</v>
      </c>
      <c r="L1185" t="str">
        <f>T("9791191562378")</f>
        <v>9791191562378</v>
      </c>
    </row>
    <row r="1186" spans="1:12">
      <c r="A1186" s="2">
        <v>44798.672326388885</v>
      </c>
      <c r="B1186">
        <v>248690937</v>
      </c>
      <c r="C1186" t="s">
        <v>465</v>
      </c>
      <c r="D1186" t="s">
        <v>12</v>
      </c>
      <c r="E1186">
        <v>900</v>
      </c>
      <c r="F1186">
        <v>900</v>
      </c>
      <c r="G1186">
        <v>630</v>
      </c>
      <c r="I1186" t="s">
        <v>20</v>
      </c>
      <c r="J1186" t="s">
        <v>17</v>
      </c>
      <c r="K1186" t="s">
        <v>11</v>
      </c>
      <c r="L1186" t="str">
        <f>T("9791166000300")</f>
        <v>9791166000300</v>
      </c>
    </row>
    <row r="1187" spans="1:12">
      <c r="A1187" s="2">
        <v>44798.676550925928</v>
      </c>
      <c r="B1187">
        <v>287366429</v>
      </c>
      <c r="C1187" t="s">
        <v>210</v>
      </c>
      <c r="D1187" t="s">
        <v>9</v>
      </c>
      <c r="E1187" s="3">
        <v>2000</v>
      </c>
      <c r="F1187" s="3">
        <v>2000</v>
      </c>
      <c r="G1187" s="3">
        <v>1400</v>
      </c>
      <c r="I1187" t="s">
        <v>31</v>
      </c>
      <c r="J1187" t="s">
        <v>40</v>
      </c>
      <c r="K1187" t="s">
        <v>11</v>
      </c>
      <c r="L1187" t="str">
        <f>T("9791196945299")</f>
        <v>9791196945299</v>
      </c>
    </row>
    <row r="1188" spans="1:12">
      <c r="A1188" s="2">
        <v>44798.687071759261</v>
      </c>
      <c r="B1188">
        <v>300405818</v>
      </c>
      <c r="C1188" t="s">
        <v>464</v>
      </c>
      <c r="D1188" t="s">
        <v>9</v>
      </c>
      <c r="E1188" s="3">
        <v>2000</v>
      </c>
      <c r="F1188" s="3">
        <v>2000</v>
      </c>
      <c r="G1188" s="3">
        <v>1400</v>
      </c>
      <c r="I1188" t="s">
        <v>176</v>
      </c>
      <c r="J1188" t="s">
        <v>40</v>
      </c>
      <c r="K1188" t="s">
        <v>11</v>
      </c>
      <c r="L1188" t="str">
        <f>T("9791191562903")</f>
        <v>9791191562903</v>
      </c>
    </row>
    <row r="1189" spans="1:12">
      <c r="A1189" s="2">
        <v>44798.711192129631</v>
      </c>
      <c r="B1189">
        <v>282585762</v>
      </c>
      <c r="C1189" t="s">
        <v>75</v>
      </c>
      <c r="D1189" t="s">
        <v>9</v>
      </c>
      <c r="E1189" s="3">
        <v>3000</v>
      </c>
      <c r="F1189" s="3">
        <v>3000</v>
      </c>
      <c r="G1189" s="3">
        <v>2100</v>
      </c>
      <c r="I1189" t="s">
        <v>30</v>
      </c>
      <c r="J1189" t="s">
        <v>71</v>
      </c>
      <c r="K1189" t="s">
        <v>11</v>
      </c>
      <c r="L1189" t="str">
        <f>T("9791164374625")</f>
        <v>9791164374625</v>
      </c>
    </row>
    <row r="1190" spans="1:12">
      <c r="A1190" s="2">
        <v>44798.711192129631</v>
      </c>
      <c r="B1190">
        <v>282585770</v>
      </c>
      <c r="C1190" t="s">
        <v>74</v>
      </c>
      <c r="D1190" t="s">
        <v>9</v>
      </c>
      <c r="E1190" s="3">
        <v>3000</v>
      </c>
      <c r="F1190" s="3">
        <v>3000</v>
      </c>
      <c r="G1190" s="3">
        <v>2100</v>
      </c>
      <c r="I1190" t="s">
        <v>30</v>
      </c>
      <c r="J1190" t="s">
        <v>71</v>
      </c>
      <c r="K1190" t="s">
        <v>11</v>
      </c>
      <c r="L1190" t="str">
        <f>T("9791164374618")</f>
        <v>9791164374618</v>
      </c>
    </row>
    <row r="1191" spans="1:12">
      <c r="A1191" s="2">
        <v>44798.725763888891</v>
      </c>
      <c r="B1191">
        <v>300405818</v>
      </c>
      <c r="C1191" t="s">
        <v>464</v>
      </c>
      <c r="D1191" t="s">
        <v>9</v>
      </c>
      <c r="E1191" s="3">
        <v>2000</v>
      </c>
      <c r="F1191" s="3">
        <v>2000</v>
      </c>
      <c r="G1191" s="3">
        <v>1400</v>
      </c>
      <c r="I1191" t="s">
        <v>176</v>
      </c>
      <c r="J1191" t="s">
        <v>40</v>
      </c>
      <c r="K1191" t="s">
        <v>11</v>
      </c>
      <c r="L1191" t="str">
        <f>T("9791191562903")</f>
        <v>9791191562903</v>
      </c>
    </row>
    <row r="1192" spans="1:12">
      <c r="A1192" s="2">
        <v>44798.726550925923</v>
      </c>
      <c r="B1192">
        <v>248962158</v>
      </c>
      <c r="C1192" t="s">
        <v>466</v>
      </c>
      <c r="D1192" t="s">
        <v>9</v>
      </c>
      <c r="E1192">
        <v>0</v>
      </c>
      <c r="F1192">
        <v>0</v>
      </c>
      <c r="G1192">
        <v>0</v>
      </c>
      <c r="I1192" t="s">
        <v>467</v>
      </c>
      <c r="J1192" t="s">
        <v>11</v>
      </c>
      <c r="K1192" t="s">
        <v>11</v>
      </c>
      <c r="L1192" t="str">
        <f>T("9791166064999")</f>
        <v>9791166064999</v>
      </c>
    </row>
    <row r="1193" spans="1:12">
      <c r="A1193" s="2">
        <v>44798.754560185182</v>
      </c>
      <c r="B1193">
        <v>296103744</v>
      </c>
      <c r="C1193" t="s">
        <v>130</v>
      </c>
      <c r="D1193" t="s">
        <v>9</v>
      </c>
      <c r="E1193" s="3">
        <v>2000</v>
      </c>
      <c r="F1193" s="3">
        <v>2000</v>
      </c>
      <c r="G1193" s="3">
        <v>1400</v>
      </c>
      <c r="I1193" t="s">
        <v>30</v>
      </c>
      <c r="J1193" t="s">
        <v>40</v>
      </c>
      <c r="K1193" t="s">
        <v>11</v>
      </c>
      <c r="L1193" t="str">
        <f>T("9791191562538")</f>
        <v>9791191562538</v>
      </c>
    </row>
    <row r="1194" spans="1:12">
      <c r="A1194" s="2">
        <v>44798.761099537034</v>
      </c>
      <c r="B1194">
        <v>291088925</v>
      </c>
      <c r="C1194" t="s">
        <v>58</v>
      </c>
      <c r="D1194" t="s">
        <v>9</v>
      </c>
      <c r="E1194" s="3">
        <v>2000</v>
      </c>
      <c r="F1194" s="3">
        <v>2000</v>
      </c>
      <c r="G1194" s="3">
        <v>1400</v>
      </c>
      <c r="I1194" t="s">
        <v>59</v>
      </c>
      <c r="J1194" t="s">
        <v>40</v>
      </c>
      <c r="K1194" t="s">
        <v>11</v>
      </c>
      <c r="L1194" t="str">
        <f>T("9791191562187")</f>
        <v>9791191562187</v>
      </c>
    </row>
    <row r="1195" spans="1:12">
      <c r="A1195" s="2">
        <v>44798.779386574075</v>
      </c>
      <c r="B1195">
        <v>291088925</v>
      </c>
      <c r="C1195" t="s">
        <v>58</v>
      </c>
      <c r="D1195" t="s">
        <v>9</v>
      </c>
      <c r="E1195" s="3">
        <v>2000</v>
      </c>
      <c r="F1195" s="3">
        <v>2000</v>
      </c>
      <c r="G1195" s="3">
        <v>1400</v>
      </c>
      <c r="I1195" t="s">
        <v>59</v>
      </c>
      <c r="J1195" t="s">
        <v>40</v>
      </c>
      <c r="K1195" t="s">
        <v>11</v>
      </c>
      <c r="L1195" t="str">
        <f>T("9791191562187")</f>
        <v>9791191562187</v>
      </c>
    </row>
    <row r="1196" spans="1:12">
      <c r="A1196" s="2">
        <v>44798.806550925925</v>
      </c>
      <c r="B1196">
        <v>297620121</v>
      </c>
      <c r="C1196" t="s">
        <v>205</v>
      </c>
      <c r="D1196" t="s">
        <v>9</v>
      </c>
      <c r="E1196" s="3">
        <v>2000</v>
      </c>
      <c r="F1196" s="3">
        <v>2000</v>
      </c>
      <c r="G1196" s="3">
        <v>1400</v>
      </c>
      <c r="I1196" t="s">
        <v>29</v>
      </c>
      <c r="J1196" t="s">
        <v>40</v>
      </c>
      <c r="K1196" t="s">
        <v>11</v>
      </c>
      <c r="L1196" t="str">
        <f>T("9791191562484")</f>
        <v>9791191562484</v>
      </c>
    </row>
    <row r="1197" spans="1:12">
      <c r="A1197" s="2">
        <v>44798.822546296295</v>
      </c>
      <c r="B1197">
        <v>300204282</v>
      </c>
      <c r="C1197" t="s">
        <v>435</v>
      </c>
      <c r="D1197" t="s">
        <v>9</v>
      </c>
      <c r="E1197">
        <v>0</v>
      </c>
      <c r="F1197">
        <v>0</v>
      </c>
      <c r="G1197">
        <v>0</v>
      </c>
      <c r="I1197" t="s">
        <v>436</v>
      </c>
      <c r="J1197" t="s">
        <v>11</v>
      </c>
      <c r="K1197" t="s">
        <v>11</v>
      </c>
      <c r="L1197" t="str">
        <f>T("9791137605145")</f>
        <v>9791137605145</v>
      </c>
    </row>
    <row r="1198" spans="1:12">
      <c r="A1198" s="2">
        <v>44798.823541666665</v>
      </c>
      <c r="B1198">
        <v>300405818</v>
      </c>
      <c r="C1198" t="s">
        <v>464</v>
      </c>
      <c r="D1198" t="s">
        <v>9</v>
      </c>
      <c r="E1198" s="3">
        <v>2000</v>
      </c>
      <c r="F1198" s="3">
        <v>2000</v>
      </c>
      <c r="G1198" s="3">
        <v>1400</v>
      </c>
      <c r="I1198" t="s">
        <v>176</v>
      </c>
      <c r="J1198" t="s">
        <v>40</v>
      </c>
      <c r="K1198" t="s">
        <v>11</v>
      </c>
      <c r="L1198" t="str">
        <f>T("9791191562903")</f>
        <v>9791191562903</v>
      </c>
    </row>
    <row r="1199" spans="1:12">
      <c r="A1199" s="2">
        <v>44798.832928240743</v>
      </c>
      <c r="B1199">
        <v>300204288</v>
      </c>
      <c r="C1199" t="s">
        <v>439</v>
      </c>
      <c r="D1199" t="s">
        <v>9</v>
      </c>
      <c r="E1199">
        <v>0</v>
      </c>
      <c r="F1199">
        <v>0</v>
      </c>
      <c r="G1199">
        <v>0</v>
      </c>
      <c r="I1199" t="s">
        <v>440</v>
      </c>
      <c r="J1199" t="s">
        <v>11</v>
      </c>
      <c r="K1199" t="s">
        <v>11</v>
      </c>
      <c r="L1199" t="str">
        <f>T("9791137605268")</f>
        <v>9791137605268</v>
      </c>
    </row>
    <row r="1200" spans="1:12">
      <c r="A1200" s="2">
        <v>44798.861643518518</v>
      </c>
      <c r="B1200">
        <v>296965886</v>
      </c>
      <c r="C1200" t="s">
        <v>151</v>
      </c>
      <c r="D1200" t="s">
        <v>9</v>
      </c>
      <c r="E1200" s="3">
        <v>2500</v>
      </c>
      <c r="F1200" s="3">
        <v>2500</v>
      </c>
      <c r="G1200" s="3">
        <v>1750</v>
      </c>
      <c r="I1200" t="s">
        <v>152</v>
      </c>
      <c r="J1200" t="s">
        <v>40</v>
      </c>
      <c r="K1200" t="s">
        <v>11</v>
      </c>
      <c r="L1200" t="str">
        <f>T("9791191562507")</f>
        <v>9791191562507</v>
      </c>
    </row>
    <row r="1201" spans="1:12">
      <c r="A1201" s="2">
        <v>44798.88548611111</v>
      </c>
      <c r="B1201">
        <v>291088925</v>
      </c>
      <c r="C1201" t="s">
        <v>58</v>
      </c>
      <c r="D1201" t="s">
        <v>9</v>
      </c>
      <c r="E1201" s="3">
        <v>2000</v>
      </c>
      <c r="F1201" s="3">
        <v>2000</v>
      </c>
      <c r="G1201" s="3">
        <v>1400</v>
      </c>
      <c r="I1201" t="s">
        <v>59</v>
      </c>
      <c r="J1201" t="s">
        <v>40</v>
      </c>
      <c r="K1201" t="s">
        <v>11</v>
      </c>
      <c r="L1201" t="str">
        <f>T("9791191562187")</f>
        <v>9791191562187</v>
      </c>
    </row>
    <row r="1202" spans="1:12">
      <c r="A1202" s="2">
        <v>44798.901585648149</v>
      </c>
      <c r="B1202">
        <v>300405818</v>
      </c>
      <c r="C1202" t="s">
        <v>464</v>
      </c>
      <c r="D1202" t="s">
        <v>9</v>
      </c>
      <c r="E1202" s="3">
        <v>2000</v>
      </c>
      <c r="F1202" s="3">
        <v>2000</v>
      </c>
      <c r="G1202" s="3">
        <v>1400</v>
      </c>
      <c r="I1202" t="s">
        <v>176</v>
      </c>
      <c r="J1202" t="s">
        <v>40</v>
      </c>
      <c r="K1202" t="s">
        <v>11</v>
      </c>
      <c r="L1202" t="str">
        <f>T("9791191562903")</f>
        <v>9791191562903</v>
      </c>
    </row>
    <row r="1203" spans="1:12">
      <c r="A1203" s="2">
        <v>44798.906597222223</v>
      </c>
      <c r="B1203">
        <v>297219988</v>
      </c>
      <c r="C1203" t="s">
        <v>157</v>
      </c>
      <c r="D1203" t="s">
        <v>9</v>
      </c>
      <c r="E1203" s="3">
        <v>3000</v>
      </c>
      <c r="F1203" s="3">
        <v>3000</v>
      </c>
      <c r="G1203" s="3">
        <v>2100</v>
      </c>
      <c r="I1203" t="s">
        <v>82</v>
      </c>
      <c r="J1203" t="s">
        <v>40</v>
      </c>
      <c r="K1203" t="s">
        <v>11</v>
      </c>
      <c r="L1203" t="str">
        <f>T("9791191562811")</f>
        <v>9791191562811</v>
      </c>
    </row>
    <row r="1204" spans="1:12">
      <c r="A1204" s="2">
        <v>44798.933113425926</v>
      </c>
      <c r="B1204">
        <v>300405818</v>
      </c>
      <c r="C1204" t="s">
        <v>464</v>
      </c>
      <c r="D1204" t="s">
        <v>9</v>
      </c>
      <c r="E1204" s="3">
        <v>2000</v>
      </c>
      <c r="F1204" s="3">
        <v>2000</v>
      </c>
      <c r="G1204" s="3">
        <v>1400</v>
      </c>
      <c r="I1204" t="s">
        <v>176</v>
      </c>
      <c r="J1204" t="s">
        <v>40</v>
      </c>
      <c r="K1204" t="s">
        <v>11</v>
      </c>
      <c r="L1204" t="str">
        <f>T("9791191562903")</f>
        <v>9791191562903</v>
      </c>
    </row>
    <row r="1205" spans="1:12">
      <c r="A1205" s="2">
        <v>44798.957951388889</v>
      </c>
      <c r="B1205">
        <v>282585762</v>
      </c>
      <c r="C1205" t="s">
        <v>75</v>
      </c>
      <c r="D1205" t="s">
        <v>9</v>
      </c>
      <c r="E1205" s="3">
        <v>3000</v>
      </c>
      <c r="F1205" s="3">
        <v>3000</v>
      </c>
      <c r="G1205" s="3">
        <v>2100</v>
      </c>
      <c r="I1205" t="s">
        <v>30</v>
      </c>
      <c r="J1205" t="s">
        <v>71</v>
      </c>
      <c r="K1205" t="s">
        <v>11</v>
      </c>
      <c r="L1205" t="str">
        <f>T("9791164374625")</f>
        <v>9791164374625</v>
      </c>
    </row>
    <row r="1206" spans="1:12">
      <c r="A1206" s="2">
        <v>44798.957951388889</v>
      </c>
      <c r="B1206">
        <v>282585770</v>
      </c>
      <c r="C1206" t="s">
        <v>74</v>
      </c>
      <c r="D1206" t="s">
        <v>9</v>
      </c>
      <c r="E1206" s="3">
        <v>3000</v>
      </c>
      <c r="F1206" s="3">
        <v>3000</v>
      </c>
      <c r="G1206" s="3">
        <v>2100</v>
      </c>
      <c r="I1206" t="s">
        <v>30</v>
      </c>
      <c r="J1206" t="s">
        <v>71</v>
      </c>
      <c r="K1206" t="s">
        <v>11</v>
      </c>
      <c r="L1206" t="str">
        <f>T("9791164374618")</f>
        <v>9791164374618</v>
      </c>
    </row>
    <row r="1207" spans="1:12">
      <c r="A1207" s="2">
        <v>44798.971134259256</v>
      </c>
      <c r="B1207">
        <v>149550324</v>
      </c>
      <c r="C1207" t="s">
        <v>260</v>
      </c>
      <c r="D1207" t="s">
        <v>12</v>
      </c>
      <c r="E1207">
        <v>900</v>
      </c>
      <c r="F1207">
        <v>900</v>
      </c>
      <c r="G1207">
        <v>630</v>
      </c>
      <c r="I1207" t="s">
        <v>124</v>
      </c>
      <c r="J1207" t="s">
        <v>11</v>
      </c>
      <c r="K1207" t="s">
        <v>11</v>
      </c>
      <c r="L1207" t="str">
        <f>T("9791159286384")</f>
        <v>9791159286384</v>
      </c>
    </row>
    <row r="1208" spans="1:12">
      <c r="A1208" s="2">
        <v>44798.971192129633</v>
      </c>
      <c r="B1208">
        <v>287834730</v>
      </c>
      <c r="C1208" t="s">
        <v>37</v>
      </c>
      <c r="D1208" t="s">
        <v>9</v>
      </c>
      <c r="E1208" s="3">
        <v>2000</v>
      </c>
      <c r="F1208" s="3">
        <v>2000</v>
      </c>
      <c r="G1208" s="3">
        <v>1400</v>
      </c>
      <c r="I1208" t="s">
        <v>32</v>
      </c>
      <c r="J1208" t="s">
        <v>40</v>
      </c>
      <c r="K1208" t="s">
        <v>11</v>
      </c>
      <c r="L1208" t="str">
        <f>T("9791191562019")</f>
        <v>9791191562019</v>
      </c>
    </row>
    <row r="1209" spans="1:12">
      <c r="A1209" s="2">
        <v>44798.971284722225</v>
      </c>
      <c r="B1209">
        <v>298375208</v>
      </c>
      <c r="C1209" t="s">
        <v>239</v>
      </c>
      <c r="D1209" t="s">
        <v>9</v>
      </c>
      <c r="E1209" s="3">
        <v>2500</v>
      </c>
      <c r="F1209" s="3">
        <v>2500</v>
      </c>
      <c r="G1209" s="3">
        <v>1750</v>
      </c>
      <c r="I1209" t="s">
        <v>240</v>
      </c>
      <c r="J1209" t="s">
        <v>40</v>
      </c>
      <c r="K1209" t="s">
        <v>11</v>
      </c>
      <c r="L1209" t="str">
        <f>T("9791191562842")</f>
        <v>9791191562842</v>
      </c>
    </row>
    <row r="1210" spans="1:12">
      <c r="A1210" s="2">
        <v>44798.971967592595</v>
      </c>
      <c r="B1210">
        <v>290197934</v>
      </c>
      <c r="C1210" t="s">
        <v>48</v>
      </c>
      <c r="D1210" t="s">
        <v>9</v>
      </c>
      <c r="E1210" s="3">
        <v>2000</v>
      </c>
      <c r="F1210" s="3">
        <v>2000</v>
      </c>
      <c r="G1210" s="3">
        <v>1400</v>
      </c>
      <c r="I1210" t="s">
        <v>49</v>
      </c>
      <c r="J1210" t="s">
        <v>40</v>
      </c>
      <c r="K1210" t="s">
        <v>11</v>
      </c>
      <c r="L1210" t="str">
        <f>T("9791191562163")</f>
        <v>9791191562163</v>
      </c>
    </row>
    <row r="1211" spans="1:12">
      <c r="A1211" s="2">
        <v>44799.00681712963</v>
      </c>
      <c r="B1211">
        <v>300405818</v>
      </c>
      <c r="C1211" t="s">
        <v>464</v>
      </c>
      <c r="D1211" t="s">
        <v>9</v>
      </c>
      <c r="E1211" s="3">
        <v>2000</v>
      </c>
      <c r="F1211" s="3">
        <v>2000</v>
      </c>
      <c r="G1211" s="3">
        <v>1400</v>
      </c>
      <c r="I1211" t="s">
        <v>176</v>
      </c>
      <c r="J1211" t="s">
        <v>40</v>
      </c>
      <c r="K1211" t="s">
        <v>11</v>
      </c>
      <c r="L1211" t="str">
        <f>T("9791191562903")</f>
        <v>9791191562903</v>
      </c>
    </row>
    <row r="1212" spans="1:12">
      <c r="A1212" s="2">
        <v>44799.007337962961</v>
      </c>
      <c r="B1212">
        <v>296965886</v>
      </c>
      <c r="C1212" t="s">
        <v>151</v>
      </c>
      <c r="D1212" t="s">
        <v>9</v>
      </c>
      <c r="E1212" s="3">
        <v>2500</v>
      </c>
      <c r="F1212" s="3">
        <v>2500</v>
      </c>
      <c r="G1212" s="3">
        <v>1750</v>
      </c>
      <c r="I1212" t="s">
        <v>152</v>
      </c>
      <c r="J1212" t="s">
        <v>40</v>
      </c>
      <c r="K1212" t="s">
        <v>11</v>
      </c>
      <c r="L1212" t="str">
        <f>T("9791191562507")</f>
        <v>9791191562507</v>
      </c>
    </row>
    <row r="1213" spans="1:12">
      <c r="A1213" s="2">
        <v>44799.011921296296</v>
      </c>
      <c r="B1213">
        <v>300405818</v>
      </c>
      <c r="C1213" t="s">
        <v>464</v>
      </c>
      <c r="D1213" t="s">
        <v>9</v>
      </c>
      <c r="E1213" s="3">
        <v>2000</v>
      </c>
      <c r="F1213" s="3">
        <v>2000</v>
      </c>
      <c r="G1213" s="3">
        <v>1400</v>
      </c>
      <c r="I1213" t="s">
        <v>176</v>
      </c>
      <c r="J1213" t="s">
        <v>40</v>
      </c>
      <c r="K1213" t="s">
        <v>11</v>
      </c>
      <c r="L1213" t="str">
        <f>T("9791191562903")</f>
        <v>9791191562903</v>
      </c>
    </row>
    <row r="1214" spans="1:12">
      <c r="A1214" s="2">
        <v>44799.34946759259</v>
      </c>
      <c r="B1214">
        <v>300405818</v>
      </c>
      <c r="C1214" t="s">
        <v>464</v>
      </c>
      <c r="D1214" t="s">
        <v>9</v>
      </c>
      <c r="E1214" s="3">
        <v>2000</v>
      </c>
      <c r="F1214" s="3">
        <v>2000</v>
      </c>
      <c r="G1214" s="3">
        <v>1400</v>
      </c>
      <c r="I1214" t="s">
        <v>176</v>
      </c>
      <c r="J1214" t="s">
        <v>40</v>
      </c>
      <c r="K1214" t="s">
        <v>11</v>
      </c>
      <c r="L1214" t="str">
        <f>T("9791191562903")</f>
        <v>9791191562903</v>
      </c>
    </row>
    <row r="1215" spans="1:12">
      <c r="A1215" s="2">
        <v>44799.38821759259</v>
      </c>
      <c r="B1215">
        <v>297620121</v>
      </c>
      <c r="C1215" t="s">
        <v>205</v>
      </c>
      <c r="D1215" t="s">
        <v>9</v>
      </c>
      <c r="E1215" s="3">
        <v>2000</v>
      </c>
      <c r="F1215" s="3">
        <v>2000</v>
      </c>
      <c r="G1215" s="3">
        <v>1400</v>
      </c>
      <c r="I1215" t="s">
        <v>29</v>
      </c>
      <c r="J1215" t="s">
        <v>40</v>
      </c>
      <c r="K1215" t="s">
        <v>11</v>
      </c>
      <c r="L1215" t="str">
        <f>T("9791191562484")</f>
        <v>9791191562484</v>
      </c>
    </row>
    <row r="1216" spans="1:12">
      <c r="A1216" s="2">
        <v>44799.401863425926</v>
      </c>
      <c r="B1216">
        <v>287834730</v>
      </c>
      <c r="C1216" t="s">
        <v>37</v>
      </c>
      <c r="D1216" t="s">
        <v>9</v>
      </c>
      <c r="E1216" s="3">
        <v>2000</v>
      </c>
      <c r="F1216" s="3">
        <v>2000</v>
      </c>
      <c r="G1216" s="3">
        <v>1400</v>
      </c>
      <c r="I1216" t="s">
        <v>32</v>
      </c>
      <c r="J1216" t="s">
        <v>40</v>
      </c>
      <c r="K1216" t="s">
        <v>11</v>
      </c>
      <c r="L1216" t="str">
        <f>T("9791191562019")</f>
        <v>9791191562019</v>
      </c>
    </row>
    <row r="1217" spans="1:12">
      <c r="A1217" s="2">
        <v>44799.420624999999</v>
      </c>
      <c r="B1217">
        <v>300405818</v>
      </c>
      <c r="C1217" t="s">
        <v>464</v>
      </c>
      <c r="D1217" t="s">
        <v>9</v>
      </c>
      <c r="E1217" s="3">
        <v>2000</v>
      </c>
      <c r="F1217" s="3">
        <v>2000</v>
      </c>
      <c r="G1217" s="3">
        <v>1400</v>
      </c>
      <c r="I1217" t="s">
        <v>176</v>
      </c>
      <c r="J1217" t="s">
        <v>40</v>
      </c>
      <c r="K1217" t="s">
        <v>11</v>
      </c>
      <c r="L1217" t="str">
        <f>T("9791191562903")</f>
        <v>9791191562903</v>
      </c>
    </row>
    <row r="1218" spans="1:12">
      <c r="A1218" s="2">
        <v>44799.422696759262</v>
      </c>
      <c r="B1218">
        <v>297620121</v>
      </c>
      <c r="C1218" t="s">
        <v>205</v>
      </c>
      <c r="D1218" t="s">
        <v>9</v>
      </c>
      <c r="E1218" s="3">
        <v>2000</v>
      </c>
      <c r="F1218" s="3">
        <v>2000</v>
      </c>
      <c r="G1218" s="3">
        <v>1400</v>
      </c>
      <c r="I1218" t="s">
        <v>29</v>
      </c>
      <c r="J1218" t="s">
        <v>40</v>
      </c>
      <c r="K1218" t="s">
        <v>11</v>
      </c>
      <c r="L1218" t="str">
        <f>T("9791191562484")</f>
        <v>9791191562484</v>
      </c>
    </row>
    <row r="1219" spans="1:12">
      <c r="A1219" s="2">
        <v>44799.464236111111</v>
      </c>
      <c r="B1219">
        <v>299562124</v>
      </c>
      <c r="C1219" t="s">
        <v>369</v>
      </c>
      <c r="D1219" t="s">
        <v>9</v>
      </c>
      <c r="E1219" s="3">
        <v>2000</v>
      </c>
      <c r="F1219" s="3">
        <v>2000</v>
      </c>
      <c r="G1219" s="3">
        <v>1400</v>
      </c>
      <c r="I1219" t="s">
        <v>370</v>
      </c>
      <c r="J1219" t="s">
        <v>40</v>
      </c>
      <c r="K1219" t="s">
        <v>11</v>
      </c>
      <c r="L1219" t="str">
        <f>T("9791191562873")</f>
        <v>9791191562873</v>
      </c>
    </row>
    <row r="1220" spans="1:12">
      <c r="A1220" s="2">
        <v>44799.474444444444</v>
      </c>
      <c r="B1220">
        <v>300405818</v>
      </c>
      <c r="C1220" t="s">
        <v>464</v>
      </c>
      <c r="D1220" t="s">
        <v>9</v>
      </c>
      <c r="E1220" s="3">
        <v>2000</v>
      </c>
      <c r="F1220" s="3">
        <v>2000</v>
      </c>
      <c r="G1220" s="3">
        <v>1400</v>
      </c>
      <c r="I1220" t="s">
        <v>176</v>
      </c>
      <c r="J1220" t="s">
        <v>40</v>
      </c>
      <c r="K1220" t="s">
        <v>11</v>
      </c>
      <c r="L1220" t="str">
        <f>T("9791191562903")</f>
        <v>9791191562903</v>
      </c>
    </row>
    <row r="1221" spans="1:12">
      <c r="A1221" s="2">
        <v>44799.488055555557</v>
      </c>
      <c r="B1221">
        <v>286120663</v>
      </c>
      <c r="C1221" t="s">
        <v>388</v>
      </c>
      <c r="D1221" t="s">
        <v>9</v>
      </c>
      <c r="E1221" s="3">
        <v>3200</v>
      </c>
      <c r="F1221" s="3">
        <v>3200</v>
      </c>
      <c r="G1221" s="3">
        <v>2240</v>
      </c>
      <c r="I1221" t="s">
        <v>244</v>
      </c>
      <c r="J1221" t="s">
        <v>45</v>
      </c>
      <c r="K1221" t="s">
        <v>11</v>
      </c>
      <c r="L1221" t="str">
        <f>T("9791166482687")</f>
        <v>9791166482687</v>
      </c>
    </row>
    <row r="1222" spans="1:12">
      <c r="A1222" s="2">
        <v>44799.507650462961</v>
      </c>
      <c r="B1222">
        <v>300405818</v>
      </c>
      <c r="C1222" t="s">
        <v>464</v>
      </c>
      <c r="D1222" t="s">
        <v>9</v>
      </c>
      <c r="E1222" s="3">
        <v>2000</v>
      </c>
      <c r="F1222" s="3">
        <v>2000</v>
      </c>
      <c r="G1222" s="3">
        <v>1400</v>
      </c>
      <c r="I1222" t="s">
        <v>176</v>
      </c>
      <c r="J1222" t="s">
        <v>40</v>
      </c>
      <c r="K1222" t="s">
        <v>11</v>
      </c>
      <c r="L1222" t="str">
        <f>T("9791191562903")</f>
        <v>9791191562903</v>
      </c>
    </row>
    <row r="1223" spans="1:12">
      <c r="A1223" s="2">
        <v>44799.537962962961</v>
      </c>
      <c r="B1223">
        <v>299562124</v>
      </c>
      <c r="C1223" t="s">
        <v>369</v>
      </c>
      <c r="D1223" t="s">
        <v>9</v>
      </c>
      <c r="E1223" s="3">
        <v>2000</v>
      </c>
      <c r="F1223" s="3">
        <v>2000</v>
      </c>
      <c r="G1223" s="3">
        <v>1400</v>
      </c>
      <c r="I1223" t="s">
        <v>370</v>
      </c>
      <c r="J1223" t="s">
        <v>40</v>
      </c>
      <c r="K1223" t="s">
        <v>11</v>
      </c>
      <c r="L1223" t="str">
        <f>T("9791191562873")</f>
        <v>9791191562873</v>
      </c>
    </row>
    <row r="1224" spans="1:12">
      <c r="A1224" s="2">
        <v>44799.553657407407</v>
      </c>
      <c r="B1224">
        <v>299154500</v>
      </c>
      <c r="C1224" t="s">
        <v>287</v>
      </c>
      <c r="D1224" t="s">
        <v>9</v>
      </c>
      <c r="E1224" s="3">
        <v>2500</v>
      </c>
      <c r="F1224" s="3">
        <v>2500</v>
      </c>
      <c r="G1224" s="3">
        <v>1750</v>
      </c>
      <c r="I1224" t="s">
        <v>220</v>
      </c>
      <c r="J1224" t="s">
        <v>40</v>
      </c>
      <c r="K1224" t="s">
        <v>11</v>
      </c>
      <c r="L1224" t="str">
        <f>T("9791191562859")</f>
        <v>9791191562859</v>
      </c>
    </row>
    <row r="1225" spans="1:12">
      <c r="A1225" s="2">
        <v>44799.590104166666</v>
      </c>
      <c r="B1225">
        <v>291906274</v>
      </c>
      <c r="C1225" t="s">
        <v>70</v>
      </c>
      <c r="D1225" t="s">
        <v>9</v>
      </c>
      <c r="E1225" s="3">
        <v>3200</v>
      </c>
      <c r="F1225" s="3">
        <v>3200</v>
      </c>
      <c r="G1225" s="3">
        <v>2240</v>
      </c>
      <c r="I1225" t="s">
        <v>13</v>
      </c>
      <c r="J1225" t="s">
        <v>11</v>
      </c>
      <c r="K1225" t="s">
        <v>11</v>
      </c>
      <c r="L1225" t="str">
        <f>T("9791166300875")</f>
        <v>9791166300875</v>
      </c>
    </row>
    <row r="1226" spans="1:12">
      <c r="A1226" s="2">
        <v>44799.637453703705</v>
      </c>
      <c r="B1226">
        <v>300405818</v>
      </c>
      <c r="C1226" t="s">
        <v>464</v>
      </c>
      <c r="D1226" t="s">
        <v>9</v>
      </c>
      <c r="E1226" s="3">
        <v>2000</v>
      </c>
      <c r="F1226" s="3">
        <v>2000</v>
      </c>
      <c r="G1226" s="3">
        <v>1400</v>
      </c>
      <c r="I1226" t="s">
        <v>176</v>
      </c>
      <c r="J1226" t="s">
        <v>40</v>
      </c>
      <c r="K1226" t="s">
        <v>11</v>
      </c>
      <c r="L1226" t="str">
        <f>T("9791191562903")</f>
        <v>9791191562903</v>
      </c>
    </row>
    <row r="1227" spans="1:12">
      <c r="A1227" s="2">
        <v>44799.693182870367</v>
      </c>
      <c r="B1227">
        <v>296965886</v>
      </c>
      <c r="C1227" t="s">
        <v>151</v>
      </c>
      <c r="D1227" t="s">
        <v>9</v>
      </c>
      <c r="E1227" s="3">
        <v>2500</v>
      </c>
      <c r="F1227" s="3">
        <v>2500</v>
      </c>
      <c r="G1227" s="3">
        <v>1750</v>
      </c>
      <c r="I1227" t="s">
        <v>152</v>
      </c>
      <c r="J1227" t="s">
        <v>40</v>
      </c>
      <c r="K1227" t="s">
        <v>11</v>
      </c>
      <c r="L1227" t="str">
        <f>T("9791191562507")</f>
        <v>9791191562507</v>
      </c>
    </row>
    <row r="1228" spans="1:12">
      <c r="A1228" s="2">
        <v>44799.753159722219</v>
      </c>
      <c r="B1228">
        <v>216848281</v>
      </c>
      <c r="C1228" t="s">
        <v>428</v>
      </c>
      <c r="D1228" t="s">
        <v>9</v>
      </c>
      <c r="E1228">
        <v>0</v>
      </c>
      <c r="F1228">
        <v>0</v>
      </c>
      <c r="G1228">
        <v>0</v>
      </c>
      <c r="I1228" t="s">
        <v>62</v>
      </c>
      <c r="J1228" t="s">
        <v>17</v>
      </c>
      <c r="K1228" t="s">
        <v>11</v>
      </c>
      <c r="L1228" t="str">
        <f>T("9791164482979")</f>
        <v>9791164482979</v>
      </c>
    </row>
    <row r="1229" spans="1:12">
      <c r="A1229" s="2">
        <v>44799.755173611113</v>
      </c>
      <c r="B1229">
        <v>300405818</v>
      </c>
      <c r="C1229" t="s">
        <v>464</v>
      </c>
      <c r="D1229" t="s">
        <v>9</v>
      </c>
      <c r="E1229" s="3">
        <v>2000</v>
      </c>
      <c r="F1229" s="3">
        <v>2000</v>
      </c>
      <c r="G1229" s="3">
        <v>1400</v>
      </c>
      <c r="I1229" t="s">
        <v>176</v>
      </c>
      <c r="J1229" t="s">
        <v>40</v>
      </c>
      <c r="K1229" t="s">
        <v>11</v>
      </c>
      <c r="L1229" t="str">
        <f>T("9791191562903")</f>
        <v>9791191562903</v>
      </c>
    </row>
    <row r="1230" spans="1:12">
      <c r="A1230" s="2">
        <v>44799.82408564815</v>
      </c>
      <c r="B1230">
        <v>48799528</v>
      </c>
      <c r="C1230" t="s">
        <v>412</v>
      </c>
      <c r="D1230" t="s">
        <v>12</v>
      </c>
      <c r="E1230">
        <v>900</v>
      </c>
      <c r="F1230">
        <v>900</v>
      </c>
      <c r="G1230">
        <v>630</v>
      </c>
      <c r="I1230" t="s">
        <v>10</v>
      </c>
      <c r="J1230" t="s">
        <v>11</v>
      </c>
      <c r="K1230" t="s">
        <v>11</v>
      </c>
      <c r="L1230" t="str">
        <f>T("9791159283536")</f>
        <v>9791159283536</v>
      </c>
    </row>
    <row r="1231" spans="1:12">
      <c r="A1231" s="2">
        <v>44799.830254629633</v>
      </c>
      <c r="B1231">
        <v>300405818</v>
      </c>
      <c r="C1231" t="s">
        <v>464</v>
      </c>
      <c r="D1231" t="s">
        <v>9</v>
      </c>
      <c r="E1231" s="3">
        <v>2000</v>
      </c>
      <c r="F1231" s="3">
        <v>2000</v>
      </c>
      <c r="G1231" s="3">
        <v>1400</v>
      </c>
      <c r="I1231" t="s">
        <v>176</v>
      </c>
      <c r="J1231" t="s">
        <v>40</v>
      </c>
      <c r="K1231" t="s">
        <v>11</v>
      </c>
      <c r="L1231" t="str">
        <f>T("9791191562903")</f>
        <v>9791191562903</v>
      </c>
    </row>
    <row r="1232" spans="1:12">
      <c r="A1232" s="2">
        <v>44799.83357638889</v>
      </c>
      <c r="B1232">
        <v>300204288</v>
      </c>
      <c r="C1232" t="s">
        <v>439</v>
      </c>
      <c r="D1232" t="s">
        <v>9</v>
      </c>
      <c r="E1232">
        <v>0</v>
      </c>
      <c r="F1232">
        <v>0</v>
      </c>
      <c r="G1232">
        <v>0</v>
      </c>
      <c r="I1232" t="s">
        <v>440</v>
      </c>
      <c r="J1232" t="s">
        <v>11</v>
      </c>
      <c r="K1232" t="s">
        <v>11</v>
      </c>
      <c r="L1232" t="str">
        <f>T("9791137605268")</f>
        <v>9791137605268</v>
      </c>
    </row>
    <row r="1233" spans="1:12">
      <c r="A1233" s="2">
        <v>44799.847245370373</v>
      </c>
      <c r="B1233">
        <v>300405818</v>
      </c>
      <c r="C1233" t="s">
        <v>464</v>
      </c>
      <c r="D1233" t="s">
        <v>9</v>
      </c>
      <c r="E1233" s="3">
        <v>2000</v>
      </c>
      <c r="F1233" s="3">
        <v>2000</v>
      </c>
      <c r="G1233" s="3">
        <v>1400</v>
      </c>
      <c r="I1233" t="s">
        <v>176</v>
      </c>
      <c r="J1233" t="s">
        <v>40</v>
      </c>
      <c r="K1233" t="s">
        <v>11</v>
      </c>
      <c r="L1233" t="str">
        <f>T("9791191562903")</f>
        <v>9791191562903</v>
      </c>
    </row>
    <row r="1234" spans="1:12">
      <c r="A1234" s="2">
        <v>44799.847245370373</v>
      </c>
      <c r="B1234">
        <v>286896672</v>
      </c>
      <c r="C1234" t="s">
        <v>175</v>
      </c>
      <c r="D1234" t="s">
        <v>9</v>
      </c>
      <c r="E1234" s="3">
        <v>2500</v>
      </c>
      <c r="F1234" s="3">
        <v>2500</v>
      </c>
      <c r="G1234" s="3">
        <v>1750</v>
      </c>
      <c r="I1234" t="s">
        <v>176</v>
      </c>
      <c r="J1234" t="s">
        <v>40</v>
      </c>
      <c r="K1234" t="s">
        <v>11</v>
      </c>
      <c r="L1234" t="str">
        <f>T("9791191562002")</f>
        <v>9791191562002</v>
      </c>
    </row>
    <row r="1235" spans="1:12">
      <c r="A1235" s="2">
        <v>44799.853437500002</v>
      </c>
      <c r="B1235">
        <v>257828594</v>
      </c>
      <c r="C1235" t="s">
        <v>235</v>
      </c>
      <c r="D1235" t="s">
        <v>9</v>
      </c>
      <c r="E1235" s="3">
        <v>8000</v>
      </c>
      <c r="F1235" s="3">
        <v>8000</v>
      </c>
      <c r="G1235" s="3">
        <v>5600</v>
      </c>
      <c r="I1235" t="s">
        <v>98</v>
      </c>
      <c r="J1235" t="s">
        <v>71</v>
      </c>
      <c r="K1235" t="s">
        <v>11</v>
      </c>
      <c r="L1235" t="str">
        <f>T("9791164373796")</f>
        <v>9791164373796</v>
      </c>
    </row>
    <row r="1236" spans="1:12">
      <c r="A1236" s="2">
        <v>44799.859791666669</v>
      </c>
      <c r="B1236">
        <v>300405818</v>
      </c>
      <c r="C1236" t="s">
        <v>464</v>
      </c>
      <c r="D1236" t="s">
        <v>9</v>
      </c>
      <c r="E1236" s="3">
        <v>2000</v>
      </c>
      <c r="F1236" s="3">
        <v>2000</v>
      </c>
      <c r="G1236" s="3">
        <v>1400</v>
      </c>
      <c r="I1236" t="s">
        <v>176</v>
      </c>
      <c r="J1236" t="s">
        <v>40</v>
      </c>
      <c r="K1236" t="s">
        <v>11</v>
      </c>
      <c r="L1236" t="str">
        <f>T("9791191562903")</f>
        <v>9791191562903</v>
      </c>
    </row>
    <row r="1237" spans="1:12">
      <c r="A1237" s="2">
        <v>44799.871712962966</v>
      </c>
      <c r="B1237">
        <v>300405818</v>
      </c>
      <c r="C1237" t="s">
        <v>464</v>
      </c>
      <c r="D1237" t="s">
        <v>9</v>
      </c>
      <c r="E1237" s="3">
        <v>2000</v>
      </c>
      <c r="F1237" s="3">
        <v>2000</v>
      </c>
      <c r="G1237" s="3">
        <v>1400</v>
      </c>
      <c r="I1237" t="s">
        <v>176</v>
      </c>
      <c r="J1237" t="s">
        <v>40</v>
      </c>
      <c r="K1237" t="s">
        <v>11</v>
      </c>
      <c r="L1237" t="str">
        <f>T("9791191562903")</f>
        <v>9791191562903</v>
      </c>
    </row>
    <row r="1238" spans="1:12">
      <c r="A1238" s="2">
        <v>44799.915590277778</v>
      </c>
      <c r="B1238">
        <v>300405818</v>
      </c>
      <c r="C1238" t="s">
        <v>464</v>
      </c>
      <c r="D1238" t="s">
        <v>9</v>
      </c>
      <c r="E1238" s="3">
        <v>2000</v>
      </c>
      <c r="F1238" s="3">
        <v>2000</v>
      </c>
      <c r="G1238" s="3">
        <v>1400</v>
      </c>
      <c r="I1238" t="s">
        <v>176</v>
      </c>
      <c r="J1238" t="s">
        <v>40</v>
      </c>
      <c r="K1238" t="s">
        <v>11</v>
      </c>
      <c r="L1238" t="str">
        <f>T("9791191562903")</f>
        <v>9791191562903</v>
      </c>
    </row>
    <row r="1239" spans="1:12">
      <c r="A1239" s="2">
        <v>44799.915891203702</v>
      </c>
      <c r="B1239">
        <v>252597714</v>
      </c>
      <c r="C1239" t="s">
        <v>468</v>
      </c>
      <c r="D1239" t="s">
        <v>9</v>
      </c>
      <c r="E1239" s="3">
        <v>2800</v>
      </c>
      <c r="F1239" s="3">
        <v>2800</v>
      </c>
      <c r="G1239" s="3">
        <v>1960</v>
      </c>
      <c r="I1239" t="s">
        <v>77</v>
      </c>
      <c r="J1239" t="s">
        <v>71</v>
      </c>
      <c r="K1239" t="s">
        <v>11</v>
      </c>
      <c r="L1239" t="str">
        <f>T("9791164373383")</f>
        <v>9791164373383</v>
      </c>
    </row>
    <row r="1240" spans="1:12">
      <c r="A1240" s="2">
        <v>44799.918842592589</v>
      </c>
      <c r="B1240">
        <v>300405818</v>
      </c>
      <c r="C1240" t="s">
        <v>464</v>
      </c>
      <c r="D1240" t="s">
        <v>9</v>
      </c>
      <c r="E1240" s="3">
        <v>2000</v>
      </c>
      <c r="F1240" s="3">
        <v>2000</v>
      </c>
      <c r="G1240" s="3">
        <v>1400</v>
      </c>
      <c r="I1240" t="s">
        <v>176</v>
      </c>
      <c r="J1240" t="s">
        <v>40</v>
      </c>
      <c r="K1240" t="s">
        <v>11</v>
      </c>
      <c r="L1240" t="str">
        <f>T("9791191562903")</f>
        <v>9791191562903</v>
      </c>
    </row>
    <row r="1241" spans="1:12">
      <c r="A1241" s="2">
        <v>44799.948472222219</v>
      </c>
      <c r="B1241">
        <v>300204282</v>
      </c>
      <c r="C1241" t="s">
        <v>435</v>
      </c>
      <c r="D1241" t="s">
        <v>9</v>
      </c>
      <c r="E1241">
        <v>0</v>
      </c>
      <c r="F1241">
        <v>0</v>
      </c>
      <c r="G1241">
        <v>0</v>
      </c>
      <c r="I1241" t="s">
        <v>436</v>
      </c>
      <c r="J1241" t="s">
        <v>11</v>
      </c>
      <c r="K1241" t="s">
        <v>11</v>
      </c>
      <c r="L1241" t="str">
        <f>T("9791137605145")</f>
        <v>9791137605145</v>
      </c>
    </row>
    <row r="1242" spans="1:12">
      <c r="A1242" s="2">
        <v>44799.948472222219</v>
      </c>
      <c r="B1242">
        <v>300204288</v>
      </c>
      <c r="C1242" t="s">
        <v>439</v>
      </c>
      <c r="D1242" t="s">
        <v>9</v>
      </c>
      <c r="E1242">
        <v>0</v>
      </c>
      <c r="F1242">
        <v>0</v>
      </c>
      <c r="G1242">
        <v>0</v>
      </c>
      <c r="I1242" t="s">
        <v>440</v>
      </c>
      <c r="J1242" t="s">
        <v>11</v>
      </c>
      <c r="K1242" t="s">
        <v>11</v>
      </c>
      <c r="L1242" t="str">
        <f>T("9791137605268")</f>
        <v>9791137605268</v>
      </c>
    </row>
    <row r="1243" spans="1:12">
      <c r="A1243" s="2">
        <v>44799.948472222219</v>
      </c>
      <c r="B1243">
        <v>300204272</v>
      </c>
      <c r="C1243" t="s">
        <v>441</v>
      </c>
      <c r="D1243" t="s">
        <v>9</v>
      </c>
      <c r="E1243">
        <v>0</v>
      </c>
      <c r="F1243">
        <v>0</v>
      </c>
      <c r="G1243">
        <v>0</v>
      </c>
      <c r="I1243" t="s">
        <v>438</v>
      </c>
      <c r="J1243" t="s">
        <v>11</v>
      </c>
      <c r="K1243" t="s">
        <v>11</v>
      </c>
      <c r="L1243" t="str">
        <f>T("9791137604490")</f>
        <v>9791137604490</v>
      </c>
    </row>
    <row r="1244" spans="1:12">
      <c r="A1244" s="2">
        <v>44799.950462962966</v>
      </c>
      <c r="B1244">
        <v>295356530</v>
      </c>
      <c r="C1244" t="s">
        <v>116</v>
      </c>
      <c r="D1244" t="s">
        <v>9</v>
      </c>
      <c r="E1244" s="3">
        <v>2500</v>
      </c>
      <c r="F1244" s="3">
        <v>2500</v>
      </c>
      <c r="G1244" s="3">
        <v>1750</v>
      </c>
      <c r="I1244" t="s">
        <v>115</v>
      </c>
      <c r="J1244" t="s">
        <v>40</v>
      </c>
      <c r="K1244" t="s">
        <v>11</v>
      </c>
      <c r="L1244" t="str">
        <f>T("9791191562460")</f>
        <v>9791191562460</v>
      </c>
    </row>
    <row r="1245" spans="1:12">
      <c r="A1245" s="2">
        <v>44799.961226851854</v>
      </c>
      <c r="B1245">
        <v>295356530</v>
      </c>
      <c r="C1245" t="s">
        <v>116</v>
      </c>
      <c r="D1245" t="s">
        <v>9</v>
      </c>
      <c r="E1245" s="3">
        <v>-2500</v>
      </c>
      <c r="F1245" s="3">
        <v>-2500</v>
      </c>
      <c r="G1245" s="3">
        <v>-1750</v>
      </c>
      <c r="H1245" s="2">
        <v>44799.950462962966</v>
      </c>
      <c r="I1245" t="s">
        <v>115</v>
      </c>
      <c r="J1245" t="s">
        <v>40</v>
      </c>
      <c r="K1245" t="s">
        <v>11</v>
      </c>
      <c r="L1245" t="str">
        <f>T("9791191562460")</f>
        <v>9791191562460</v>
      </c>
    </row>
    <row r="1246" spans="1:12">
      <c r="A1246" s="2">
        <v>44799.958483796298</v>
      </c>
      <c r="B1246">
        <v>293484295</v>
      </c>
      <c r="C1246" t="s">
        <v>106</v>
      </c>
      <c r="D1246" t="s">
        <v>9</v>
      </c>
      <c r="E1246" s="3">
        <v>3500</v>
      </c>
      <c r="F1246" s="3">
        <v>3500</v>
      </c>
      <c r="G1246" s="3">
        <v>2450</v>
      </c>
      <c r="I1246" t="s">
        <v>107</v>
      </c>
      <c r="J1246" t="s">
        <v>40</v>
      </c>
      <c r="K1246" t="s">
        <v>11</v>
      </c>
      <c r="L1246" t="str">
        <f>T("9791191562330")</f>
        <v>9791191562330</v>
      </c>
    </row>
    <row r="1247" spans="1:12">
      <c r="A1247" s="2">
        <v>44799.962557870371</v>
      </c>
      <c r="B1247">
        <v>295356530</v>
      </c>
      <c r="C1247" t="s">
        <v>116</v>
      </c>
      <c r="D1247" t="s">
        <v>9</v>
      </c>
      <c r="E1247" s="3">
        <v>2500</v>
      </c>
      <c r="F1247" s="3">
        <v>2500</v>
      </c>
      <c r="G1247" s="3">
        <v>1750</v>
      </c>
      <c r="I1247" t="s">
        <v>115</v>
      </c>
      <c r="J1247" t="s">
        <v>40</v>
      </c>
      <c r="K1247" t="s">
        <v>11</v>
      </c>
      <c r="L1247" t="str">
        <f>T("9791191562460")</f>
        <v>9791191562460</v>
      </c>
    </row>
    <row r="1248" spans="1:12">
      <c r="A1248" s="2">
        <v>44799.966736111113</v>
      </c>
      <c r="B1248">
        <v>116447154</v>
      </c>
      <c r="C1248" t="s">
        <v>445</v>
      </c>
      <c r="D1248" t="s">
        <v>9</v>
      </c>
      <c r="E1248">
        <v>0</v>
      </c>
      <c r="F1248">
        <v>0</v>
      </c>
      <c r="G1248">
        <v>0</v>
      </c>
      <c r="I1248" t="s">
        <v>446</v>
      </c>
      <c r="J1248" t="s">
        <v>11</v>
      </c>
      <c r="K1248" t="s">
        <v>11</v>
      </c>
      <c r="L1248" t="str">
        <f>T("9791159283079")</f>
        <v>9791159283079</v>
      </c>
    </row>
    <row r="1249" spans="1:12">
      <c r="A1249" s="2">
        <v>44799.966736111113</v>
      </c>
      <c r="B1249">
        <v>300204272</v>
      </c>
      <c r="C1249" t="s">
        <v>441</v>
      </c>
      <c r="D1249" t="s">
        <v>9</v>
      </c>
      <c r="E1249">
        <v>0</v>
      </c>
      <c r="F1249">
        <v>0</v>
      </c>
      <c r="G1249">
        <v>0</v>
      </c>
      <c r="I1249" t="s">
        <v>438</v>
      </c>
      <c r="J1249" t="s">
        <v>11</v>
      </c>
      <c r="K1249" t="s">
        <v>11</v>
      </c>
      <c r="L1249" t="str">
        <f>T("9791137604490")</f>
        <v>9791137604490</v>
      </c>
    </row>
    <row r="1250" spans="1:12">
      <c r="A1250" s="2">
        <v>44799.966736111113</v>
      </c>
      <c r="B1250">
        <v>300204288</v>
      </c>
      <c r="C1250" t="s">
        <v>439</v>
      </c>
      <c r="D1250" t="s">
        <v>9</v>
      </c>
      <c r="E1250">
        <v>0</v>
      </c>
      <c r="F1250">
        <v>0</v>
      </c>
      <c r="G1250">
        <v>0</v>
      </c>
      <c r="I1250" t="s">
        <v>440</v>
      </c>
      <c r="J1250" t="s">
        <v>11</v>
      </c>
      <c r="K1250" t="s">
        <v>11</v>
      </c>
      <c r="L1250" t="str">
        <f>T("9791137605268")</f>
        <v>9791137605268</v>
      </c>
    </row>
    <row r="1251" spans="1:12">
      <c r="A1251" s="2">
        <v>44799.966736111113</v>
      </c>
      <c r="B1251">
        <v>300204282</v>
      </c>
      <c r="C1251" t="s">
        <v>435</v>
      </c>
      <c r="D1251" t="s">
        <v>9</v>
      </c>
      <c r="E1251">
        <v>0</v>
      </c>
      <c r="F1251">
        <v>0</v>
      </c>
      <c r="G1251">
        <v>0</v>
      </c>
      <c r="I1251" t="s">
        <v>436</v>
      </c>
      <c r="J1251" t="s">
        <v>11</v>
      </c>
      <c r="K1251" t="s">
        <v>11</v>
      </c>
      <c r="L1251" t="str">
        <f>T("9791137605145")</f>
        <v>9791137605145</v>
      </c>
    </row>
    <row r="1252" spans="1:12">
      <c r="A1252" s="2">
        <v>44799.969953703701</v>
      </c>
      <c r="B1252">
        <v>300405818</v>
      </c>
      <c r="C1252" t="s">
        <v>464</v>
      </c>
      <c r="D1252" t="s">
        <v>9</v>
      </c>
      <c r="E1252" s="3">
        <v>2000</v>
      </c>
      <c r="F1252" s="3">
        <v>2000</v>
      </c>
      <c r="G1252" s="3">
        <v>1400</v>
      </c>
      <c r="I1252" t="s">
        <v>176</v>
      </c>
      <c r="J1252" t="s">
        <v>40</v>
      </c>
      <c r="K1252" t="s">
        <v>11</v>
      </c>
      <c r="L1252" t="str">
        <f>T("9791191562903")</f>
        <v>9791191562903</v>
      </c>
    </row>
    <row r="1253" spans="1:12">
      <c r="A1253" s="2">
        <v>44799.978819444441</v>
      </c>
      <c r="B1253">
        <v>48799535</v>
      </c>
      <c r="C1253" t="s">
        <v>413</v>
      </c>
      <c r="D1253" t="s">
        <v>12</v>
      </c>
      <c r="E1253">
        <v>900</v>
      </c>
      <c r="F1253">
        <v>900</v>
      </c>
      <c r="G1253">
        <v>630</v>
      </c>
      <c r="I1253" t="s">
        <v>10</v>
      </c>
      <c r="J1253" t="s">
        <v>11</v>
      </c>
      <c r="K1253" t="s">
        <v>11</v>
      </c>
      <c r="L1253" t="str">
        <f>T("9791159283543")</f>
        <v>9791159283543</v>
      </c>
    </row>
    <row r="1254" spans="1:12">
      <c r="A1254" s="2">
        <v>44799.983518518522</v>
      </c>
      <c r="B1254">
        <v>299562124</v>
      </c>
      <c r="C1254" t="s">
        <v>369</v>
      </c>
      <c r="D1254" t="s">
        <v>9</v>
      </c>
      <c r="E1254" s="3">
        <v>2000</v>
      </c>
      <c r="F1254" s="3">
        <v>2000</v>
      </c>
      <c r="G1254" s="3">
        <v>1400</v>
      </c>
      <c r="I1254" t="s">
        <v>370</v>
      </c>
      <c r="J1254" t="s">
        <v>40</v>
      </c>
      <c r="K1254" t="s">
        <v>11</v>
      </c>
      <c r="L1254" t="str">
        <f>T("9791191562873")</f>
        <v>9791191562873</v>
      </c>
    </row>
    <row r="1255" spans="1:12">
      <c r="A1255" s="2">
        <v>44799.991597222222</v>
      </c>
      <c r="B1255">
        <v>294113438</v>
      </c>
      <c r="C1255" t="s">
        <v>469</v>
      </c>
      <c r="D1255" t="s">
        <v>9</v>
      </c>
      <c r="E1255" s="3">
        <v>2000</v>
      </c>
      <c r="F1255" s="3">
        <v>2000</v>
      </c>
      <c r="G1255" s="3">
        <v>1400</v>
      </c>
      <c r="I1255" t="s">
        <v>470</v>
      </c>
      <c r="J1255" t="s">
        <v>40</v>
      </c>
      <c r="K1255" t="s">
        <v>11</v>
      </c>
      <c r="L1255" t="str">
        <f>T("9791191562392")</f>
        <v>9791191562392</v>
      </c>
    </row>
    <row r="1256" spans="1:12">
      <c r="A1256" s="2">
        <v>44799.995173611111</v>
      </c>
      <c r="B1256">
        <v>297319246</v>
      </c>
      <c r="C1256" t="s">
        <v>168</v>
      </c>
      <c r="D1256" t="s">
        <v>9</v>
      </c>
      <c r="E1256" s="3">
        <v>2700</v>
      </c>
      <c r="F1256" s="3">
        <v>2700</v>
      </c>
      <c r="G1256" s="3">
        <v>1890</v>
      </c>
      <c r="I1256" t="s">
        <v>165</v>
      </c>
      <c r="J1256" t="s">
        <v>267</v>
      </c>
      <c r="K1256" t="s">
        <v>11</v>
      </c>
      <c r="L1256" t="str">
        <f>T("9791137604247")</f>
        <v>9791137604247</v>
      </c>
    </row>
    <row r="1257" spans="1:12">
      <c r="A1257" s="2">
        <v>44800.011793981481</v>
      </c>
      <c r="B1257">
        <v>287834730</v>
      </c>
      <c r="C1257" t="s">
        <v>37</v>
      </c>
      <c r="D1257" t="s">
        <v>9</v>
      </c>
      <c r="E1257" s="3">
        <v>2000</v>
      </c>
      <c r="F1257" s="3">
        <v>2000</v>
      </c>
      <c r="G1257" s="3">
        <v>1400</v>
      </c>
      <c r="I1257" t="s">
        <v>32</v>
      </c>
      <c r="J1257" t="s">
        <v>40</v>
      </c>
      <c r="K1257" t="s">
        <v>11</v>
      </c>
      <c r="L1257" t="str">
        <f>T("9791191562019")</f>
        <v>9791191562019</v>
      </c>
    </row>
    <row r="1258" spans="1:12">
      <c r="A1258" s="2">
        <v>44800.063333333332</v>
      </c>
      <c r="B1258">
        <v>299562124</v>
      </c>
      <c r="C1258" t="s">
        <v>369</v>
      </c>
      <c r="D1258" t="s">
        <v>9</v>
      </c>
      <c r="E1258" s="3">
        <v>2000</v>
      </c>
      <c r="F1258" s="3">
        <v>2000</v>
      </c>
      <c r="G1258" s="3">
        <v>1400</v>
      </c>
      <c r="I1258" t="s">
        <v>370</v>
      </c>
      <c r="J1258" t="s">
        <v>40</v>
      </c>
      <c r="K1258" t="s">
        <v>11</v>
      </c>
      <c r="L1258" t="str">
        <f>T("9791191562873")</f>
        <v>9791191562873</v>
      </c>
    </row>
    <row r="1259" spans="1:12">
      <c r="A1259" s="2">
        <v>44800.079432870371</v>
      </c>
      <c r="B1259">
        <v>300204272</v>
      </c>
      <c r="C1259" t="s">
        <v>441</v>
      </c>
      <c r="D1259" t="s">
        <v>9</v>
      </c>
      <c r="E1259">
        <v>0</v>
      </c>
      <c r="F1259">
        <v>0</v>
      </c>
      <c r="G1259">
        <v>0</v>
      </c>
      <c r="I1259" t="s">
        <v>438</v>
      </c>
      <c r="J1259" t="s">
        <v>11</v>
      </c>
      <c r="K1259" t="s">
        <v>11</v>
      </c>
      <c r="L1259" t="str">
        <f>T("9791137604490")</f>
        <v>9791137604490</v>
      </c>
    </row>
    <row r="1260" spans="1:12">
      <c r="A1260" s="2">
        <v>44800.104386574072</v>
      </c>
      <c r="B1260">
        <v>48799537</v>
      </c>
      <c r="C1260" t="s">
        <v>414</v>
      </c>
      <c r="D1260" t="s">
        <v>12</v>
      </c>
      <c r="E1260">
        <v>900</v>
      </c>
      <c r="F1260">
        <v>900</v>
      </c>
      <c r="G1260">
        <v>630</v>
      </c>
      <c r="I1260" t="s">
        <v>10</v>
      </c>
      <c r="J1260" t="s">
        <v>11</v>
      </c>
      <c r="K1260" t="s">
        <v>11</v>
      </c>
      <c r="L1260" t="str">
        <f>T("9791159283550")</f>
        <v>9791159283550</v>
      </c>
    </row>
    <row r="1261" spans="1:12">
      <c r="A1261" s="2">
        <v>44800.126712962963</v>
      </c>
      <c r="B1261">
        <v>296965886</v>
      </c>
      <c r="C1261" t="s">
        <v>151</v>
      </c>
      <c r="D1261" t="s">
        <v>9</v>
      </c>
      <c r="E1261" s="3">
        <v>2500</v>
      </c>
      <c r="F1261" s="3">
        <v>2500</v>
      </c>
      <c r="G1261" s="3">
        <v>1750</v>
      </c>
      <c r="I1261" t="s">
        <v>152</v>
      </c>
      <c r="J1261" t="s">
        <v>40</v>
      </c>
      <c r="K1261" t="s">
        <v>11</v>
      </c>
      <c r="L1261" t="str">
        <f>T("9791191562507")</f>
        <v>9791191562507</v>
      </c>
    </row>
    <row r="1262" spans="1:12">
      <c r="A1262" s="2">
        <v>44800.214687500003</v>
      </c>
      <c r="B1262">
        <v>48806277</v>
      </c>
      <c r="C1262" t="s">
        <v>415</v>
      </c>
      <c r="D1262" t="s">
        <v>12</v>
      </c>
      <c r="E1262">
        <v>900</v>
      </c>
      <c r="F1262">
        <v>900</v>
      </c>
      <c r="G1262">
        <v>630</v>
      </c>
      <c r="I1262" t="s">
        <v>10</v>
      </c>
      <c r="J1262" t="s">
        <v>11</v>
      </c>
      <c r="K1262" t="s">
        <v>11</v>
      </c>
      <c r="L1262" t="str">
        <f>T("9791159283567")</f>
        <v>9791159283567</v>
      </c>
    </row>
    <row r="1263" spans="1:12">
      <c r="A1263" s="2">
        <v>44800.265729166669</v>
      </c>
      <c r="B1263">
        <v>48799539</v>
      </c>
      <c r="C1263" t="s">
        <v>419</v>
      </c>
      <c r="D1263" t="s">
        <v>12</v>
      </c>
      <c r="E1263">
        <v>900</v>
      </c>
      <c r="F1263">
        <v>900</v>
      </c>
      <c r="G1263">
        <v>630</v>
      </c>
      <c r="I1263" t="s">
        <v>10</v>
      </c>
      <c r="J1263" t="s">
        <v>11</v>
      </c>
      <c r="K1263" t="s">
        <v>11</v>
      </c>
      <c r="L1263" t="str">
        <f>T("9791159283574")</f>
        <v>9791159283574</v>
      </c>
    </row>
    <row r="1264" spans="1:12">
      <c r="A1264" s="2">
        <v>44800.297800925924</v>
      </c>
      <c r="B1264">
        <v>300405818</v>
      </c>
      <c r="C1264" t="s">
        <v>464</v>
      </c>
      <c r="D1264" t="s">
        <v>9</v>
      </c>
      <c r="E1264" s="3">
        <v>2000</v>
      </c>
      <c r="F1264" s="3">
        <v>2000</v>
      </c>
      <c r="G1264" s="3">
        <v>1400</v>
      </c>
      <c r="I1264" t="s">
        <v>176</v>
      </c>
      <c r="J1264" t="s">
        <v>40</v>
      </c>
      <c r="K1264" t="s">
        <v>11</v>
      </c>
      <c r="L1264" t="str">
        <f>T("9791191562903")</f>
        <v>9791191562903</v>
      </c>
    </row>
    <row r="1265" spans="1:12">
      <c r="A1265" s="2">
        <v>44800.29928240741</v>
      </c>
      <c r="B1265">
        <v>300405818</v>
      </c>
      <c r="C1265" t="s">
        <v>464</v>
      </c>
      <c r="D1265" t="s">
        <v>9</v>
      </c>
      <c r="E1265" s="3">
        <v>2000</v>
      </c>
      <c r="F1265" s="3">
        <v>2000</v>
      </c>
      <c r="G1265" s="3">
        <v>1400</v>
      </c>
      <c r="I1265" t="s">
        <v>176</v>
      </c>
      <c r="J1265" t="s">
        <v>40</v>
      </c>
      <c r="K1265" t="s">
        <v>11</v>
      </c>
      <c r="L1265" t="str">
        <f>T("9791191562903")</f>
        <v>9791191562903</v>
      </c>
    </row>
    <row r="1266" spans="1:12">
      <c r="A1266" s="2">
        <v>44800.323449074072</v>
      </c>
      <c r="B1266">
        <v>295462572</v>
      </c>
      <c r="C1266" t="s">
        <v>108</v>
      </c>
      <c r="D1266" t="s">
        <v>9</v>
      </c>
      <c r="E1266" s="3">
        <v>2000</v>
      </c>
      <c r="F1266" s="3">
        <v>2000</v>
      </c>
      <c r="G1266" s="3">
        <v>1400</v>
      </c>
      <c r="I1266" t="s">
        <v>32</v>
      </c>
      <c r="J1266" t="s">
        <v>40</v>
      </c>
      <c r="K1266" t="s">
        <v>11</v>
      </c>
      <c r="L1266" t="str">
        <f>T("9791191562361")</f>
        <v>9791191562361</v>
      </c>
    </row>
    <row r="1267" spans="1:12">
      <c r="A1267" s="2">
        <v>44800.342743055553</v>
      </c>
      <c r="B1267">
        <v>295836446</v>
      </c>
      <c r="C1267" t="s">
        <v>129</v>
      </c>
      <c r="D1267" t="s">
        <v>9</v>
      </c>
      <c r="E1267" s="3">
        <v>2000</v>
      </c>
      <c r="F1267" s="3">
        <v>2000</v>
      </c>
      <c r="G1267" s="3">
        <v>1400</v>
      </c>
      <c r="I1267" t="s">
        <v>59</v>
      </c>
      <c r="J1267" t="s">
        <v>40</v>
      </c>
      <c r="K1267" t="s">
        <v>11</v>
      </c>
      <c r="L1267" t="str">
        <f>T("9791191562798")</f>
        <v>9791191562798</v>
      </c>
    </row>
    <row r="1268" spans="1:12">
      <c r="A1268" s="2">
        <v>44800.349664351852</v>
      </c>
      <c r="B1268">
        <v>294674998</v>
      </c>
      <c r="C1268" t="s">
        <v>112</v>
      </c>
      <c r="D1268" t="s">
        <v>9</v>
      </c>
      <c r="E1268" s="3">
        <v>2000</v>
      </c>
      <c r="F1268" s="3">
        <v>2000</v>
      </c>
      <c r="G1268" s="3">
        <v>1400</v>
      </c>
      <c r="I1268" t="s">
        <v>111</v>
      </c>
      <c r="J1268" t="s">
        <v>40</v>
      </c>
      <c r="K1268" t="s">
        <v>11</v>
      </c>
      <c r="L1268" t="str">
        <f>T("9791191562385")</f>
        <v>9791191562385</v>
      </c>
    </row>
    <row r="1269" spans="1:12">
      <c r="A1269" s="2">
        <v>44800.358344907407</v>
      </c>
      <c r="B1269">
        <v>300405818</v>
      </c>
      <c r="C1269" t="s">
        <v>464</v>
      </c>
      <c r="D1269" t="s">
        <v>9</v>
      </c>
      <c r="E1269" s="3">
        <v>2000</v>
      </c>
      <c r="F1269" s="3">
        <v>2000</v>
      </c>
      <c r="G1269" s="3">
        <v>1400</v>
      </c>
      <c r="I1269" t="s">
        <v>176</v>
      </c>
      <c r="J1269" t="s">
        <v>40</v>
      </c>
      <c r="K1269" t="s">
        <v>11</v>
      </c>
      <c r="L1269" t="str">
        <f>T("9791191562903")</f>
        <v>9791191562903</v>
      </c>
    </row>
    <row r="1270" spans="1:12">
      <c r="A1270" s="2">
        <v>44800.382719907408</v>
      </c>
      <c r="B1270">
        <v>294674998</v>
      </c>
      <c r="C1270" t="s">
        <v>112</v>
      </c>
      <c r="D1270" t="s">
        <v>9</v>
      </c>
      <c r="E1270" s="3">
        <v>2000</v>
      </c>
      <c r="F1270" s="3">
        <v>2000</v>
      </c>
      <c r="G1270" s="3">
        <v>1400</v>
      </c>
      <c r="I1270" t="s">
        <v>111</v>
      </c>
      <c r="J1270" t="s">
        <v>40</v>
      </c>
      <c r="K1270" t="s">
        <v>11</v>
      </c>
      <c r="L1270" t="str">
        <f>T("9791191562385")</f>
        <v>9791191562385</v>
      </c>
    </row>
    <row r="1271" spans="1:12">
      <c r="A1271" s="2">
        <v>44800.389027777775</v>
      </c>
      <c r="B1271">
        <v>300405818</v>
      </c>
      <c r="C1271" t="s">
        <v>464</v>
      </c>
      <c r="D1271" t="s">
        <v>9</v>
      </c>
      <c r="E1271" s="3">
        <v>2000</v>
      </c>
      <c r="F1271" s="3">
        <v>2000</v>
      </c>
      <c r="G1271" s="3">
        <v>1400</v>
      </c>
      <c r="I1271" t="s">
        <v>176</v>
      </c>
      <c r="J1271" t="s">
        <v>40</v>
      </c>
      <c r="K1271" t="s">
        <v>11</v>
      </c>
      <c r="L1271" t="str">
        <f>T("9791191562903")</f>
        <v>9791191562903</v>
      </c>
    </row>
    <row r="1272" spans="1:12">
      <c r="A1272" s="2">
        <v>44800.431631944448</v>
      </c>
      <c r="B1272">
        <v>292316442</v>
      </c>
      <c r="C1272" t="s">
        <v>84</v>
      </c>
      <c r="D1272" t="s">
        <v>9</v>
      </c>
      <c r="E1272" s="3">
        <v>2500</v>
      </c>
      <c r="F1272" s="3">
        <v>2500</v>
      </c>
      <c r="G1272" s="3">
        <v>1750</v>
      </c>
      <c r="I1272" t="s">
        <v>85</v>
      </c>
      <c r="J1272" t="s">
        <v>40</v>
      </c>
      <c r="K1272" t="s">
        <v>11</v>
      </c>
      <c r="L1272" t="str">
        <f>T("9791191562309")</f>
        <v>9791191562309</v>
      </c>
    </row>
    <row r="1273" spans="1:12">
      <c r="A1273" s="2">
        <v>44800.494513888887</v>
      </c>
      <c r="B1273">
        <v>300204288</v>
      </c>
      <c r="C1273" t="s">
        <v>439</v>
      </c>
      <c r="D1273" t="s">
        <v>9</v>
      </c>
      <c r="E1273">
        <v>0</v>
      </c>
      <c r="F1273">
        <v>0</v>
      </c>
      <c r="G1273">
        <v>0</v>
      </c>
      <c r="I1273" t="s">
        <v>440</v>
      </c>
      <c r="J1273" t="s">
        <v>11</v>
      </c>
      <c r="K1273" t="s">
        <v>11</v>
      </c>
      <c r="L1273" t="str">
        <f>T("9791137605268")</f>
        <v>9791137605268</v>
      </c>
    </row>
    <row r="1274" spans="1:12">
      <c r="A1274" s="2">
        <v>44800.527233796296</v>
      </c>
      <c r="B1274">
        <v>48806267</v>
      </c>
      <c r="C1274" t="s">
        <v>418</v>
      </c>
      <c r="D1274" t="s">
        <v>12</v>
      </c>
      <c r="E1274">
        <v>900</v>
      </c>
      <c r="F1274">
        <v>900</v>
      </c>
      <c r="G1274">
        <v>630</v>
      </c>
      <c r="I1274" t="s">
        <v>10</v>
      </c>
      <c r="J1274" t="s">
        <v>11</v>
      </c>
      <c r="K1274" t="s">
        <v>11</v>
      </c>
      <c r="L1274" t="str">
        <f>T("9791159283581")</f>
        <v>9791159283581</v>
      </c>
    </row>
    <row r="1275" spans="1:12">
      <c r="A1275" s="2">
        <v>44800.528831018521</v>
      </c>
      <c r="B1275">
        <v>300405818</v>
      </c>
      <c r="C1275" t="s">
        <v>464</v>
      </c>
      <c r="D1275" t="s">
        <v>9</v>
      </c>
      <c r="E1275" s="3">
        <v>2000</v>
      </c>
      <c r="F1275" s="3">
        <v>2000</v>
      </c>
      <c r="G1275" s="3">
        <v>1400</v>
      </c>
      <c r="I1275" t="s">
        <v>176</v>
      </c>
      <c r="J1275" t="s">
        <v>40</v>
      </c>
      <c r="K1275" t="s">
        <v>11</v>
      </c>
      <c r="L1275" t="str">
        <f>T("9791191562903")</f>
        <v>9791191562903</v>
      </c>
    </row>
    <row r="1276" spans="1:12">
      <c r="A1276" s="2">
        <v>44800.532337962963</v>
      </c>
      <c r="B1276">
        <v>300405818</v>
      </c>
      <c r="C1276" t="s">
        <v>464</v>
      </c>
      <c r="D1276" t="s">
        <v>9</v>
      </c>
      <c r="E1276" s="3">
        <v>-2000</v>
      </c>
      <c r="F1276" s="3">
        <v>-2000</v>
      </c>
      <c r="G1276" s="3">
        <v>-1400</v>
      </c>
      <c r="H1276" s="2">
        <v>44800.528831018521</v>
      </c>
      <c r="I1276" t="s">
        <v>176</v>
      </c>
      <c r="J1276" t="s">
        <v>40</v>
      </c>
      <c r="K1276" t="s">
        <v>11</v>
      </c>
      <c r="L1276" t="str">
        <f>T("9791191562903")</f>
        <v>9791191562903</v>
      </c>
    </row>
    <row r="1277" spans="1:12">
      <c r="A1277" s="2">
        <v>44800.537534722222</v>
      </c>
      <c r="B1277">
        <v>300405818</v>
      </c>
      <c r="C1277" t="s">
        <v>464</v>
      </c>
      <c r="D1277" t="s">
        <v>9</v>
      </c>
      <c r="E1277" s="3">
        <v>2000</v>
      </c>
      <c r="F1277" s="3">
        <v>2000</v>
      </c>
      <c r="G1277" s="3">
        <v>1400</v>
      </c>
      <c r="I1277" t="s">
        <v>176</v>
      </c>
      <c r="J1277" t="s">
        <v>40</v>
      </c>
      <c r="K1277" t="s">
        <v>11</v>
      </c>
      <c r="L1277" t="str">
        <f>T("9791191562903")</f>
        <v>9791191562903</v>
      </c>
    </row>
    <row r="1278" spans="1:12">
      <c r="A1278" s="2">
        <v>44800.553622685184</v>
      </c>
      <c r="B1278">
        <v>300204288</v>
      </c>
      <c r="C1278" t="s">
        <v>439</v>
      </c>
      <c r="D1278" t="s">
        <v>9</v>
      </c>
      <c r="E1278">
        <v>0</v>
      </c>
      <c r="F1278">
        <v>0</v>
      </c>
      <c r="G1278">
        <v>0</v>
      </c>
      <c r="I1278" t="s">
        <v>440</v>
      </c>
      <c r="J1278" t="s">
        <v>11</v>
      </c>
      <c r="K1278" t="s">
        <v>11</v>
      </c>
      <c r="L1278" t="str">
        <f>T("9791137605268")</f>
        <v>9791137605268</v>
      </c>
    </row>
    <row r="1279" spans="1:12">
      <c r="A1279" s="2">
        <v>44800.553622685184</v>
      </c>
      <c r="B1279">
        <v>300204272</v>
      </c>
      <c r="C1279" t="s">
        <v>441</v>
      </c>
      <c r="D1279" t="s">
        <v>9</v>
      </c>
      <c r="E1279">
        <v>0</v>
      </c>
      <c r="F1279">
        <v>0</v>
      </c>
      <c r="G1279">
        <v>0</v>
      </c>
      <c r="I1279" t="s">
        <v>438</v>
      </c>
      <c r="J1279" t="s">
        <v>11</v>
      </c>
      <c r="K1279" t="s">
        <v>11</v>
      </c>
      <c r="L1279" t="str">
        <f>T("9791137604490")</f>
        <v>9791137604490</v>
      </c>
    </row>
    <row r="1280" spans="1:12">
      <c r="A1280" s="2">
        <v>44800.585648148146</v>
      </c>
      <c r="B1280">
        <v>300405818</v>
      </c>
      <c r="C1280" t="s">
        <v>464</v>
      </c>
      <c r="D1280" t="s">
        <v>9</v>
      </c>
      <c r="E1280" s="3">
        <v>2000</v>
      </c>
      <c r="F1280" s="3">
        <v>2000</v>
      </c>
      <c r="G1280" s="3">
        <v>1400</v>
      </c>
      <c r="I1280" t="s">
        <v>176</v>
      </c>
      <c r="J1280" t="s">
        <v>40</v>
      </c>
      <c r="K1280" t="s">
        <v>11</v>
      </c>
      <c r="L1280" t="str">
        <f>T("9791191562903")</f>
        <v>9791191562903</v>
      </c>
    </row>
    <row r="1281" spans="1:12">
      <c r="A1281" s="2">
        <v>44800.605196759258</v>
      </c>
      <c r="B1281">
        <v>300405818</v>
      </c>
      <c r="C1281" t="s">
        <v>464</v>
      </c>
      <c r="D1281" t="s">
        <v>9</v>
      </c>
      <c r="E1281" s="3">
        <v>2000</v>
      </c>
      <c r="F1281" s="3">
        <v>2000</v>
      </c>
      <c r="G1281" s="3">
        <v>1400</v>
      </c>
      <c r="I1281" t="s">
        <v>176</v>
      </c>
      <c r="J1281" t="s">
        <v>40</v>
      </c>
      <c r="K1281" t="s">
        <v>11</v>
      </c>
      <c r="L1281" t="str">
        <f>T("9791191562903")</f>
        <v>9791191562903</v>
      </c>
    </row>
    <row r="1282" spans="1:12">
      <c r="A1282" s="2">
        <v>44800.620937500003</v>
      </c>
      <c r="B1282">
        <v>300405818</v>
      </c>
      <c r="C1282" t="s">
        <v>464</v>
      </c>
      <c r="D1282" t="s">
        <v>9</v>
      </c>
      <c r="E1282" s="3">
        <v>2000</v>
      </c>
      <c r="F1282" s="3">
        <v>2000</v>
      </c>
      <c r="G1282" s="3">
        <v>1400</v>
      </c>
      <c r="I1282" t="s">
        <v>176</v>
      </c>
      <c r="J1282" t="s">
        <v>40</v>
      </c>
      <c r="K1282" t="s">
        <v>11</v>
      </c>
      <c r="L1282" t="str">
        <f>T("9791191562903")</f>
        <v>9791191562903</v>
      </c>
    </row>
    <row r="1283" spans="1:12">
      <c r="A1283" s="2">
        <v>44800.622071759259</v>
      </c>
      <c r="B1283">
        <v>48799541</v>
      </c>
      <c r="C1283" t="s">
        <v>420</v>
      </c>
      <c r="D1283" t="s">
        <v>12</v>
      </c>
      <c r="E1283">
        <v>900</v>
      </c>
      <c r="F1283">
        <v>900</v>
      </c>
      <c r="G1283">
        <v>630</v>
      </c>
      <c r="I1283" t="s">
        <v>10</v>
      </c>
      <c r="J1283" t="s">
        <v>11</v>
      </c>
      <c r="K1283" t="s">
        <v>11</v>
      </c>
      <c r="L1283" t="str">
        <f>T("9791159283598")</f>
        <v>9791159283598</v>
      </c>
    </row>
    <row r="1284" spans="1:12">
      <c r="A1284" s="2">
        <v>44800.66611111111</v>
      </c>
      <c r="B1284">
        <v>295216088</v>
      </c>
      <c r="C1284" t="s">
        <v>114</v>
      </c>
      <c r="D1284" t="s">
        <v>9</v>
      </c>
      <c r="E1284" s="3">
        <v>2500</v>
      </c>
      <c r="F1284" s="3">
        <v>2500</v>
      </c>
      <c r="G1284" s="3">
        <v>1750</v>
      </c>
      <c r="I1284" t="s">
        <v>113</v>
      </c>
      <c r="J1284" t="s">
        <v>40</v>
      </c>
      <c r="K1284" t="s">
        <v>11</v>
      </c>
      <c r="L1284" t="str">
        <f>T("9791191562453")</f>
        <v>9791191562453</v>
      </c>
    </row>
    <row r="1285" spans="1:12">
      <c r="A1285" s="2">
        <v>44800.687708333331</v>
      </c>
      <c r="B1285">
        <v>299562124</v>
      </c>
      <c r="C1285" t="s">
        <v>369</v>
      </c>
      <c r="D1285" t="s">
        <v>9</v>
      </c>
      <c r="E1285" s="3">
        <v>2000</v>
      </c>
      <c r="F1285" s="3">
        <v>2000</v>
      </c>
      <c r="G1285" s="3">
        <v>1400</v>
      </c>
      <c r="I1285" t="s">
        <v>370</v>
      </c>
      <c r="J1285" t="s">
        <v>40</v>
      </c>
      <c r="K1285" t="s">
        <v>11</v>
      </c>
      <c r="L1285" t="str">
        <f>T("9791191562873")</f>
        <v>9791191562873</v>
      </c>
    </row>
    <row r="1286" spans="1:12">
      <c r="A1286" s="2">
        <v>44800.694641203707</v>
      </c>
      <c r="B1286">
        <v>237252370</v>
      </c>
      <c r="C1286" t="s">
        <v>471</v>
      </c>
      <c r="D1286" t="s">
        <v>9</v>
      </c>
      <c r="E1286" s="3">
        <v>2500</v>
      </c>
      <c r="F1286" s="3">
        <v>2500</v>
      </c>
      <c r="G1286" s="3">
        <v>1750</v>
      </c>
      <c r="I1286" t="s">
        <v>62</v>
      </c>
      <c r="J1286" t="s">
        <v>17</v>
      </c>
      <c r="K1286" t="s">
        <v>11</v>
      </c>
      <c r="L1286" t="str">
        <f>T("9791164486144")</f>
        <v>9791164486144</v>
      </c>
    </row>
    <row r="1287" spans="1:12">
      <c r="A1287" s="2">
        <v>44800.702337962961</v>
      </c>
      <c r="B1287">
        <v>300405818</v>
      </c>
      <c r="C1287" t="s">
        <v>464</v>
      </c>
      <c r="D1287" t="s">
        <v>9</v>
      </c>
      <c r="E1287" s="3">
        <v>2000</v>
      </c>
      <c r="F1287" s="3">
        <v>2000</v>
      </c>
      <c r="G1287" s="3">
        <v>1400</v>
      </c>
      <c r="I1287" t="s">
        <v>176</v>
      </c>
      <c r="J1287" t="s">
        <v>40</v>
      </c>
      <c r="K1287" t="s">
        <v>11</v>
      </c>
      <c r="L1287" t="str">
        <f>T("9791191562903")</f>
        <v>9791191562903</v>
      </c>
    </row>
    <row r="1288" spans="1:12">
      <c r="A1288" s="2">
        <v>44800.711064814815</v>
      </c>
      <c r="B1288">
        <v>300204357</v>
      </c>
      <c r="C1288" t="s">
        <v>437</v>
      </c>
      <c r="D1288" t="s">
        <v>9</v>
      </c>
      <c r="E1288" s="3">
        <v>22400</v>
      </c>
      <c r="F1288" s="3">
        <v>22400</v>
      </c>
      <c r="G1288" s="3">
        <v>15680</v>
      </c>
      <c r="I1288" t="s">
        <v>438</v>
      </c>
      <c r="J1288" t="s">
        <v>11</v>
      </c>
      <c r="K1288" t="s">
        <v>11</v>
      </c>
      <c r="L1288" t="str">
        <f>T("9791137605251")</f>
        <v>9791137605251</v>
      </c>
    </row>
    <row r="1289" spans="1:12">
      <c r="A1289" s="2">
        <v>44800.764270833337</v>
      </c>
      <c r="B1289">
        <v>290197934</v>
      </c>
      <c r="C1289" t="s">
        <v>48</v>
      </c>
      <c r="D1289" t="s">
        <v>9</v>
      </c>
      <c r="E1289" s="3">
        <v>2000</v>
      </c>
      <c r="F1289" s="3">
        <v>2000</v>
      </c>
      <c r="G1289" s="3">
        <v>1400</v>
      </c>
      <c r="I1289" t="s">
        <v>49</v>
      </c>
      <c r="J1289" t="s">
        <v>40</v>
      </c>
      <c r="K1289" t="s">
        <v>11</v>
      </c>
      <c r="L1289" t="str">
        <f>T("9791191562163")</f>
        <v>9791191562163</v>
      </c>
    </row>
    <row r="1290" spans="1:12">
      <c r="A1290" s="2">
        <v>44800.778946759259</v>
      </c>
      <c r="B1290">
        <v>291088925</v>
      </c>
      <c r="C1290" t="s">
        <v>58</v>
      </c>
      <c r="D1290" t="s">
        <v>9</v>
      </c>
      <c r="E1290" s="3">
        <v>2000</v>
      </c>
      <c r="F1290" s="3">
        <v>2000</v>
      </c>
      <c r="G1290" s="3">
        <v>1400</v>
      </c>
      <c r="I1290" t="s">
        <v>59</v>
      </c>
      <c r="J1290" t="s">
        <v>40</v>
      </c>
      <c r="K1290" t="s">
        <v>11</v>
      </c>
      <c r="L1290" t="str">
        <f>T("9791191562187")</f>
        <v>9791191562187</v>
      </c>
    </row>
    <row r="1291" spans="1:12">
      <c r="A1291" s="2">
        <v>44800.809421296297</v>
      </c>
      <c r="B1291">
        <v>300405818</v>
      </c>
      <c r="C1291" t="s">
        <v>464</v>
      </c>
      <c r="D1291" t="s">
        <v>9</v>
      </c>
      <c r="E1291" s="3">
        <v>2000</v>
      </c>
      <c r="F1291" s="3">
        <v>2000</v>
      </c>
      <c r="G1291" s="3">
        <v>1400</v>
      </c>
      <c r="I1291" t="s">
        <v>176</v>
      </c>
      <c r="J1291" t="s">
        <v>40</v>
      </c>
      <c r="K1291" t="s">
        <v>11</v>
      </c>
      <c r="L1291" t="str">
        <f>T("9791191562903")</f>
        <v>9791191562903</v>
      </c>
    </row>
    <row r="1292" spans="1:12">
      <c r="A1292" s="2">
        <v>44800.813344907408</v>
      </c>
      <c r="B1292">
        <v>48799543</v>
      </c>
      <c r="C1292" t="s">
        <v>421</v>
      </c>
      <c r="D1292" t="s">
        <v>12</v>
      </c>
      <c r="E1292">
        <v>900</v>
      </c>
      <c r="F1292">
        <v>900</v>
      </c>
      <c r="G1292">
        <v>630</v>
      </c>
      <c r="I1292" t="s">
        <v>10</v>
      </c>
      <c r="J1292" t="s">
        <v>11</v>
      </c>
      <c r="K1292" t="s">
        <v>11</v>
      </c>
      <c r="L1292" t="str">
        <f>T("9791159283604")</f>
        <v>9791159283604</v>
      </c>
    </row>
    <row r="1293" spans="1:12">
      <c r="A1293" s="2">
        <v>44800.830497685187</v>
      </c>
      <c r="B1293">
        <v>300405818</v>
      </c>
      <c r="C1293" t="s">
        <v>464</v>
      </c>
      <c r="D1293" t="s">
        <v>9</v>
      </c>
      <c r="E1293" s="3">
        <v>2000</v>
      </c>
      <c r="F1293" s="3">
        <v>2000</v>
      </c>
      <c r="G1293" s="3">
        <v>1400</v>
      </c>
      <c r="I1293" t="s">
        <v>176</v>
      </c>
      <c r="J1293" t="s">
        <v>40</v>
      </c>
      <c r="K1293" t="s">
        <v>11</v>
      </c>
      <c r="L1293" t="str">
        <f>T("9791191562903")</f>
        <v>9791191562903</v>
      </c>
    </row>
    <row r="1294" spans="1:12">
      <c r="A1294" s="2">
        <v>44800.85560185185</v>
      </c>
      <c r="B1294">
        <v>300405818</v>
      </c>
      <c r="C1294" t="s">
        <v>464</v>
      </c>
      <c r="D1294" t="s">
        <v>9</v>
      </c>
      <c r="E1294" s="3">
        <v>2000</v>
      </c>
      <c r="F1294" s="3">
        <v>2000</v>
      </c>
      <c r="G1294" s="3">
        <v>1400</v>
      </c>
      <c r="I1294" t="s">
        <v>176</v>
      </c>
      <c r="J1294" t="s">
        <v>40</v>
      </c>
      <c r="K1294" t="s">
        <v>11</v>
      </c>
      <c r="L1294" t="str">
        <f>T("9791191562903")</f>
        <v>9791191562903</v>
      </c>
    </row>
    <row r="1295" spans="1:12">
      <c r="A1295" s="2">
        <v>44800.86146990741</v>
      </c>
      <c r="B1295">
        <v>48799545</v>
      </c>
      <c r="C1295" t="s">
        <v>422</v>
      </c>
      <c r="D1295" t="s">
        <v>12</v>
      </c>
      <c r="E1295">
        <v>900</v>
      </c>
      <c r="F1295">
        <v>900</v>
      </c>
      <c r="G1295">
        <v>630</v>
      </c>
      <c r="I1295" t="s">
        <v>10</v>
      </c>
      <c r="J1295" t="s">
        <v>11</v>
      </c>
      <c r="K1295" t="s">
        <v>11</v>
      </c>
      <c r="L1295" t="str">
        <f>T("9791159283611")</f>
        <v>9791159283611</v>
      </c>
    </row>
    <row r="1296" spans="1:12">
      <c r="A1296" s="2">
        <v>44800.873622685183</v>
      </c>
      <c r="B1296">
        <v>300405818</v>
      </c>
      <c r="C1296" t="s">
        <v>464</v>
      </c>
      <c r="D1296" t="s">
        <v>9</v>
      </c>
      <c r="E1296" s="3">
        <v>2000</v>
      </c>
      <c r="F1296" s="3">
        <v>2000</v>
      </c>
      <c r="G1296" s="3">
        <v>1400</v>
      </c>
      <c r="I1296" t="s">
        <v>176</v>
      </c>
      <c r="J1296" t="s">
        <v>40</v>
      </c>
      <c r="K1296" t="s">
        <v>11</v>
      </c>
      <c r="L1296" t="str">
        <f>T("9791191562903")</f>
        <v>9791191562903</v>
      </c>
    </row>
    <row r="1297" spans="1:12">
      <c r="A1297" s="2">
        <v>44800.874722222223</v>
      </c>
      <c r="B1297">
        <v>292316442</v>
      </c>
      <c r="C1297" t="s">
        <v>84</v>
      </c>
      <c r="D1297" t="s">
        <v>9</v>
      </c>
      <c r="E1297" s="3">
        <v>2500</v>
      </c>
      <c r="F1297" s="3">
        <v>2500</v>
      </c>
      <c r="G1297" s="3">
        <v>1750</v>
      </c>
      <c r="I1297" t="s">
        <v>85</v>
      </c>
      <c r="J1297" t="s">
        <v>40</v>
      </c>
      <c r="K1297" t="s">
        <v>11</v>
      </c>
      <c r="L1297" t="str">
        <f>T("9791191562309")</f>
        <v>9791191562309</v>
      </c>
    </row>
    <row r="1298" spans="1:12">
      <c r="A1298" s="2">
        <v>44800.88480324074</v>
      </c>
      <c r="B1298">
        <v>298750948</v>
      </c>
      <c r="C1298" t="s">
        <v>259</v>
      </c>
      <c r="D1298" t="s">
        <v>9</v>
      </c>
      <c r="E1298" s="3">
        <v>3500</v>
      </c>
      <c r="F1298" s="3">
        <v>3500</v>
      </c>
      <c r="G1298" s="3">
        <v>2450</v>
      </c>
      <c r="I1298" t="s">
        <v>38</v>
      </c>
      <c r="J1298" t="s">
        <v>40</v>
      </c>
      <c r="K1298" t="s">
        <v>11</v>
      </c>
      <c r="L1298" t="str">
        <f>T("9791191562866")</f>
        <v>9791191562866</v>
      </c>
    </row>
    <row r="1299" spans="1:12">
      <c r="A1299" s="2">
        <v>44800.976377314815</v>
      </c>
      <c r="B1299">
        <v>297620121</v>
      </c>
      <c r="C1299" t="s">
        <v>205</v>
      </c>
      <c r="D1299" t="s">
        <v>9</v>
      </c>
      <c r="E1299" s="3">
        <v>2000</v>
      </c>
      <c r="F1299" s="3">
        <v>2000</v>
      </c>
      <c r="G1299" s="3">
        <v>1400</v>
      </c>
      <c r="I1299" t="s">
        <v>29</v>
      </c>
      <c r="J1299" t="s">
        <v>40</v>
      </c>
      <c r="K1299" t="s">
        <v>11</v>
      </c>
      <c r="L1299" t="str">
        <f>T("9791191562484")</f>
        <v>9791191562484</v>
      </c>
    </row>
    <row r="1300" spans="1:12">
      <c r="A1300" s="2">
        <v>44800.977546296293</v>
      </c>
      <c r="B1300">
        <v>300405818</v>
      </c>
      <c r="C1300" t="s">
        <v>464</v>
      </c>
      <c r="D1300" t="s">
        <v>9</v>
      </c>
      <c r="E1300" s="3">
        <v>2000</v>
      </c>
      <c r="F1300" s="3">
        <v>2000</v>
      </c>
      <c r="G1300" s="3">
        <v>1400</v>
      </c>
      <c r="I1300" t="s">
        <v>176</v>
      </c>
      <c r="J1300" t="s">
        <v>40</v>
      </c>
      <c r="K1300" t="s">
        <v>11</v>
      </c>
      <c r="L1300" t="str">
        <f>T("9791191562903")</f>
        <v>9791191562903</v>
      </c>
    </row>
    <row r="1301" spans="1:12">
      <c r="A1301" s="2">
        <v>44800.996469907404</v>
      </c>
      <c r="B1301">
        <v>300405818</v>
      </c>
      <c r="C1301" t="s">
        <v>464</v>
      </c>
      <c r="D1301" t="s">
        <v>9</v>
      </c>
      <c r="E1301" s="3">
        <v>2000</v>
      </c>
      <c r="F1301" s="3">
        <v>2000</v>
      </c>
      <c r="G1301" s="3">
        <v>1400</v>
      </c>
      <c r="I1301" t="s">
        <v>176</v>
      </c>
      <c r="J1301" t="s">
        <v>40</v>
      </c>
      <c r="K1301" t="s">
        <v>11</v>
      </c>
      <c r="L1301" t="str">
        <f>T("9791191562903")</f>
        <v>9791191562903</v>
      </c>
    </row>
    <row r="1302" spans="1:12">
      <c r="A1302" s="2">
        <v>44801.108773148146</v>
      </c>
      <c r="B1302">
        <v>285478677</v>
      </c>
      <c r="C1302" t="s">
        <v>472</v>
      </c>
      <c r="D1302" t="s">
        <v>12</v>
      </c>
      <c r="E1302" s="3">
        <v>9900</v>
      </c>
      <c r="F1302" s="3">
        <v>9900</v>
      </c>
      <c r="G1302" s="3">
        <v>6930</v>
      </c>
      <c r="I1302" t="s">
        <v>20</v>
      </c>
      <c r="J1302" t="s">
        <v>17</v>
      </c>
      <c r="K1302" t="s">
        <v>11</v>
      </c>
      <c r="L1302" t="str">
        <f>T("9791166002809")</f>
        <v>9791166002809</v>
      </c>
    </row>
    <row r="1303" spans="1:12">
      <c r="A1303" s="2">
        <v>44801.270821759259</v>
      </c>
      <c r="B1303">
        <v>300405818</v>
      </c>
      <c r="C1303" t="s">
        <v>464</v>
      </c>
      <c r="D1303" t="s">
        <v>9</v>
      </c>
      <c r="E1303" s="3">
        <v>2000</v>
      </c>
      <c r="F1303" s="3">
        <v>2000</v>
      </c>
      <c r="G1303" s="3">
        <v>1400</v>
      </c>
      <c r="I1303" t="s">
        <v>176</v>
      </c>
      <c r="J1303" t="s">
        <v>40</v>
      </c>
      <c r="K1303" t="s">
        <v>11</v>
      </c>
      <c r="L1303" t="str">
        <f>T("9791191562903")</f>
        <v>9791191562903</v>
      </c>
    </row>
    <row r="1304" spans="1:12">
      <c r="A1304" s="2">
        <v>44801.368587962963</v>
      </c>
      <c r="B1304">
        <v>300405818</v>
      </c>
      <c r="C1304" t="s">
        <v>464</v>
      </c>
      <c r="D1304" t="s">
        <v>9</v>
      </c>
      <c r="E1304" s="3">
        <v>2000</v>
      </c>
      <c r="F1304" s="3">
        <v>2000</v>
      </c>
      <c r="G1304" s="3">
        <v>1400</v>
      </c>
      <c r="I1304" t="s">
        <v>176</v>
      </c>
      <c r="J1304" t="s">
        <v>40</v>
      </c>
      <c r="K1304" t="s">
        <v>11</v>
      </c>
      <c r="L1304" t="str">
        <f>T("9791191562903")</f>
        <v>9791191562903</v>
      </c>
    </row>
    <row r="1305" spans="1:12">
      <c r="A1305" s="2">
        <v>44801.383715277778</v>
      </c>
      <c r="B1305">
        <v>290827241</v>
      </c>
      <c r="C1305" t="s">
        <v>53</v>
      </c>
      <c r="D1305" t="s">
        <v>9</v>
      </c>
      <c r="E1305" s="3">
        <v>2000</v>
      </c>
      <c r="F1305" s="3">
        <v>2000</v>
      </c>
      <c r="G1305" s="3">
        <v>1400</v>
      </c>
      <c r="I1305" t="s">
        <v>54</v>
      </c>
      <c r="J1305" t="s">
        <v>40</v>
      </c>
      <c r="K1305" t="s">
        <v>11</v>
      </c>
      <c r="L1305" t="str">
        <f>T("9791191562149")</f>
        <v>9791191562149</v>
      </c>
    </row>
    <row r="1306" spans="1:12">
      <c r="A1306" s="2">
        <v>44801.423518518517</v>
      </c>
      <c r="B1306">
        <v>298750948</v>
      </c>
      <c r="C1306" t="s">
        <v>259</v>
      </c>
      <c r="D1306" t="s">
        <v>9</v>
      </c>
      <c r="E1306" s="3">
        <v>3500</v>
      </c>
      <c r="F1306" s="3">
        <v>3500</v>
      </c>
      <c r="G1306" s="3">
        <v>2450</v>
      </c>
      <c r="I1306" t="s">
        <v>38</v>
      </c>
      <c r="J1306" t="s">
        <v>40</v>
      </c>
      <c r="K1306" t="s">
        <v>11</v>
      </c>
      <c r="L1306" t="str">
        <f>T("9791191562866")</f>
        <v>9791191562866</v>
      </c>
    </row>
    <row r="1307" spans="1:12">
      <c r="A1307" s="2">
        <v>44801.477164351854</v>
      </c>
      <c r="B1307">
        <v>193621936</v>
      </c>
      <c r="C1307" t="s">
        <v>473</v>
      </c>
      <c r="D1307" t="s">
        <v>9</v>
      </c>
      <c r="E1307">
        <v>300</v>
      </c>
      <c r="F1307">
        <v>300</v>
      </c>
      <c r="G1307">
        <v>210</v>
      </c>
      <c r="I1307" t="s">
        <v>77</v>
      </c>
      <c r="J1307" t="s">
        <v>71</v>
      </c>
      <c r="K1307" t="s">
        <v>11</v>
      </c>
      <c r="L1307" t="str">
        <f>T("9791164370221")</f>
        <v>9791164370221</v>
      </c>
    </row>
    <row r="1308" spans="1:12">
      <c r="A1308" s="2">
        <v>44801.486481481479</v>
      </c>
      <c r="B1308">
        <v>287834730</v>
      </c>
      <c r="C1308" t="s">
        <v>37</v>
      </c>
      <c r="D1308" t="s">
        <v>9</v>
      </c>
      <c r="E1308" s="3">
        <v>2000</v>
      </c>
      <c r="F1308" s="3">
        <v>2000</v>
      </c>
      <c r="G1308" s="3">
        <v>1400</v>
      </c>
      <c r="I1308" t="s">
        <v>32</v>
      </c>
      <c r="J1308" t="s">
        <v>40</v>
      </c>
      <c r="K1308" t="s">
        <v>11</v>
      </c>
      <c r="L1308" t="str">
        <f>T("9791191562019")</f>
        <v>9791191562019</v>
      </c>
    </row>
    <row r="1309" spans="1:12">
      <c r="A1309" s="2">
        <v>44801.486481481479</v>
      </c>
      <c r="B1309">
        <v>295462572</v>
      </c>
      <c r="C1309" t="s">
        <v>108</v>
      </c>
      <c r="D1309" t="s">
        <v>9</v>
      </c>
      <c r="E1309" s="3">
        <v>2000</v>
      </c>
      <c r="F1309" s="3">
        <v>2000</v>
      </c>
      <c r="G1309" s="3">
        <v>1400</v>
      </c>
      <c r="I1309" t="s">
        <v>32</v>
      </c>
      <c r="J1309" t="s">
        <v>40</v>
      </c>
      <c r="K1309" t="s">
        <v>11</v>
      </c>
      <c r="L1309" t="str">
        <f>T("9791191562361")</f>
        <v>9791191562361</v>
      </c>
    </row>
    <row r="1310" spans="1:12">
      <c r="A1310" s="2">
        <v>44801.565740740742</v>
      </c>
      <c r="B1310">
        <v>290197934</v>
      </c>
      <c r="C1310" t="s">
        <v>48</v>
      </c>
      <c r="D1310" t="s">
        <v>9</v>
      </c>
      <c r="E1310" s="3">
        <v>2000</v>
      </c>
      <c r="F1310" s="3">
        <v>2000</v>
      </c>
      <c r="G1310" s="3">
        <v>1400</v>
      </c>
      <c r="I1310" t="s">
        <v>49</v>
      </c>
      <c r="J1310" t="s">
        <v>40</v>
      </c>
      <c r="K1310" t="s">
        <v>11</v>
      </c>
      <c r="L1310" t="str">
        <f>T("9791191562163")</f>
        <v>9791191562163</v>
      </c>
    </row>
    <row r="1311" spans="1:12">
      <c r="A1311" s="2">
        <v>44801.593009259261</v>
      </c>
      <c r="B1311">
        <v>300405818</v>
      </c>
      <c r="C1311" t="s">
        <v>464</v>
      </c>
      <c r="D1311" t="s">
        <v>9</v>
      </c>
      <c r="E1311" s="3">
        <v>2000</v>
      </c>
      <c r="F1311" s="3">
        <v>2000</v>
      </c>
      <c r="G1311" s="3">
        <v>1400</v>
      </c>
      <c r="I1311" t="s">
        <v>176</v>
      </c>
      <c r="J1311" t="s">
        <v>40</v>
      </c>
      <c r="K1311" t="s">
        <v>11</v>
      </c>
      <c r="L1311" t="str">
        <f>T("9791191562903")</f>
        <v>9791191562903</v>
      </c>
    </row>
    <row r="1312" spans="1:12">
      <c r="A1312" s="2">
        <v>44801.593009259261</v>
      </c>
      <c r="B1312">
        <v>299961390</v>
      </c>
      <c r="C1312" t="s">
        <v>425</v>
      </c>
      <c r="D1312" t="s">
        <v>9</v>
      </c>
      <c r="E1312" s="3">
        <v>2000</v>
      </c>
      <c r="F1312" s="3">
        <v>2000</v>
      </c>
      <c r="G1312" s="3">
        <v>1400</v>
      </c>
      <c r="I1312" t="s">
        <v>42</v>
      </c>
      <c r="J1312" t="s">
        <v>40</v>
      </c>
      <c r="K1312" t="s">
        <v>11</v>
      </c>
      <c r="L1312" t="str">
        <f>T("9791191562880")</f>
        <v>9791191562880</v>
      </c>
    </row>
    <row r="1313" spans="1:12">
      <c r="A1313" s="2">
        <v>44801.603472222225</v>
      </c>
      <c r="B1313">
        <v>300405818</v>
      </c>
      <c r="C1313" t="s">
        <v>464</v>
      </c>
      <c r="D1313" t="s">
        <v>9</v>
      </c>
      <c r="E1313" s="3">
        <v>2000</v>
      </c>
      <c r="F1313" s="3">
        <v>2000</v>
      </c>
      <c r="G1313" s="3">
        <v>1400</v>
      </c>
      <c r="I1313" t="s">
        <v>176</v>
      </c>
      <c r="J1313" t="s">
        <v>40</v>
      </c>
      <c r="K1313" t="s">
        <v>11</v>
      </c>
      <c r="L1313" t="str">
        <f>T("9791191562903")</f>
        <v>9791191562903</v>
      </c>
    </row>
    <row r="1314" spans="1:12">
      <c r="A1314" s="2">
        <v>44801.632592592592</v>
      </c>
      <c r="B1314">
        <v>300204288</v>
      </c>
      <c r="C1314" t="s">
        <v>439</v>
      </c>
      <c r="D1314" t="s">
        <v>9</v>
      </c>
      <c r="E1314">
        <v>0</v>
      </c>
      <c r="F1314">
        <v>0</v>
      </c>
      <c r="G1314">
        <v>0</v>
      </c>
      <c r="I1314" t="s">
        <v>440</v>
      </c>
      <c r="J1314" t="s">
        <v>11</v>
      </c>
      <c r="K1314" t="s">
        <v>11</v>
      </c>
      <c r="L1314" t="str">
        <f>T("9791137605268")</f>
        <v>9791137605268</v>
      </c>
    </row>
    <row r="1315" spans="1:12">
      <c r="A1315" s="2">
        <v>44801.643680555557</v>
      </c>
      <c r="B1315">
        <v>300405818</v>
      </c>
      <c r="C1315" t="s">
        <v>464</v>
      </c>
      <c r="D1315" t="s">
        <v>9</v>
      </c>
      <c r="E1315" s="3">
        <v>2000</v>
      </c>
      <c r="F1315" s="3">
        <v>2000</v>
      </c>
      <c r="G1315" s="3">
        <v>1400</v>
      </c>
      <c r="I1315" t="s">
        <v>176</v>
      </c>
      <c r="J1315" t="s">
        <v>40</v>
      </c>
      <c r="K1315" t="s">
        <v>11</v>
      </c>
      <c r="L1315" t="str">
        <f>T("9791191562903")</f>
        <v>9791191562903</v>
      </c>
    </row>
    <row r="1316" spans="1:12">
      <c r="A1316" s="2">
        <v>44801.705104166664</v>
      </c>
      <c r="B1316">
        <v>286896672</v>
      </c>
      <c r="C1316" t="s">
        <v>175</v>
      </c>
      <c r="D1316" t="s">
        <v>9</v>
      </c>
      <c r="E1316" s="3">
        <v>2500</v>
      </c>
      <c r="F1316" s="3">
        <v>2500</v>
      </c>
      <c r="G1316" s="3">
        <v>1750</v>
      </c>
      <c r="I1316" t="s">
        <v>176</v>
      </c>
      <c r="J1316" t="s">
        <v>40</v>
      </c>
      <c r="K1316" t="s">
        <v>11</v>
      </c>
      <c r="L1316" t="str">
        <f>T("9791191562002")</f>
        <v>9791191562002</v>
      </c>
    </row>
    <row r="1317" spans="1:12">
      <c r="A1317" s="2">
        <v>44801.705138888887</v>
      </c>
      <c r="B1317">
        <v>214364752</v>
      </c>
      <c r="C1317" t="s">
        <v>474</v>
      </c>
      <c r="D1317" t="s">
        <v>9</v>
      </c>
      <c r="E1317" s="3">
        <v>4900</v>
      </c>
      <c r="F1317" s="3">
        <v>4900</v>
      </c>
      <c r="G1317" s="3">
        <v>3430</v>
      </c>
      <c r="I1317" t="s">
        <v>145</v>
      </c>
      <c r="J1317" t="s">
        <v>71</v>
      </c>
      <c r="K1317" t="s">
        <v>11</v>
      </c>
      <c r="L1317" t="str">
        <f>T("9791164371112")</f>
        <v>9791164371112</v>
      </c>
    </row>
    <row r="1318" spans="1:12">
      <c r="A1318" s="2">
        <v>44801.714097222219</v>
      </c>
      <c r="B1318">
        <v>298750948</v>
      </c>
      <c r="C1318" t="s">
        <v>259</v>
      </c>
      <c r="D1318" t="s">
        <v>9</v>
      </c>
      <c r="E1318" s="3">
        <v>3500</v>
      </c>
      <c r="F1318" s="3">
        <v>3500</v>
      </c>
      <c r="G1318" s="3">
        <v>2450</v>
      </c>
      <c r="I1318" t="s">
        <v>38</v>
      </c>
      <c r="J1318" t="s">
        <v>40</v>
      </c>
      <c r="K1318" t="s">
        <v>11</v>
      </c>
      <c r="L1318" t="str">
        <f>T("9791191562866")</f>
        <v>9791191562866</v>
      </c>
    </row>
    <row r="1319" spans="1:12">
      <c r="A1319" s="2">
        <v>44801.772083333337</v>
      </c>
      <c r="B1319">
        <v>299562124</v>
      </c>
      <c r="C1319" t="s">
        <v>369</v>
      </c>
      <c r="D1319" t="s">
        <v>9</v>
      </c>
      <c r="E1319" s="3">
        <v>2000</v>
      </c>
      <c r="F1319" s="3">
        <v>2000</v>
      </c>
      <c r="G1319" s="3">
        <v>1400</v>
      </c>
      <c r="I1319" t="s">
        <v>370</v>
      </c>
      <c r="J1319" t="s">
        <v>40</v>
      </c>
      <c r="K1319" t="s">
        <v>11</v>
      </c>
      <c r="L1319" t="str">
        <f>T("9791191562873")</f>
        <v>9791191562873</v>
      </c>
    </row>
    <row r="1320" spans="1:12">
      <c r="A1320" s="2">
        <v>44801.825937499998</v>
      </c>
      <c r="B1320">
        <v>300405818</v>
      </c>
      <c r="C1320" t="s">
        <v>464</v>
      </c>
      <c r="D1320" t="s">
        <v>9</v>
      </c>
      <c r="E1320" s="3">
        <v>2000</v>
      </c>
      <c r="F1320" s="3">
        <v>2000</v>
      </c>
      <c r="G1320" s="3">
        <v>1400</v>
      </c>
      <c r="I1320" t="s">
        <v>176</v>
      </c>
      <c r="J1320" t="s">
        <v>40</v>
      </c>
      <c r="K1320" t="s">
        <v>11</v>
      </c>
      <c r="L1320" t="str">
        <f>T("9791191562903")</f>
        <v>9791191562903</v>
      </c>
    </row>
    <row r="1321" spans="1:12">
      <c r="A1321" s="2">
        <v>44801.832013888888</v>
      </c>
      <c r="B1321">
        <v>300405818</v>
      </c>
      <c r="C1321" t="s">
        <v>464</v>
      </c>
      <c r="D1321" t="s">
        <v>9</v>
      </c>
      <c r="E1321" s="3">
        <v>2000</v>
      </c>
      <c r="F1321" s="3">
        <v>2000</v>
      </c>
      <c r="G1321" s="3">
        <v>1400</v>
      </c>
      <c r="I1321" t="s">
        <v>176</v>
      </c>
      <c r="J1321" t="s">
        <v>40</v>
      </c>
      <c r="K1321" t="s">
        <v>11</v>
      </c>
      <c r="L1321" t="str">
        <f>T("9791191562903")</f>
        <v>9791191562903</v>
      </c>
    </row>
    <row r="1322" spans="1:12">
      <c r="A1322" s="2">
        <v>44801.844108796293</v>
      </c>
      <c r="B1322">
        <v>284241886</v>
      </c>
      <c r="C1322" t="s">
        <v>26</v>
      </c>
      <c r="D1322" t="s">
        <v>9</v>
      </c>
      <c r="E1322" s="3">
        <v>-3600</v>
      </c>
      <c r="F1322" s="3">
        <v>-3600</v>
      </c>
      <c r="G1322" s="3">
        <v>-2520</v>
      </c>
      <c r="H1322" s="2">
        <v>44801.843657407408</v>
      </c>
      <c r="I1322" t="s">
        <v>21</v>
      </c>
      <c r="J1322" t="s">
        <v>45</v>
      </c>
      <c r="K1322" t="s">
        <v>11</v>
      </c>
      <c r="L1322" t="str">
        <f>T("9791166482564")</f>
        <v>9791166482564</v>
      </c>
    </row>
    <row r="1323" spans="1:12">
      <c r="A1323" s="2">
        <v>44801.843657407408</v>
      </c>
      <c r="B1323">
        <v>284241886</v>
      </c>
      <c r="C1323" t="s">
        <v>26</v>
      </c>
      <c r="D1323" t="s">
        <v>9</v>
      </c>
      <c r="E1323" s="3">
        <v>3600</v>
      </c>
      <c r="F1323" s="3">
        <v>3600</v>
      </c>
      <c r="G1323" s="3">
        <v>2520</v>
      </c>
      <c r="I1323" t="s">
        <v>21</v>
      </c>
      <c r="J1323" t="s">
        <v>45</v>
      </c>
      <c r="K1323" t="s">
        <v>11</v>
      </c>
      <c r="L1323" t="str">
        <f>T("9791166482564")</f>
        <v>9791166482564</v>
      </c>
    </row>
    <row r="1324" spans="1:12">
      <c r="A1324" s="2">
        <v>44801.843657407408</v>
      </c>
      <c r="B1324">
        <v>284241808</v>
      </c>
      <c r="C1324" t="s">
        <v>27</v>
      </c>
      <c r="D1324" t="s">
        <v>9</v>
      </c>
      <c r="E1324" s="3">
        <v>3600</v>
      </c>
      <c r="F1324" s="3">
        <v>3600</v>
      </c>
      <c r="G1324" s="3">
        <v>2520</v>
      </c>
      <c r="I1324" t="s">
        <v>21</v>
      </c>
      <c r="J1324" t="s">
        <v>45</v>
      </c>
      <c r="K1324" t="s">
        <v>11</v>
      </c>
      <c r="L1324" t="str">
        <f>T("9791166482557")</f>
        <v>9791166482557</v>
      </c>
    </row>
    <row r="1325" spans="1:12">
      <c r="A1325" s="2">
        <v>44801.844108796293</v>
      </c>
      <c r="B1325">
        <v>284241808</v>
      </c>
      <c r="C1325" t="s">
        <v>27</v>
      </c>
      <c r="D1325" t="s">
        <v>9</v>
      </c>
      <c r="E1325" s="3">
        <v>-3600</v>
      </c>
      <c r="F1325" s="3">
        <v>-3600</v>
      </c>
      <c r="G1325" s="3">
        <v>-2520</v>
      </c>
      <c r="H1325" s="2">
        <v>44801.843657407408</v>
      </c>
      <c r="I1325" t="s">
        <v>21</v>
      </c>
      <c r="J1325" t="s">
        <v>45</v>
      </c>
      <c r="K1325" t="s">
        <v>11</v>
      </c>
      <c r="L1325" t="str">
        <f>T("9791166482557")</f>
        <v>9791166482557</v>
      </c>
    </row>
    <row r="1326" spans="1:12">
      <c r="A1326" s="2">
        <v>44801.853842592594</v>
      </c>
      <c r="B1326">
        <v>295836446</v>
      </c>
      <c r="C1326" t="s">
        <v>129</v>
      </c>
      <c r="D1326" t="s">
        <v>9</v>
      </c>
      <c r="E1326" s="3">
        <v>2000</v>
      </c>
      <c r="F1326" s="3">
        <v>2000</v>
      </c>
      <c r="G1326" s="3">
        <v>1400</v>
      </c>
      <c r="I1326" t="s">
        <v>59</v>
      </c>
      <c r="J1326" t="s">
        <v>40</v>
      </c>
      <c r="K1326" t="s">
        <v>11</v>
      </c>
      <c r="L1326" t="str">
        <f>T("9791191562798")</f>
        <v>9791191562798</v>
      </c>
    </row>
    <row r="1327" spans="1:12">
      <c r="A1327" s="2">
        <v>44801.857407407406</v>
      </c>
      <c r="B1327">
        <v>295462572</v>
      </c>
      <c r="C1327" t="s">
        <v>108</v>
      </c>
      <c r="D1327" t="s">
        <v>9</v>
      </c>
      <c r="E1327" s="3">
        <v>2000</v>
      </c>
      <c r="F1327" s="3">
        <v>2000</v>
      </c>
      <c r="G1327" s="3">
        <v>1400</v>
      </c>
      <c r="I1327" t="s">
        <v>32</v>
      </c>
      <c r="J1327" t="s">
        <v>40</v>
      </c>
      <c r="K1327" t="s">
        <v>11</v>
      </c>
      <c r="L1327" t="str">
        <f>T("9791191562361")</f>
        <v>9791191562361</v>
      </c>
    </row>
    <row r="1328" spans="1:12">
      <c r="A1328" s="2">
        <v>44801.862534722219</v>
      </c>
      <c r="B1328">
        <v>291088925</v>
      </c>
      <c r="C1328" t="s">
        <v>58</v>
      </c>
      <c r="D1328" t="s">
        <v>9</v>
      </c>
      <c r="E1328" s="3">
        <v>2000</v>
      </c>
      <c r="F1328" s="3">
        <v>2000</v>
      </c>
      <c r="G1328" s="3">
        <v>1400</v>
      </c>
      <c r="I1328" t="s">
        <v>59</v>
      </c>
      <c r="J1328" t="s">
        <v>40</v>
      </c>
      <c r="K1328" t="s">
        <v>11</v>
      </c>
      <c r="L1328" t="str">
        <f>T("9791191562187")</f>
        <v>9791191562187</v>
      </c>
    </row>
    <row r="1329" spans="1:12">
      <c r="A1329" s="2">
        <v>44801.875555555554</v>
      </c>
      <c r="B1329">
        <v>300405818</v>
      </c>
      <c r="C1329" t="s">
        <v>464</v>
      </c>
      <c r="D1329" t="s">
        <v>9</v>
      </c>
      <c r="E1329" s="3">
        <v>2000</v>
      </c>
      <c r="F1329" s="3">
        <v>2000</v>
      </c>
      <c r="G1329" s="3">
        <v>1400</v>
      </c>
      <c r="I1329" t="s">
        <v>176</v>
      </c>
      <c r="J1329" t="s">
        <v>40</v>
      </c>
      <c r="K1329" t="s">
        <v>11</v>
      </c>
      <c r="L1329" t="str">
        <f>T("9791191562903")</f>
        <v>9791191562903</v>
      </c>
    </row>
    <row r="1330" spans="1:12">
      <c r="A1330" s="2">
        <v>44801.892002314817</v>
      </c>
      <c r="B1330">
        <v>300405818</v>
      </c>
      <c r="C1330" t="s">
        <v>464</v>
      </c>
      <c r="D1330" t="s">
        <v>9</v>
      </c>
      <c r="E1330" s="3">
        <v>2000</v>
      </c>
      <c r="F1330" s="3">
        <v>2000</v>
      </c>
      <c r="G1330" s="3">
        <v>1400</v>
      </c>
      <c r="I1330" t="s">
        <v>176</v>
      </c>
      <c r="J1330" t="s">
        <v>40</v>
      </c>
      <c r="K1330" t="s">
        <v>11</v>
      </c>
      <c r="L1330" t="str">
        <f>T("9791191562903")</f>
        <v>9791191562903</v>
      </c>
    </row>
    <row r="1331" spans="1:12">
      <c r="A1331" s="2">
        <v>44801.894490740742</v>
      </c>
      <c r="B1331">
        <v>295462572</v>
      </c>
      <c r="C1331" t="s">
        <v>108</v>
      </c>
      <c r="D1331" t="s">
        <v>9</v>
      </c>
      <c r="E1331" s="3">
        <v>2000</v>
      </c>
      <c r="F1331" s="3">
        <v>2000</v>
      </c>
      <c r="G1331" s="3">
        <v>1400</v>
      </c>
      <c r="I1331" t="s">
        <v>32</v>
      </c>
      <c r="J1331" t="s">
        <v>40</v>
      </c>
      <c r="K1331" t="s">
        <v>11</v>
      </c>
      <c r="L1331" t="str">
        <f>T("9791191562361")</f>
        <v>9791191562361</v>
      </c>
    </row>
    <row r="1332" spans="1:12">
      <c r="A1332" s="2">
        <v>44801.918287037035</v>
      </c>
      <c r="B1332">
        <v>295071451</v>
      </c>
      <c r="C1332" t="s">
        <v>109</v>
      </c>
      <c r="D1332" t="s">
        <v>9</v>
      </c>
      <c r="E1332" s="3">
        <v>2500</v>
      </c>
      <c r="F1332" s="3">
        <v>2500</v>
      </c>
      <c r="G1332" s="3">
        <v>1750</v>
      </c>
      <c r="I1332" t="s">
        <v>34</v>
      </c>
      <c r="J1332" t="s">
        <v>40</v>
      </c>
      <c r="K1332" t="s">
        <v>11</v>
      </c>
      <c r="L1332" t="str">
        <f>T("9791191562439")</f>
        <v>9791191562439</v>
      </c>
    </row>
    <row r="1333" spans="1:12">
      <c r="A1333" s="2">
        <v>44801.91846064815</v>
      </c>
      <c r="B1333">
        <v>300405818</v>
      </c>
      <c r="C1333" t="s">
        <v>464</v>
      </c>
      <c r="D1333" t="s">
        <v>9</v>
      </c>
      <c r="E1333" s="3">
        <v>2000</v>
      </c>
      <c r="F1333" s="3">
        <v>2000</v>
      </c>
      <c r="G1333" s="3">
        <v>1400</v>
      </c>
      <c r="I1333" t="s">
        <v>176</v>
      </c>
      <c r="J1333" t="s">
        <v>40</v>
      </c>
      <c r="K1333" t="s">
        <v>11</v>
      </c>
      <c r="L1333" t="str">
        <f>T("9791191562903")</f>
        <v>9791191562903</v>
      </c>
    </row>
    <row r="1334" spans="1:12">
      <c r="A1334" s="2">
        <v>44801.934837962966</v>
      </c>
      <c r="B1334">
        <v>296612458</v>
      </c>
      <c r="C1334" t="s">
        <v>138</v>
      </c>
      <c r="D1334" t="s">
        <v>9</v>
      </c>
      <c r="E1334" s="3">
        <v>2000</v>
      </c>
      <c r="F1334" s="3">
        <v>2000</v>
      </c>
      <c r="G1334" s="3">
        <v>1400</v>
      </c>
      <c r="I1334" t="s">
        <v>139</v>
      </c>
      <c r="J1334" t="s">
        <v>40</v>
      </c>
      <c r="K1334" t="s">
        <v>11</v>
      </c>
      <c r="L1334" t="str">
        <f>T("9791191562545")</f>
        <v>9791191562545</v>
      </c>
    </row>
    <row r="1335" spans="1:12">
      <c r="A1335" s="2">
        <v>44801.934999999998</v>
      </c>
      <c r="B1335">
        <v>299562124</v>
      </c>
      <c r="C1335" t="s">
        <v>369</v>
      </c>
      <c r="D1335" t="s">
        <v>9</v>
      </c>
      <c r="E1335" s="3">
        <v>2000</v>
      </c>
      <c r="F1335" s="3">
        <v>2000</v>
      </c>
      <c r="G1335" s="3">
        <v>1400</v>
      </c>
      <c r="I1335" t="s">
        <v>370</v>
      </c>
      <c r="J1335" t="s">
        <v>40</v>
      </c>
      <c r="K1335" t="s">
        <v>11</v>
      </c>
      <c r="L1335" t="str">
        <f>T("9791191562873")</f>
        <v>9791191562873</v>
      </c>
    </row>
    <row r="1336" spans="1:12">
      <c r="A1336" s="2">
        <v>44801.93787037037</v>
      </c>
      <c r="B1336">
        <v>256291110</v>
      </c>
      <c r="C1336" t="s">
        <v>429</v>
      </c>
      <c r="D1336" t="s">
        <v>9</v>
      </c>
      <c r="E1336">
        <v>0</v>
      </c>
      <c r="F1336">
        <v>0</v>
      </c>
      <c r="G1336">
        <v>0</v>
      </c>
      <c r="I1336" t="s">
        <v>430</v>
      </c>
      <c r="J1336" t="s">
        <v>11</v>
      </c>
      <c r="K1336" t="s">
        <v>11</v>
      </c>
      <c r="L1336" t="str">
        <f>T("9791166064388")</f>
        <v>9791166064388</v>
      </c>
    </row>
    <row r="1337" spans="1:12">
      <c r="A1337" s="2">
        <v>44801.939837962964</v>
      </c>
      <c r="B1337">
        <v>300204288</v>
      </c>
      <c r="C1337" t="s">
        <v>439</v>
      </c>
      <c r="D1337" t="s">
        <v>9</v>
      </c>
      <c r="E1337">
        <v>0</v>
      </c>
      <c r="F1337">
        <v>0</v>
      </c>
      <c r="G1337">
        <v>0</v>
      </c>
      <c r="I1337" t="s">
        <v>440</v>
      </c>
      <c r="J1337" t="s">
        <v>11</v>
      </c>
      <c r="K1337" t="s">
        <v>11</v>
      </c>
      <c r="L1337" t="str">
        <f>T("9791137605268")</f>
        <v>9791137605268</v>
      </c>
    </row>
    <row r="1338" spans="1:12">
      <c r="A1338" s="2">
        <v>44801.945601851854</v>
      </c>
      <c r="B1338">
        <v>191535390</v>
      </c>
      <c r="C1338" t="s">
        <v>79</v>
      </c>
      <c r="D1338" t="s">
        <v>9</v>
      </c>
      <c r="E1338" s="3">
        <v>3200</v>
      </c>
      <c r="F1338" s="3">
        <v>3200</v>
      </c>
      <c r="G1338" s="3">
        <v>2240</v>
      </c>
      <c r="I1338" t="s">
        <v>77</v>
      </c>
      <c r="J1338" t="s">
        <v>71</v>
      </c>
      <c r="K1338" t="s">
        <v>11</v>
      </c>
      <c r="L1338" t="str">
        <f>T("9791189627836")</f>
        <v>9791189627836</v>
      </c>
    </row>
    <row r="1339" spans="1:12">
      <c r="A1339" s="2">
        <v>44801.946655092594</v>
      </c>
      <c r="B1339">
        <v>300405818</v>
      </c>
      <c r="C1339" t="s">
        <v>464</v>
      </c>
      <c r="D1339" t="s">
        <v>9</v>
      </c>
      <c r="E1339" s="3">
        <v>2000</v>
      </c>
      <c r="F1339" s="3">
        <v>2000</v>
      </c>
      <c r="G1339" s="3">
        <v>1400</v>
      </c>
      <c r="I1339" t="s">
        <v>176</v>
      </c>
      <c r="J1339" t="s">
        <v>40</v>
      </c>
      <c r="K1339" t="s">
        <v>11</v>
      </c>
      <c r="L1339" t="str">
        <f>T("9791191562903")</f>
        <v>9791191562903</v>
      </c>
    </row>
    <row r="1340" spans="1:12">
      <c r="A1340" s="2">
        <v>44801.952106481483</v>
      </c>
      <c r="B1340">
        <v>300405818</v>
      </c>
      <c r="C1340" t="s">
        <v>464</v>
      </c>
      <c r="D1340" t="s">
        <v>9</v>
      </c>
      <c r="E1340" s="3">
        <v>2000</v>
      </c>
      <c r="F1340" s="3">
        <v>2000</v>
      </c>
      <c r="G1340" s="3">
        <v>1400</v>
      </c>
      <c r="I1340" t="s">
        <v>176</v>
      </c>
      <c r="J1340" t="s">
        <v>40</v>
      </c>
      <c r="K1340" t="s">
        <v>11</v>
      </c>
      <c r="L1340" t="str">
        <f>T("9791191562903")</f>
        <v>9791191562903</v>
      </c>
    </row>
    <row r="1341" spans="1:12">
      <c r="A1341" s="2">
        <v>44801.959756944445</v>
      </c>
      <c r="B1341">
        <v>300405818</v>
      </c>
      <c r="C1341" t="s">
        <v>464</v>
      </c>
      <c r="D1341" t="s">
        <v>9</v>
      </c>
      <c r="E1341" s="3">
        <v>2000</v>
      </c>
      <c r="F1341" s="3">
        <v>2000</v>
      </c>
      <c r="G1341" s="3">
        <v>1400</v>
      </c>
      <c r="I1341" t="s">
        <v>176</v>
      </c>
      <c r="J1341" t="s">
        <v>40</v>
      </c>
      <c r="K1341" t="s">
        <v>11</v>
      </c>
      <c r="L1341" t="str">
        <f>T("9791191562903")</f>
        <v>9791191562903</v>
      </c>
    </row>
    <row r="1342" spans="1:12">
      <c r="A1342" s="2">
        <v>44801.964456018519</v>
      </c>
      <c r="B1342">
        <v>216848282</v>
      </c>
      <c r="C1342" t="s">
        <v>475</v>
      </c>
      <c r="D1342" t="s">
        <v>9</v>
      </c>
      <c r="E1342" s="3">
        <v>2500</v>
      </c>
      <c r="F1342" s="3">
        <v>2500</v>
      </c>
      <c r="G1342" s="3">
        <v>1750</v>
      </c>
      <c r="I1342" t="s">
        <v>62</v>
      </c>
      <c r="J1342" t="s">
        <v>17</v>
      </c>
      <c r="K1342" t="s">
        <v>11</v>
      </c>
      <c r="L1342" t="str">
        <f>T("9791164482986")</f>
        <v>9791164482986</v>
      </c>
    </row>
    <row r="1343" spans="1:12">
      <c r="A1343" s="2">
        <v>44801.964456018519</v>
      </c>
      <c r="B1343">
        <v>216848303</v>
      </c>
      <c r="C1343" t="s">
        <v>476</v>
      </c>
      <c r="D1343" t="s">
        <v>9</v>
      </c>
      <c r="E1343" s="3">
        <v>2500</v>
      </c>
      <c r="F1343" s="3">
        <v>2500</v>
      </c>
      <c r="G1343" s="3">
        <v>1750</v>
      </c>
      <c r="I1343" t="s">
        <v>62</v>
      </c>
      <c r="J1343" t="s">
        <v>17</v>
      </c>
      <c r="K1343" t="s">
        <v>11</v>
      </c>
      <c r="L1343" t="str">
        <f>T("9791164483198")</f>
        <v>9791164483198</v>
      </c>
    </row>
    <row r="1344" spans="1:12">
      <c r="A1344" s="2">
        <v>44801.965312499997</v>
      </c>
      <c r="B1344">
        <v>286405921</v>
      </c>
      <c r="C1344" t="s">
        <v>36</v>
      </c>
      <c r="D1344" t="s">
        <v>9</v>
      </c>
      <c r="E1344" s="3">
        <v>2500</v>
      </c>
      <c r="F1344" s="3">
        <v>2500</v>
      </c>
      <c r="G1344" s="3">
        <v>1750</v>
      </c>
      <c r="I1344" t="s">
        <v>34</v>
      </c>
      <c r="J1344" t="s">
        <v>40</v>
      </c>
      <c r="K1344" t="s">
        <v>11</v>
      </c>
      <c r="L1344" t="str">
        <f>T("9791196945268")</f>
        <v>9791196945268</v>
      </c>
    </row>
    <row r="1345" spans="1:12">
      <c r="A1345" s="2">
        <v>44801.976782407408</v>
      </c>
      <c r="B1345">
        <v>300204272</v>
      </c>
      <c r="C1345" t="s">
        <v>441</v>
      </c>
      <c r="D1345" t="s">
        <v>9</v>
      </c>
      <c r="E1345">
        <v>0</v>
      </c>
      <c r="F1345">
        <v>0</v>
      </c>
      <c r="G1345">
        <v>0</v>
      </c>
      <c r="I1345" t="s">
        <v>438</v>
      </c>
      <c r="J1345" t="s">
        <v>11</v>
      </c>
      <c r="K1345" t="s">
        <v>11</v>
      </c>
      <c r="L1345" t="str">
        <f>T("9791137604490")</f>
        <v>9791137604490</v>
      </c>
    </row>
    <row r="1346" spans="1:12">
      <c r="A1346" s="2">
        <v>44801.976944444446</v>
      </c>
      <c r="B1346">
        <v>282585770</v>
      </c>
      <c r="C1346" t="s">
        <v>74</v>
      </c>
      <c r="D1346" t="s">
        <v>9</v>
      </c>
      <c r="E1346" s="3">
        <v>3000</v>
      </c>
      <c r="F1346" s="3">
        <v>3000</v>
      </c>
      <c r="G1346" s="3">
        <v>2100</v>
      </c>
      <c r="I1346" t="s">
        <v>30</v>
      </c>
      <c r="J1346" t="s">
        <v>71</v>
      </c>
      <c r="K1346" t="s">
        <v>11</v>
      </c>
      <c r="L1346" t="str">
        <f>T("9791164374618")</f>
        <v>9791164374618</v>
      </c>
    </row>
    <row r="1347" spans="1:12">
      <c r="A1347" s="2">
        <v>44801.98269675926</v>
      </c>
      <c r="B1347">
        <v>296965886</v>
      </c>
      <c r="C1347" t="s">
        <v>151</v>
      </c>
      <c r="D1347" t="s">
        <v>9</v>
      </c>
      <c r="E1347" s="3">
        <v>2500</v>
      </c>
      <c r="F1347" s="3">
        <v>2500</v>
      </c>
      <c r="G1347" s="3">
        <v>1750</v>
      </c>
      <c r="I1347" t="s">
        <v>152</v>
      </c>
      <c r="J1347" t="s">
        <v>40</v>
      </c>
      <c r="K1347" t="s">
        <v>11</v>
      </c>
      <c r="L1347" t="str">
        <f>T("9791191562507")</f>
        <v>9791191562507</v>
      </c>
    </row>
    <row r="1348" spans="1:12">
      <c r="A1348" s="2">
        <v>44801.990266203706</v>
      </c>
      <c r="B1348">
        <v>299562124</v>
      </c>
      <c r="C1348" t="s">
        <v>369</v>
      </c>
      <c r="D1348" t="s">
        <v>9</v>
      </c>
      <c r="E1348" s="3">
        <v>2000</v>
      </c>
      <c r="F1348" s="3">
        <v>2000</v>
      </c>
      <c r="G1348" s="3">
        <v>1400</v>
      </c>
      <c r="I1348" t="s">
        <v>370</v>
      </c>
      <c r="J1348" t="s">
        <v>40</v>
      </c>
      <c r="K1348" t="s">
        <v>11</v>
      </c>
      <c r="L1348" t="str">
        <f>T("9791191562873")</f>
        <v>9791191562873</v>
      </c>
    </row>
    <row r="1349" spans="1:12">
      <c r="A1349" s="2">
        <v>44801.992303240739</v>
      </c>
      <c r="B1349">
        <v>300405818</v>
      </c>
      <c r="C1349" t="s">
        <v>464</v>
      </c>
      <c r="D1349" t="s">
        <v>9</v>
      </c>
      <c r="E1349" s="3">
        <v>2000</v>
      </c>
      <c r="F1349" s="3">
        <v>2000</v>
      </c>
      <c r="G1349" s="3">
        <v>1400</v>
      </c>
      <c r="I1349" t="s">
        <v>176</v>
      </c>
      <c r="J1349" t="s">
        <v>40</v>
      </c>
      <c r="K1349" t="s">
        <v>11</v>
      </c>
      <c r="L1349" t="str">
        <f>T("9791191562903")</f>
        <v>9791191562903</v>
      </c>
    </row>
    <row r="1350" spans="1:12">
      <c r="A1350" s="2">
        <v>44801.993101851855</v>
      </c>
      <c r="B1350">
        <v>292179681</v>
      </c>
      <c r="C1350" t="s">
        <v>81</v>
      </c>
      <c r="D1350" t="s">
        <v>9</v>
      </c>
      <c r="E1350" s="3">
        <v>2500</v>
      </c>
      <c r="F1350" s="3">
        <v>2500</v>
      </c>
      <c r="G1350" s="3">
        <v>1750</v>
      </c>
      <c r="I1350" t="s">
        <v>82</v>
      </c>
      <c r="J1350" t="s">
        <v>40</v>
      </c>
      <c r="K1350" t="s">
        <v>11</v>
      </c>
      <c r="L1350" t="str">
        <f>T("9791191562224")</f>
        <v>9791191562224</v>
      </c>
    </row>
    <row r="1351" spans="1:12">
      <c r="A1351" s="2">
        <v>44802.012280092589</v>
      </c>
      <c r="B1351">
        <v>300405818</v>
      </c>
      <c r="C1351" t="s">
        <v>464</v>
      </c>
      <c r="D1351" t="s">
        <v>9</v>
      </c>
      <c r="E1351" s="3">
        <v>2000</v>
      </c>
      <c r="F1351" s="3">
        <v>2000</v>
      </c>
      <c r="G1351" s="3">
        <v>1400</v>
      </c>
      <c r="I1351" t="s">
        <v>176</v>
      </c>
      <c r="J1351" t="s">
        <v>40</v>
      </c>
      <c r="K1351" t="s">
        <v>11</v>
      </c>
      <c r="L1351" t="str">
        <f>T("9791191562903")</f>
        <v>9791191562903</v>
      </c>
    </row>
    <row r="1352" spans="1:12">
      <c r="A1352" s="2">
        <v>44802.017476851855</v>
      </c>
      <c r="B1352">
        <v>54081867</v>
      </c>
      <c r="C1352" t="s">
        <v>300</v>
      </c>
      <c r="D1352" t="s">
        <v>9</v>
      </c>
      <c r="E1352">
        <v>0</v>
      </c>
      <c r="F1352">
        <v>0</v>
      </c>
      <c r="G1352">
        <v>0</v>
      </c>
      <c r="I1352" t="s">
        <v>13</v>
      </c>
      <c r="J1352" t="s">
        <v>11</v>
      </c>
      <c r="K1352" t="s">
        <v>11</v>
      </c>
      <c r="L1352" t="str">
        <f>T("9791195622535")</f>
        <v>9791195622535</v>
      </c>
    </row>
    <row r="1353" spans="1:12">
      <c r="A1353" s="2">
        <v>44802.017476851855</v>
      </c>
      <c r="B1353">
        <v>249362196</v>
      </c>
      <c r="C1353" t="s">
        <v>477</v>
      </c>
      <c r="D1353" t="s">
        <v>9</v>
      </c>
      <c r="E1353">
        <v>0</v>
      </c>
      <c r="F1353">
        <v>0</v>
      </c>
      <c r="G1353">
        <v>0</v>
      </c>
      <c r="I1353" t="s">
        <v>15</v>
      </c>
      <c r="J1353" t="s">
        <v>11</v>
      </c>
      <c r="K1353" t="s">
        <v>11</v>
      </c>
      <c r="L1353" t="str">
        <f>T("9791159287657")</f>
        <v>9791159287657</v>
      </c>
    </row>
    <row r="1354" spans="1:12">
      <c r="A1354" s="2">
        <v>44802.028738425928</v>
      </c>
      <c r="B1354">
        <v>223422657</v>
      </c>
      <c r="C1354" t="s">
        <v>166</v>
      </c>
      <c r="D1354" t="s">
        <v>9</v>
      </c>
      <c r="E1354">
        <v>0</v>
      </c>
      <c r="F1354">
        <v>0</v>
      </c>
      <c r="G1354">
        <v>0</v>
      </c>
      <c r="I1354" t="s">
        <v>18</v>
      </c>
      <c r="J1354" t="s">
        <v>17</v>
      </c>
      <c r="K1354" t="s">
        <v>11</v>
      </c>
      <c r="L1354" t="str">
        <f>T("9791164486069")</f>
        <v>9791164486069</v>
      </c>
    </row>
    <row r="1355" spans="1:12">
      <c r="A1355" s="2">
        <v>44802.080243055556</v>
      </c>
      <c r="B1355">
        <v>223422658</v>
      </c>
      <c r="C1355" t="s">
        <v>167</v>
      </c>
      <c r="D1355" t="s">
        <v>12</v>
      </c>
      <c r="E1355">
        <v>900</v>
      </c>
      <c r="F1355">
        <v>900</v>
      </c>
      <c r="G1355">
        <v>630</v>
      </c>
      <c r="I1355" t="s">
        <v>18</v>
      </c>
      <c r="J1355" t="s">
        <v>17</v>
      </c>
      <c r="K1355" t="s">
        <v>11</v>
      </c>
      <c r="L1355" t="str">
        <f>T("9791164486076")</f>
        <v>9791164486076</v>
      </c>
    </row>
    <row r="1356" spans="1:12">
      <c r="A1356" s="2">
        <v>44802.080243055556</v>
      </c>
      <c r="B1356">
        <v>223422659</v>
      </c>
      <c r="C1356" t="s">
        <v>177</v>
      </c>
      <c r="D1356" t="s">
        <v>12</v>
      </c>
      <c r="E1356">
        <v>900</v>
      </c>
      <c r="F1356">
        <v>900</v>
      </c>
      <c r="G1356">
        <v>630</v>
      </c>
      <c r="I1356" t="s">
        <v>18</v>
      </c>
      <c r="J1356" t="s">
        <v>17</v>
      </c>
      <c r="K1356" t="s">
        <v>11</v>
      </c>
      <c r="L1356" t="str">
        <f>T("9791164486083")</f>
        <v>9791164486083</v>
      </c>
    </row>
    <row r="1357" spans="1:12">
      <c r="A1357" s="2">
        <v>44802.166851851849</v>
      </c>
      <c r="B1357">
        <v>291088925</v>
      </c>
      <c r="C1357" t="s">
        <v>58</v>
      </c>
      <c r="D1357" t="s">
        <v>9</v>
      </c>
      <c r="E1357" s="3">
        <v>2000</v>
      </c>
      <c r="F1357" s="3">
        <v>2000</v>
      </c>
      <c r="G1357" s="3">
        <v>1400</v>
      </c>
      <c r="I1357" t="s">
        <v>59</v>
      </c>
      <c r="J1357" t="s">
        <v>40</v>
      </c>
      <c r="K1357" t="s">
        <v>11</v>
      </c>
      <c r="L1357" t="str">
        <f>T("9791191562187")</f>
        <v>9791191562187</v>
      </c>
    </row>
    <row r="1358" spans="1:12">
      <c r="A1358" s="2">
        <v>44802.362916666665</v>
      </c>
      <c r="B1358">
        <v>223422661</v>
      </c>
      <c r="C1358" t="s">
        <v>178</v>
      </c>
      <c r="D1358" t="s">
        <v>12</v>
      </c>
      <c r="E1358">
        <v>900</v>
      </c>
      <c r="F1358">
        <v>900</v>
      </c>
      <c r="G1358">
        <v>630</v>
      </c>
      <c r="I1358" t="s">
        <v>18</v>
      </c>
      <c r="J1358" t="s">
        <v>17</v>
      </c>
      <c r="K1358" t="s">
        <v>11</v>
      </c>
      <c r="L1358" t="str">
        <f>T("9791164486090")</f>
        <v>9791164486090</v>
      </c>
    </row>
    <row r="1359" spans="1:12">
      <c r="A1359" s="2">
        <v>44802.362916666665</v>
      </c>
      <c r="B1359">
        <v>223422664</v>
      </c>
      <c r="C1359" t="s">
        <v>197</v>
      </c>
      <c r="D1359" t="s">
        <v>12</v>
      </c>
      <c r="E1359">
        <v>900</v>
      </c>
      <c r="F1359">
        <v>900</v>
      </c>
      <c r="G1359">
        <v>630</v>
      </c>
      <c r="I1359" t="s">
        <v>18</v>
      </c>
      <c r="J1359" t="s">
        <v>17</v>
      </c>
      <c r="K1359" t="s">
        <v>11</v>
      </c>
      <c r="L1359" t="str">
        <f>T("9791164486120")</f>
        <v>9791164486120</v>
      </c>
    </row>
    <row r="1360" spans="1:12">
      <c r="A1360" s="2">
        <v>44802.362916666665</v>
      </c>
      <c r="B1360">
        <v>223422666</v>
      </c>
      <c r="C1360" t="s">
        <v>199</v>
      </c>
      <c r="D1360" t="s">
        <v>12</v>
      </c>
      <c r="E1360">
        <v>900</v>
      </c>
      <c r="F1360">
        <v>900</v>
      </c>
      <c r="G1360">
        <v>630</v>
      </c>
      <c r="I1360" t="s">
        <v>18</v>
      </c>
      <c r="J1360" t="s">
        <v>17</v>
      </c>
      <c r="K1360" t="s">
        <v>11</v>
      </c>
      <c r="L1360" t="str">
        <f>T("9791164486137")</f>
        <v>9791164486137</v>
      </c>
    </row>
    <row r="1361" spans="1:12">
      <c r="A1361" s="2">
        <v>44802.362916666665</v>
      </c>
      <c r="B1361">
        <v>223422662</v>
      </c>
      <c r="C1361" t="s">
        <v>179</v>
      </c>
      <c r="D1361" t="s">
        <v>12</v>
      </c>
      <c r="E1361">
        <v>900</v>
      </c>
      <c r="F1361">
        <v>900</v>
      </c>
      <c r="G1361">
        <v>630</v>
      </c>
      <c r="I1361" t="s">
        <v>18</v>
      </c>
      <c r="J1361" t="s">
        <v>17</v>
      </c>
      <c r="K1361" t="s">
        <v>11</v>
      </c>
      <c r="L1361" t="str">
        <f>T("9791164486106")</f>
        <v>9791164486106</v>
      </c>
    </row>
    <row r="1362" spans="1:12">
      <c r="A1362" s="2">
        <v>44802.362916666665</v>
      </c>
      <c r="B1362">
        <v>223422663</v>
      </c>
      <c r="C1362" t="s">
        <v>196</v>
      </c>
      <c r="D1362" t="s">
        <v>12</v>
      </c>
      <c r="E1362">
        <v>900</v>
      </c>
      <c r="F1362">
        <v>900</v>
      </c>
      <c r="G1362">
        <v>630</v>
      </c>
      <c r="I1362" t="s">
        <v>18</v>
      </c>
      <c r="J1362" t="s">
        <v>17</v>
      </c>
      <c r="K1362" t="s">
        <v>11</v>
      </c>
      <c r="L1362" t="str">
        <f>T("9791164486113")</f>
        <v>9791164486113</v>
      </c>
    </row>
    <row r="1363" spans="1:12">
      <c r="A1363" s="2">
        <v>44802.395601851851</v>
      </c>
      <c r="B1363">
        <v>300405818</v>
      </c>
      <c r="C1363" t="s">
        <v>464</v>
      </c>
      <c r="D1363" t="s">
        <v>9</v>
      </c>
      <c r="E1363" s="3">
        <v>2000</v>
      </c>
      <c r="F1363" s="3">
        <v>2000</v>
      </c>
      <c r="G1363" s="3">
        <v>1400</v>
      </c>
      <c r="I1363" t="s">
        <v>176</v>
      </c>
      <c r="J1363" t="s">
        <v>40</v>
      </c>
      <c r="K1363" t="s">
        <v>11</v>
      </c>
      <c r="L1363" t="str">
        <f>T("9791191562903")</f>
        <v>9791191562903</v>
      </c>
    </row>
    <row r="1364" spans="1:12">
      <c r="A1364" s="2">
        <v>44802.402442129627</v>
      </c>
      <c r="B1364">
        <v>295836446</v>
      </c>
      <c r="C1364" t="s">
        <v>129</v>
      </c>
      <c r="D1364" t="s">
        <v>9</v>
      </c>
      <c r="E1364" s="3">
        <v>2000</v>
      </c>
      <c r="F1364" s="3">
        <v>2000</v>
      </c>
      <c r="G1364" s="3">
        <v>1400</v>
      </c>
      <c r="I1364" t="s">
        <v>59</v>
      </c>
      <c r="J1364" t="s">
        <v>40</v>
      </c>
      <c r="K1364" t="s">
        <v>11</v>
      </c>
      <c r="L1364" t="str">
        <f>T("9791191562798")</f>
        <v>9791191562798</v>
      </c>
    </row>
    <row r="1365" spans="1:12">
      <c r="A1365" s="2">
        <v>44802.41170138889</v>
      </c>
      <c r="B1365">
        <v>250623303</v>
      </c>
      <c r="C1365" t="s">
        <v>478</v>
      </c>
      <c r="D1365" t="s">
        <v>9</v>
      </c>
      <c r="E1365" s="3">
        <v>2800</v>
      </c>
      <c r="F1365" s="3">
        <v>2800</v>
      </c>
      <c r="G1365" s="3">
        <v>1960</v>
      </c>
      <c r="I1365" t="s">
        <v>479</v>
      </c>
      <c r="J1365" t="s">
        <v>45</v>
      </c>
      <c r="K1365" t="s">
        <v>11</v>
      </c>
      <c r="L1365" t="str">
        <f>T("9791164899302")</f>
        <v>9791164899302</v>
      </c>
    </row>
    <row r="1366" spans="1:12">
      <c r="A1366" s="2">
        <v>44802.435937499999</v>
      </c>
      <c r="B1366">
        <v>300405818</v>
      </c>
      <c r="C1366" t="s">
        <v>464</v>
      </c>
      <c r="D1366" t="s">
        <v>9</v>
      </c>
      <c r="E1366" s="3">
        <v>2000</v>
      </c>
      <c r="F1366" s="3">
        <v>2000</v>
      </c>
      <c r="G1366" s="3">
        <v>1400</v>
      </c>
      <c r="I1366" t="s">
        <v>176</v>
      </c>
      <c r="J1366" t="s">
        <v>40</v>
      </c>
      <c r="K1366" t="s">
        <v>11</v>
      </c>
      <c r="L1366" t="str">
        <f>T("9791191562903")</f>
        <v>9791191562903</v>
      </c>
    </row>
    <row r="1367" spans="1:12">
      <c r="A1367" s="2">
        <v>44802.449664351851</v>
      </c>
      <c r="B1367">
        <v>300405818</v>
      </c>
      <c r="C1367" t="s">
        <v>464</v>
      </c>
      <c r="D1367" t="s">
        <v>9</v>
      </c>
      <c r="E1367" s="3">
        <v>2000</v>
      </c>
      <c r="F1367" s="3">
        <v>2000</v>
      </c>
      <c r="G1367" s="3">
        <v>1400</v>
      </c>
      <c r="I1367" t="s">
        <v>176</v>
      </c>
      <c r="J1367" t="s">
        <v>40</v>
      </c>
      <c r="K1367" t="s">
        <v>11</v>
      </c>
      <c r="L1367" t="str">
        <f>T("9791191562903")</f>
        <v>9791191562903</v>
      </c>
    </row>
    <row r="1368" spans="1:12">
      <c r="A1368" s="2">
        <v>44802.561909722222</v>
      </c>
      <c r="B1368">
        <v>287086652</v>
      </c>
      <c r="C1368" t="s">
        <v>33</v>
      </c>
      <c r="D1368" t="s">
        <v>9</v>
      </c>
      <c r="E1368" s="3">
        <v>2000</v>
      </c>
      <c r="F1368" s="3">
        <v>2000</v>
      </c>
      <c r="G1368" s="3">
        <v>1400</v>
      </c>
      <c r="I1368" t="s">
        <v>30</v>
      </c>
      <c r="J1368" t="s">
        <v>40</v>
      </c>
      <c r="K1368" t="s">
        <v>11</v>
      </c>
      <c r="L1368" t="str">
        <f>T("9791191562033")</f>
        <v>9791191562033</v>
      </c>
    </row>
    <row r="1369" spans="1:12">
      <c r="A1369" s="2">
        <v>44802.564872685187</v>
      </c>
      <c r="B1369">
        <v>300405818</v>
      </c>
      <c r="C1369" t="s">
        <v>464</v>
      </c>
      <c r="D1369" t="s">
        <v>9</v>
      </c>
      <c r="E1369" s="3">
        <v>2000</v>
      </c>
      <c r="F1369" s="3">
        <v>2000</v>
      </c>
      <c r="G1369" s="3">
        <v>1400</v>
      </c>
      <c r="I1369" t="s">
        <v>176</v>
      </c>
      <c r="J1369" t="s">
        <v>40</v>
      </c>
      <c r="K1369" t="s">
        <v>11</v>
      </c>
      <c r="L1369" t="str">
        <f>T("9791191562903")</f>
        <v>9791191562903</v>
      </c>
    </row>
    <row r="1370" spans="1:12">
      <c r="A1370" s="2">
        <v>44802.59070601852</v>
      </c>
      <c r="B1370">
        <v>293484295</v>
      </c>
      <c r="C1370" t="s">
        <v>106</v>
      </c>
      <c r="D1370" t="s">
        <v>9</v>
      </c>
      <c r="E1370" s="3">
        <v>3500</v>
      </c>
      <c r="F1370" s="3">
        <v>3500</v>
      </c>
      <c r="G1370" s="3">
        <v>2450</v>
      </c>
      <c r="I1370" t="s">
        <v>107</v>
      </c>
      <c r="J1370" t="s">
        <v>40</v>
      </c>
      <c r="K1370" t="s">
        <v>11</v>
      </c>
      <c r="L1370" t="str">
        <f>T("9791191562330")</f>
        <v>9791191562330</v>
      </c>
    </row>
    <row r="1371" spans="1:12">
      <c r="A1371" s="2">
        <v>44802.590937499997</v>
      </c>
      <c r="B1371">
        <v>286265839</v>
      </c>
      <c r="C1371" t="s">
        <v>480</v>
      </c>
      <c r="D1371" t="s">
        <v>9</v>
      </c>
      <c r="E1371">
        <v>0</v>
      </c>
      <c r="F1371">
        <v>0</v>
      </c>
      <c r="G1371">
        <v>0</v>
      </c>
      <c r="I1371" t="s">
        <v>20</v>
      </c>
      <c r="J1371" t="s">
        <v>17</v>
      </c>
      <c r="K1371" t="s">
        <v>11</v>
      </c>
      <c r="L1371" t="str">
        <f>T("9791164483204")</f>
        <v>9791164483204</v>
      </c>
    </row>
    <row r="1372" spans="1:12">
      <c r="A1372" s="2">
        <v>44802.590937499997</v>
      </c>
      <c r="B1372">
        <v>286265891</v>
      </c>
      <c r="C1372" t="s">
        <v>481</v>
      </c>
      <c r="D1372" t="s">
        <v>12</v>
      </c>
      <c r="E1372">
        <v>900</v>
      </c>
      <c r="F1372">
        <v>900</v>
      </c>
      <c r="G1372">
        <v>630</v>
      </c>
      <c r="I1372" t="s">
        <v>20</v>
      </c>
      <c r="J1372" t="s">
        <v>17</v>
      </c>
      <c r="K1372" t="s">
        <v>11</v>
      </c>
      <c r="L1372" t="str">
        <f>T("9791164483211")</f>
        <v>9791164483211</v>
      </c>
    </row>
    <row r="1373" spans="1:12">
      <c r="A1373" s="2">
        <v>44802.590937499997</v>
      </c>
      <c r="B1373">
        <v>286265894</v>
      </c>
      <c r="C1373" t="s">
        <v>482</v>
      </c>
      <c r="D1373" t="s">
        <v>12</v>
      </c>
      <c r="E1373">
        <v>900</v>
      </c>
      <c r="F1373">
        <v>900</v>
      </c>
      <c r="G1373">
        <v>630</v>
      </c>
      <c r="I1373" t="s">
        <v>20</v>
      </c>
      <c r="J1373" t="s">
        <v>17</v>
      </c>
      <c r="K1373" t="s">
        <v>11</v>
      </c>
      <c r="L1373" t="str">
        <f>T("9791164483228")</f>
        <v>9791164483228</v>
      </c>
    </row>
    <row r="1374" spans="1:12">
      <c r="A1374" s="2">
        <v>44802.590937499997</v>
      </c>
      <c r="B1374">
        <v>246862964</v>
      </c>
      <c r="C1374" t="s">
        <v>483</v>
      </c>
      <c r="D1374" t="s">
        <v>12</v>
      </c>
      <c r="E1374">
        <v>900</v>
      </c>
      <c r="F1374">
        <v>900</v>
      </c>
      <c r="G1374">
        <v>630</v>
      </c>
      <c r="I1374" t="s">
        <v>20</v>
      </c>
      <c r="J1374" t="s">
        <v>17</v>
      </c>
      <c r="K1374" t="s">
        <v>11</v>
      </c>
      <c r="L1374" t="str">
        <f>T("9791164481668")</f>
        <v>9791164481668</v>
      </c>
    </row>
    <row r="1375" spans="1:12">
      <c r="A1375" s="2">
        <v>44802.590937499997</v>
      </c>
      <c r="B1375">
        <v>246862965</v>
      </c>
      <c r="C1375" t="s">
        <v>484</v>
      </c>
      <c r="D1375" t="s">
        <v>12</v>
      </c>
      <c r="E1375">
        <v>900</v>
      </c>
      <c r="F1375">
        <v>900</v>
      </c>
      <c r="G1375">
        <v>630</v>
      </c>
      <c r="I1375" t="s">
        <v>20</v>
      </c>
      <c r="J1375" t="s">
        <v>17</v>
      </c>
      <c r="K1375" t="s">
        <v>11</v>
      </c>
      <c r="L1375" t="str">
        <f>T("9791164481699")</f>
        <v>9791164481699</v>
      </c>
    </row>
    <row r="1376" spans="1:12">
      <c r="A1376" s="2">
        <v>44802.590937499997</v>
      </c>
      <c r="B1376">
        <v>246862966</v>
      </c>
      <c r="C1376" t="s">
        <v>485</v>
      </c>
      <c r="D1376" t="s">
        <v>12</v>
      </c>
      <c r="E1376">
        <v>900</v>
      </c>
      <c r="F1376">
        <v>900</v>
      </c>
      <c r="G1376">
        <v>630</v>
      </c>
      <c r="I1376" t="s">
        <v>20</v>
      </c>
      <c r="J1376" t="s">
        <v>17</v>
      </c>
      <c r="K1376" t="s">
        <v>11</v>
      </c>
      <c r="L1376" t="str">
        <f>T("9791164481682")</f>
        <v>9791164481682</v>
      </c>
    </row>
    <row r="1377" spans="1:12">
      <c r="A1377" s="2">
        <v>44802.590937499997</v>
      </c>
      <c r="B1377">
        <v>246862968</v>
      </c>
      <c r="C1377" t="s">
        <v>486</v>
      </c>
      <c r="D1377" t="s">
        <v>12</v>
      </c>
      <c r="E1377">
        <v>900</v>
      </c>
      <c r="F1377">
        <v>900</v>
      </c>
      <c r="G1377">
        <v>630</v>
      </c>
      <c r="I1377" t="s">
        <v>20</v>
      </c>
      <c r="J1377" t="s">
        <v>17</v>
      </c>
      <c r="K1377" t="s">
        <v>11</v>
      </c>
      <c r="L1377" t="str">
        <f>T("9791164481675")</f>
        <v>9791164481675</v>
      </c>
    </row>
    <row r="1378" spans="1:12">
      <c r="A1378" s="2">
        <v>44802.600185185183</v>
      </c>
      <c r="B1378">
        <v>294229008</v>
      </c>
      <c r="C1378" t="s">
        <v>487</v>
      </c>
      <c r="D1378" t="s">
        <v>9</v>
      </c>
      <c r="E1378" s="3">
        <v>1500</v>
      </c>
      <c r="F1378" s="3">
        <v>1500</v>
      </c>
      <c r="G1378" s="3">
        <v>1050</v>
      </c>
      <c r="I1378" t="s">
        <v>123</v>
      </c>
      <c r="J1378" t="s">
        <v>271</v>
      </c>
      <c r="K1378" t="s">
        <v>11</v>
      </c>
      <c r="L1378" t="str">
        <f>T("9791137603462")</f>
        <v>9791137603462</v>
      </c>
    </row>
    <row r="1379" spans="1:12">
      <c r="A1379" s="2">
        <v>44802.674375000002</v>
      </c>
      <c r="B1379">
        <v>298014671</v>
      </c>
      <c r="C1379" t="s">
        <v>231</v>
      </c>
      <c r="D1379" t="s">
        <v>9</v>
      </c>
      <c r="E1379" s="3">
        <v>2500</v>
      </c>
      <c r="F1379" s="3">
        <v>2500</v>
      </c>
      <c r="G1379" s="3">
        <v>1750</v>
      </c>
      <c r="I1379" t="s">
        <v>100</v>
      </c>
      <c r="J1379" t="s">
        <v>40</v>
      </c>
      <c r="K1379" t="s">
        <v>11</v>
      </c>
      <c r="L1379" t="str">
        <f>T("9791191562835")</f>
        <v>9791191562835</v>
      </c>
    </row>
    <row r="1380" spans="1:12">
      <c r="A1380" s="2">
        <v>44802.674375000002</v>
      </c>
      <c r="B1380">
        <v>300405818</v>
      </c>
      <c r="C1380" t="s">
        <v>464</v>
      </c>
      <c r="D1380" t="s">
        <v>9</v>
      </c>
      <c r="E1380" s="3">
        <v>2000</v>
      </c>
      <c r="F1380" s="3">
        <v>2000</v>
      </c>
      <c r="G1380" s="3">
        <v>1400</v>
      </c>
      <c r="I1380" t="s">
        <v>176</v>
      </c>
      <c r="J1380" t="s">
        <v>40</v>
      </c>
      <c r="K1380" t="s">
        <v>11</v>
      </c>
      <c r="L1380" t="str">
        <f>T("9791191562903")</f>
        <v>9791191562903</v>
      </c>
    </row>
    <row r="1381" spans="1:12">
      <c r="A1381" s="2">
        <v>44802.681134259263</v>
      </c>
      <c r="B1381">
        <v>293771607</v>
      </c>
      <c r="C1381" t="s">
        <v>292</v>
      </c>
      <c r="D1381" t="s">
        <v>9</v>
      </c>
      <c r="E1381" s="3">
        <v>2500</v>
      </c>
      <c r="F1381" s="3">
        <v>2500</v>
      </c>
      <c r="G1381" s="3">
        <v>1750</v>
      </c>
      <c r="I1381" t="s">
        <v>293</v>
      </c>
      <c r="J1381" t="s">
        <v>40</v>
      </c>
      <c r="K1381" t="s">
        <v>11</v>
      </c>
      <c r="L1381" t="str">
        <f>T("9791191562323")</f>
        <v>9791191562323</v>
      </c>
    </row>
    <row r="1382" spans="1:12">
      <c r="A1382" s="2">
        <v>44802.681805555556</v>
      </c>
      <c r="B1382">
        <v>291088925</v>
      </c>
      <c r="C1382" t="s">
        <v>58</v>
      </c>
      <c r="D1382" t="s">
        <v>9</v>
      </c>
      <c r="E1382" s="3">
        <v>2000</v>
      </c>
      <c r="F1382" s="3">
        <v>2000</v>
      </c>
      <c r="G1382" s="3">
        <v>1400</v>
      </c>
      <c r="I1382" t="s">
        <v>59</v>
      </c>
      <c r="J1382" t="s">
        <v>40</v>
      </c>
      <c r="K1382" t="s">
        <v>11</v>
      </c>
      <c r="L1382" t="str">
        <f>T("9791191562187")</f>
        <v>9791191562187</v>
      </c>
    </row>
    <row r="1383" spans="1:12">
      <c r="A1383" s="2">
        <v>44802.681851851848</v>
      </c>
      <c r="B1383">
        <v>300405818</v>
      </c>
      <c r="C1383" t="s">
        <v>464</v>
      </c>
      <c r="D1383" t="s">
        <v>9</v>
      </c>
      <c r="E1383" s="3">
        <v>2000</v>
      </c>
      <c r="F1383" s="3">
        <v>2000</v>
      </c>
      <c r="G1383" s="3">
        <v>1400</v>
      </c>
      <c r="I1383" t="s">
        <v>176</v>
      </c>
      <c r="J1383" t="s">
        <v>40</v>
      </c>
      <c r="K1383" t="s">
        <v>11</v>
      </c>
      <c r="L1383" t="str">
        <f>T("9791191562903")</f>
        <v>9791191562903</v>
      </c>
    </row>
    <row r="1384" spans="1:12">
      <c r="A1384" s="2">
        <v>44802.681979166664</v>
      </c>
      <c r="B1384">
        <v>287366429</v>
      </c>
      <c r="C1384" t="s">
        <v>210</v>
      </c>
      <c r="D1384" t="s">
        <v>9</v>
      </c>
      <c r="E1384" s="3">
        <v>2000</v>
      </c>
      <c r="F1384" s="3">
        <v>2000</v>
      </c>
      <c r="G1384" s="3">
        <v>1400</v>
      </c>
      <c r="I1384" t="s">
        <v>31</v>
      </c>
      <c r="J1384" t="s">
        <v>40</v>
      </c>
      <c r="K1384" t="s">
        <v>11</v>
      </c>
      <c r="L1384" t="str">
        <f>T("9791196945299")</f>
        <v>9791196945299</v>
      </c>
    </row>
    <row r="1385" spans="1:12">
      <c r="A1385" s="2">
        <v>44802.704571759263</v>
      </c>
      <c r="B1385">
        <v>291088925</v>
      </c>
      <c r="C1385" t="s">
        <v>58</v>
      </c>
      <c r="D1385" t="s">
        <v>9</v>
      </c>
      <c r="E1385" s="3">
        <v>2000</v>
      </c>
      <c r="F1385" s="3">
        <v>2000</v>
      </c>
      <c r="G1385" s="3">
        <v>1400</v>
      </c>
      <c r="I1385" t="s">
        <v>59</v>
      </c>
      <c r="J1385" t="s">
        <v>40</v>
      </c>
      <c r="K1385" t="s">
        <v>11</v>
      </c>
      <c r="L1385" t="str">
        <f>T("9791191562187")</f>
        <v>9791191562187</v>
      </c>
    </row>
    <row r="1386" spans="1:12">
      <c r="A1386" s="2">
        <v>44802.713819444441</v>
      </c>
      <c r="B1386">
        <v>297620121</v>
      </c>
      <c r="C1386" t="s">
        <v>205</v>
      </c>
      <c r="D1386" t="s">
        <v>9</v>
      </c>
      <c r="E1386" s="3">
        <v>2000</v>
      </c>
      <c r="F1386" s="3">
        <v>2000</v>
      </c>
      <c r="G1386" s="3">
        <v>1400</v>
      </c>
      <c r="I1386" t="s">
        <v>29</v>
      </c>
      <c r="J1386" t="s">
        <v>40</v>
      </c>
      <c r="K1386" t="s">
        <v>11</v>
      </c>
      <c r="L1386" t="str">
        <f>T("9791191562484")</f>
        <v>9791191562484</v>
      </c>
    </row>
    <row r="1387" spans="1:12">
      <c r="A1387" s="2">
        <v>44802.720601851855</v>
      </c>
      <c r="B1387">
        <v>296507184</v>
      </c>
      <c r="C1387" t="s">
        <v>134</v>
      </c>
      <c r="D1387" t="s">
        <v>9</v>
      </c>
      <c r="E1387" s="3">
        <v>2000</v>
      </c>
      <c r="F1387" s="3">
        <v>2000</v>
      </c>
      <c r="G1387" s="3">
        <v>1400</v>
      </c>
      <c r="I1387" t="s">
        <v>135</v>
      </c>
      <c r="J1387" t="s">
        <v>40</v>
      </c>
      <c r="K1387" t="s">
        <v>11</v>
      </c>
      <c r="L1387" t="str">
        <f>T("9791191562828")</f>
        <v>9791191562828</v>
      </c>
    </row>
    <row r="1388" spans="1:12">
      <c r="A1388" s="2">
        <v>44802.767905092594</v>
      </c>
      <c r="B1388">
        <v>296103744</v>
      </c>
      <c r="C1388" t="s">
        <v>130</v>
      </c>
      <c r="D1388" t="s">
        <v>9</v>
      </c>
      <c r="E1388" s="3">
        <v>2000</v>
      </c>
      <c r="F1388" s="3">
        <v>2000</v>
      </c>
      <c r="G1388" s="3">
        <v>1400</v>
      </c>
      <c r="I1388" t="s">
        <v>30</v>
      </c>
      <c r="J1388" t="s">
        <v>40</v>
      </c>
      <c r="K1388" t="s">
        <v>11</v>
      </c>
      <c r="L1388" t="str">
        <f>T("9791191562538")</f>
        <v>9791191562538</v>
      </c>
    </row>
    <row r="1389" spans="1:12">
      <c r="A1389" s="2">
        <v>44802.79346064815</v>
      </c>
      <c r="B1389">
        <v>248354900</v>
      </c>
      <c r="C1389" t="s">
        <v>488</v>
      </c>
      <c r="D1389" t="s">
        <v>9</v>
      </c>
      <c r="E1389">
        <v>0</v>
      </c>
      <c r="F1389">
        <v>0</v>
      </c>
      <c r="G1389">
        <v>0</v>
      </c>
      <c r="I1389" t="s">
        <v>18</v>
      </c>
      <c r="J1389" t="s">
        <v>17</v>
      </c>
      <c r="K1389" t="s">
        <v>11</v>
      </c>
      <c r="L1389" t="str">
        <f>T("9791164489817")</f>
        <v>9791164489817</v>
      </c>
    </row>
    <row r="1390" spans="1:12">
      <c r="A1390" s="2">
        <v>44802.793726851851</v>
      </c>
      <c r="B1390">
        <v>248354935</v>
      </c>
      <c r="C1390" t="s">
        <v>489</v>
      </c>
      <c r="D1390" t="s">
        <v>12</v>
      </c>
      <c r="E1390">
        <v>0</v>
      </c>
      <c r="F1390">
        <v>0</v>
      </c>
      <c r="G1390">
        <v>0</v>
      </c>
      <c r="I1390" t="s">
        <v>18</v>
      </c>
      <c r="J1390" t="s">
        <v>17</v>
      </c>
      <c r="K1390" t="s">
        <v>11</v>
      </c>
      <c r="L1390" t="str">
        <f>T("9791164489671")</f>
        <v>9791164489671</v>
      </c>
    </row>
    <row r="1391" spans="1:12">
      <c r="A1391" s="2">
        <v>44802.80972222222</v>
      </c>
      <c r="B1391">
        <v>298750948</v>
      </c>
      <c r="C1391" t="s">
        <v>259</v>
      </c>
      <c r="D1391" t="s">
        <v>9</v>
      </c>
      <c r="E1391" s="3">
        <v>3500</v>
      </c>
      <c r="F1391" s="3">
        <v>3500</v>
      </c>
      <c r="G1391" s="3">
        <v>2450</v>
      </c>
      <c r="I1391" t="s">
        <v>38</v>
      </c>
      <c r="J1391" t="s">
        <v>40</v>
      </c>
      <c r="K1391" t="s">
        <v>11</v>
      </c>
      <c r="L1391" t="str">
        <f>T("9791191562866")</f>
        <v>9791191562866</v>
      </c>
    </row>
    <row r="1392" spans="1:12">
      <c r="A1392" s="2">
        <v>44802.851666666669</v>
      </c>
      <c r="B1392">
        <v>143090643</v>
      </c>
      <c r="C1392" t="s">
        <v>490</v>
      </c>
      <c r="D1392" t="s">
        <v>9</v>
      </c>
      <c r="E1392" s="3">
        <v>2500</v>
      </c>
      <c r="F1392" s="3">
        <v>2500</v>
      </c>
      <c r="G1392" s="3">
        <v>1750</v>
      </c>
      <c r="I1392" t="s">
        <v>491</v>
      </c>
      <c r="J1392" t="s">
        <v>492</v>
      </c>
      <c r="K1392" t="s">
        <v>11</v>
      </c>
      <c r="L1392" t="str">
        <f>T("9791161886954")</f>
        <v>9791161886954</v>
      </c>
    </row>
    <row r="1393" spans="1:12">
      <c r="A1393" s="2">
        <v>44802.868391203701</v>
      </c>
      <c r="B1393">
        <v>300204288</v>
      </c>
      <c r="C1393" t="s">
        <v>439</v>
      </c>
      <c r="D1393" t="s">
        <v>9</v>
      </c>
      <c r="E1393">
        <v>0</v>
      </c>
      <c r="F1393">
        <v>0</v>
      </c>
      <c r="G1393">
        <v>0</v>
      </c>
      <c r="I1393" t="s">
        <v>440</v>
      </c>
      <c r="J1393" t="s">
        <v>11</v>
      </c>
      <c r="K1393" t="s">
        <v>11</v>
      </c>
      <c r="L1393" t="str">
        <f>T("9791137605268")</f>
        <v>9791137605268</v>
      </c>
    </row>
    <row r="1394" spans="1:12">
      <c r="A1394" s="2">
        <v>44802.870486111111</v>
      </c>
      <c r="B1394">
        <v>298750948</v>
      </c>
      <c r="C1394" t="s">
        <v>259</v>
      </c>
      <c r="D1394" t="s">
        <v>9</v>
      </c>
      <c r="E1394" s="3">
        <v>3500</v>
      </c>
      <c r="F1394" s="3">
        <v>3500</v>
      </c>
      <c r="G1394" s="3">
        <v>2450</v>
      </c>
      <c r="I1394" t="s">
        <v>38</v>
      </c>
      <c r="J1394" t="s">
        <v>40</v>
      </c>
      <c r="K1394" t="s">
        <v>11</v>
      </c>
      <c r="L1394" t="str">
        <f>T("9791191562866")</f>
        <v>9791191562866</v>
      </c>
    </row>
    <row r="1395" spans="1:12">
      <c r="A1395" s="2">
        <v>44802.887071759258</v>
      </c>
      <c r="B1395">
        <v>300405818</v>
      </c>
      <c r="C1395" t="s">
        <v>464</v>
      </c>
      <c r="D1395" t="s">
        <v>9</v>
      </c>
      <c r="E1395" s="3">
        <v>2000</v>
      </c>
      <c r="F1395" s="3">
        <v>2000</v>
      </c>
      <c r="G1395" s="3">
        <v>1400</v>
      </c>
      <c r="I1395" t="s">
        <v>176</v>
      </c>
      <c r="J1395" t="s">
        <v>40</v>
      </c>
      <c r="K1395" t="s">
        <v>11</v>
      </c>
      <c r="L1395" t="str">
        <f>T("9791191562903")</f>
        <v>9791191562903</v>
      </c>
    </row>
    <row r="1396" spans="1:12">
      <c r="A1396" s="2">
        <v>44802.892268518517</v>
      </c>
      <c r="B1396">
        <v>300405818</v>
      </c>
      <c r="C1396" t="s">
        <v>464</v>
      </c>
      <c r="D1396" t="s">
        <v>9</v>
      </c>
      <c r="E1396" s="3">
        <v>2000</v>
      </c>
      <c r="F1396" s="3">
        <v>2000</v>
      </c>
      <c r="G1396" s="3">
        <v>1400</v>
      </c>
      <c r="I1396" t="s">
        <v>176</v>
      </c>
      <c r="J1396" t="s">
        <v>40</v>
      </c>
      <c r="K1396" t="s">
        <v>11</v>
      </c>
      <c r="L1396" t="str">
        <f>T("9791191562903")</f>
        <v>9791191562903</v>
      </c>
    </row>
    <row r="1397" spans="1:12">
      <c r="A1397" s="2">
        <v>44802.895775462966</v>
      </c>
      <c r="B1397">
        <v>300405818</v>
      </c>
      <c r="C1397" t="s">
        <v>464</v>
      </c>
      <c r="D1397" t="s">
        <v>9</v>
      </c>
      <c r="E1397" s="3">
        <v>2000</v>
      </c>
      <c r="F1397" s="3">
        <v>2000</v>
      </c>
      <c r="G1397" s="3">
        <v>1400</v>
      </c>
      <c r="I1397" t="s">
        <v>176</v>
      </c>
      <c r="J1397" t="s">
        <v>40</v>
      </c>
      <c r="K1397" t="s">
        <v>11</v>
      </c>
      <c r="L1397" t="str">
        <f>T("9791191562903")</f>
        <v>9791191562903</v>
      </c>
    </row>
    <row r="1398" spans="1:12">
      <c r="A1398" s="2">
        <v>44802.898194444446</v>
      </c>
      <c r="B1398">
        <v>299562124</v>
      </c>
      <c r="C1398" t="s">
        <v>369</v>
      </c>
      <c r="D1398" t="s">
        <v>9</v>
      </c>
      <c r="E1398" s="3">
        <v>2000</v>
      </c>
      <c r="F1398" s="3">
        <v>2000</v>
      </c>
      <c r="G1398" s="3">
        <v>1400</v>
      </c>
      <c r="I1398" t="s">
        <v>370</v>
      </c>
      <c r="J1398" t="s">
        <v>40</v>
      </c>
      <c r="K1398" t="s">
        <v>11</v>
      </c>
      <c r="L1398" t="str">
        <f>T("9791191562873")</f>
        <v>9791191562873</v>
      </c>
    </row>
    <row r="1399" spans="1:12">
      <c r="A1399" s="2">
        <v>44802.899236111109</v>
      </c>
      <c r="B1399">
        <v>300405818</v>
      </c>
      <c r="C1399" t="s">
        <v>464</v>
      </c>
      <c r="D1399" t="s">
        <v>9</v>
      </c>
      <c r="E1399" s="3">
        <v>2000</v>
      </c>
      <c r="F1399" s="3">
        <v>2000</v>
      </c>
      <c r="G1399" s="3">
        <v>1400</v>
      </c>
      <c r="I1399" t="s">
        <v>176</v>
      </c>
      <c r="J1399" t="s">
        <v>40</v>
      </c>
      <c r="K1399" t="s">
        <v>11</v>
      </c>
      <c r="L1399" t="str">
        <f>T("9791191562903")</f>
        <v>9791191562903</v>
      </c>
    </row>
    <row r="1400" spans="1:12">
      <c r="A1400" s="2">
        <v>44802.916909722226</v>
      </c>
      <c r="B1400">
        <v>287834730</v>
      </c>
      <c r="C1400" t="s">
        <v>37</v>
      </c>
      <c r="D1400" t="s">
        <v>9</v>
      </c>
      <c r="E1400" s="3">
        <v>2000</v>
      </c>
      <c r="F1400" s="3">
        <v>2000</v>
      </c>
      <c r="G1400" s="3">
        <v>1400</v>
      </c>
      <c r="I1400" t="s">
        <v>32</v>
      </c>
      <c r="J1400" t="s">
        <v>40</v>
      </c>
      <c r="K1400" t="s">
        <v>11</v>
      </c>
      <c r="L1400" t="str">
        <f>T("9791191562019")</f>
        <v>9791191562019</v>
      </c>
    </row>
    <row r="1401" spans="1:12">
      <c r="A1401" s="2">
        <v>44802.919363425928</v>
      </c>
      <c r="B1401">
        <v>299562124</v>
      </c>
      <c r="C1401" t="s">
        <v>369</v>
      </c>
      <c r="D1401" t="s">
        <v>9</v>
      </c>
      <c r="E1401" s="3">
        <v>2000</v>
      </c>
      <c r="F1401" s="3">
        <v>2000</v>
      </c>
      <c r="G1401" s="3">
        <v>1400</v>
      </c>
      <c r="I1401" t="s">
        <v>370</v>
      </c>
      <c r="J1401" t="s">
        <v>40</v>
      </c>
      <c r="K1401" t="s">
        <v>11</v>
      </c>
      <c r="L1401" t="str">
        <f>T("9791191562873")</f>
        <v>9791191562873</v>
      </c>
    </row>
    <row r="1402" spans="1:12">
      <c r="A1402" s="2">
        <v>44802.929768518516</v>
      </c>
      <c r="B1402">
        <v>287834730</v>
      </c>
      <c r="C1402" t="s">
        <v>37</v>
      </c>
      <c r="D1402" t="s">
        <v>9</v>
      </c>
      <c r="E1402" s="3">
        <v>2000</v>
      </c>
      <c r="F1402" s="3">
        <v>2000</v>
      </c>
      <c r="G1402" s="3">
        <v>1400</v>
      </c>
      <c r="I1402" t="s">
        <v>32</v>
      </c>
      <c r="J1402" t="s">
        <v>40</v>
      </c>
      <c r="K1402" t="s">
        <v>11</v>
      </c>
      <c r="L1402" t="str">
        <f>T("9791191562019")</f>
        <v>9791191562019</v>
      </c>
    </row>
    <row r="1403" spans="1:12">
      <c r="A1403" s="2">
        <v>44802.934537037036</v>
      </c>
      <c r="B1403">
        <v>295462572</v>
      </c>
      <c r="C1403" t="s">
        <v>108</v>
      </c>
      <c r="D1403" t="s">
        <v>9</v>
      </c>
      <c r="E1403" s="3">
        <v>2000</v>
      </c>
      <c r="F1403" s="3">
        <v>2000</v>
      </c>
      <c r="G1403" s="3">
        <v>1400</v>
      </c>
      <c r="I1403" t="s">
        <v>32</v>
      </c>
      <c r="J1403" t="s">
        <v>40</v>
      </c>
      <c r="K1403" t="s">
        <v>11</v>
      </c>
      <c r="L1403" t="str">
        <f>T("9791191562361")</f>
        <v>9791191562361</v>
      </c>
    </row>
    <row r="1404" spans="1:12">
      <c r="A1404" s="2">
        <v>44802.948958333334</v>
      </c>
      <c r="B1404">
        <v>286896672</v>
      </c>
      <c r="C1404" t="s">
        <v>175</v>
      </c>
      <c r="D1404" t="s">
        <v>9</v>
      </c>
      <c r="E1404" s="3">
        <v>2500</v>
      </c>
      <c r="F1404" s="3">
        <v>2500</v>
      </c>
      <c r="G1404" s="3">
        <v>1750</v>
      </c>
      <c r="I1404" t="s">
        <v>176</v>
      </c>
      <c r="J1404" t="s">
        <v>40</v>
      </c>
      <c r="K1404" t="s">
        <v>11</v>
      </c>
      <c r="L1404" t="str">
        <f>T("9791191562002")</f>
        <v>9791191562002</v>
      </c>
    </row>
    <row r="1405" spans="1:12">
      <c r="A1405" s="2">
        <v>44802.962824074071</v>
      </c>
      <c r="B1405">
        <v>300204288</v>
      </c>
      <c r="C1405" t="s">
        <v>439</v>
      </c>
      <c r="D1405" t="s">
        <v>9</v>
      </c>
      <c r="E1405">
        <v>0</v>
      </c>
      <c r="F1405">
        <v>0</v>
      </c>
      <c r="G1405">
        <v>0</v>
      </c>
      <c r="I1405" t="s">
        <v>440</v>
      </c>
      <c r="J1405" t="s">
        <v>11</v>
      </c>
      <c r="K1405" t="s">
        <v>11</v>
      </c>
      <c r="L1405" t="str">
        <f>T("9791137605268")</f>
        <v>9791137605268</v>
      </c>
    </row>
    <row r="1406" spans="1:12">
      <c r="A1406" s="2">
        <v>44802.962824074071</v>
      </c>
      <c r="B1406">
        <v>300204282</v>
      </c>
      <c r="C1406" t="s">
        <v>435</v>
      </c>
      <c r="D1406" t="s">
        <v>9</v>
      </c>
      <c r="E1406">
        <v>0</v>
      </c>
      <c r="F1406">
        <v>0</v>
      </c>
      <c r="G1406">
        <v>0</v>
      </c>
      <c r="I1406" t="s">
        <v>436</v>
      </c>
      <c r="J1406" t="s">
        <v>11</v>
      </c>
      <c r="K1406" t="s">
        <v>11</v>
      </c>
      <c r="L1406" t="str">
        <f>T("9791137605145")</f>
        <v>9791137605145</v>
      </c>
    </row>
    <row r="1407" spans="1:12">
      <c r="A1407" s="2">
        <v>44802.962824074071</v>
      </c>
      <c r="B1407">
        <v>300204272</v>
      </c>
      <c r="C1407" t="s">
        <v>441</v>
      </c>
      <c r="D1407" t="s">
        <v>9</v>
      </c>
      <c r="E1407">
        <v>0</v>
      </c>
      <c r="F1407">
        <v>0</v>
      </c>
      <c r="G1407">
        <v>0</v>
      </c>
      <c r="I1407" t="s">
        <v>438</v>
      </c>
      <c r="J1407" t="s">
        <v>11</v>
      </c>
      <c r="K1407" t="s">
        <v>11</v>
      </c>
      <c r="L1407" t="str">
        <f>T("9791137604490")</f>
        <v>9791137604490</v>
      </c>
    </row>
    <row r="1408" spans="1:12">
      <c r="A1408" s="2">
        <v>44802.963564814818</v>
      </c>
      <c r="B1408">
        <v>221587561</v>
      </c>
      <c r="C1408" t="s">
        <v>493</v>
      </c>
      <c r="D1408" t="s">
        <v>9</v>
      </c>
      <c r="E1408" s="3">
        <v>3500</v>
      </c>
      <c r="F1408" s="3">
        <v>3500</v>
      </c>
      <c r="G1408" s="3">
        <v>2450</v>
      </c>
      <c r="I1408" t="s">
        <v>393</v>
      </c>
      <c r="J1408" t="s">
        <v>45</v>
      </c>
      <c r="K1408" t="s">
        <v>11</v>
      </c>
      <c r="L1408" t="str">
        <f>T("9791164896998")</f>
        <v>9791164896998</v>
      </c>
    </row>
    <row r="1409" spans="1:12">
      <c r="A1409" s="2">
        <v>44802.96875</v>
      </c>
      <c r="B1409">
        <v>300204357</v>
      </c>
      <c r="C1409" t="s">
        <v>437</v>
      </c>
      <c r="D1409" t="s">
        <v>9</v>
      </c>
      <c r="E1409" s="3">
        <v>22400</v>
      </c>
      <c r="F1409" s="3">
        <v>22400</v>
      </c>
      <c r="G1409" s="3">
        <v>15680</v>
      </c>
      <c r="I1409" t="s">
        <v>438</v>
      </c>
      <c r="J1409" t="s">
        <v>11</v>
      </c>
      <c r="K1409" t="s">
        <v>11</v>
      </c>
      <c r="L1409" t="str">
        <f>T("9791137605251")</f>
        <v>9791137605251</v>
      </c>
    </row>
    <row r="1410" spans="1:12">
      <c r="A1410" s="2">
        <v>44802.969583333332</v>
      </c>
      <c r="B1410">
        <v>291088925</v>
      </c>
      <c r="C1410" t="s">
        <v>58</v>
      </c>
      <c r="D1410" t="s">
        <v>9</v>
      </c>
      <c r="E1410" s="3">
        <v>2000</v>
      </c>
      <c r="F1410" s="3">
        <v>2000</v>
      </c>
      <c r="G1410" s="3">
        <v>1400</v>
      </c>
      <c r="I1410" t="s">
        <v>59</v>
      </c>
      <c r="J1410" t="s">
        <v>40</v>
      </c>
      <c r="K1410" t="s">
        <v>11</v>
      </c>
      <c r="L1410" t="str">
        <f>T("9791191562187")</f>
        <v>9791191562187</v>
      </c>
    </row>
    <row r="1411" spans="1:12">
      <c r="A1411" s="2">
        <v>44802.971273148149</v>
      </c>
      <c r="B1411">
        <v>287834730</v>
      </c>
      <c r="C1411" t="s">
        <v>37</v>
      </c>
      <c r="D1411" t="s">
        <v>9</v>
      </c>
      <c r="E1411" s="3">
        <v>2000</v>
      </c>
      <c r="F1411" s="3">
        <v>2000</v>
      </c>
      <c r="G1411" s="3">
        <v>1400</v>
      </c>
      <c r="I1411" t="s">
        <v>32</v>
      </c>
      <c r="J1411" t="s">
        <v>40</v>
      </c>
      <c r="K1411" t="s">
        <v>11</v>
      </c>
      <c r="L1411" t="str">
        <f>T("9791191562019")</f>
        <v>9791191562019</v>
      </c>
    </row>
    <row r="1412" spans="1:12">
      <c r="A1412" s="2">
        <v>44802.972928240742</v>
      </c>
      <c r="B1412">
        <v>300405818</v>
      </c>
      <c r="C1412" t="s">
        <v>464</v>
      </c>
      <c r="D1412" t="s">
        <v>9</v>
      </c>
      <c r="E1412" s="3">
        <v>2000</v>
      </c>
      <c r="F1412" s="3">
        <v>2000</v>
      </c>
      <c r="G1412" s="3">
        <v>1400</v>
      </c>
      <c r="I1412" t="s">
        <v>176</v>
      </c>
      <c r="J1412" t="s">
        <v>40</v>
      </c>
      <c r="K1412" t="s">
        <v>11</v>
      </c>
      <c r="L1412" t="str">
        <f>T("9791191562903")</f>
        <v>9791191562903</v>
      </c>
    </row>
    <row r="1413" spans="1:12">
      <c r="A1413" s="2">
        <v>44802.982245370367</v>
      </c>
      <c r="B1413">
        <v>299562124</v>
      </c>
      <c r="C1413" t="s">
        <v>369</v>
      </c>
      <c r="D1413" t="s">
        <v>9</v>
      </c>
      <c r="E1413" s="3">
        <v>2000</v>
      </c>
      <c r="F1413" s="3">
        <v>2000</v>
      </c>
      <c r="G1413" s="3">
        <v>1400</v>
      </c>
      <c r="I1413" t="s">
        <v>370</v>
      </c>
      <c r="J1413" t="s">
        <v>40</v>
      </c>
      <c r="K1413" t="s">
        <v>11</v>
      </c>
      <c r="L1413" t="str">
        <f>T("9791191562873")</f>
        <v>9791191562873</v>
      </c>
    </row>
    <row r="1414" spans="1:12">
      <c r="A1414" s="2">
        <v>44802.996712962966</v>
      </c>
      <c r="B1414">
        <v>300405818</v>
      </c>
      <c r="C1414" t="s">
        <v>464</v>
      </c>
      <c r="D1414" t="s">
        <v>9</v>
      </c>
      <c r="E1414" s="3">
        <v>2000</v>
      </c>
      <c r="F1414" s="3">
        <v>2000</v>
      </c>
      <c r="G1414" s="3">
        <v>1400</v>
      </c>
      <c r="I1414" t="s">
        <v>176</v>
      </c>
      <c r="J1414" t="s">
        <v>40</v>
      </c>
      <c r="K1414" t="s">
        <v>11</v>
      </c>
      <c r="L1414" t="str">
        <f>T("9791191562903")</f>
        <v>9791191562903</v>
      </c>
    </row>
    <row r="1415" spans="1:12">
      <c r="A1415" s="2">
        <v>44803.006539351853</v>
      </c>
      <c r="B1415">
        <v>300405818</v>
      </c>
      <c r="C1415" t="s">
        <v>464</v>
      </c>
      <c r="D1415" t="s">
        <v>9</v>
      </c>
      <c r="E1415" s="3">
        <v>2000</v>
      </c>
      <c r="F1415" s="3">
        <v>2000</v>
      </c>
      <c r="G1415" s="3">
        <v>1400</v>
      </c>
      <c r="I1415" t="s">
        <v>176</v>
      </c>
      <c r="J1415" t="s">
        <v>40</v>
      </c>
      <c r="K1415" t="s">
        <v>11</v>
      </c>
      <c r="L1415" t="str">
        <f>T("9791191562903")</f>
        <v>9791191562903</v>
      </c>
    </row>
    <row r="1416" spans="1:12">
      <c r="A1416" s="2">
        <v>44803.100868055553</v>
      </c>
      <c r="B1416">
        <v>48791711</v>
      </c>
      <c r="C1416" t="s">
        <v>494</v>
      </c>
      <c r="D1416" t="s">
        <v>9</v>
      </c>
      <c r="E1416">
        <v>0</v>
      </c>
      <c r="F1416">
        <v>0</v>
      </c>
      <c r="G1416">
        <v>0</v>
      </c>
      <c r="I1416" t="s">
        <v>10</v>
      </c>
      <c r="J1416" t="s">
        <v>11</v>
      </c>
      <c r="K1416" t="s">
        <v>11</v>
      </c>
      <c r="L1416" t="str">
        <f>T("9791159283314")</f>
        <v>9791159283314</v>
      </c>
    </row>
    <row r="1417" spans="1:12">
      <c r="A1417" s="2">
        <v>44803.158750000002</v>
      </c>
      <c r="B1417">
        <v>216848281</v>
      </c>
      <c r="C1417" t="s">
        <v>428</v>
      </c>
      <c r="D1417" t="s">
        <v>9</v>
      </c>
      <c r="E1417">
        <v>0</v>
      </c>
      <c r="F1417">
        <v>0</v>
      </c>
      <c r="G1417">
        <v>0</v>
      </c>
      <c r="I1417" t="s">
        <v>62</v>
      </c>
      <c r="J1417" t="s">
        <v>17</v>
      </c>
      <c r="K1417" t="s">
        <v>11</v>
      </c>
      <c r="L1417" t="str">
        <f>T("9791164482979")</f>
        <v>9791164482979</v>
      </c>
    </row>
    <row r="1418" spans="1:12">
      <c r="A1418" s="2">
        <v>44803.18886574074</v>
      </c>
      <c r="B1418">
        <v>248354900</v>
      </c>
      <c r="C1418" t="s">
        <v>488</v>
      </c>
      <c r="D1418" t="s">
        <v>9</v>
      </c>
      <c r="E1418">
        <v>0</v>
      </c>
      <c r="F1418">
        <v>0</v>
      </c>
      <c r="G1418">
        <v>0</v>
      </c>
      <c r="I1418" t="s">
        <v>18</v>
      </c>
      <c r="J1418" t="s">
        <v>17</v>
      </c>
      <c r="K1418" t="s">
        <v>11</v>
      </c>
      <c r="L1418" t="str">
        <f>T("9791164489817")</f>
        <v>9791164489817</v>
      </c>
    </row>
    <row r="1419" spans="1:12">
      <c r="A1419" s="2">
        <v>44803.18886574074</v>
      </c>
      <c r="B1419">
        <v>248354935</v>
      </c>
      <c r="C1419" t="s">
        <v>489</v>
      </c>
      <c r="D1419" t="s">
        <v>9</v>
      </c>
      <c r="E1419">
        <v>0</v>
      </c>
      <c r="F1419">
        <v>0</v>
      </c>
      <c r="G1419">
        <v>0</v>
      </c>
      <c r="I1419" t="s">
        <v>18</v>
      </c>
      <c r="J1419" t="s">
        <v>17</v>
      </c>
      <c r="K1419" t="s">
        <v>11</v>
      </c>
      <c r="L1419" t="str">
        <f>T("9791164489671")</f>
        <v>9791164489671</v>
      </c>
    </row>
    <row r="1420" spans="1:12">
      <c r="A1420" s="2">
        <v>44803.18886574074</v>
      </c>
      <c r="B1420">
        <v>290829048</v>
      </c>
      <c r="C1420" t="s">
        <v>198</v>
      </c>
      <c r="D1420" t="s">
        <v>9</v>
      </c>
      <c r="E1420">
        <v>0</v>
      </c>
      <c r="F1420">
        <v>0</v>
      </c>
      <c r="G1420">
        <v>0</v>
      </c>
      <c r="I1420" t="s">
        <v>20</v>
      </c>
      <c r="J1420" t="s">
        <v>17</v>
      </c>
      <c r="K1420" t="s">
        <v>11</v>
      </c>
      <c r="L1420" t="str">
        <f>T("9791164480401")</f>
        <v>9791164480401</v>
      </c>
    </row>
    <row r="1421" spans="1:12">
      <c r="A1421" s="2">
        <v>44803.18886574074</v>
      </c>
      <c r="B1421">
        <v>300204272</v>
      </c>
      <c r="C1421" t="s">
        <v>441</v>
      </c>
      <c r="D1421" t="s">
        <v>9</v>
      </c>
      <c r="E1421">
        <v>0</v>
      </c>
      <c r="F1421">
        <v>0</v>
      </c>
      <c r="G1421">
        <v>0</v>
      </c>
      <c r="I1421" t="s">
        <v>438</v>
      </c>
      <c r="J1421" t="s">
        <v>11</v>
      </c>
      <c r="K1421" t="s">
        <v>11</v>
      </c>
      <c r="L1421" t="str">
        <f>T("9791137604490")</f>
        <v>9791137604490</v>
      </c>
    </row>
    <row r="1422" spans="1:12">
      <c r="A1422" s="2">
        <v>44803.18886574074</v>
      </c>
      <c r="B1422">
        <v>300204282</v>
      </c>
      <c r="C1422" t="s">
        <v>435</v>
      </c>
      <c r="D1422" t="s">
        <v>9</v>
      </c>
      <c r="E1422">
        <v>0</v>
      </c>
      <c r="F1422">
        <v>0</v>
      </c>
      <c r="G1422">
        <v>0</v>
      </c>
      <c r="I1422" t="s">
        <v>436</v>
      </c>
      <c r="J1422" t="s">
        <v>11</v>
      </c>
      <c r="K1422" t="s">
        <v>11</v>
      </c>
      <c r="L1422" t="str">
        <f>T("9791137605145")</f>
        <v>9791137605145</v>
      </c>
    </row>
    <row r="1423" spans="1:12">
      <c r="A1423" s="2">
        <v>44803.18886574074</v>
      </c>
      <c r="B1423">
        <v>300204288</v>
      </c>
      <c r="C1423" t="s">
        <v>439</v>
      </c>
      <c r="D1423" t="s">
        <v>9</v>
      </c>
      <c r="E1423">
        <v>0</v>
      </c>
      <c r="F1423">
        <v>0</v>
      </c>
      <c r="G1423">
        <v>0</v>
      </c>
      <c r="I1423" t="s">
        <v>440</v>
      </c>
      <c r="J1423" t="s">
        <v>11</v>
      </c>
      <c r="K1423" t="s">
        <v>11</v>
      </c>
      <c r="L1423" t="str">
        <f>T("9791137605268")</f>
        <v>9791137605268</v>
      </c>
    </row>
    <row r="1424" spans="1:12">
      <c r="A1424" s="2">
        <v>44803.318576388891</v>
      </c>
      <c r="B1424">
        <v>300204272</v>
      </c>
      <c r="C1424" t="s">
        <v>441</v>
      </c>
      <c r="D1424" t="s">
        <v>9</v>
      </c>
      <c r="E1424">
        <v>0</v>
      </c>
      <c r="F1424">
        <v>0</v>
      </c>
      <c r="G1424">
        <v>0</v>
      </c>
      <c r="I1424" t="s">
        <v>438</v>
      </c>
      <c r="J1424" t="s">
        <v>11</v>
      </c>
      <c r="K1424" t="s">
        <v>11</v>
      </c>
      <c r="L1424" t="str">
        <f>T("9791137604490")</f>
        <v>9791137604490</v>
      </c>
    </row>
    <row r="1425" spans="1:12">
      <c r="A1425" s="2">
        <v>44803.328472222223</v>
      </c>
      <c r="B1425">
        <v>299562124</v>
      </c>
      <c r="C1425" t="s">
        <v>369</v>
      </c>
      <c r="D1425" t="s">
        <v>9</v>
      </c>
      <c r="E1425" s="3">
        <v>2000</v>
      </c>
      <c r="F1425" s="3">
        <v>2000</v>
      </c>
      <c r="G1425" s="3">
        <v>1400</v>
      </c>
      <c r="I1425" t="s">
        <v>370</v>
      </c>
      <c r="J1425" t="s">
        <v>40</v>
      </c>
      <c r="K1425" t="s">
        <v>11</v>
      </c>
      <c r="L1425" t="str">
        <f>T("9791191562873")</f>
        <v>9791191562873</v>
      </c>
    </row>
    <row r="1426" spans="1:12">
      <c r="A1426" s="2">
        <v>44803.334282407406</v>
      </c>
      <c r="B1426">
        <v>287834730</v>
      </c>
      <c r="C1426" t="s">
        <v>37</v>
      </c>
      <c r="D1426" t="s">
        <v>9</v>
      </c>
      <c r="E1426" s="3">
        <v>2000</v>
      </c>
      <c r="F1426" s="3">
        <v>2000</v>
      </c>
      <c r="G1426" s="3">
        <v>1400</v>
      </c>
      <c r="I1426" t="s">
        <v>32</v>
      </c>
      <c r="J1426" t="s">
        <v>40</v>
      </c>
      <c r="K1426" t="s">
        <v>11</v>
      </c>
      <c r="L1426" t="str">
        <f>T("9791191562019")</f>
        <v>9791191562019</v>
      </c>
    </row>
    <row r="1427" spans="1:12">
      <c r="A1427" s="2">
        <v>44803.337418981479</v>
      </c>
      <c r="B1427">
        <v>300405818</v>
      </c>
      <c r="C1427" t="s">
        <v>464</v>
      </c>
      <c r="D1427" t="s">
        <v>9</v>
      </c>
      <c r="E1427" s="3">
        <v>2000</v>
      </c>
      <c r="F1427" s="3">
        <v>2000</v>
      </c>
      <c r="G1427" s="3">
        <v>1400</v>
      </c>
      <c r="I1427" t="s">
        <v>176</v>
      </c>
      <c r="J1427" t="s">
        <v>40</v>
      </c>
      <c r="K1427" t="s">
        <v>11</v>
      </c>
      <c r="L1427" t="str">
        <f>T("9791191562903")</f>
        <v>9791191562903</v>
      </c>
    </row>
    <row r="1428" spans="1:12">
      <c r="A1428" s="2">
        <v>44803.343645833331</v>
      </c>
      <c r="B1428">
        <v>299562124</v>
      </c>
      <c r="C1428" t="s">
        <v>369</v>
      </c>
      <c r="D1428" t="s">
        <v>9</v>
      </c>
      <c r="E1428" s="3">
        <v>2000</v>
      </c>
      <c r="F1428" s="3">
        <v>2000</v>
      </c>
      <c r="G1428" s="3">
        <v>1400</v>
      </c>
      <c r="I1428" t="s">
        <v>370</v>
      </c>
      <c r="J1428" t="s">
        <v>40</v>
      </c>
      <c r="K1428" t="s">
        <v>11</v>
      </c>
      <c r="L1428" t="str">
        <f>T("9791191562873")</f>
        <v>9791191562873</v>
      </c>
    </row>
    <row r="1429" spans="1:12">
      <c r="A1429" s="2">
        <v>44803.343645833331</v>
      </c>
      <c r="B1429">
        <v>296965886</v>
      </c>
      <c r="C1429" t="s">
        <v>151</v>
      </c>
      <c r="D1429" t="s">
        <v>9</v>
      </c>
      <c r="E1429" s="3">
        <v>2500</v>
      </c>
      <c r="F1429" s="3">
        <v>2500</v>
      </c>
      <c r="G1429" s="3">
        <v>1750</v>
      </c>
      <c r="I1429" t="s">
        <v>152</v>
      </c>
      <c r="J1429" t="s">
        <v>40</v>
      </c>
      <c r="K1429" t="s">
        <v>11</v>
      </c>
      <c r="L1429" t="str">
        <f>T("9791191562507")</f>
        <v>9791191562507</v>
      </c>
    </row>
    <row r="1430" spans="1:12">
      <c r="A1430" s="2">
        <v>44803.359618055554</v>
      </c>
      <c r="B1430">
        <v>300405818</v>
      </c>
      <c r="C1430" t="s">
        <v>464</v>
      </c>
      <c r="D1430" t="s">
        <v>9</v>
      </c>
      <c r="E1430" s="3">
        <v>2000</v>
      </c>
      <c r="F1430" s="3">
        <v>2000</v>
      </c>
      <c r="G1430" s="3">
        <v>1400</v>
      </c>
      <c r="I1430" t="s">
        <v>176</v>
      </c>
      <c r="J1430" t="s">
        <v>40</v>
      </c>
      <c r="K1430" t="s">
        <v>11</v>
      </c>
      <c r="L1430" t="str">
        <f>T("9791191562903")</f>
        <v>9791191562903</v>
      </c>
    </row>
    <row r="1431" spans="1:12">
      <c r="A1431" s="2">
        <v>44803.371724537035</v>
      </c>
      <c r="B1431">
        <v>126059795</v>
      </c>
      <c r="C1431" t="s">
        <v>495</v>
      </c>
      <c r="D1431" t="s">
        <v>9</v>
      </c>
      <c r="E1431" s="3">
        <v>3300</v>
      </c>
      <c r="F1431" s="3">
        <v>3300</v>
      </c>
      <c r="G1431" s="3">
        <v>2310</v>
      </c>
      <c r="I1431" t="s">
        <v>496</v>
      </c>
      <c r="J1431" t="s">
        <v>50</v>
      </c>
      <c r="K1431" t="s">
        <v>11</v>
      </c>
      <c r="L1431" t="str">
        <f>T("9791164890651")</f>
        <v>9791164890651</v>
      </c>
    </row>
    <row r="1432" spans="1:12">
      <c r="A1432" s="2">
        <v>44803.385000000002</v>
      </c>
      <c r="B1432">
        <v>300405818</v>
      </c>
      <c r="C1432" t="s">
        <v>464</v>
      </c>
      <c r="D1432" t="s">
        <v>9</v>
      </c>
      <c r="E1432" s="3">
        <v>2000</v>
      </c>
      <c r="F1432" s="3">
        <v>2000</v>
      </c>
      <c r="G1432" s="3">
        <v>1400</v>
      </c>
      <c r="I1432" t="s">
        <v>176</v>
      </c>
      <c r="J1432" t="s">
        <v>40</v>
      </c>
      <c r="K1432" t="s">
        <v>11</v>
      </c>
      <c r="L1432" t="str">
        <f>T("9791191562903")</f>
        <v>9791191562903</v>
      </c>
    </row>
    <row r="1433" spans="1:12">
      <c r="A1433" s="2">
        <v>44803.418668981481</v>
      </c>
      <c r="B1433">
        <v>292316442</v>
      </c>
      <c r="C1433" t="s">
        <v>84</v>
      </c>
      <c r="D1433" t="s">
        <v>9</v>
      </c>
      <c r="E1433" s="3">
        <v>2500</v>
      </c>
      <c r="F1433" s="3">
        <v>2500</v>
      </c>
      <c r="G1433" s="3">
        <v>1750</v>
      </c>
      <c r="I1433" t="s">
        <v>85</v>
      </c>
      <c r="J1433" t="s">
        <v>40</v>
      </c>
      <c r="K1433" t="s">
        <v>11</v>
      </c>
      <c r="L1433" t="str">
        <f>T("9791191562309")</f>
        <v>9791191562309</v>
      </c>
    </row>
    <row r="1434" spans="1:12">
      <c r="A1434" s="2">
        <v>44803.533483796295</v>
      </c>
      <c r="B1434">
        <v>300405818</v>
      </c>
      <c r="C1434" t="s">
        <v>464</v>
      </c>
      <c r="D1434" t="s">
        <v>9</v>
      </c>
      <c r="E1434" s="3">
        <v>2000</v>
      </c>
      <c r="F1434" s="3">
        <v>2000</v>
      </c>
      <c r="G1434" s="3">
        <v>1400</v>
      </c>
      <c r="I1434" t="s">
        <v>176</v>
      </c>
      <c r="J1434" t="s">
        <v>40</v>
      </c>
      <c r="K1434" t="s">
        <v>11</v>
      </c>
      <c r="L1434" t="str">
        <f t="shared" ref="L1434:L1439" si="2">T("9791191562903")</f>
        <v>9791191562903</v>
      </c>
    </row>
    <row r="1435" spans="1:12">
      <c r="A1435" s="2">
        <v>44803.535578703704</v>
      </c>
      <c r="B1435">
        <v>300405818</v>
      </c>
      <c r="C1435" t="s">
        <v>464</v>
      </c>
      <c r="D1435" t="s">
        <v>9</v>
      </c>
      <c r="E1435" s="3">
        <v>-2000</v>
      </c>
      <c r="F1435" s="3">
        <v>-2000</v>
      </c>
      <c r="G1435" s="3">
        <v>-1400</v>
      </c>
      <c r="H1435" s="2">
        <v>44803.533483796295</v>
      </c>
      <c r="I1435" t="s">
        <v>176</v>
      </c>
      <c r="J1435" t="s">
        <v>40</v>
      </c>
      <c r="K1435" t="s">
        <v>11</v>
      </c>
      <c r="L1435" t="str">
        <f t="shared" si="2"/>
        <v>9791191562903</v>
      </c>
    </row>
    <row r="1436" spans="1:12">
      <c r="A1436" s="2">
        <v>44803.536053240743</v>
      </c>
      <c r="B1436">
        <v>300405818</v>
      </c>
      <c r="C1436" t="s">
        <v>464</v>
      </c>
      <c r="D1436" t="s">
        <v>9</v>
      </c>
      <c r="E1436" s="3">
        <v>2000</v>
      </c>
      <c r="F1436" s="3">
        <v>2000</v>
      </c>
      <c r="G1436" s="3">
        <v>1400</v>
      </c>
      <c r="I1436" t="s">
        <v>176</v>
      </c>
      <c r="J1436" t="s">
        <v>40</v>
      </c>
      <c r="K1436" t="s">
        <v>11</v>
      </c>
      <c r="L1436" t="str">
        <f t="shared" si="2"/>
        <v>9791191562903</v>
      </c>
    </row>
    <row r="1437" spans="1:12">
      <c r="A1437" s="2">
        <v>44803.536319444444</v>
      </c>
      <c r="B1437">
        <v>300405818</v>
      </c>
      <c r="C1437" t="s">
        <v>464</v>
      </c>
      <c r="D1437" t="s">
        <v>9</v>
      </c>
      <c r="E1437" s="3">
        <v>-2000</v>
      </c>
      <c r="F1437" s="3">
        <v>-2000</v>
      </c>
      <c r="G1437" s="3">
        <v>-1400</v>
      </c>
      <c r="H1437" s="2">
        <v>44803.536053240743</v>
      </c>
      <c r="I1437" t="s">
        <v>176</v>
      </c>
      <c r="J1437" t="s">
        <v>40</v>
      </c>
      <c r="K1437" t="s">
        <v>11</v>
      </c>
      <c r="L1437" t="str">
        <f t="shared" si="2"/>
        <v>9791191562903</v>
      </c>
    </row>
    <row r="1438" spans="1:12">
      <c r="A1438" s="2">
        <v>44803.536562499998</v>
      </c>
      <c r="B1438">
        <v>300405818</v>
      </c>
      <c r="C1438" t="s">
        <v>464</v>
      </c>
      <c r="D1438" t="s">
        <v>9</v>
      </c>
      <c r="E1438" s="3">
        <v>2000</v>
      </c>
      <c r="F1438" s="3">
        <v>2000</v>
      </c>
      <c r="G1438" s="3">
        <v>1400</v>
      </c>
      <c r="I1438" t="s">
        <v>176</v>
      </c>
      <c r="J1438" t="s">
        <v>40</v>
      </c>
      <c r="K1438" t="s">
        <v>11</v>
      </c>
      <c r="L1438" t="str">
        <f t="shared" si="2"/>
        <v>9791191562903</v>
      </c>
    </row>
    <row r="1439" spans="1:12">
      <c r="A1439" s="2">
        <v>44803.558680555558</v>
      </c>
      <c r="B1439">
        <v>300405818</v>
      </c>
      <c r="C1439" t="s">
        <v>464</v>
      </c>
      <c r="D1439" t="s">
        <v>9</v>
      </c>
      <c r="E1439" s="3">
        <v>2000</v>
      </c>
      <c r="F1439" s="3">
        <v>2000</v>
      </c>
      <c r="G1439" s="3">
        <v>1400</v>
      </c>
      <c r="I1439" t="s">
        <v>176</v>
      </c>
      <c r="J1439" t="s">
        <v>40</v>
      </c>
      <c r="K1439" t="s">
        <v>11</v>
      </c>
      <c r="L1439" t="str">
        <f t="shared" si="2"/>
        <v>9791191562903</v>
      </c>
    </row>
    <row r="1440" spans="1:12">
      <c r="A1440" s="2">
        <v>44803.597858796296</v>
      </c>
      <c r="B1440">
        <v>295356530</v>
      </c>
      <c r="C1440" t="s">
        <v>116</v>
      </c>
      <c r="D1440" t="s">
        <v>9</v>
      </c>
      <c r="E1440" s="3">
        <v>2500</v>
      </c>
      <c r="F1440" s="3">
        <v>2500</v>
      </c>
      <c r="G1440" s="3">
        <v>1750</v>
      </c>
      <c r="I1440" t="s">
        <v>115</v>
      </c>
      <c r="J1440" t="s">
        <v>40</v>
      </c>
      <c r="K1440" t="s">
        <v>11</v>
      </c>
      <c r="L1440" t="str">
        <f>T("9791191562460")</f>
        <v>9791191562460</v>
      </c>
    </row>
    <row r="1441" spans="1:12">
      <c r="A1441" s="2">
        <v>44803.645995370367</v>
      </c>
      <c r="B1441">
        <v>292179681</v>
      </c>
      <c r="C1441" t="s">
        <v>81</v>
      </c>
      <c r="D1441" t="s">
        <v>9</v>
      </c>
      <c r="E1441" s="3">
        <v>2500</v>
      </c>
      <c r="F1441" s="3">
        <v>2500</v>
      </c>
      <c r="G1441" s="3">
        <v>1750</v>
      </c>
      <c r="I1441" t="s">
        <v>82</v>
      </c>
      <c r="J1441" t="s">
        <v>40</v>
      </c>
      <c r="K1441" t="s">
        <v>11</v>
      </c>
      <c r="L1441" t="str">
        <f>T("9791191562224")</f>
        <v>9791191562224</v>
      </c>
    </row>
    <row r="1442" spans="1:12">
      <c r="A1442" s="2">
        <v>44803.749837962961</v>
      </c>
      <c r="B1442">
        <v>292179681</v>
      </c>
      <c r="C1442" t="s">
        <v>81</v>
      </c>
      <c r="D1442" t="s">
        <v>9</v>
      </c>
      <c r="E1442" s="3">
        <v>-2500</v>
      </c>
      <c r="F1442" s="3">
        <v>-2500</v>
      </c>
      <c r="G1442" s="3">
        <v>-1750</v>
      </c>
      <c r="H1442" s="2">
        <v>44803.645995370367</v>
      </c>
      <c r="I1442" t="s">
        <v>82</v>
      </c>
      <c r="J1442" t="s">
        <v>40</v>
      </c>
      <c r="K1442" t="s">
        <v>11</v>
      </c>
      <c r="L1442" t="str">
        <f>T("9791191562224")</f>
        <v>9791191562224</v>
      </c>
    </row>
    <row r="1443" spans="1:12">
      <c r="A1443" s="2">
        <v>44803.665347222224</v>
      </c>
      <c r="B1443">
        <v>299961390</v>
      </c>
      <c r="C1443" t="s">
        <v>425</v>
      </c>
      <c r="D1443" t="s">
        <v>9</v>
      </c>
      <c r="E1443" s="3">
        <v>2000</v>
      </c>
      <c r="F1443" s="3">
        <v>2000</v>
      </c>
      <c r="G1443" s="3">
        <v>1400</v>
      </c>
      <c r="I1443" t="s">
        <v>42</v>
      </c>
      <c r="J1443" t="s">
        <v>40</v>
      </c>
      <c r="K1443" t="s">
        <v>11</v>
      </c>
      <c r="L1443" t="str">
        <f>T("9791191562880")</f>
        <v>9791191562880</v>
      </c>
    </row>
    <row r="1444" spans="1:12">
      <c r="A1444" s="2">
        <v>44803.674386574072</v>
      </c>
      <c r="B1444">
        <v>289956908</v>
      </c>
      <c r="C1444" t="s">
        <v>273</v>
      </c>
      <c r="D1444" t="s">
        <v>9</v>
      </c>
      <c r="E1444" s="3">
        <v>2000</v>
      </c>
      <c r="F1444" s="3">
        <v>2000</v>
      </c>
      <c r="G1444" s="3">
        <v>1400</v>
      </c>
      <c r="I1444" t="s">
        <v>274</v>
      </c>
      <c r="J1444" t="s">
        <v>40</v>
      </c>
      <c r="K1444" t="s">
        <v>11</v>
      </c>
      <c r="L1444" t="str">
        <f>T("9791191562040")</f>
        <v>9791191562040</v>
      </c>
    </row>
    <row r="1445" spans="1:12">
      <c r="A1445" s="2">
        <v>44803.71702546296</v>
      </c>
      <c r="B1445">
        <v>299562124</v>
      </c>
      <c r="C1445" t="s">
        <v>369</v>
      </c>
      <c r="D1445" t="s">
        <v>9</v>
      </c>
      <c r="E1445" s="3">
        <v>2000</v>
      </c>
      <c r="F1445" s="3">
        <v>2000</v>
      </c>
      <c r="G1445" s="3">
        <v>1400</v>
      </c>
      <c r="I1445" t="s">
        <v>370</v>
      </c>
      <c r="J1445" t="s">
        <v>40</v>
      </c>
      <c r="K1445" t="s">
        <v>11</v>
      </c>
      <c r="L1445" t="str">
        <f>T("9791191562873")</f>
        <v>9791191562873</v>
      </c>
    </row>
    <row r="1446" spans="1:12">
      <c r="A1446" s="2">
        <v>44803.737986111111</v>
      </c>
      <c r="B1446">
        <v>293046855</v>
      </c>
      <c r="C1446" t="s">
        <v>99</v>
      </c>
      <c r="D1446" t="s">
        <v>9</v>
      </c>
      <c r="E1446" s="3">
        <v>2500</v>
      </c>
      <c r="F1446" s="3">
        <v>2500</v>
      </c>
      <c r="G1446" s="3">
        <v>1750</v>
      </c>
      <c r="I1446" t="s">
        <v>100</v>
      </c>
      <c r="J1446" t="s">
        <v>40</v>
      </c>
      <c r="K1446" t="s">
        <v>11</v>
      </c>
      <c r="L1446" t="str">
        <f>T("9791191562279")</f>
        <v>9791191562279</v>
      </c>
    </row>
    <row r="1447" spans="1:12">
      <c r="A1447" s="2">
        <v>44803.750879629632</v>
      </c>
      <c r="B1447">
        <v>296965886</v>
      </c>
      <c r="C1447" t="s">
        <v>151</v>
      </c>
      <c r="D1447" t="s">
        <v>9</v>
      </c>
      <c r="E1447" s="3">
        <v>2500</v>
      </c>
      <c r="F1447" s="3">
        <v>2500</v>
      </c>
      <c r="G1447" s="3">
        <v>1750</v>
      </c>
      <c r="I1447" t="s">
        <v>152</v>
      </c>
      <c r="J1447" t="s">
        <v>40</v>
      </c>
      <c r="K1447" t="s">
        <v>11</v>
      </c>
      <c r="L1447" t="str">
        <f>T("9791191562507")</f>
        <v>9791191562507</v>
      </c>
    </row>
    <row r="1448" spans="1:12">
      <c r="A1448" s="2">
        <v>44804.787280092591</v>
      </c>
      <c r="B1448">
        <v>296965886</v>
      </c>
      <c r="C1448" t="s">
        <v>151</v>
      </c>
      <c r="D1448" t="s">
        <v>9</v>
      </c>
      <c r="E1448" s="3">
        <v>-2500</v>
      </c>
      <c r="F1448" s="3">
        <v>-2500</v>
      </c>
      <c r="G1448" s="3">
        <v>-1750</v>
      </c>
      <c r="H1448" s="2">
        <v>44803.750879629632</v>
      </c>
      <c r="I1448" t="s">
        <v>152</v>
      </c>
      <c r="J1448" t="s">
        <v>40</v>
      </c>
      <c r="K1448" t="s">
        <v>11</v>
      </c>
      <c r="L1448" t="str">
        <f>T("9791191562507")</f>
        <v>9791191562507</v>
      </c>
    </row>
    <row r="1449" spans="1:12">
      <c r="A1449" s="2">
        <v>44803.776261574072</v>
      </c>
      <c r="B1449">
        <v>295216088</v>
      </c>
      <c r="C1449" t="s">
        <v>114</v>
      </c>
      <c r="D1449" t="s">
        <v>9</v>
      </c>
      <c r="E1449" s="3">
        <v>2500</v>
      </c>
      <c r="F1449" s="3">
        <v>2500</v>
      </c>
      <c r="G1449" s="3">
        <v>1750</v>
      </c>
      <c r="I1449" t="s">
        <v>113</v>
      </c>
      <c r="J1449" t="s">
        <v>40</v>
      </c>
      <c r="K1449" t="s">
        <v>11</v>
      </c>
      <c r="L1449" t="str">
        <f>T("9791191562453")</f>
        <v>9791191562453</v>
      </c>
    </row>
    <row r="1450" spans="1:12">
      <c r="A1450" s="2">
        <v>44803.776261574072</v>
      </c>
      <c r="B1450">
        <v>291088925</v>
      </c>
      <c r="C1450" t="s">
        <v>58</v>
      </c>
      <c r="D1450" t="s">
        <v>9</v>
      </c>
      <c r="E1450" s="3">
        <v>2000</v>
      </c>
      <c r="F1450" s="3">
        <v>2000</v>
      </c>
      <c r="G1450" s="3">
        <v>1400</v>
      </c>
      <c r="I1450" t="s">
        <v>59</v>
      </c>
      <c r="J1450" t="s">
        <v>40</v>
      </c>
      <c r="K1450" t="s">
        <v>11</v>
      </c>
      <c r="L1450" t="str">
        <f>T("9791191562187")</f>
        <v>9791191562187</v>
      </c>
    </row>
    <row r="1451" spans="1:12">
      <c r="A1451" s="2">
        <v>44803.776261574072</v>
      </c>
      <c r="B1451">
        <v>286896672</v>
      </c>
      <c r="C1451" t="s">
        <v>175</v>
      </c>
      <c r="D1451" t="s">
        <v>9</v>
      </c>
      <c r="E1451" s="3">
        <v>2500</v>
      </c>
      <c r="F1451" s="3">
        <v>2500</v>
      </c>
      <c r="G1451" s="3">
        <v>1750</v>
      </c>
      <c r="I1451" t="s">
        <v>176</v>
      </c>
      <c r="J1451" t="s">
        <v>40</v>
      </c>
      <c r="K1451" t="s">
        <v>11</v>
      </c>
      <c r="L1451" t="str">
        <f>T("9791191562002")</f>
        <v>9791191562002</v>
      </c>
    </row>
    <row r="1452" spans="1:12">
      <c r="A1452" s="2">
        <v>44803.776261574072</v>
      </c>
      <c r="B1452">
        <v>300405818</v>
      </c>
      <c r="C1452" t="s">
        <v>464</v>
      </c>
      <c r="D1452" t="s">
        <v>9</v>
      </c>
      <c r="E1452" s="3">
        <v>2000</v>
      </c>
      <c r="F1452" s="3">
        <v>2000</v>
      </c>
      <c r="G1452" s="3">
        <v>1400</v>
      </c>
      <c r="I1452" t="s">
        <v>176</v>
      </c>
      <c r="J1452" t="s">
        <v>40</v>
      </c>
      <c r="K1452" t="s">
        <v>11</v>
      </c>
      <c r="L1452" t="str">
        <f>T("9791191562903")</f>
        <v>9791191562903</v>
      </c>
    </row>
    <row r="1453" spans="1:12">
      <c r="A1453" s="2">
        <v>44803.785138888888</v>
      </c>
      <c r="B1453">
        <v>299562124</v>
      </c>
      <c r="C1453" t="s">
        <v>369</v>
      </c>
      <c r="D1453" t="s">
        <v>9</v>
      </c>
      <c r="E1453" s="3">
        <v>2000</v>
      </c>
      <c r="F1453" s="3">
        <v>2000</v>
      </c>
      <c r="G1453" s="3">
        <v>1400</v>
      </c>
      <c r="I1453" t="s">
        <v>370</v>
      </c>
      <c r="J1453" t="s">
        <v>40</v>
      </c>
      <c r="K1453" t="s">
        <v>11</v>
      </c>
      <c r="L1453" t="str">
        <f>T("9791191562873")</f>
        <v>9791191562873</v>
      </c>
    </row>
    <row r="1454" spans="1:12">
      <c r="A1454" s="2">
        <v>44803.791435185187</v>
      </c>
      <c r="B1454">
        <v>297109357</v>
      </c>
      <c r="C1454" t="s">
        <v>154</v>
      </c>
      <c r="D1454" t="s">
        <v>9</v>
      </c>
      <c r="E1454" s="3">
        <v>3600</v>
      </c>
      <c r="F1454" s="3">
        <v>3600</v>
      </c>
      <c r="G1454" s="3">
        <v>2520</v>
      </c>
      <c r="I1454" t="s">
        <v>155</v>
      </c>
      <c r="J1454" t="s">
        <v>40</v>
      </c>
      <c r="K1454" t="s">
        <v>11</v>
      </c>
      <c r="L1454" t="str">
        <f>T("9791191562774")</f>
        <v>9791191562774</v>
      </c>
    </row>
    <row r="1455" spans="1:12">
      <c r="A1455" s="2">
        <v>44803.800046296295</v>
      </c>
      <c r="B1455">
        <v>300405818</v>
      </c>
      <c r="C1455" t="s">
        <v>464</v>
      </c>
      <c r="D1455" t="s">
        <v>9</v>
      </c>
      <c r="E1455" s="3">
        <v>2000</v>
      </c>
      <c r="F1455" s="3">
        <v>2000</v>
      </c>
      <c r="G1455" s="3">
        <v>1400</v>
      </c>
      <c r="I1455" t="s">
        <v>176</v>
      </c>
      <c r="J1455" t="s">
        <v>40</v>
      </c>
      <c r="K1455" t="s">
        <v>11</v>
      </c>
      <c r="L1455" t="str">
        <f>T("9791191562903")</f>
        <v>9791191562903</v>
      </c>
    </row>
    <row r="1456" spans="1:12">
      <c r="A1456" s="2">
        <v>44803.813680555555</v>
      </c>
      <c r="B1456">
        <v>300405818</v>
      </c>
      <c r="C1456" t="s">
        <v>464</v>
      </c>
      <c r="D1456" t="s">
        <v>9</v>
      </c>
      <c r="E1456" s="3">
        <v>2000</v>
      </c>
      <c r="F1456" s="3">
        <v>2000</v>
      </c>
      <c r="G1456" s="3">
        <v>1400</v>
      </c>
      <c r="I1456" t="s">
        <v>176</v>
      </c>
      <c r="J1456" t="s">
        <v>40</v>
      </c>
      <c r="K1456" t="s">
        <v>11</v>
      </c>
      <c r="L1456" t="str">
        <f>T("9791191562903")</f>
        <v>9791191562903</v>
      </c>
    </row>
    <row r="1457" spans="1:12">
      <c r="A1457" s="2">
        <v>44803.816087962965</v>
      </c>
      <c r="B1457">
        <v>295462572</v>
      </c>
      <c r="C1457" t="s">
        <v>108</v>
      </c>
      <c r="D1457" t="s">
        <v>9</v>
      </c>
      <c r="E1457" s="3">
        <v>2000</v>
      </c>
      <c r="F1457" s="3">
        <v>2000</v>
      </c>
      <c r="G1457" s="3">
        <v>1400</v>
      </c>
      <c r="I1457" t="s">
        <v>32</v>
      </c>
      <c r="J1457" t="s">
        <v>40</v>
      </c>
      <c r="K1457" t="s">
        <v>11</v>
      </c>
      <c r="L1457" t="str">
        <f>T("9791191562361")</f>
        <v>9791191562361</v>
      </c>
    </row>
    <row r="1458" spans="1:12">
      <c r="A1458" s="2">
        <v>44803.876666666663</v>
      </c>
      <c r="B1458">
        <v>296965886</v>
      </c>
      <c r="C1458" t="s">
        <v>151</v>
      </c>
      <c r="D1458" t="s">
        <v>9</v>
      </c>
      <c r="E1458" s="3">
        <v>2500</v>
      </c>
      <c r="F1458" s="3">
        <v>2500</v>
      </c>
      <c r="G1458" s="3">
        <v>1750</v>
      </c>
      <c r="I1458" t="s">
        <v>152</v>
      </c>
      <c r="J1458" t="s">
        <v>40</v>
      </c>
      <c r="K1458" t="s">
        <v>11</v>
      </c>
      <c r="L1458" t="str">
        <f>T("9791191562507")</f>
        <v>9791191562507</v>
      </c>
    </row>
    <row r="1459" spans="1:12">
      <c r="A1459" s="2">
        <v>44803.897314814814</v>
      </c>
      <c r="B1459">
        <v>300405818</v>
      </c>
      <c r="C1459" t="s">
        <v>464</v>
      </c>
      <c r="D1459" t="s">
        <v>9</v>
      </c>
      <c r="E1459" s="3">
        <v>2000</v>
      </c>
      <c r="F1459" s="3">
        <v>2000</v>
      </c>
      <c r="G1459" s="3">
        <v>1400</v>
      </c>
      <c r="I1459" t="s">
        <v>176</v>
      </c>
      <c r="J1459" t="s">
        <v>40</v>
      </c>
      <c r="K1459" t="s">
        <v>11</v>
      </c>
      <c r="L1459" t="str">
        <f>T("9791191562903")</f>
        <v>9791191562903</v>
      </c>
    </row>
    <row r="1460" spans="1:12">
      <c r="A1460" s="2">
        <v>44803.898125</v>
      </c>
      <c r="B1460">
        <v>299562124</v>
      </c>
      <c r="C1460" t="s">
        <v>369</v>
      </c>
      <c r="D1460" t="s">
        <v>9</v>
      </c>
      <c r="E1460" s="3">
        <v>2000</v>
      </c>
      <c r="F1460" s="3">
        <v>2000</v>
      </c>
      <c r="G1460" s="3">
        <v>1400</v>
      </c>
      <c r="I1460" t="s">
        <v>370</v>
      </c>
      <c r="J1460" t="s">
        <v>40</v>
      </c>
      <c r="K1460" t="s">
        <v>11</v>
      </c>
      <c r="L1460" t="str">
        <f>T("9791191562873")</f>
        <v>9791191562873</v>
      </c>
    </row>
    <row r="1461" spans="1:12">
      <c r="A1461" s="2">
        <v>44803.907546296294</v>
      </c>
      <c r="B1461">
        <v>295356530</v>
      </c>
      <c r="C1461" t="s">
        <v>116</v>
      </c>
      <c r="D1461" t="s">
        <v>9</v>
      </c>
      <c r="E1461" s="3">
        <v>2500</v>
      </c>
      <c r="F1461" s="3">
        <v>2500</v>
      </c>
      <c r="G1461" s="3">
        <v>1750</v>
      </c>
      <c r="I1461" t="s">
        <v>115</v>
      </c>
      <c r="J1461" t="s">
        <v>40</v>
      </c>
      <c r="K1461" t="s">
        <v>11</v>
      </c>
      <c r="L1461" t="str">
        <f>T("9791191562460")</f>
        <v>9791191562460</v>
      </c>
    </row>
    <row r="1462" spans="1:12">
      <c r="A1462" s="2">
        <v>44803.908842592595</v>
      </c>
      <c r="B1462">
        <v>300405818</v>
      </c>
      <c r="C1462" t="s">
        <v>464</v>
      </c>
      <c r="D1462" t="s">
        <v>9</v>
      </c>
      <c r="E1462" s="3">
        <v>2000</v>
      </c>
      <c r="F1462" s="3">
        <v>2000</v>
      </c>
      <c r="G1462" s="3">
        <v>1400</v>
      </c>
      <c r="I1462" t="s">
        <v>176</v>
      </c>
      <c r="J1462" t="s">
        <v>40</v>
      </c>
      <c r="K1462" t="s">
        <v>11</v>
      </c>
      <c r="L1462" t="str">
        <f>T("9791191562903")</f>
        <v>9791191562903</v>
      </c>
    </row>
    <row r="1463" spans="1:12">
      <c r="A1463" s="2">
        <v>44803.909988425927</v>
      </c>
      <c r="B1463">
        <v>300405818</v>
      </c>
      <c r="C1463" t="s">
        <v>464</v>
      </c>
      <c r="D1463" t="s">
        <v>9</v>
      </c>
      <c r="E1463" s="3">
        <v>2000</v>
      </c>
      <c r="F1463" s="3">
        <v>2000</v>
      </c>
      <c r="G1463" s="3">
        <v>1400</v>
      </c>
      <c r="I1463" t="s">
        <v>176</v>
      </c>
      <c r="J1463" t="s">
        <v>40</v>
      </c>
      <c r="K1463" t="s">
        <v>11</v>
      </c>
      <c r="L1463" t="str">
        <f>T("9791191562903")</f>
        <v>9791191562903</v>
      </c>
    </row>
    <row r="1464" spans="1:12">
      <c r="A1464" s="2">
        <v>44803.913854166669</v>
      </c>
      <c r="B1464">
        <v>299562124</v>
      </c>
      <c r="C1464" t="s">
        <v>369</v>
      </c>
      <c r="D1464" t="s">
        <v>9</v>
      </c>
      <c r="E1464" s="3">
        <v>2000</v>
      </c>
      <c r="F1464" s="3">
        <v>2000</v>
      </c>
      <c r="G1464" s="3">
        <v>1400</v>
      </c>
      <c r="I1464" t="s">
        <v>370</v>
      </c>
      <c r="J1464" t="s">
        <v>40</v>
      </c>
      <c r="K1464" t="s">
        <v>11</v>
      </c>
      <c r="L1464" t="str">
        <f>T("9791191562873")</f>
        <v>9791191562873</v>
      </c>
    </row>
    <row r="1465" spans="1:12">
      <c r="A1465" s="2">
        <v>44803.939016203702</v>
      </c>
      <c r="B1465">
        <v>300405818</v>
      </c>
      <c r="C1465" t="s">
        <v>464</v>
      </c>
      <c r="D1465" t="s">
        <v>9</v>
      </c>
      <c r="E1465" s="3">
        <v>2000</v>
      </c>
      <c r="F1465" s="3">
        <v>2000</v>
      </c>
      <c r="G1465" s="3">
        <v>1400</v>
      </c>
      <c r="I1465" t="s">
        <v>176</v>
      </c>
      <c r="J1465" t="s">
        <v>40</v>
      </c>
      <c r="K1465" t="s">
        <v>11</v>
      </c>
      <c r="L1465" t="str">
        <f>T("9791191562903")</f>
        <v>9791191562903</v>
      </c>
    </row>
    <row r="1466" spans="1:12">
      <c r="A1466" s="2">
        <v>44803.958993055552</v>
      </c>
      <c r="B1466">
        <v>187333382</v>
      </c>
      <c r="C1466" t="s">
        <v>229</v>
      </c>
      <c r="D1466" t="s">
        <v>9</v>
      </c>
      <c r="E1466" s="3">
        <v>4200</v>
      </c>
      <c r="F1466" s="3">
        <v>4200</v>
      </c>
      <c r="G1466" s="3">
        <v>2940</v>
      </c>
      <c r="I1466" t="s">
        <v>230</v>
      </c>
      <c r="J1466" t="s">
        <v>50</v>
      </c>
      <c r="K1466" t="s">
        <v>11</v>
      </c>
      <c r="L1466" t="str">
        <f>T("9791164897490")</f>
        <v>9791164897490</v>
      </c>
    </row>
    <row r="1467" spans="1:12">
      <c r="A1467" s="2">
        <v>44803.967662037037</v>
      </c>
      <c r="B1467">
        <v>299961390</v>
      </c>
      <c r="C1467" t="s">
        <v>425</v>
      </c>
      <c r="D1467" t="s">
        <v>9</v>
      </c>
      <c r="E1467" s="3">
        <v>2000</v>
      </c>
      <c r="F1467" s="3">
        <v>2000</v>
      </c>
      <c r="G1467" s="3">
        <v>1400</v>
      </c>
      <c r="I1467" t="s">
        <v>42</v>
      </c>
      <c r="J1467" t="s">
        <v>40</v>
      </c>
      <c r="K1467" t="s">
        <v>11</v>
      </c>
      <c r="L1467" t="str">
        <f>T("9791191562880")</f>
        <v>9791191562880</v>
      </c>
    </row>
    <row r="1468" spans="1:12">
      <c r="A1468" s="2">
        <v>44803.96947916667</v>
      </c>
      <c r="B1468">
        <v>300405818</v>
      </c>
      <c r="C1468" t="s">
        <v>464</v>
      </c>
      <c r="D1468" t="s">
        <v>9</v>
      </c>
      <c r="E1468" s="3">
        <v>2000</v>
      </c>
      <c r="F1468" s="3">
        <v>2000</v>
      </c>
      <c r="G1468" s="3">
        <v>1400</v>
      </c>
      <c r="I1468" t="s">
        <v>176</v>
      </c>
      <c r="J1468" t="s">
        <v>40</v>
      </c>
      <c r="K1468" t="s">
        <v>11</v>
      </c>
      <c r="L1468" t="str">
        <f>T("9791191562903")</f>
        <v>9791191562903</v>
      </c>
    </row>
    <row r="1469" spans="1:12">
      <c r="A1469" s="2">
        <v>44803.998495370368</v>
      </c>
      <c r="B1469">
        <v>300405818</v>
      </c>
      <c r="C1469" t="s">
        <v>464</v>
      </c>
      <c r="D1469" t="s">
        <v>9</v>
      </c>
      <c r="E1469" s="3">
        <v>2000</v>
      </c>
      <c r="F1469" s="3">
        <v>2000</v>
      </c>
      <c r="G1469" s="3">
        <v>1400</v>
      </c>
      <c r="I1469" t="s">
        <v>176</v>
      </c>
      <c r="J1469" t="s">
        <v>40</v>
      </c>
      <c r="K1469" t="s">
        <v>11</v>
      </c>
      <c r="L1469" t="str">
        <f>T("9791191562903")</f>
        <v>9791191562903</v>
      </c>
    </row>
    <row r="1470" spans="1:12">
      <c r="A1470" s="2">
        <v>44804.00304398148</v>
      </c>
      <c r="B1470">
        <v>296965886</v>
      </c>
      <c r="C1470" t="s">
        <v>151</v>
      </c>
      <c r="D1470" t="s">
        <v>9</v>
      </c>
      <c r="E1470" s="3">
        <v>2500</v>
      </c>
      <c r="F1470" s="3">
        <v>2500</v>
      </c>
      <c r="G1470" s="3">
        <v>1750</v>
      </c>
      <c r="I1470" t="s">
        <v>152</v>
      </c>
      <c r="J1470" t="s">
        <v>40</v>
      </c>
      <c r="K1470" t="s">
        <v>11</v>
      </c>
      <c r="L1470" t="str">
        <f>T("9791191562507")</f>
        <v>9791191562507</v>
      </c>
    </row>
    <row r="1471" spans="1:12">
      <c r="A1471" s="2">
        <v>44804.005486111113</v>
      </c>
      <c r="B1471">
        <v>300405818</v>
      </c>
      <c r="C1471" t="s">
        <v>464</v>
      </c>
      <c r="D1471" t="s">
        <v>9</v>
      </c>
      <c r="E1471" s="3">
        <v>2000</v>
      </c>
      <c r="F1471" s="3">
        <v>2000</v>
      </c>
      <c r="G1471" s="3">
        <v>1400</v>
      </c>
      <c r="I1471" t="s">
        <v>176</v>
      </c>
      <c r="J1471" t="s">
        <v>40</v>
      </c>
      <c r="K1471" t="s">
        <v>11</v>
      </c>
      <c r="L1471" t="str">
        <f>T("9791191562903")</f>
        <v>9791191562903</v>
      </c>
    </row>
    <row r="1472" spans="1:12">
      <c r="A1472" s="2">
        <v>44804.007638888892</v>
      </c>
      <c r="B1472">
        <v>299562124</v>
      </c>
      <c r="C1472" t="s">
        <v>369</v>
      </c>
      <c r="D1472" t="s">
        <v>9</v>
      </c>
      <c r="E1472" s="3">
        <v>2000</v>
      </c>
      <c r="F1472" s="3">
        <v>2000</v>
      </c>
      <c r="G1472" s="3">
        <v>1400</v>
      </c>
      <c r="I1472" t="s">
        <v>370</v>
      </c>
      <c r="J1472" t="s">
        <v>40</v>
      </c>
      <c r="K1472" t="s">
        <v>11</v>
      </c>
      <c r="L1472" t="str">
        <f>T("9791191562873")</f>
        <v>9791191562873</v>
      </c>
    </row>
    <row r="1473" spans="1:12">
      <c r="A1473" s="2">
        <v>44804.031493055554</v>
      </c>
      <c r="B1473">
        <v>250623286</v>
      </c>
      <c r="C1473" t="s">
        <v>497</v>
      </c>
      <c r="D1473" t="s">
        <v>9</v>
      </c>
      <c r="E1473">
        <v>300</v>
      </c>
      <c r="F1473">
        <v>300</v>
      </c>
      <c r="G1473">
        <v>210</v>
      </c>
      <c r="I1473" t="s">
        <v>479</v>
      </c>
      <c r="J1473" t="s">
        <v>45</v>
      </c>
      <c r="K1473" t="s">
        <v>11</v>
      </c>
      <c r="L1473" t="str">
        <f>T("9791164899333")</f>
        <v>9791164899333</v>
      </c>
    </row>
    <row r="1474" spans="1:12">
      <c r="A1474" s="2">
        <v>44804.237824074073</v>
      </c>
      <c r="B1474">
        <v>287834730</v>
      </c>
      <c r="C1474" t="s">
        <v>37</v>
      </c>
      <c r="D1474" t="s">
        <v>9</v>
      </c>
      <c r="E1474" s="3">
        <v>2000</v>
      </c>
      <c r="F1474" s="3">
        <v>2000</v>
      </c>
      <c r="G1474" s="3">
        <v>1400</v>
      </c>
      <c r="I1474" t="s">
        <v>32</v>
      </c>
      <c r="J1474" t="s">
        <v>40</v>
      </c>
      <c r="K1474" t="s">
        <v>11</v>
      </c>
      <c r="L1474" t="str">
        <f>T("9791191562019")</f>
        <v>9791191562019</v>
      </c>
    </row>
    <row r="1475" spans="1:12">
      <c r="A1475" s="2">
        <v>44804.25409722222</v>
      </c>
      <c r="B1475">
        <v>300405818</v>
      </c>
      <c r="C1475" t="s">
        <v>464</v>
      </c>
      <c r="D1475" t="s">
        <v>9</v>
      </c>
      <c r="E1475" s="3">
        <v>2000</v>
      </c>
      <c r="F1475" s="3">
        <v>2000</v>
      </c>
      <c r="G1475" s="3">
        <v>1400</v>
      </c>
      <c r="I1475" t="s">
        <v>176</v>
      </c>
      <c r="J1475" t="s">
        <v>40</v>
      </c>
      <c r="K1475" t="s">
        <v>11</v>
      </c>
      <c r="L1475" t="str">
        <f>T("9791191562903")</f>
        <v>9791191562903</v>
      </c>
    </row>
    <row r="1476" spans="1:12">
      <c r="A1476" s="2">
        <v>44804.281365740739</v>
      </c>
      <c r="B1476">
        <v>300405818</v>
      </c>
      <c r="C1476" t="s">
        <v>464</v>
      </c>
      <c r="D1476" t="s">
        <v>9</v>
      </c>
      <c r="E1476" s="3">
        <v>2000</v>
      </c>
      <c r="F1476" s="3">
        <v>2000</v>
      </c>
      <c r="G1476" s="3">
        <v>1400</v>
      </c>
      <c r="I1476" t="s">
        <v>176</v>
      </c>
      <c r="J1476" t="s">
        <v>40</v>
      </c>
      <c r="K1476" t="s">
        <v>11</v>
      </c>
      <c r="L1476" t="str">
        <f>T("9791191562903")</f>
        <v>9791191562903</v>
      </c>
    </row>
    <row r="1477" spans="1:12">
      <c r="A1477" s="2">
        <v>44804.339201388888</v>
      </c>
      <c r="B1477">
        <v>295462572</v>
      </c>
      <c r="C1477" t="s">
        <v>108</v>
      </c>
      <c r="D1477" t="s">
        <v>9</v>
      </c>
      <c r="E1477" s="3">
        <v>2000</v>
      </c>
      <c r="F1477" s="3">
        <v>2000</v>
      </c>
      <c r="G1477" s="3">
        <v>1400</v>
      </c>
      <c r="I1477" t="s">
        <v>32</v>
      </c>
      <c r="J1477" t="s">
        <v>40</v>
      </c>
      <c r="K1477" t="s">
        <v>11</v>
      </c>
      <c r="L1477" t="str">
        <f>T("9791191562361")</f>
        <v>9791191562361</v>
      </c>
    </row>
    <row r="1478" spans="1:12">
      <c r="A1478" s="2">
        <v>44804.367222222223</v>
      </c>
      <c r="B1478">
        <v>296103744</v>
      </c>
      <c r="C1478" t="s">
        <v>130</v>
      </c>
      <c r="D1478" t="s">
        <v>9</v>
      </c>
      <c r="E1478" s="3">
        <v>2000</v>
      </c>
      <c r="F1478" s="3">
        <v>2000</v>
      </c>
      <c r="G1478" s="3">
        <v>1400</v>
      </c>
      <c r="I1478" t="s">
        <v>30</v>
      </c>
      <c r="J1478" t="s">
        <v>40</v>
      </c>
      <c r="K1478" t="s">
        <v>11</v>
      </c>
      <c r="L1478" t="str">
        <f>T("9791191562538")</f>
        <v>9791191562538</v>
      </c>
    </row>
    <row r="1479" spans="1:12">
      <c r="A1479" s="2">
        <v>44804.383171296293</v>
      </c>
      <c r="B1479">
        <v>299562124</v>
      </c>
      <c r="C1479" t="s">
        <v>369</v>
      </c>
      <c r="D1479" t="s">
        <v>9</v>
      </c>
      <c r="E1479" s="3">
        <v>2000</v>
      </c>
      <c r="F1479" s="3">
        <v>2000</v>
      </c>
      <c r="G1479" s="3">
        <v>1400</v>
      </c>
      <c r="I1479" t="s">
        <v>370</v>
      </c>
      <c r="J1479" t="s">
        <v>40</v>
      </c>
      <c r="K1479" t="s">
        <v>11</v>
      </c>
      <c r="L1479" t="str">
        <f>T("9791191562873")</f>
        <v>9791191562873</v>
      </c>
    </row>
    <row r="1480" spans="1:12">
      <c r="A1480" s="2">
        <v>44804.393599537034</v>
      </c>
      <c r="B1480">
        <v>300405818</v>
      </c>
      <c r="C1480" t="s">
        <v>464</v>
      </c>
      <c r="D1480" t="s">
        <v>9</v>
      </c>
      <c r="E1480" s="3">
        <v>2000</v>
      </c>
      <c r="F1480" s="3">
        <v>2000</v>
      </c>
      <c r="G1480" s="3">
        <v>1400</v>
      </c>
      <c r="I1480" t="s">
        <v>176</v>
      </c>
      <c r="J1480" t="s">
        <v>40</v>
      </c>
      <c r="K1480" t="s">
        <v>11</v>
      </c>
      <c r="L1480" t="str">
        <f>T("9791191562903")</f>
        <v>9791191562903</v>
      </c>
    </row>
    <row r="1481" spans="1:12">
      <c r="A1481" s="2">
        <v>44804.396412037036</v>
      </c>
      <c r="B1481">
        <v>299562124</v>
      </c>
      <c r="C1481" t="s">
        <v>369</v>
      </c>
      <c r="D1481" t="s">
        <v>9</v>
      </c>
      <c r="E1481" s="3">
        <v>2000</v>
      </c>
      <c r="F1481" s="3">
        <v>2000</v>
      </c>
      <c r="G1481" s="3">
        <v>1400</v>
      </c>
      <c r="I1481" t="s">
        <v>370</v>
      </c>
      <c r="J1481" t="s">
        <v>40</v>
      </c>
      <c r="K1481" t="s">
        <v>11</v>
      </c>
      <c r="L1481" t="str">
        <f>T("9791191562873")</f>
        <v>9791191562873</v>
      </c>
    </row>
    <row r="1482" spans="1:12">
      <c r="A1482" s="2">
        <v>44804.449791666666</v>
      </c>
      <c r="B1482">
        <v>300405818</v>
      </c>
      <c r="C1482" t="s">
        <v>464</v>
      </c>
      <c r="D1482" t="s">
        <v>9</v>
      </c>
      <c r="E1482" s="3">
        <v>2000</v>
      </c>
      <c r="F1482" s="3">
        <v>2000</v>
      </c>
      <c r="G1482" s="3">
        <v>1400</v>
      </c>
      <c r="I1482" t="s">
        <v>176</v>
      </c>
      <c r="J1482" t="s">
        <v>40</v>
      </c>
      <c r="K1482" t="s">
        <v>11</v>
      </c>
      <c r="L1482" t="str">
        <f>T("9791191562903")</f>
        <v>9791191562903</v>
      </c>
    </row>
    <row r="1483" spans="1:12">
      <c r="A1483" s="2">
        <v>44804.465196759258</v>
      </c>
      <c r="B1483">
        <v>284241808</v>
      </c>
      <c r="C1483" t="s">
        <v>27</v>
      </c>
      <c r="D1483" t="s">
        <v>9</v>
      </c>
      <c r="E1483" s="3">
        <v>3600</v>
      </c>
      <c r="F1483" s="3">
        <v>3600</v>
      </c>
      <c r="G1483" s="3">
        <v>2520</v>
      </c>
      <c r="I1483" t="s">
        <v>21</v>
      </c>
      <c r="J1483" t="s">
        <v>45</v>
      </c>
      <c r="K1483" t="s">
        <v>11</v>
      </c>
      <c r="L1483" t="str">
        <f>T("9791166482557")</f>
        <v>9791166482557</v>
      </c>
    </row>
    <row r="1484" spans="1:12">
      <c r="A1484" s="2">
        <v>44804.484247685185</v>
      </c>
      <c r="B1484">
        <v>300405818</v>
      </c>
      <c r="C1484" t="s">
        <v>464</v>
      </c>
      <c r="D1484" t="s">
        <v>9</v>
      </c>
      <c r="E1484" s="3">
        <v>2000</v>
      </c>
      <c r="F1484" s="3">
        <v>2000</v>
      </c>
      <c r="G1484" s="3">
        <v>1400</v>
      </c>
      <c r="I1484" t="s">
        <v>176</v>
      </c>
      <c r="J1484" t="s">
        <v>40</v>
      </c>
      <c r="K1484" t="s">
        <v>11</v>
      </c>
      <c r="L1484" t="str">
        <f>T("9791191562903")</f>
        <v>9791191562903</v>
      </c>
    </row>
    <row r="1485" spans="1:12">
      <c r="A1485" s="2">
        <v>44804.528310185182</v>
      </c>
      <c r="B1485">
        <v>48799514</v>
      </c>
      <c r="C1485" t="s">
        <v>498</v>
      </c>
      <c r="D1485" t="s">
        <v>12</v>
      </c>
      <c r="E1485">
        <v>900</v>
      </c>
      <c r="F1485">
        <v>900</v>
      </c>
      <c r="G1485">
        <v>630</v>
      </c>
      <c r="I1485" t="s">
        <v>10</v>
      </c>
      <c r="J1485" t="s">
        <v>11</v>
      </c>
      <c r="K1485" t="s">
        <v>11</v>
      </c>
      <c r="L1485" t="str">
        <f>T("9791159284786")</f>
        <v>9791159284786</v>
      </c>
    </row>
    <row r="1486" spans="1:12">
      <c r="A1486" s="2">
        <v>44804.549571759257</v>
      </c>
      <c r="B1486">
        <v>295462572</v>
      </c>
      <c r="C1486" t="s">
        <v>108</v>
      </c>
      <c r="D1486" t="s">
        <v>9</v>
      </c>
      <c r="E1486" s="3">
        <v>2000</v>
      </c>
      <c r="F1486" s="3">
        <v>2000</v>
      </c>
      <c r="G1486" s="3">
        <v>1400</v>
      </c>
      <c r="I1486" t="s">
        <v>32</v>
      </c>
      <c r="J1486" t="s">
        <v>40</v>
      </c>
      <c r="K1486" t="s">
        <v>11</v>
      </c>
      <c r="L1486" t="str">
        <f>T("9791191562361")</f>
        <v>9791191562361</v>
      </c>
    </row>
    <row r="1487" spans="1:12">
      <c r="A1487" s="2">
        <v>44804.559212962966</v>
      </c>
      <c r="B1487">
        <v>295836446</v>
      </c>
      <c r="C1487" t="s">
        <v>129</v>
      </c>
      <c r="D1487" t="s">
        <v>9</v>
      </c>
      <c r="E1487" s="3">
        <v>2000</v>
      </c>
      <c r="F1487" s="3">
        <v>2000</v>
      </c>
      <c r="G1487" s="3">
        <v>1400</v>
      </c>
      <c r="I1487" t="s">
        <v>59</v>
      </c>
      <c r="J1487" t="s">
        <v>40</v>
      </c>
      <c r="K1487" t="s">
        <v>11</v>
      </c>
      <c r="L1487" t="str">
        <f>T("9791191562798")</f>
        <v>9791191562798</v>
      </c>
    </row>
    <row r="1488" spans="1:12">
      <c r="A1488" s="2">
        <v>44804.559212962966</v>
      </c>
      <c r="B1488">
        <v>291088925</v>
      </c>
      <c r="C1488" t="s">
        <v>58</v>
      </c>
      <c r="D1488" t="s">
        <v>9</v>
      </c>
      <c r="E1488" s="3">
        <v>2000</v>
      </c>
      <c r="F1488" s="3">
        <v>2000</v>
      </c>
      <c r="G1488" s="3">
        <v>1400</v>
      </c>
      <c r="I1488" t="s">
        <v>59</v>
      </c>
      <c r="J1488" t="s">
        <v>40</v>
      </c>
      <c r="K1488" t="s">
        <v>11</v>
      </c>
      <c r="L1488" t="str">
        <f>T("9791191562187")</f>
        <v>9791191562187</v>
      </c>
    </row>
    <row r="1489" spans="1:12">
      <c r="A1489" s="2">
        <v>44804.571157407408</v>
      </c>
      <c r="B1489">
        <v>48799516</v>
      </c>
      <c r="C1489" t="s">
        <v>499</v>
      </c>
      <c r="D1489" t="s">
        <v>12</v>
      </c>
      <c r="E1489">
        <v>900</v>
      </c>
      <c r="F1489">
        <v>900</v>
      </c>
      <c r="G1489">
        <v>630</v>
      </c>
      <c r="I1489" t="s">
        <v>10</v>
      </c>
      <c r="J1489" t="s">
        <v>11</v>
      </c>
      <c r="K1489" t="s">
        <v>11</v>
      </c>
      <c r="L1489" t="str">
        <f>T("9791159284793")</f>
        <v>9791159284793</v>
      </c>
    </row>
    <row r="1490" spans="1:12">
      <c r="A1490" s="2">
        <v>44804.608842592592</v>
      </c>
      <c r="B1490">
        <v>300405818</v>
      </c>
      <c r="C1490" t="s">
        <v>464</v>
      </c>
      <c r="D1490" t="s">
        <v>9</v>
      </c>
      <c r="E1490" s="3">
        <v>2000</v>
      </c>
      <c r="F1490" s="3">
        <v>2000</v>
      </c>
      <c r="G1490" s="3">
        <v>1400</v>
      </c>
      <c r="I1490" t="s">
        <v>176</v>
      </c>
      <c r="J1490" t="s">
        <v>40</v>
      </c>
      <c r="K1490" t="s">
        <v>11</v>
      </c>
      <c r="L1490" t="str">
        <f>T("9791191562903")</f>
        <v>9791191562903</v>
      </c>
    </row>
    <row r="1491" spans="1:12">
      <c r="A1491" s="2">
        <v>44804.679016203707</v>
      </c>
      <c r="B1491">
        <v>48799518</v>
      </c>
      <c r="C1491" t="s">
        <v>500</v>
      </c>
      <c r="D1491" t="s">
        <v>12</v>
      </c>
      <c r="E1491">
        <v>900</v>
      </c>
      <c r="F1491">
        <v>900</v>
      </c>
      <c r="G1491">
        <v>630</v>
      </c>
      <c r="I1491" t="s">
        <v>10</v>
      </c>
      <c r="J1491" t="s">
        <v>11</v>
      </c>
      <c r="K1491" t="s">
        <v>11</v>
      </c>
      <c r="L1491" t="str">
        <f>T("9791159284809")</f>
        <v>9791159284809</v>
      </c>
    </row>
    <row r="1492" spans="1:12">
      <c r="A1492" s="2">
        <v>44804.688530092593</v>
      </c>
      <c r="B1492">
        <v>299961390</v>
      </c>
      <c r="C1492" t="s">
        <v>425</v>
      </c>
      <c r="D1492" t="s">
        <v>9</v>
      </c>
      <c r="E1492" s="3">
        <v>2000</v>
      </c>
      <c r="F1492" s="3">
        <v>2000</v>
      </c>
      <c r="G1492" s="3">
        <v>1400</v>
      </c>
      <c r="I1492" t="s">
        <v>42</v>
      </c>
      <c r="J1492" t="s">
        <v>40</v>
      </c>
      <c r="K1492" t="s">
        <v>11</v>
      </c>
      <c r="L1492" t="str">
        <f>T("9791191562880")</f>
        <v>9791191562880</v>
      </c>
    </row>
    <row r="1493" spans="1:12">
      <c r="A1493" s="2">
        <v>44804.69158564815</v>
      </c>
      <c r="B1493">
        <v>300405818</v>
      </c>
      <c r="C1493" t="s">
        <v>464</v>
      </c>
      <c r="D1493" t="s">
        <v>9</v>
      </c>
      <c r="E1493" s="3">
        <v>2000</v>
      </c>
      <c r="F1493" s="3">
        <v>2000</v>
      </c>
      <c r="G1493" s="3">
        <v>1400</v>
      </c>
      <c r="I1493" t="s">
        <v>176</v>
      </c>
      <c r="J1493" t="s">
        <v>40</v>
      </c>
      <c r="K1493" t="s">
        <v>11</v>
      </c>
      <c r="L1493" t="str">
        <f>T("9791191562903")</f>
        <v>9791191562903</v>
      </c>
    </row>
    <row r="1494" spans="1:12">
      <c r="A1494" s="2">
        <v>44804.696111111109</v>
      </c>
      <c r="B1494">
        <v>300405818</v>
      </c>
      <c r="C1494" t="s">
        <v>464</v>
      </c>
      <c r="D1494" t="s">
        <v>9</v>
      </c>
      <c r="E1494" s="3">
        <v>2000</v>
      </c>
      <c r="F1494" s="3">
        <v>2000</v>
      </c>
      <c r="G1494" s="3">
        <v>1400</v>
      </c>
      <c r="I1494" t="s">
        <v>176</v>
      </c>
      <c r="J1494" t="s">
        <v>40</v>
      </c>
      <c r="K1494" t="s">
        <v>11</v>
      </c>
      <c r="L1494" t="str">
        <f>T("9791191562903")</f>
        <v>9791191562903</v>
      </c>
    </row>
    <row r="1495" spans="1:12">
      <c r="A1495" s="2">
        <v>44804.699201388888</v>
      </c>
      <c r="B1495">
        <v>296965886</v>
      </c>
      <c r="C1495" t="s">
        <v>151</v>
      </c>
      <c r="D1495" t="s">
        <v>9</v>
      </c>
      <c r="E1495" s="3">
        <v>2500</v>
      </c>
      <c r="F1495" s="3">
        <v>2500</v>
      </c>
      <c r="G1495" s="3">
        <v>1750</v>
      </c>
      <c r="I1495" t="s">
        <v>152</v>
      </c>
      <c r="J1495" t="s">
        <v>40</v>
      </c>
      <c r="K1495" t="s">
        <v>11</v>
      </c>
      <c r="L1495" t="str">
        <f>T("9791191562507")</f>
        <v>9791191562507</v>
      </c>
    </row>
    <row r="1496" spans="1:12">
      <c r="A1496" s="2">
        <v>44804.700949074075</v>
      </c>
      <c r="B1496">
        <v>291088925</v>
      </c>
      <c r="C1496" t="s">
        <v>58</v>
      </c>
      <c r="D1496" t="s">
        <v>9</v>
      </c>
      <c r="E1496" s="3">
        <v>2000</v>
      </c>
      <c r="F1496" s="3">
        <v>2000</v>
      </c>
      <c r="G1496" s="3">
        <v>1400</v>
      </c>
      <c r="I1496" t="s">
        <v>59</v>
      </c>
      <c r="J1496" t="s">
        <v>40</v>
      </c>
      <c r="K1496" t="s">
        <v>11</v>
      </c>
      <c r="L1496" t="str">
        <f>T("9791191562187")</f>
        <v>9791191562187</v>
      </c>
    </row>
    <row r="1497" spans="1:12">
      <c r="A1497" s="2">
        <v>44804.718344907407</v>
      </c>
      <c r="B1497">
        <v>300405818</v>
      </c>
      <c r="C1497" t="s">
        <v>464</v>
      </c>
      <c r="D1497" t="s">
        <v>9</v>
      </c>
      <c r="E1497" s="3">
        <v>2000</v>
      </c>
      <c r="F1497" s="3">
        <v>2000</v>
      </c>
      <c r="G1497" s="3">
        <v>1400</v>
      </c>
      <c r="I1497" t="s">
        <v>176</v>
      </c>
      <c r="J1497" t="s">
        <v>40</v>
      </c>
      <c r="K1497" t="s">
        <v>11</v>
      </c>
      <c r="L1497" t="str">
        <f>T("9791191562903")</f>
        <v>9791191562903</v>
      </c>
    </row>
    <row r="1498" spans="1:12">
      <c r="A1498" s="2">
        <v>44804.752638888887</v>
      </c>
      <c r="B1498">
        <v>300405818</v>
      </c>
      <c r="C1498" t="s">
        <v>464</v>
      </c>
      <c r="D1498" t="s">
        <v>9</v>
      </c>
      <c r="E1498" s="3">
        <v>2000</v>
      </c>
      <c r="F1498" s="3">
        <v>2000</v>
      </c>
      <c r="G1498" s="3">
        <v>1400</v>
      </c>
      <c r="I1498" t="s">
        <v>176</v>
      </c>
      <c r="J1498" t="s">
        <v>40</v>
      </c>
      <c r="K1498" t="s">
        <v>11</v>
      </c>
      <c r="L1498" t="str">
        <f>T("9791191562903")</f>
        <v>9791191562903</v>
      </c>
    </row>
    <row r="1499" spans="1:12">
      <c r="A1499" s="2">
        <v>44804.752835648149</v>
      </c>
      <c r="B1499">
        <v>298375208</v>
      </c>
      <c r="C1499" t="s">
        <v>239</v>
      </c>
      <c r="D1499" t="s">
        <v>9</v>
      </c>
      <c r="E1499" s="3">
        <v>2500</v>
      </c>
      <c r="F1499" s="3">
        <v>2500</v>
      </c>
      <c r="G1499" s="3">
        <v>1750</v>
      </c>
      <c r="I1499" t="s">
        <v>240</v>
      </c>
      <c r="J1499" t="s">
        <v>40</v>
      </c>
      <c r="K1499" t="s">
        <v>11</v>
      </c>
      <c r="L1499" t="str">
        <f>T("9791191562842")</f>
        <v>9791191562842</v>
      </c>
    </row>
    <row r="1500" spans="1:12">
      <c r="A1500" s="2">
        <v>44804.818113425928</v>
      </c>
      <c r="B1500">
        <v>299562124</v>
      </c>
      <c r="C1500" t="s">
        <v>369</v>
      </c>
      <c r="D1500" t="s">
        <v>9</v>
      </c>
      <c r="E1500" s="3">
        <v>2000</v>
      </c>
      <c r="F1500" s="3">
        <v>2000</v>
      </c>
      <c r="G1500" s="3">
        <v>1400</v>
      </c>
      <c r="I1500" t="s">
        <v>370</v>
      </c>
      <c r="J1500" t="s">
        <v>40</v>
      </c>
      <c r="K1500" t="s">
        <v>11</v>
      </c>
      <c r="L1500" t="str">
        <f>T("9791191562873")</f>
        <v>9791191562873</v>
      </c>
    </row>
    <row r="1501" spans="1:12">
      <c r="A1501" s="2">
        <v>44804.821828703702</v>
      </c>
      <c r="B1501">
        <v>299961390</v>
      </c>
      <c r="C1501" t="s">
        <v>425</v>
      </c>
      <c r="D1501" t="s">
        <v>9</v>
      </c>
      <c r="E1501" s="3">
        <v>2000</v>
      </c>
      <c r="F1501" s="3">
        <v>2000</v>
      </c>
      <c r="G1501" s="3">
        <v>1400</v>
      </c>
      <c r="I1501" t="s">
        <v>42</v>
      </c>
      <c r="J1501" t="s">
        <v>40</v>
      </c>
      <c r="K1501" t="s">
        <v>11</v>
      </c>
      <c r="L1501" t="str">
        <f>T("9791191562880")</f>
        <v>9791191562880</v>
      </c>
    </row>
    <row r="1502" spans="1:12">
      <c r="A1502" s="2">
        <v>44804.822094907409</v>
      </c>
      <c r="B1502">
        <v>300405818</v>
      </c>
      <c r="C1502" t="s">
        <v>464</v>
      </c>
      <c r="D1502" t="s">
        <v>9</v>
      </c>
      <c r="E1502" s="3">
        <v>2000</v>
      </c>
      <c r="F1502" s="3">
        <v>2000</v>
      </c>
      <c r="G1502" s="3">
        <v>1400</v>
      </c>
      <c r="I1502" t="s">
        <v>176</v>
      </c>
      <c r="J1502" t="s">
        <v>40</v>
      </c>
      <c r="K1502" t="s">
        <v>11</v>
      </c>
      <c r="L1502" t="str">
        <f>T("9791191562903")</f>
        <v>9791191562903</v>
      </c>
    </row>
    <row r="1503" spans="1:12">
      <c r="A1503" s="2">
        <v>44804.852685185186</v>
      </c>
      <c r="B1503">
        <v>238603707</v>
      </c>
      <c r="C1503" t="s">
        <v>501</v>
      </c>
      <c r="D1503" t="s">
        <v>9</v>
      </c>
      <c r="E1503">
        <v>300</v>
      </c>
      <c r="F1503">
        <v>300</v>
      </c>
      <c r="G1503">
        <v>210</v>
      </c>
      <c r="I1503" t="s">
        <v>253</v>
      </c>
      <c r="J1503" t="s">
        <v>71</v>
      </c>
      <c r="K1503" t="s">
        <v>11</v>
      </c>
      <c r="L1503" t="str">
        <f>T("9791164372386")</f>
        <v>9791164372386</v>
      </c>
    </row>
    <row r="1504" spans="1:12">
      <c r="A1504" s="2">
        <v>44804.86210648148</v>
      </c>
      <c r="B1504">
        <v>300405818</v>
      </c>
      <c r="C1504" t="s">
        <v>464</v>
      </c>
      <c r="D1504" t="s">
        <v>9</v>
      </c>
      <c r="E1504" s="3">
        <v>2000</v>
      </c>
      <c r="F1504" s="3">
        <v>2000</v>
      </c>
      <c r="G1504" s="3">
        <v>1400</v>
      </c>
      <c r="I1504" t="s">
        <v>176</v>
      </c>
      <c r="J1504" t="s">
        <v>40</v>
      </c>
      <c r="K1504" t="s">
        <v>11</v>
      </c>
      <c r="L1504" t="str">
        <f>T("9791191562903")</f>
        <v>9791191562903</v>
      </c>
    </row>
    <row r="1505" spans="1:12">
      <c r="A1505" s="2">
        <v>44804.883356481485</v>
      </c>
      <c r="B1505">
        <v>300405818</v>
      </c>
      <c r="C1505" t="s">
        <v>464</v>
      </c>
      <c r="D1505" t="s">
        <v>9</v>
      </c>
      <c r="E1505" s="3">
        <v>2000</v>
      </c>
      <c r="F1505" s="3">
        <v>2000</v>
      </c>
      <c r="G1505" s="3">
        <v>1400</v>
      </c>
      <c r="I1505" t="s">
        <v>176</v>
      </c>
      <c r="J1505" t="s">
        <v>40</v>
      </c>
      <c r="K1505" t="s">
        <v>11</v>
      </c>
      <c r="L1505" t="str">
        <f>T("9791191562903")</f>
        <v>9791191562903</v>
      </c>
    </row>
    <row r="1506" spans="1:12">
      <c r="A1506" s="2">
        <v>44804.894745370373</v>
      </c>
      <c r="B1506">
        <v>300405818</v>
      </c>
      <c r="C1506" t="s">
        <v>464</v>
      </c>
      <c r="D1506" t="s">
        <v>9</v>
      </c>
      <c r="E1506" s="3">
        <v>2000</v>
      </c>
      <c r="F1506" s="3">
        <v>2000</v>
      </c>
      <c r="G1506" s="3">
        <v>1400</v>
      </c>
      <c r="I1506" t="s">
        <v>176</v>
      </c>
      <c r="J1506" t="s">
        <v>40</v>
      </c>
      <c r="K1506" t="s">
        <v>11</v>
      </c>
      <c r="L1506" t="str">
        <f>T("9791191562903")</f>
        <v>9791191562903</v>
      </c>
    </row>
    <row r="1507" spans="1:12">
      <c r="A1507" s="2">
        <v>44804.91678240741</v>
      </c>
      <c r="B1507">
        <v>294674998</v>
      </c>
      <c r="C1507" t="s">
        <v>112</v>
      </c>
      <c r="D1507" t="s">
        <v>9</v>
      </c>
      <c r="E1507" s="3">
        <v>2000</v>
      </c>
      <c r="F1507" s="3">
        <v>2000</v>
      </c>
      <c r="G1507" s="3">
        <v>1400</v>
      </c>
      <c r="I1507" t="s">
        <v>111</v>
      </c>
      <c r="J1507" t="s">
        <v>40</v>
      </c>
      <c r="K1507" t="s">
        <v>11</v>
      </c>
      <c r="L1507" t="str">
        <f>T("9791191562385")</f>
        <v>9791191562385</v>
      </c>
    </row>
    <row r="1508" spans="1:12">
      <c r="A1508" s="2">
        <v>44804.922812500001</v>
      </c>
      <c r="B1508">
        <v>295462572</v>
      </c>
      <c r="C1508" t="s">
        <v>108</v>
      </c>
      <c r="D1508" t="s">
        <v>9</v>
      </c>
      <c r="E1508" s="3">
        <v>2000</v>
      </c>
      <c r="F1508" s="3">
        <v>2000</v>
      </c>
      <c r="G1508" s="3">
        <v>1400</v>
      </c>
      <c r="I1508" t="s">
        <v>32</v>
      </c>
      <c r="J1508" t="s">
        <v>40</v>
      </c>
      <c r="K1508" t="s">
        <v>11</v>
      </c>
      <c r="L1508" t="str">
        <f>T("9791191562361")</f>
        <v>9791191562361</v>
      </c>
    </row>
    <row r="1509" spans="1:12">
      <c r="A1509" s="2">
        <v>44804.923275462963</v>
      </c>
      <c r="B1509">
        <v>291088925</v>
      </c>
      <c r="C1509" t="s">
        <v>58</v>
      </c>
      <c r="D1509" t="s">
        <v>9</v>
      </c>
      <c r="E1509" s="3">
        <v>2000</v>
      </c>
      <c r="F1509" s="3">
        <v>2000</v>
      </c>
      <c r="G1509" s="3">
        <v>1400</v>
      </c>
      <c r="I1509" t="s">
        <v>59</v>
      </c>
      <c r="J1509" t="s">
        <v>40</v>
      </c>
      <c r="K1509" t="s">
        <v>11</v>
      </c>
      <c r="L1509" t="str">
        <f>T("9791191562187")</f>
        <v>9791191562187</v>
      </c>
    </row>
    <row r="1510" spans="1:12">
      <c r="A1510" s="2">
        <v>44804.926828703705</v>
      </c>
      <c r="B1510">
        <v>266182672</v>
      </c>
      <c r="C1510" t="s">
        <v>502</v>
      </c>
      <c r="D1510" t="s">
        <v>9</v>
      </c>
      <c r="E1510" s="3">
        <v>2800</v>
      </c>
      <c r="F1510" s="3">
        <v>2800</v>
      </c>
      <c r="G1510" s="3">
        <v>1960</v>
      </c>
      <c r="I1510" t="s">
        <v>16</v>
      </c>
      <c r="J1510" t="s">
        <v>45</v>
      </c>
      <c r="K1510" t="s">
        <v>11</v>
      </c>
      <c r="L1510" t="str">
        <f>T("9791166481093")</f>
        <v>9791166481093</v>
      </c>
    </row>
    <row r="1511" spans="1:12">
      <c r="A1511" s="2">
        <v>44804.931770833333</v>
      </c>
      <c r="B1511">
        <v>300405818</v>
      </c>
      <c r="C1511" t="s">
        <v>464</v>
      </c>
      <c r="D1511" t="s">
        <v>9</v>
      </c>
      <c r="E1511" s="3">
        <v>2000</v>
      </c>
      <c r="F1511" s="3">
        <v>2000</v>
      </c>
      <c r="G1511" s="3">
        <v>1400</v>
      </c>
      <c r="I1511" t="s">
        <v>176</v>
      </c>
      <c r="J1511" t="s">
        <v>40</v>
      </c>
      <c r="K1511" t="s">
        <v>11</v>
      </c>
      <c r="L1511" t="str">
        <f>T("9791191562903")</f>
        <v>9791191562903</v>
      </c>
    </row>
    <row r="1512" spans="1:12">
      <c r="A1512" s="2">
        <v>44804.953611111108</v>
      </c>
      <c r="B1512">
        <v>300405818</v>
      </c>
      <c r="C1512" t="s">
        <v>464</v>
      </c>
      <c r="D1512" t="s">
        <v>9</v>
      </c>
      <c r="E1512" s="3">
        <v>2000</v>
      </c>
      <c r="F1512" s="3">
        <v>2000</v>
      </c>
      <c r="G1512" s="3">
        <v>1400</v>
      </c>
      <c r="I1512" t="s">
        <v>176</v>
      </c>
      <c r="J1512" t="s">
        <v>40</v>
      </c>
      <c r="K1512" t="s">
        <v>11</v>
      </c>
      <c r="L1512" t="str">
        <f>T("9791191562903")</f>
        <v>9791191562903</v>
      </c>
    </row>
    <row r="1513" spans="1:12">
      <c r="A1513" s="2">
        <v>44804.959467592591</v>
      </c>
      <c r="B1513">
        <v>287834730</v>
      </c>
      <c r="C1513" t="s">
        <v>37</v>
      </c>
      <c r="D1513" t="s">
        <v>9</v>
      </c>
      <c r="E1513" s="3">
        <v>2000</v>
      </c>
      <c r="F1513" s="3">
        <v>2000</v>
      </c>
      <c r="G1513" s="3">
        <v>1400</v>
      </c>
      <c r="I1513" t="s">
        <v>32</v>
      </c>
      <c r="J1513" t="s">
        <v>40</v>
      </c>
      <c r="K1513" t="s">
        <v>11</v>
      </c>
      <c r="L1513" t="str">
        <f>T("9791191562019")</f>
        <v>9791191562019</v>
      </c>
    </row>
    <row r="1514" spans="1:12">
      <c r="A1514" s="2">
        <v>44804.961377314816</v>
      </c>
      <c r="B1514">
        <v>300405818</v>
      </c>
      <c r="C1514" t="s">
        <v>464</v>
      </c>
      <c r="D1514" t="s">
        <v>9</v>
      </c>
      <c r="E1514" s="3">
        <v>2000</v>
      </c>
      <c r="F1514" s="3">
        <v>2000</v>
      </c>
      <c r="G1514" s="3">
        <v>1400</v>
      </c>
      <c r="I1514" t="s">
        <v>176</v>
      </c>
      <c r="J1514" t="s">
        <v>40</v>
      </c>
      <c r="K1514" t="s">
        <v>11</v>
      </c>
      <c r="L1514" t="str">
        <f>T("9791191562903")</f>
        <v>9791191562903</v>
      </c>
    </row>
    <row r="1515" spans="1:12">
      <c r="A1515" s="2">
        <v>44804.965729166666</v>
      </c>
      <c r="B1515">
        <v>300405818</v>
      </c>
      <c r="C1515" t="s">
        <v>464</v>
      </c>
      <c r="D1515" t="s">
        <v>9</v>
      </c>
      <c r="E1515" s="3">
        <v>2000</v>
      </c>
      <c r="F1515" s="3">
        <v>2000</v>
      </c>
      <c r="G1515" s="3">
        <v>1400</v>
      </c>
      <c r="I1515" t="s">
        <v>176</v>
      </c>
      <c r="J1515" t="s">
        <v>40</v>
      </c>
      <c r="K1515" t="s">
        <v>11</v>
      </c>
      <c r="L1515" t="str">
        <f>T("9791191562903")</f>
        <v>9791191562903</v>
      </c>
    </row>
    <row r="1516" spans="1:12">
      <c r="A1516" s="2">
        <v>44804.966215277775</v>
      </c>
      <c r="B1516">
        <v>276845689</v>
      </c>
      <c r="C1516" t="s">
        <v>291</v>
      </c>
      <c r="D1516" t="s">
        <v>9</v>
      </c>
      <c r="E1516" s="3">
        <v>2800</v>
      </c>
      <c r="F1516" s="3">
        <v>2800</v>
      </c>
      <c r="G1516" s="3">
        <v>1960</v>
      </c>
      <c r="I1516" t="s">
        <v>16</v>
      </c>
      <c r="J1516" t="s">
        <v>45</v>
      </c>
      <c r="K1516" t="s">
        <v>11</v>
      </c>
      <c r="L1516" t="str">
        <f>T("9791166481871")</f>
        <v>9791166481871</v>
      </c>
    </row>
    <row r="1517" spans="1:12">
      <c r="A1517" s="2">
        <v>44804.970555555556</v>
      </c>
      <c r="B1517">
        <v>300405818</v>
      </c>
      <c r="C1517" t="s">
        <v>464</v>
      </c>
      <c r="D1517" t="s">
        <v>9</v>
      </c>
      <c r="E1517" s="3">
        <v>2000</v>
      </c>
      <c r="F1517" s="3">
        <v>2000</v>
      </c>
      <c r="G1517" s="3">
        <v>1400</v>
      </c>
      <c r="I1517" t="s">
        <v>176</v>
      </c>
      <c r="J1517" t="s">
        <v>40</v>
      </c>
      <c r="K1517" t="s">
        <v>11</v>
      </c>
      <c r="L1517" t="str">
        <f>T("9791191562903")</f>
        <v>9791191562903</v>
      </c>
    </row>
    <row r="1518" spans="1:12">
      <c r="A1518" s="2">
        <v>44804.97216435185</v>
      </c>
      <c r="B1518">
        <v>286896672</v>
      </c>
      <c r="C1518" t="s">
        <v>175</v>
      </c>
      <c r="D1518" t="s">
        <v>9</v>
      </c>
      <c r="E1518" s="3">
        <v>2500</v>
      </c>
      <c r="F1518" s="3">
        <v>2500</v>
      </c>
      <c r="G1518" s="3">
        <v>1750</v>
      </c>
      <c r="I1518" t="s">
        <v>176</v>
      </c>
      <c r="J1518" t="s">
        <v>40</v>
      </c>
      <c r="K1518" t="s">
        <v>11</v>
      </c>
      <c r="L1518" t="str">
        <f>T("9791191562002")</f>
        <v>9791191562002</v>
      </c>
    </row>
    <row r="1519" spans="1:12">
      <c r="A1519" s="2">
        <v>44804.974710648145</v>
      </c>
      <c r="B1519">
        <v>300405818</v>
      </c>
      <c r="C1519" t="s">
        <v>464</v>
      </c>
      <c r="D1519" t="s">
        <v>9</v>
      </c>
      <c r="E1519" s="3">
        <v>2000</v>
      </c>
      <c r="F1519" s="3">
        <v>2000</v>
      </c>
      <c r="G1519" s="3">
        <v>1400</v>
      </c>
      <c r="I1519" t="s">
        <v>176</v>
      </c>
      <c r="J1519" t="s">
        <v>40</v>
      </c>
      <c r="K1519" t="s">
        <v>11</v>
      </c>
      <c r="L1519" t="str">
        <f>T("9791191562903")</f>
        <v>9791191562903</v>
      </c>
    </row>
    <row r="1520" spans="1:12">
      <c r="A1520" s="2">
        <v>44804.979131944441</v>
      </c>
      <c r="B1520">
        <v>300405818</v>
      </c>
      <c r="C1520" t="s">
        <v>464</v>
      </c>
      <c r="D1520" t="s">
        <v>9</v>
      </c>
      <c r="E1520" s="3">
        <v>2000</v>
      </c>
      <c r="F1520" s="3">
        <v>2000</v>
      </c>
      <c r="G1520" s="3">
        <v>1400</v>
      </c>
      <c r="I1520" t="s">
        <v>176</v>
      </c>
      <c r="J1520" t="s">
        <v>40</v>
      </c>
      <c r="K1520" t="s">
        <v>11</v>
      </c>
      <c r="L1520" t="str">
        <f>T("9791191562903")</f>
        <v>9791191562903</v>
      </c>
    </row>
    <row r="1521" spans="1:12">
      <c r="A1521" s="2">
        <v>44804.979432870372</v>
      </c>
      <c r="B1521">
        <v>300405818</v>
      </c>
      <c r="C1521" t="s">
        <v>464</v>
      </c>
      <c r="D1521" t="s">
        <v>9</v>
      </c>
      <c r="E1521" s="3">
        <v>2000</v>
      </c>
      <c r="F1521" s="3">
        <v>2000</v>
      </c>
      <c r="G1521" s="3">
        <v>1400</v>
      </c>
      <c r="I1521" t="s">
        <v>176</v>
      </c>
      <c r="J1521" t="s">
        <v>40</v>
      </c>
      <c r="K1521" t="s">
        <v>11</v>
      </c>
      <c r="L1521" t="str">
        <f>T("9791191562903")</f>
        <v>9791191562903</v>
      </c>
    </row>
    <row r="1522" spans="1:12">
      <c r="A1522" s="2">
        <v>44804.980717592596</v>
      </c>
      <c r="B1522">
        <v>296612458</v>
      </c>
      <c r="C1522" t="s">
        <v>138</v>
      </c>
      <c r="D1522" t="s">
        <v>9</v>
      </c>
      <c r="E1522" s="3">
        <v>2000</v>
      </c>
      <c r="F1522" s="3">
        <v>2000</v>
      </c>
      <c r="G1522" s="3">
        <v>1400</v>
      </c>
      <c r="I1522" t="s">
        <v>139</v>
      </c>
      <c r="J1522" t="s">
        <v>40</v>
      </c>
      <c r="K1522" t="s">
        <v>11</v>
      </c>
      <c r="L1522" t="str">
        <f>T("9791191562545")</f>
        <v>9791191562545</v>
      </c>
    </row>
    <row r="1523" spans="1:12">
      <c r="A1523" s="2">
        <v>44804.987592592595</v>
      </c>
      <c r="B1523">
        <v>300405818</v>
      </c>
      <c r="C1523" t="s">
        <v>464</v>
      </c>
      <c r="D1523" t="s">
        <v>9</v>
      </c>
      <c r="E1523" s="3">
        <v>2000</v>
      </c>
      <c r="F1523" s="3">
        <v>2000</v>
      </c>
      <c r="G1523" s="3">
        <v>1400</v>
      </c>
      <c r="I1523" t="s">
        <v>176</v>
      </c>
      <c r="J1523" t="s">
        <v>40</v>
      </c>
      <c r="K1523" t="s">
        <v>11</v>
      </c>
      <c r="L1523" t="str">
        <f>T("9791191562903")</f>
        <v>9791191562903</v>
      </c>
    </row>
    <row r="1524" spans="1:12">
      <c r="A1524" s="2">
        <v>44804.988946759258</v>
      </c>
      <c r="B1524">
        <v>290197934</v>
      </c>
      <c r="C1524" t="s">
        <v>48</v>
      </c>
      <c r="D1524" t="s">
        <v>9</v>
      </c>
      <c r="E1524" s="3">
        <v>2000</v>
      </c>
      <c r="F1524" s="3">
        <v>2000</v>
      </c>
      <c r="G1524" s="3">
        <v>1400</v>
      </c>
      <c r="I1524" t="s">
        <v>49</v>
      </c>
      <c r="J1524" t="s">
        <v>40</v>
      </c>
      <c r="K1524" t="s">
        <v>11</v>
      </c>
      <c r="L1524" t="str">
        <f>T("9791191562163")</f>
        <v>9791191562163</v>
      </c>
    </row>
    <row r="1525" spans="1:12">
      <c r="A1525" s="2">
        <v>44804.99322916667</v>
      </c>
      <c r="B1525">
        <v>300405818</v>
      </c>
      <c r="C1525" t="s">
        <v>464</v>
      </c>
      <c r="D1525" t="s">
        <v>9</v>
      </c>
      <c r="E1525" s="3">
        <v>2000</v>
      </c>
      <c r="F1525" s="3">
        <v>2000</v>
      </c>
      <c r="G1525" s="3">
        <v>1400</v>
      </c>
      <c r="I1525" t="s">
        <v>176</v>
      </c>
      <c r="J1525" t="s">
        <v>40</v>
      </c>
      <c r="K1525" t="s">
        <v>11</v>
      </c>
      <c r="L1525" t="str">
        <f>T("9791191562903")</f>
        <v>9791191562903</v>
      </c>
    </row>
    <row r="1526" spans="1:12">
      <c r="G1526" s="5">
        <f>SUM(G2:G1525)</f>
        <v>2634954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2020-07-03T02:30:48Z</dcterms:created>
  <dcterms:modified xsi:type="dcterms:W3CDTF">2022-09-05T05:01:20Z</dcterms:modified>
</cp:coreProperties>
</file>