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미스터블루\"/>
    </mc:Choice>
  </mc:AlternateContent>
  <bookViews>
    <workbookView xWindow="0" yWindow="0" windowWidth="23040" windowHeight="8952" tabRatio="722"/>
  </bookViews>
  <sheets>
    <sheet name="합계(8)" sheetId="140" r:id="rId1"/>
  </sheets>
  <definedNames>
    <definedName name="_xlnm._FilterDatabase" localSheetId="0" hidden="1">'합계(8)'!#REF!</definedName>
    <definedName name="_xlnm.Extract" localSheetId="0">'합계(8)'!#REF!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97" i="140" l="1"/>
</calcChain>
</file>

<file path=xl/sharedStrings.xml><?xml version="1.0" encoding="utf-8"?>
<sst xmlns="http://schemas.openxmlformats.org/spreadsheetml/2006/main" count="266" uniqueCount="217">
  <si>
    <t>작품명</t>
  </si>
  <si>
    <t>작가명</t>
  </si>
  <si>
    <t>코드</t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</si>
  <si>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</si>
  <si>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</si>
  <si>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</si>
  <si>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</si>
  <si>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</si>
  <si>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</si>
  <si>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</si>
  <si>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</si>
  <si>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</si>
  <si>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</si>
  <si>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</si>
  <si>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</si>
  <si>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로드 오브 머니 (연재)</t>
  </si>
  <si>
    <t>무장</t>
  </si>
  <si>
    <t>ktn03_0009</t>
  </si>
  <si>
    <t>형사의 게임</t>
  </si>
  <si>
    <t>ktn03_0003</t>
  </si>
  <si>
    <t>로드 오브 머니</t>
  </si>
  <si>
    <t>ktn03_0027</t>
  </si>
  <si>
    <t>블루머니_전권소장_건수</t>
    <phoneticPr fontId="95" type="noConversion"/>
  </si>
  <si>
    <t>정액_건수</t>
    <phoneticPr fontId="26" type="noConversion"/>
  </si>
  <si>
    <t>정액_매출액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</si>
  <si>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</si>
  <si>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</si>
  <si>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블루머니_권별대여_이용권(화) 수</t>
    <phoneticPr fontId="95" type="noConversion"/>
  </si>
  <si>
    <t>블루머니_전권대여_매출액</t>
    <phoneticPr fontId="95" type="noConversion"/>
  </si>
  <si>
    <t>계_매출액</t>
    <phoneticPr fontId="95" type="noConversion"/>
  </si>
  <si>
    <t>계_정산액</t>
    <phoneticPr fontId="95" type="noConversion"/>
  </si>
  <si>
    <t>블루머니_전권대여_건수</t>
    <phoneticPr fontId="95" type="noConversion"/>
  </si>
  <si>
    <t>블루머니_전권소장_매출액</t>
    <phoneticPr fontId="95" type="noConversion"/>
  </si>
  <si>
    <t>계_이용권(화)수</t>
    <phoneticPr fontId="95" type="noConversion"/>
  </si>
  <si>
    <t>매출액</t>
    <phoneticPr fontId="26" type="noConversion"/>
  </si>
  <si>
    <t>김광수</t>
  </si>
  <si>
    <t>ktn03_0046</t>
  </si>
  <si>
    <t>진문</t>
  </si>
  <si>
    <t>회귀의 전설</t>
  </si>
  <si>
    <t>최종 보스 : 빛을 향해 달리는 그림자 (연재)</t>
  </si>
  <si>
    <t>최종 보스 : 빛을 향해 달리는 그림자</t>
  </si>
  <si>
    <t>갓 오브 블랙필드</t>
  </si>
  <si>
    <t>mayabooks0148</t>
  </si>
  <si>
    <t>디버프 마스터 (연재)</t>
  </si>
  <si>
    <t>담화공</t>
  </si>
  <si>
    <t>리얼 머니</t>
  </si>
  <si>
    <t>온서</t>
  </si>
  <si>
    <t>도폐풍운록</t>
  </si>
  <si>
    <t>기사가문 망나니는 10클래스 (연재)</t>
  </si>
  <si>
    <t>예로나</t>
  </si>
  <si>
    <t>ktn03_0038</t>
  </si>
  <si>
    <t>나 혼자만 일일 보상</t>
  </si>
  <si>
    <t>이동열</t>
  </si>
  <si>
    <t>ktn03_0022</t>
  </si>
  <si>
    <t>형사의 게임 (연재)</t>
  </si>
  <si>
    <t>[BL] 야쿠자가 사랑을 한다면 (개정판)</t>
  </si>
  <si>
    <t>모리미</t>
  </si>
  <si>
    <t>[BL] 이 비서 다리 좀 치워</t>
  </si>
  <si>
    <t>[BL] 정혼자</t>
  </si>
  <si>
    <t>골 때리는 사랑</t>
  </si>
  <si>
    <t>taerang0028</t>
  </si>
  <si>
    <t>차홍주</t>
  </si>
  <si>
    <t>기어이 사랑 (외전)</t>
  </si>
  <si>
    <t>taerang0039</t>
  </si>
  <si>
    <t>스내치</t>
  </si>
  <si>
    <t>사랑도 없이 결혼 (외전증보판)</t>
  </si>
  <si>
    <t>사랑을 놓치고</t>
  </si>
  <si>
    <t>taerang0018</t>
  </si>
  <si>
    <t>선택된 남자 (외전증보판)</t>
  </si>
  <si>
    <t>아슈크림</t>
  </si>
  <si>
    <t>셔틀</t>
  </si>
  <si>
    <t>충동적인 결혼 (외전증보판)</t>
  </si>
  <si>
    <t>taerang0004</t>
  </si>
  <si>
    <t>트리거 (외전증보판)</t>
  </si>
  <si>
    <t>블랙커피</t>
  </si>
  <si>
    <t>흔적 (외전증보판)</t>
  </si>
  <si>
    <t>꽃잠</t>
  </si>
  <si>
    <t>DION(디온)</t>
  </si>
  <si>
    <t>Only you (온리 유)</t>
  </si>
  <si>
    <t>taerang0034</t>
  </si>
  <si>
    <t>[BL] 그 알파 내 오메가 만들기 (외전증보판)</t>
  </si>
  <si>
    <t>주이서</t>
  </si>
  <si>
    <t>[BL] 사랑, 흘러간다</t>
  </si>
  <si>
    <t>[BL] 선 베타 후 오메가</t>
  </si>
  <si>
    <t>2위의 역습</t>
  </si>
  <si>
    <t>羽宸寰(Uchenhu),林珮瑜(Lin Peiyu)</t>
  </si>
  <si>
    <t>나만의 스타 (외전증보판)</t>
  </si>
  <si>
    <t>밈스</t>
  </si>
  <si>
    <t>사냥 (삽화본)</t>
  </si>
  <si>
    <t>어쩌다 계약 아내 (연재)</t>
  </si>
  <si>
    <t>영원한 1위</t>
  </si>
  <si>
    <t>Only you (온리 유) (외전)</t>
  </si>
  <si>
    <t>taerang0035</t>
  </si>
  <si>
    <t>[BL] 꽃잎, 흩날리는 (외전증보판)</t>
  </si>
  <si>
    <t>마용출</t>
  </si>
  <si>
    <t>[BL] 나의 시고르자브종</t>
  </si>
  <si>
    <t>두나래</t>
  </si>
  <si>
    <t>나 혼자 스킬융합 (연재)</t>
  </si>
  <si>
    <t>붕어빵</t>
  </si>
  <si>
    <t>사랑도 없이 결혼 (연재)</t>
  </si>
  <si>
    <t>사랑한다 윤혜영 (개정증보 삽화본) (연재)</t>
  </si>
  <si>
    <t>올마스터가 된 비전서고</t>
  </si>
  <si>
    <t>글면증</t>
  </si>
  <si>
    <t>위대한 가문의 망나니가 되다 (연재)</t>
  </si>
  <si>
    <t>바나바다</t>
  </si>
  <si>
    <t>유성하소월 (연재)</t>
  </si>
  <si>
    <t>세상</t>
  </si>
  <si>
    <t>회귀자의 슬기로운 복수생활 (연재)</t>
  </si>
  <si>
    <t>구공</t>
  </si>
  <si>
    <t>[BL] 나의 시고르자브종 (연재)</t>
  </si>
  <si>
    <t>[BL] 사냥: 꿈 (개정판)</t>
  </si>
  <si>
    <t>[BL] 영원한 1위 &amp; 2위의 역습 (연재)</t>
  </si>
  <si>
    <t>[BL] On the air (연재)</t>
  </si>
  <si>
    <t>BitterSweet</t>
  </si>
  <si>
    <t>그라운드의 지배자</t>
  </si>
  <si>
    <t>mayabooks0041</t>
  </si>
  <si>
    <t>내 이름을 불러 (외전증보판)</t>
  </si>
  <si>
    <t>taerang0054</t>
  </si>
  <si>
    <t>윤비밀</t>
  </si>
  <si>
    <t>로맨틱 크러시</t>
  </si>
  <si>
    <t>망나니개</t>
  </si>
  <si>
    <t>taerang0040</t>
  </si>
  <si>
    <t>리얼 머니 (연재)</t>
  </si>
  <si>
    <t>사랑을 놓치고 (외전)</t>
  </si>
  <si>
    <t>taerang0019</t>
  </si>
  <si>
    <t>살 떨리는 동거 (외전증보판)</t>
  </si>
  <si>
    <t>성군이십니다 (연재)</t>
  </si>
  <si>
    <t>이준영</t>
  </si>
  <si>
    <t>ktn03_0021</t>
  </si>
  <si>
    <t>문스톤</t>
  </si>
  <si>
    <t>슈퍼스타의 비밀 어플 (연재)</t>
  </si>
  <si>
    <t>왕십리글쟁이</t>
  </si>
  <si>
    <t>아저씨, 내 기분 왜 이래요?</t>
  </si>
  <si>
    <t>Livingston</t>
  </si>
  <si>
    <t>알림이 도착했습니다 (외전증보판)</t>
  </si>
  <si>
    <t>taerang0048</t>
  </si>
  <si>
    <t>완벽한 계략 남편 (연재)</t>
  </si>
  <si>
    <t>블 루 스 카 이</t>
  </si>
  <si>
    <t>욕망에 눈뜨다 (삽화본) (외전)</t>
  </si>
  <si>
    <t>taerang0043</t>
  </si>
  <si>
    <t>김온별(러브마인)</t>
  </si>
  <si>
    <t>임신부터 할까요?</t>
  </si>
  <si>
    <t>중독 (외전증보판)</t>
  </si>
  <si>
    <t>taerang0010</t>
  </si>
  <si>
    <t>푸르디푸른 내 달빛 (연재)</t>
  </si>
  <si>
    <t>모리미J</t>
  </si>
  <si>
    <t>SOTUS (외전증보판)</t>
  </si>
  <si>
    <t>블루머니_권별대여_매출액</t>
    <phoneticPr fontId="95" type="noConversion"/>
  </si>
  <si>
    <t>블루머니_권별소장_건수</t>
    <phoneticPr fontId="95" type="noConversion"/>
  </si>
  <si>
    <t>블루머니_권별소장_이용권(화) 수</t>
    <phoneticPr fontId="95" type="noConversion"/>
  </si>
  <si>
    <t>블루머니_권별소장_매출액</t>
    <phoneticPr fontId="95" type="noConversion"/>
  </si>
  <si>
    <t>블루머니_전권대여_이용권(화) 수</t>
    <phoneticPr fontId="95" type="noConversion"/>
  </si>
  <si>
    <t>블루머니_전권소장_이용권(화) 수</t>
    <phoneticPr fontId="95" type="noConversion"/>
  </si>
  <si>
    <t>I.앱머니_권별대여_건수</t>
    <phoneticPr fontId="26" type="noConversion"/>
  </si>
  <si>
    <t>I.앱머니_권별대여_이용권(화) 수</t>
    <phoneticPr fontId="26" type="noConversion"/>
  </si>
  <si>
    <t>I.앱머니_권별대여_매출액</t>
    <phoneticPr fontId="26" type="noConversion"/>
  </si>
  <si>
    <t>I.앱머니_권별소장_건수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</si>
  <si>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</si>
  <si>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</si>
  <si>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I.앱머니_전권대여_건수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</si>
  <si>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</si>
  <si>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</si>
  <si>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I.앱머니_전권소장_건수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</si>
  <si>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</si>
  <si>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</si>
  <si>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계_건수</t>
    <phoneticPr fontId="95" type="noConversion"/>
  </si>
  <si>
    <t>정산액</t>
    <phoneticPr fontId="26" type="noConversion"/>
  </si>
  <si>
    <t>출판사</t>
    <phoneticPr fontId="99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</si>
  <si>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9" type="noConversion"/>
  </si>
  <si>
    <t>[BL] 위층 아이 아빠</t>
  </si>
  <si>
    <t>[BL] 천 개의 별 이야기(A Tale of Thousand Stars)</t>
  </si>
  <si>
    <t>Bacteria</t>
  </si>
  <si>
    <t>[BL] 환영합니다 마이클 본부장님</t>
  </si>
  <si>
    <t>퍼리딩딩</t>
  </si>
  <si>
    <t>격렬하게, 다시 한번 (무삭제 외전증보판)</t>
  </si>
  <si>
    <t>허니레몬</t>
  </si>
  <si>
    <t>골 때리는 사랑 (외전)</t>
  </si>
  <si>
    <t>taerang0029</t>
  </si>
  <si>
    <t>공작가의 남루한 신부</t>
  </si>
  <si>
    <t>무성매직</t>
  </si>
  <si>
    <t>구애 (외전)</t>
  </si>
  <si>
    <t>taerang0002</t>
  </si>
  <si>
    <t>내일은 이혼해요</t>
  </si>
  <si>
    <t>네가 뭔데 그러세요</t>
  </si>
  <si>
    <t>taerang0032</t>
  </si>
  <si>
    <t>다정할수록 불순한</t>
  </si>
  <si>
    <t>은지유</t>
  </si>
  <si>
    <t>드래곤은 나 혼자 잡는다</t>
  </si>
  <si>
    <t>ktn03_0013</t>
  </si>
  <si>
    <t>라스트 서바이버 : 진화로 살아남아라! (연재)</t>
  </si>
  <si>
    <t>청빙</t>
  </si>
  <si>
    <t>바랑둥이 내 남자</t>
  </si>
  <si>
    <t>taerang0044</t>
  </si>
  <si>
    <t>베리타(verita) (외전증보판)</t>
  </si>
  <si>
    <t>별자리 살인마 : 너를 추억한다</t>
  </si>
  <si>
    <t>징구빙구</t>
  </si>
  <si>
    <t>보좌관 (외전증보판)</t>
  </si>
  <si>
    <t>슈퍼스타의 비밀어플</t>
  </si>
  <si>
    <t>아저씨, 내 기분 왜 이래요? (연재)</t>
  </si>
  <si>
    <t>야쿠자가 사랑을 한다면 (개정판) (연재)</t>
  </si>
  <si>
    <t>야쿠자가 사랑을 한다면 (개정판) (외전)</t>
  </si>
  <si>
    <t>야쿠자가 사랑을 한다면 2 (개정판)</t>
  </si>
  <si>
    <t>와그작</t>
  </si>
  <si>
    <t>우리야, 이리온 (연재)</t>
  </si>
  <si>
    <t>원코인 게이머 아포칼립스 (연재)</t>
  </si>
  <si>
    <t>이한애비</t>
  </si>
  <si>
    <t>은천검제 (2부 화산검제)</t>
  </si>
  <si>
    <t>적왕의 깊은 밤 (연재)</t>
  </si>
  <si>
    <t>엘리신</t>
  </si>
  <si>
    <t>절대자의 귀환</t>
  </si>
  <si>
    <t>장유진</t>
  </si>
  <si>
    <t>절대자의 귀환 (연재)</t>
  </si>
  <si>
    <t>정혼자 (외전)</t>
  </si>
  <si>
    <t>칵테일로 레벨업 (연재)</t>
  </si>
  <si>
    <t>서강후</t>
  </si>
  <si>
    <t>컬러 러쉬</t>
  </si>
  <si>
    <t>흔적 (연재)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</si>
</sst>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5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7"/>
      <color rgb="FF2F3743"/>
      <name val="돋움"/>
      <family val="3"/>
      <charset val="129"/>
    </font>
    <font>
      <sz val="7"/>
      <color rgb="FF2F3743"/>
      <name val="Tahoma"/>
      <family val="2"/>
    </font>
    <font>
      <b/>
      <sz val="7"/>
      <color rgb="FF2F3743"/>
      <name val="Tahoma"/>
      <family val="2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96" fillId="0" borderId="19" xfId="0" applyFont="1" applyBorder="1" applyAlignment="1">
      <alignment horizontal="left" vertical="center" wrapText="1"/>
    </xf>
    <xf numFmtId="0" fontId="97" fillId="0" borderId="19" xfId="0" applyFont="1" applyBorder="1" applyAlignment="1">
      <alignment horizontal="right" vertical="center" wrapText="1"/>
    </xf>
    <xf numFmtId="4" fontId="97" fillId="0" borderId="19" xfId="0" applyNumberFormat="1" applyFont="1" applyBorder="1" applyAlignment="1">
      <alignment horizontal="right" vertical="center" wrapText="1"/>
    </xf>
    <xf numFmtId="4" fontId="98" fillId="0" borderId="19" xfId="0" applyNumberFormat="1" applyFont="1" applyBorder="1" applyAlignment="1">
      <alignment horizontal="right" vertical="center" wrapText="1"/>
    </xf>
    <xf numFmtId="0" fontId="98" fillId="0" borderId="19" xfId="0" applyFont="1" applyBorder="1" applyAlignment="1">
      <alignment horizontal="right" vertical="center" wrapText="1"/>
    </xf>
    <xf numFmtId="3" fontId="97" fillId="0" borderId="19" xfId="0" applyNumberFormat="1" applyFont="1" applyBorder="1" applyAlignment="1">
      <alignment horizontal="right" vertical="center" wrapText="1"/>
    </xf>
    <xf numFmtId="41" fontId="0" fillId="0" borderId="0" xfId="2353" applyFont="1">
      <alignment vertical="center"/>
    </xf>
    <xf numFmtId="4" fontId="98" fillId="0" borderId="20" xfId="0" applyNumberFormat="1" applyFont="1" applyBorder="1" applyAlignment="1">
      <alignment horizontal="right" vertical="center" wrapText="1"/>
    </xf>
    <xf numFmtId="0" fontId="98" fillId="0" borderId="20" xfId="0" applyFont="1" applyBorder="1" applyAlignment="1">
      <alignment horizontal="right" vertical="center" wrapText="1"/>
    </xf>
    <xf numFmtId="0" fontId="100" fillId="33" borderId="1" xfId="1880" applyFont="1" applyFill="1" applyBorder="1" applyAlignment="1">
      <alignment vertical="center" wrapText="1"/>
    </xf>
    <xf numFmtId="0" fontId="100" fillId="38" borderId="1" xfId="1880" applyFont="1" applyFill="1" applyBorder="1" applyAlignment="1">
      <alignment vertical="center" wrapText="1"/>
    </xf>
    <xf numFmtId="0" fontId="101" fillId="39" borderId="1" xfId="0" applyFont="1" applyFill="1" applyBorder="1" applyAlignment="1">
      <alignment vertical="center" wrapText="1"/>
    </xf>
    <xf numFmtId="0" fontId="101" fillId="40" borderId="1" xfId="0" applyFont="1" applyFill="1" applyBorder="1" applyAlignment="1">
      <alignment vertical="center" wrapText="1"/>
    </xf>
    <xf numFmtId="0" fontId="101" fillId="44" borderId="1" xfId="0" applyFont="1" applyFill="1" applyBorder="1" applyAlignment="1">
      <alignment vertical="center" wrapText="1"/>
    </xf>
    <xf numFmtId="0" fontId="101" fillId="41" borderId="1" xfId="0" applyFont="1" applyFill="1" applyBorder="1" applyAlignment="1">
      <alignment vertical="center" wrapText="1"/>
    </xf>
    <xf numFmtId="0" fontId="101" fillId="42" borderId="1" xfId="0" applyFont="1" applyFill="1" applyBorder="1" applyAlignment="1">
      <alignment horizontal="center" vertical="center" wrapText="1"/>
    </xf>
    <xf numFmtId="41" fontId="101" fillId="42" borderId="1" xfId="2353" applyFont="1" applyFill="1" applyBorder="1" applyAlignment="1">
      <alignment horizontal="center" vertical="center" wrapText="1"/>
    </xf>
    <xf numFmtId="0" fontId="102" fillId="33" borderId="21" xfId="0" applyFont="1" applyFill="1" applyBorder="1" applyAlignment="1">
      <alignment vertical="center"/>
    </xf>
    <xf numFmtId="0" fontId="103" fillId="33" borderId="22" xfId="0" applyFont="1" applyFill="1" applyBorder="1" applyAlignment="1">
      <alignment vertical="center"/>
    </xf>
    <xf numFmtId="0" fontId="104" fillId="0" borderId="0" xfId="0" applyFont="1">
      <alignment vertical="center"/>
    </xf>
    <xf numFmtId="41" fontId="0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97"/>
  <sheetViews>
    <sheetView tabSelected="1" topLeftCell="Y79" zoomScale="81" zoomScaleNormal="81" workbookViewId="0">
      <selection activeCell="AK87" sqref="AK87"/>
    </sheetView>
  </sheetViews>
  <sheetFormatPr defaultRowHeight="17.399999999999999"/>
  <cols>
    <col min="1" max="1" width="25.19921875" bestFit="1" customWidth="1"/>
    <col min="35" max="35" width="12.8984375" customWidth="1"/>
    <col min="36" max="36" width="13.296875" style="7" bestFit="1" customWidth="1"/>
    <col min="48" max="48" width="11.69921875" bestFit="1" customWidth="1"/>
  </cols>
  <sheetData>
    <row r="1" spans="1:50" s="20" customFormat="1" ht="40.200000000000003" thickBot="1">
      <c r="A1" s="10" t="s">
        <v>0</v>
      </c>
      <c r="B1" s="10" t="s">
        <v>1</v>
      </c>
      <c r="C1" s="10" t="s">
        <v>2</v>
      </c>
      <c r="D1" s="11" t="s">
        <v>23</v>
      </c>
      <c r="E1" s="11" t="s">
        <v>24</v>
      </c>
      <c r="F1" s="11" t="s">
        <v>25</v>
      </c>
      <c r="G1" s="12" t="s">
        <v>26</v>
      </c>
      <c r="H1" s="12" t="s">
        <v>27</v>
      </c>
      <c r="I1" s="12" t="s">
        <v>147</v>
      </c>
      <c r="J1" s="12" t="s">
        <v>148</v>
      </c>
      <c r="K1" s="12" t="s">
        <v>149</v>
      </c>
      <c r="L1" s="12" t="s">
        <v>150</v>
      </c>
      <c r="M1" s="12" t="s">
        <v>31</v>
      </c>
      <c r="N1" s="12" t="s">
        <v>151</v>
      </c>
      <c r="O1" s="12" t="s">
        <v>28</v>
      </c>
      <c r="P1" s="12" t="s">
        <v>22</v>
      </c>
      <c r="Q1" s="12" t="s">
        <v>152</v>
      </c>
      <c r="R1" s="12" t="s">
        <v>32</v>
      </c>
      <c r="S1" s="13" t="s">
        <v>3</v>
      </c>
      <c r="T1" s="13" t="s">
        <v>4</v>
      </c>
      <c r="U1" s="13" t="s">
        <v>5</v>
      </c>
      <c r="V1" s="13" t="s">
        <v>6</v>
      </c>
      <c r="W1" s="13" t="s">
        <v>7</v>
      </c>
      <c r="X1" s="13" t="s">
        <v>8</v>
      </c>
      <c r="Y1" s="13" t="s">
        <v>9</v>
      </c>
      <c r="Z1" s="13" t="s">
        <v>10</v>
      </c>
      <c r="AA1" s="13" t="s">
        <v>11</v>
      </c>
      <c r="AB1" s="13" t="s">
        <v>12</v>
      </c>
      <c r="AC1" s="13" t="s">
        <v>13</v>
      </c>
      <c r="AD1" s="13" t="s">
        <v>14</v>
      </c>
      <c r="AE1" s="14" t="s">
        <v>153</v>
      </c>
      <c r="AF1" s="14" t="s">
        <v>154</v>
      </c>
      <c r="AG1" s="14" t="s">
        <v>155</v>
      </c>
      <c r="AH1" s="14" t="s">
        <v>156</v>
      </c>
      <c r="AI1" s="14" t="s">
        <v>157</v>
      </c>
      <c r="AJ1" s="14" t="s">
        <v>158</v>
      </c>
      <c r="AK1" s="14" t="s">
        <v>159</v>
      </c>
      <c r="AL1" s="14" t="s">
        <v>160</v>
      </c>
      <c r="AM1" s="14" t="s">
        <v>161</v>
      </c>
      <c r="AN1" s="14" t="s">
        <v>162</v>
      </c>
      <c r="AO1" s="14" t="s">
        <v>163</v>
      </c>
      <c r="AP1" s="14" t="s">
        <v>164</v>
      </c>
      <c r="AQ1" s="15" t="s">
        <v>165</v>
      </c>
      <c r="AR1" s="15" t="s">
        <v>33</v>
      </c>
      <c r="AS1" s="15" t="s">
        <v>29</v>
      </c>
      <c r="AT1" s="15" t="s">
        <v>30</v>
      </c>
      <c r="AU1" s="16" t="s">
        <v>34</v>
      </c>
      <c r="AV1" s="17" t="s">
        <v>166</v>
      </c>
      <c r="AW1" s="18" t="s">
        <v>167</v>
      </c>
      <c r="AX1" s="19" t="s">
        <v>168</v>
      </c>
    </row>
    <row r="2" spans="1:50" ht="18" thickBot="1">
      <c r="A2" s="1" t="s">
        <v>80</v>
      </c>
      <c r="B2" s="1" t="s">
        <v>81</v>
      </c>
      <c r="C2" s="1"/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4</v>
      </c>
      <c r="K2" s="2">
        <v>4</v>
      </c>
      <c r="L2" s="3">
        <v>19600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4</v>
      </c>
      <c r="AR2" s="2">
        <v>4</v>
      </c>
      <c r="AS2" s="3">
        <v>19600</v>
      </c>
      <c r="AT2" s="3">
        <v>12348</v>
      </c>
      <c r="AU2" s="4">
        <v>19600</v>
      </c>
      <c r="AV2" s="8">
        <v>12348</v>
      </c>
    </row>
    <row r="3" spans="1:50" ht="18" thickBot="1">
      <c r="A3" s="1" t="s">
        <v>93</v>
      </c>
      <c r="B3" s="1" t="s">
        <v>94</v>
      </c>
      <c r="C3" s="1"/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1</v>
      </c>
      <c r="Q3" s="2">
        <v>4</v>
      </c>
      <c r="R3" s="3">
        <v>10530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1</v>
      </c>
      <c r="AR3" s="2">
        <v>4</v>
      </c>
      <c r="AS3" s="3">
        <v>10530</v>
      </c>
      <c r="AT3" s="3">
        <v>6633.9</v>
      </c>
      <c r="AU3" s="4">
        <v>10530</v>
      </c>
      <c r="AV3" s="8">
        <v>6633.9</v>
      </c>
    </row>
    <row r="4" spans="1:50" ht="18" thickBot="1">
      <c r="A4" s="1" t="s">
        <v>95</v>
      </c>
      <c r="B4" s="1" t="s">
        <v>96</v>
      </c>
      <c r="C4" s="1"/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3</v>
      </c>
      <c r="K4" s="2">
        <v>3</v>
      </c>
      <c r="L4" s="3">
        <v>9100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3</v>
      </c>
      <c r="AR4" s="2">
        <v>3</v>
      </c>
      <c r="AS4" s="3">
        <v>9100</v>
      </c>
      <c r="AT4" s="3">
        <v>5733</v>
      </c>
      <c r="AU4" s="4">
        <v>9100</v>
      </c>
      <c r="AV4" s="8">
        <v>5733</v>
      </c>
    </row>
    <row r="5" spans="1:50" ht="18" thickBot="1">
      <c r="A5" s="1" t="s">
        <v>109</v>
      </c>
      <c r="B5" s="1" t="s">
        <v>96</v>
      </c>
      <c r="C5" s="1"/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2</v>
      </c>
      <c r="L5" s="2">
        <v>200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20</v>
      </c>
      <c r="AI5" s="2">
        <v>20</v>
      </c>
      <c r="AJ5" s="3">
        <v>2400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22</v>
      </c>
      <c r="AR5" s="2">
        <v>22</v>
      </c>
      <c r="AS5" s="3">
        <v>2600</v>
      </c>
      <c r="AT5" s="3">
        <v>1302</v>
      </c>
      <c r="AU5" s="4">
        <v>2600</v>
      </c>
      <c r="AV5" s="8">
        <v>1302</v>
      </c>
    </row>
    <row r="6" spans="1:50" ht="18" thickBot="1">
      <c r="A6" s="1" t="s">
        <v>110</v>
      </c>
      <c r="B6" s="1" t="s">
        <v>74</v>
      </c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7</v>
      </c>
      <c r="K6" s="2">
        <v>7</v>
      </c>
      <c r="L6" s="3">
        <v>26220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7</v>
      </c>
      <c r="AR6" s="2">
        <v>7</v>
      </c>
      <c r="AS6" s="3">
        <v>26220</v>
      </c>
      <c r="AT6" s="3">
        <v>16518.599999999999</v>
      </c>
      <c r="AU6" s="4">
        <v>26220</v>
      </c>
      <c r="AV6" s="8">
        <v>16518.599999999999</v>
      </c>
    </row>
    <row r="7" spans="1:50" ht="18" thickBot="1">
      <c r="A7" s="1" t="s">
        <v>82</v>
      </c>
      <c r="B7" s="1" t="s">
        <v>74</v>
      </c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1</v>
      </c>
      <c r="Q7" s="2">
        <v>3</v>
      </c>
      <c r="R7" s="3">
        <v>5300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1</v>
      </c>
      <c r="AR7" s="2">
        <v>3</v>
      </c>
      <c r="AS7" s="3">
        <v>5300</v>
      </c>
      <c r="AT7" s="3">
        <v>3339</v>
      </c>
      <c r="AU7" s="4">
        <v>5300</v>
      </c>
      <c r="AV7" s="8">
        <v>3339</v>
      </c>
    </row>
    <row r="8" spans="1:50" ht="18" thickBot="1">
      <c r="A8" s="1" t="s">
        <v>83</v>
      </c>
      <c r="B8" s="1" t="s">
        <v>81</v>
      </c>
      <c r="C8" s="1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4</v>
      </c>
      <c r="K8" s="2">
        <v>4</v>
      </c>
      <c r="L8" s="3">
        <v>7500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4</v>
      </c>
      <c r="AR8" s="2">
        <v>4</v>
      </c>
      <c r="AS8" s="3">
        <v>7500</v>
      </c>
      <c r="AT8" s="3">
        <v>4725</v>
      </c>
      <c r="AU8" s="4">
        <v>7500</v>
      </c>
      <c r="AV8" s="8">
        <v>4725</v>
      </c>
    </row>
    <row r="9" spans="1:50" ht="18" thickBot="1">
      <c r="A9" s="1" t="s">
        <v>55</v>
      </c>
      <c r="B9" s="1" t="s">
        <v>56</v>
      </c>
      <c r="C9" s="1"/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23</v>
      </c>
      <c r="K9" s="2">
        <v>23</v>
      </c>
      <c r="L9" s="3">
        <v>73600</v>
      </c>
      <c r="M9" s="2">
        <v>0</v>
      </c>
      <c r="N9" s="2">
        <v>0</v>
      </c>
      <c r="O9" s="2">
        <v>0</v>
      </c>
      <c r="P9" s="2">
        <v>3</v>
      </c>
      <c r="Q9" s="2">
        <v>6</v>
      </c>
      <c r="R9" s="3">
        <v>19200</v>
      </c>
      <c r="S9" s="2">
        <v>0</v>
      </c>
      <c r="T9" s="2">
        <v>0</v>
      </c>
      <c r="U9" s="2">
        <v>0</v>
      </c>
      <c r="V9" s="2">
        <v>1</v>
      </c>
      <c r="W9" s="2">
        <v>1</v>
      </c>
      <c r="X9" s="3">
        <v>3840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27</v>
      </c>
      <c r="AR9" s="2">
        <v>30</v>
      </c>
      <c r="AS9" s="3">
        <v>96640</v>
      </c>
      <c r="AT9" s="3">
        <v>60883.199999999997</v>
      </c>
      <c r="AU9" s="4">
        <v>96640</v>
      </c>
      <c r="AV9" s="8">
        <v>60883.199999999997</v>
      </c>
    </row>
    <row r="10" spans="1:50" ht="36.6" thickBot="1">
      <c r="A10" s="1" t="s">
        <v>111</v>
      </c>
      <c r="B10" s="1" t="s">
        <v>85</v>
      </c>
      <c r="C10" s="1"/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5</v>
      </c>
      <c r="K10" s="2">
        <v>5</v>
      </c>
      <c r="L10" s="2">
        <v>500</v>
      </c>
      <c r="M10" s="2">
        <v>0</v>
      </c>
      <c r="N10" s="2">
        <v>0</v>
      </c>
      <c r="O10" s="2">
        <v>0</v>
      </c>
      <c r="P10" s="2">
        <v>1</v>
      </c>
      <c r="Q10" s="2">
        <v>60</v>
      </c>
      <c r="R10" s="3">
        <v>6000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60</v>
      </c>
      <c r="AD10" s="3">
        <v>7200</v>
      </c>
      <c r="AE10" s="2">
        <v>0</v>
      </c>
      <c r="AF10" s="2">
        <v>0</v>
      </c>
      <c r="AG10" s="2">
        <v>0</v>
      </c>
      <c r="AH10" s="2">
        <v>1</v>
      </c>
      <c r="AI10" s="2">
        <v>1</v>
      </c>
      <c r="AJ10" s="2">
        <v>120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8</v>
      </c>
      <c r="AR10" s="2">
        <v>126</v>
      </c>
      <c r="AS10" s="3">
        <v>13820</v>
      </c>
      <c r="AT10" s="3">
        <v>8689.7999999999993</v>
      </c>
      <c r="AU10" s="4">
        <v>13820</v>
      </c>
      <c r="AV10" s="8">
        <v>8689.7999999999993</v>
      </c>
    </row>
    <row r="11" spans="1:50" ht="18" thickBot="1">
      <c r="A11" s="1" t="s">
        <v>169</v>
      </c>
      <c r="B11" s="1" t="s">
        <v>81</v>
      </c>
      <c r="C11" s="1"/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1</v>
      </c>
      <c r="L11" s="2">
        <v>300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1</v>
      </c>
      <c r="AR11" s="2">
        <v>1</v>
      </c>
      <c r="AS11" s="2">
        <v>300</v>
      </c>
      <c r="AT11" s="2">
        <v>189</v>
      </c>
      <c r="AU11" s="5">
        <v>300</v>
      </c>
      <c r="AV11" s="9">
        <v>189</v>
      </c>
    </row>
    <row r="12" spans="1:50" ht="18" thickBot="1">
      <c r="A12" s="1" t="s">
        <v>57</v>
      </c>
      <c r="B12" s="1" t="s">
        <v>56</v>
      </c>
      <c r="C12" s="1"/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8</v>
      </c>
      <c r="K12" s="2">
        <v>8</v>
      </c>
      <c r="L12" s="3">
        <v>11900</v>
      </c>
      <c r="M12" s="2">
        <v>0</v>
      </c>
      <c r="N12" s="2">
        <v>0</v>
      </c>
      <c r="O12" s="2">
        <v>0</v>
      </c>
      <c r="P12" s="2">
        <v>1</v>
      </c>
      <c r="Q12" s="2">
        <v>3</v>
      </c>
      <c r="R12" s="3">
        <v>4700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9</v>
      </c>
      <c r="AR12" s="2">
        <v>11</v>
      </c>
      <c r="AS12" s="3">
        <v>16600</v>
      </c>
      <c r="AT12" s="3">
        <v>10458</v>
      </c>
      <c r="AU12" s="4">
        <v>16600</v>
      </c>
      <c r="AV12" s="8">
        <v>10458</v>
      </c>
    </row>
    <row r="13" spans="1:50" ht="18" thickBot="1">
      <c r="A13" s="1" t="s">
        <v>58</v>
      </c>
      <c r="B13" s="1" t="s">
        <v>56</v>
      </c>
      <c r="C13" s="1"/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3</v>
      </c>
      <c r="K13" s="2">
        <v>3</v>
      </c>
      <c r="L13" s="3">
        <v>8400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3</v>
      </c>
      <c r="AR13" s="2">
        <v>3</v>
      </c>
      <c r="AS13" s="3">
        <v>8400</v>
      </c>
      <c r="AT13" s="3">
        <v>5292</v>
      </c>
      <c r="AU13" s="4">
        <v>8400</v>
      </c>
      <c r="AV13" s="8">
        <v>5292</v>
      </c>
    </row>
    <row r="14" spans="1:50" ht="18.600000000000001" thickBot="1">
      <c r="A14" s="1" t="s">
        <v>170</v>
      </c>
      <c r="B14" s="1" t="s">
        <v>171</v>
      </c>
      <c r="C14" s="1"/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58</v>
      </c>
      <c r="K14" s="2">
        <v>58</v>
      </c>
      <c r="L14" s="3">
        <v>156600</v>
      </c>
      <c r="M14" s="2">
        <v>0</v>
      </c>
      <c r="N14" s="2">
        <v>0</v>
      </c>
      <c r="O14" s="2">
        <v>0</v>
      </c>
      <c r="P14" s="2">
        <v>23</v>
      </c>
      <c r="Q14" s="2">
        <v>69</v>
      </c>
      <c r="R14" s="3">
        <v>168480</v>
      </c>
      <c r="S14" s="2">
        <v>0</v>
      </c>
      <c r="T14" s="2">
        <v>0</v>
      </c>
      <c r="U14" s="2">
        <v>0</v>
      </c>
      <c r="V14" s="2">
        <v>4</v>
      </c>
      <c r="W14" s="2">
        <v>4</v>
      </c>
      <c r="X14" s="3">
        <v>12960</v>
      </c>
      <c r="Y14" s="2">
        <v>0</v>
      </c>
      <c r="Z14" s="2">
        <v>0</v>
      </c>
      <c r="AA14" s="2">
        <v>0</v>
      </c>
      <c r="AB14" s="2">
        <v>1</v>
      </c>
      <c r="AC14" s="2">
        <v>3</v>
      </c>
      <c r="AD14" s="3">
        <v>8748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86</v>
      </c>
      <c r="AR14" s="2">
        <v>134</v>
      </c>
      <c r="AS14" s="3">
        <v>346788</v>
      </c>
      <c r="AT14" s="3">
        <v>218476.44</v>
      </c>
      <c r="AU14" s="4">
        <v>346788</v>
      </c>
      <c r="AV14" s="8">
        <v>218476.44</v>
      </c>
    </row>
    <row r="15" spans="1:50" ht="18" thickBot="1">
      <c r="A15" s="1" t="s">
        <v>172</v>
      </c>
      <c r="B15" s="1" t="s">
        <v>173</v>
      </c>
      <c r="C15" s="1"/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</v>
      </c>
      <c r="L15" s="3">
        <v>2600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1</v>
      </c>
      <c r="AR15" s="2">
        <v>1</v>
      </c>
      <c r="AS15" s="3">
        <v>2600</v>
      </c>
      <c r="AT15" s="3">
        <v>1638</v>
      </c>
      <c r="AU15" s="4">
        <v>2600</v>
      </c>
      <c r="AV15" s="8">
        <v>1638</v>
      </c>
    </row>
    <row r="16" spans="1:50" ht="18" thickBot="1">
      <c r="A16" s="1" t="s">
        <v>112</v>
      </c>
      <c r="B16" s="1" t="s">
        <v>77</v>
      </c>
      <c r="C16" s="1"/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485</v>
      </c>
      <c r="K16" s="2">
        <v>485</v>
      </c>
      <c r="L16" s="3">
        <v>48500</v>
      </c>
      <c r="M16" s="2">
        <v>0</v>
      </c>
      <c r="N16" s="2">
        <v>0</v>
      </c>
      <c r="O16" s="2">
        <v>0</v>
      </c>
      <c r="P16" s="2">
        <v>1</v>
      </c>
      <c r="Q16" s="2">
        <v>72</v>
      </c>
      <c r="R16" s="3">
        <v>7200</v>
      </c>
      <c r="S16" s="2">
        <v>0</v>
      </c>
      <c r="T16" s="2">
        <v>0</v>
      </c>
      <c r="U16" s="2">
        <v>0</v>
      </c>
      <c r="V16" s="2">
        <v>460</v>
      </c>
      <c r="W16" s="2">
        <v>460</v>
      </c>
      <c r="X16" s="3">
        <v>55200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946</v>
      </c>
      <c r="AR16" s="6">
        <v>1017</v>
      </c>
      <c r="AS16" s="3">
        <v>110900</v>
      </c>
      <c r="AT16" s="3">
        <v>69867</v>
      </c>
      <c r="AU16" s="4">
        <v>110900</v>
      </c>
      <c r="AV16" s="8">
        <v>69867</v>
      </c>
    </row>
    <row r="17" spans="1:48" ht="36.6" thickBot="1">
      <c r="A17" s="1" t="s">
        <v>84</v>
      </c>
      <c r="B17" s="1" t="s">
        <v>85</v>
      </c>
      <c r="C17" s="1"/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8</v>
      </c>
      <c r="K17" s="2">
        <v>8</v>
      </c>
      <c r="L17" s="3">
        <v>24000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1</v>
      </c>
      <c r="X17" s="3">
        <v>3456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2</v>
      </c>
      <c r="AI17" s="2">
        <v>2</v>
      </c>
      <c r="AJ17" s="3">
        <v>6912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11</v>
      </c>
      <c r="AR17" s="2">
        <v>11</v>
      </c>
      <c r="AS17" s="3">
        <v>34368</v>
      </c>
      <c r="AT17" s="3">
        <v>20684.16</v>
      </c>
      <c r="AU17" s="4">
        <v>34368</v>
      </c>
      <c r="AV17" s="8">
        <v>20684.16</v>
      </c>
    </row>
    <row r="18" spans="1:48" ht="18.600000000000001" thickBot="1">
      <c r="A18" s="1" t="s">
        <v>41</v>
      </c>
      <c r="B18" s="1" t="s">
        <v>16</v>
      </c>
      <c r="C18" s="1" t="s">
        <v>42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108</v>
      </c>
      <c r="K18" s="2">
        <v>108</v>
      </c>
      <c r="L18" s="3">
        <v>345600</v>
      </c>
      <c r="M18" s="2">
        <v>0</v>
      </c>
      <c r="N18" s="2">
        <v>0</v>
      </c>
      <c r="O18" s="2">
        <v>0</v>
      </c>
      <c r="P18" s="2">
        <v>1</v>
      </c>
      <c r="Q18" s="2">
        <v>31</v>
      </c>
      <c r="R18" s="3">
        <v>89280</v>
      </c>
      <c r="S18" s="2">
        <v>0</v>
      </c>
      <c r="T18" s="2">
        <v>0</v>
      </c>
      <c r="U18" s="2">
        <v>0</v>
      </c>
      <c r="V18" s="2">
        <v>32</v>
      </c>
      <c r="W18" s="2">
        <v>32</v>
      </c>
      <c r="X18" s="3">
        <v>122880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141</v>
      </c>
      <c r="AR18" s="2">
        <v>171</v>
      </c>
      <c r="AS18" s="3">
        <v>557760</v>
      </c>
      <c r="AT18" s="3">
        <v>351388.8</v>
      </c>
      <c r="AU18" s="4">
        <v>557760</v>
      </c>
      <c r="AV18" s="8">
        <v>351388.8</v>
      </c>
    </row>
    <row r="19" spans="1:48" ht="18" thickBot="1">
      <c r="A19" s="1" t="s">
        <v>174</v>
      </c>
      <c r="B19" s="1" t="s">
        <v>175</v>
      </c>
      <c r="C19" s="1"/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3</v>
      </c>
      <c r="K19" s="2">
        <v>3</v>
      </c>
      <c r="L19" s="3">
        <v>7400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3</v>
      </c>
      <c r="AR19" s="2">
        <v>3</v>
      </c>
      <c r="AS19" s="3">
        <v>7400</v>
      </c>
      <c r="AT19" s="3">
        <v>4662</v>
      </c>
      <c r="AU19" s="4">
        <v>7400</v>
      </c>
      <c r="AV19" s="8">
        <v>4662</v>
      </c>
    </row>
    <row r="20" spans="1:48" ht="18" thickBot="1">
      <c r="A20" s="1" t="s">
        <v>59</v>
      </c>
      <c r="B20" s="1" t="s">
        <v>56</v>
      </c>
      <c r="C20" s="1" t="s">
        <v>60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5</v>
      </c>
      <c r="K20" s="2">
        <v>5</v>
      </c>
      <c r="L20" s="3">
        <v>14000</v>
      </c>
      <c r="M20" s="2">
        <v>0</v>
      </c>
      <c r="N20" s="2">
        <v>0</v>
      </c>
      <c r="O20" s="2">
        <v>0</v>
      </c>
      <c r="P20" s="2">
        <v>1</v>
      </c>
      <c r="Q20" s="2">
        <v>2</v>
      </c>
      <c r="R20" s="3">
        <v>5600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6</v>
      </c>
      <c r="AR20" s="2">
        <v>7</v>
      </c>
      <c r="AS20" s="3">
        <v>19600</v>
      </c>
      <c r="AT20" s="3">
        <v>12348</v>
      </c>
      <c r="AU20" s="4">
        <v>19600</v>
      </c>
      <c r="AV20" s="8">
        <v>12348</v>
      </c>
    </row>
    <row r="21" spans="1:48" ht="18" thickBot="1">
      <c r="A21" s="1" t="s">
        <v>176</v>
      </c>
      <c r="B21" s="1" t="s">
        <v>56</v>
      </c>
      <c r="C21" s="1" t="s">
        <v>177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3</v>
      </c>
      <c r="K21" s="2">
        <v>3</v>
      </c>
      <c r="L21" s="3">
        <v>1500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3</v>
      </c>
      <c r="AR21" s="2">
        <v>3</v>
      </c>
      <c r="AS21" s="3">
        <v>1500</v>
      </c>
      <c r="AT21" s="2">
        <v>945</v>
      </c>
      <c r="AU21" s="4">
        <v>1500</v>
      </c>
      <c r="AV21" s="9">
        <v>945</v>
      </c>
    </row>
    <row r="22" spans="1:48" ht="18" thickBot="1">
      <c r="A22" s="1" t="s">
        <v>178</v>
      </c>
      <c r="B22" s="1" t="s">
        <v>179</v>
      </c>
      <c r="C22" s="1"/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2</v>
      </c>
      <c r="K22" s="2">
        <v>2</v>
      </c>
      <c r="L22" s="3">
        <v>4800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2</v>
      </c>
      <c r="AR22" s="2">
        <v>2</v>
      </c>
      <c r="AS22" s="3">
        <v>4800</v>
      </c>
      <c r="AT22" s="3">
        <v>3024</v>
      </c>
      <c r="AU22" s="4">
        <v>4800</v>
      </c>
      <c r="AV22" s="8">
        <v>3024</v>
      </c>
    </row>
    <row r="23" spans="1:48" ht="18" thickBot="1">
      <c r="A23" s="1" t="s">
        <v>180</v>
      </c>
      <c r="B23" s="1" t="s">
        <v>70</v>
      </c>
      <c r="C23" s="1" t="s">
        <v>181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400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1</v>
      </c>
      <c r="AR23" s="2">
        <v>1</v>
      </c>
      <c r="AS23" s="2">
        <v>400</v>
      </c>
      <c r="AT23" s="2">
        <v>252</v>
      </c>
      <c r="AU23" s="5">
        <v>400</v>
      </c>
      <c r="AV23" s="9">
        <v>252</v>
      </c>
    </row>
    <row r="24" spans="1:48" ht="18.600000000000001" thickBot="1">
      <c r="A24" s="1" t="s">
        <v>114</v>
      </c>
      <c r="B24" s="1" t="s">
        <v>16</v>
      </c>
      <c r="C24" s="1" t="s">
        <v>115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11</v>
      </c>
      <c r="K24" s="2">
        <v>11</v>
      </c>
      <c r="L24" s="3">
        <v>35200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11</v>
      </c>
      <c r="AR24" s="2">
        <v>11</v>
      </c>
      <c r="AS24" s="3">
        <v>35200</v>
      </c>
      <c r="AT24" s="3">
        <v>22176</v>
      </c>
      <c r="AU24" s="4">
        <v>35200</v>
      </c>
      <c r="AV24" s="8">
        <v>22176</v>
      </c>
    </row>
    <row r="25" spans="1:48" ht="18" thickBot="1">
      <c r="A25" s="1" t="s">
        <v>48</v>
      </c>
      <c r="B25" s="1" t="s">
        <v>49</v>
      </c>
      <c r="C25" s="1" t="s">
        <v>50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100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1</v>
      </c>
      <c r="AR25" s="2">
        <v>1</v>
      </c>
      <c r="AS25" s="2">
        <v>100</v>
      </c>
      <c r="AT25" s="2">
        <v>63</v>
      </c>
      <c r="AU25" s="5">
        <v>100</v>
      </c>
      <c r="AV25" s="9">
        <v>63</v>
      </c>
    </row>
    <row r="26" spans="1:48" ht="18" thickBot="1">
      <c r="A26" s="1" t="s">
        <v>62</v>
      </c>
      <c r="B26" s="1" t="s">
        <v>61</v>
      </c>
      <c r="C26" s="1" t="s">
        <v>63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1</v>
      </c>
      <c r="L26" s="2">
        <v>300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1</v>
      </c>
      <c r="AR26" s="2">
        <v>1</v>
      </c>
      <c r="AS26" s="2">
        <v>300</v>
      </c>
      <c r="AT26" s="2">
        <v>189</v>
      </c>
      <c r="AU26" s="5">
        <v>300</v>
      </c>
      <c r="AV26" s="9">
        <v>189</v>
      </c>
    </row>
    <row r="27" spans="1:48" ht="18" thickBot="1">
      <c r="A27" s="1" t="s">
        <v>97</v>
      </c>
      <c r="B27" s="1" t="s">
        <v>98</v>
      </c>
      <c r="C27" s="1"/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129</v>
      </c>
      <c r="K27" s="2">
        <v>129</v>
      </c>
      <c r="L27" s="3">
        <v>12900</v>
      </c>
      <c r="M27" s="2">
        <v>0</v>
      </c>
      <c r="N27" s="2">
        <v>0</v>
      </c>
      <c r="O27" s="2">
        <v>0</v>
      </c>
      <c r="P27" s="2">
        <v>1</v>
      </c>
      <c r="Q27" s="2">
        <v>175</v>
      </c>
      <c r="R27" s="3">
        <v>17500</v>
      </c>
      <c r="S27" s="2">
        <v>0</v>
      </c>
      <c r="T27" s="2">
        <v>0</v>
      </c>
      <c r="U27" s="2">
        <v>0</v>
      </c>
      <c r="V27" s="2">
        <v>161</v>
      </c>
      <c r="W27" s="2">
        <v>161</v>
      </c>
      <c r="X27" s="3">
        <v>19320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291</v>
      </c>
      <c r="AR27" s="2">
        <v>465</v>
      </c>
      <c r="AS27" s="3">
        <v>49720</v>
      </c>
      <c r="AT27" s="3">
        <v>31323.599999999999</v>
      </c>
      <c r="AU27" s="4">
        <v>49720</v>
      </c>
      <c r="AV27" s="8">
        <v>31323.599999999999</v>
      </c>
    </row>
    <row r="28" spans="1:48" ht="18" thickBot="1">
      <c r="A28" s="1" t="s">
        <v>51</v>
      </c>
      <c r="B28" s="1" t="s">
        <v>52</v>
      </c>
      <c r="C28" s="1" t="s">
        <v>53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2</v>
      </c>
      <c r="W28" s="2">
        <v>2</v>
      </c>
      <c r="X28" s="3">
        <v>7680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  <c r="AR28" s="2">
        <v>2</v>
      </c>
      <c r="AS28" s="3">
        <v>7680</v>
      </c>
      <c r="AT28" s="3">
        <v>4838.3999999999996</v>
      </c>
      <c r="AU28" s="4">
        <v>7680</v>
      </c>
      <c r="AV28" s="8">
        <v>4838.3999999999996</v>
      </c>
    </row>
    <row r="29" spans="1:48" ht="18" thickBot="1">
      <c r="A29" s="1" t="s">
        <v>86</v>
      </c>
      <c r="B29" s="1" t="s">
        <v>64</v>
      </c>
      <c r="C29" s="1"/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1</v>
      </c>
      <c r="L29" s="3">
        <v>3600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1</v>
      </c>
      <c r="AR29" s="2">
        <v>1</v>
      </c>
      <c r="AS29" s="3">
        <v>3600</v>
      </c>
      <c r="AT29" s="3">
        <v>2268</v>
      </c>
      <c r="AU29" s="4">
        <v>3600</v>
      </c>
      <c r="AV29" s="8">
        <v>2268</v>
      </c>
    </row>
    <row r="30" spans="1:48" ht="18" thickBot="1">
      <c r="A30" s="1" t="s">
        <v>116</v>
      </c>
      <c r="B30" s="1" t="s">
        <v>56</v>
      </c>
      <c r="C30" s="1" t="s">
        <v>117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3</v>
      </c>
      <c r="R30" s="3">
        <v>6100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1</v>
      </c>
      <c r="AR30" s="2">
        <v>3</v>
      </c>
      <c r="AS30" s="3">
        <v>6100</v>
      </c>
      <c r="AT30" s="3">
        <v>3843</v>
      </c>
      <c r="AU30" s="4">
        <v>6100</v>
      </c>
      <c r="AV30" s="8">
        <v>3843</v>
      </c>
    </row>
    <row r="31" spans="1:48" ht="18" thickBot="1">
      <c r="A31" s="1" t="s">
        <v>182</v>
      </c>
      <c r="B31" s="1" t="s">
        <v>118</v>
      </c>
      <c r="C31" s="1"/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3</v>
      </c>
      <c r="K31" s="2">
        <v>3</v>
      </c>
      <c r="L31" s="3">
        <v>9000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3</v>
      </c>
      <c r="AR31" s="2">
        <v>3</v>
      </c>
      <c r="AS31" s="3">
        <v>9000</v>
      </c>
      <c r="AT31" s="3">
        <v>5670</v>
      </c>
      <c r="AU31" s="4">
        <v>9000</v>
      </c>
      <c r="AV31" s="8">
        <v>5670</v>
      </c>
    </row>
    <row r="32" spans="1:48" ht="18" thickBot="1">
      <c r="A32" s="1" t="s">
        <v>183</v>
      </c>
      <c r="B32" s="1" t="s">
        <v>81</v>
      </c>
      <c r="C32" s="1" t="s">
        <v>184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1</v>
      </c>
      <c r="L32" s="3">
        <v>3000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1</v>
      </c>
      <c r="AR32" s="2">
        <v>1</v>
      </c>
      <c r="AS32" s="3">
        <v>3000</v>
      </c>
      <c r="AT32" s="3">
        <v>1890</v>
      </c>
      <c r="AU32" s="4">
        <v>3000</v>
      </c>
      <c r="AV32" s="8">
        <v>1890</v>
      </c>
    </row>
    <row r="33" spans="1:48" ht="18" thickBot="1">
      <c r="A33" s="1" t="s">
        <v>185</v>
      </c>
      <c r="B33" s="1" t="s">
        <v>186</v>
      </c>
      <c r="C33" s="1"/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18</v>
      </c>
      <c r="K33" s="2">
        <v>18</v>
      </c>
      <c r="L33" s="3">
        <v>73800</v>
      </c>
      <c r="M33" s="2">
        <v>0</v>
      </c>
      <c r="N33" s="2">
        <v>0</v>
      </c>
      <c r="O33" s="2">
        <v>0</v>
      </c>
      <c r="P33" s="2">
        <v>3</v>
      </c>
      <c r="Q33" s="2">
        <v>6</v>
      </c>
      <c r="R33" s="3">
        <v>24600</v>
      </c>
      <c r="S33" s="2">
        <v>0</v>
      </c>
      <c r="T33" s="2">
        <v>0</v>
      </c>
      <c r="U33" s="2">
        <v>0</v>
      </c>
      <c r="V33" s="2">
        <v>6</v>
      </c>
      <c r="W33" s="2">
        <v>6</v>
      </c>
      <c r="X33" s="3">
        <v>29520</v>
      </c>
      <c r="Y33" s="2">
        <v>0</v>
      </c>
      <c r="Z33" s="2">
        <v>0</v>
      </c>
      <c r="AA33" s="2">
        <v>0</v>
      </c>
      <c r="AB33" s="2">
        <v>1</v>
      </c>
      <c r="AC33" s="2">
        <v>2</v>
      </c>
      <c r="AD33" s="3">
        <v>9840</v>
      </c>
      <c r="AE33" s="2">
        <v>0</v>
      </c>
      <c r="AF33" s="2">
        <v>0</v>
      </c>
      <c r="AG33" s="2">
        <v>0</v>
      </c>
      <c r="AH33" s="2">
        <v>1</v>
      </c>
      <c r="AI33" s="2">
        <v>1</v>
      </c>
      <c r="AJ33" s="3">
        <v>4920</v>
      </c>
      <c r="AK33" s="2">
        <v>0</v>
      </c>
      <c r="AL33" s="2">
        <v>0</v>
      </c>
      <c r="AM33" s="2">
        <v>0</v>
      </c>
      <c r="AN33" s="2">
        <v>1</v>
      </c>
      <c r="AO33" s="2">
        <v>2</v>
      </c>
      <c r="AP33" s="3">
        <v>9840</v>
      </c>
      <c r="AQ33" s="2">
        <v>30</v>
      </c>
      <c r="AR33" s="2">
        <v>35</v>
      </c>
      <c r="AS33" s="3">
        <v>152520</v>
      </c>
      <c r="AT33" s="3">
        <v>94021.2</v>
      </c>
      <c r="AU33" s="4">
        <v>152520</v>
      </c>
      <c r="AV33" s="8">
        <v>94021.2</v>
      </c>
    </row>
    <row r="34" spans="1:48" ht="18" thickBot="1">
      <c r="A34" s="1" t="s">
        <v>47</v>
      </c>
      <c r="B34" s="1" t="s">
        <v>16</v>
      </c>
      <c r="C34" s="1"/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5</v>
      </c>
      <c r="K34" s="2">
        <v>5</v>
      </c>
      <c r="L34" s="3">
        <v>16000</v>
      </c>
      <c r="M34" s="2">
        <v>0</v>
      </c>
      <c r="N34" s="2">
        <v>0</v>
      </c>
      <c r="O34" s="2">
        <v>0</v>
      </c>
      <c r="P34" s="2">
        <v>1</v>
      </c>
      <c r="Q34" s="2">
        <v>3</v>
      </c>
      <c r="R34" s="3">
        <v>9600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6</v>
      </c>
      <c r="AR34" s="2">
        <v>8</v>
      </c>
      <c r="AS34" s="3">
        <v>25600</v>
      </c>
      <c r="AT34" s="3">
        <v>16128</v>
      </c>
      <c r="AU34" s="4">
        <v>25600</v>
      </c>
      <c r="AV34" s="8">
        <v>16128</v>
      </c>
    </row>
    <row r="35" spans="1:48" ht="18" thickBot="1">
      <c r="A35" s="1" t="s">
        <v>187</v>
      </c>
      <c r="B35" s="1" t="s">
        <v>37</v>
      </c>
      <c r="C35" s="1" t="s">
        <v>188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1</v>
      </c>
      <c r="L35" s="3">
        <v>3200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1</v>
      </c>
      <c r="AR35" s="2">
        <v>1</v>
      </c>
      <c r="AS35" s="3">
        <v>3200</v>
      </c>
      <c r="AT35" s="3">
        <v>2016</v>
      </c>
      <c r="AU35" s="4">
        <v>3200</v>
      </c>
      <c r="AV35" s="8">
        <v>2016</v>
      </c>
    </row>
    <row r="36" spans="1:48" ht="18" thickBot="1">
      <c r="A36" s="1" t="s">
        <v>43</v>
      </c>
      <c r="B36" s="1" t="s">
        <v>44</v>
      </c>
      <c r="C36" s="1"/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6">
        <v>1042</v>
      </c>
      <c r="K36" s="6">
        <v>1042</v>
      </c>
      <c r="L36" s="3">
        <v>104200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244</v>
      </c>
      <c r="W36" s="2">
        <v>244</v>
      </c>
      <c r="X36" s="3">
        <v>29280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6">
        <v>1286</v>
      </c>
      <c r="AR36" s="6">
        <v>1286</v>
      </c>
      <c r="AS36" s="3">
        <v>133480</v>
      </c>
      <c r="AT36" s="3">
        <v>84092.4</v>
      </c>
      <c r="AU36" s="4">
        <v>133480</v>
      </c>
      <c r="AV36" s="8">
        <v>84092.4</v>
      </c>
    </row>
    <row r="37" spans="1:48" ht="18" thickBot="1">
      <c r="A37" s="1" t="s">
        <v>189</v>
      </c>
      <c r="B37" s="1" t="s">
        <v>190</v>
      </c>
      <c r="C37" s="1"/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4</v>
      </c>
      <c r="K37" s="2">
        <v>4</v>
      </c>
      <c r="L37" s="2">
        <v>400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34</v>
      </c>
      <c r="W37" s="2">
        <v>34</v>
      </c>
      <c r="X37" s="3">
        <v>4080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38</v>
      </c>
      <c r="AR37" s="2">
        <v>38</v>
      </c>
      <c r="AS37" s="3">
        <v>4480</v>
      </c>
      <c r="AT37" s="3">
        <v>2822.4</v>
      </c>
      <c r="AU37" s="4">
        <v>4480</v>
      </c>
      <c r="AV37" s="8">
        <v>2822.4</v>
      </c>
    </row>
    <row r="38" spans="1:48" ht="18" thickBot="1">
      <c r="A38" s="1" t="s">
        <v>20</v>
      </c>
      <c r="B38" s="1" t="s">
        <v>16</v>
      </c>
      <c r="C38" s="1" t="s">
        <v>21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52</v>
      </c>
      <c r="K38" s="2">
        <v>52</v>
      </c>
      <c r="L38" s="3">
        <v>166400</v>
      </c>
      <c r="M38" s="2">
        <v>0</v>
      </c>
      <c r="N38" s="2">
        <v>0</v>
      </c>
      <c r="O38" s="2">
        <v>0</v>
      </c>
      <c r="P38" s="2">
        <v>1</v>
      </c>
      <c r="Q38" s="2">
        <v>14</v>
      </c>
      <c r="R38" s="3">
        <v>44800</v>
      </c>
      <c r="S38" s="2">
        <v>0</v>
      </c>
      <c r="T38" s="2">
        <v>0</v>
      </c>
      <c r="U38" s="2">
        <v>0</v>
      </c>
      <c r="V38" s="2">
        <v>19</v>
      </c>
      <c r="W38" s="2">
        <v>19</v>
      </c>
      <c r="X38" s="3">
        <v>72960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72</v>
      </c>
      <c r="AR38" s="2">
        <v>85</v>
      </c>
      <c r="AS38" s="3">
        <v>284160</v>
      </c>
      <c r="AT38" s="3">
        <v>179020.79999999999</v>
      </c>
      <c r="AU38" s="4">
        <v>284160</v>
      </c>
      <c r="AV38" s="8">
        <v>179020.79999999999</v>
      </c>
    </row>
    <row r="39" spans="1:48" ht="18" thickBot="1">
      <c r="A39" s="1" t="s">
        <v>15</v>
      </c>
      <c r="B39" s="1" t="s">
        <v>16</v>
      </c>
      <c r="C39" s="1" t="s">
        <v>17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394</v>
      </c>
      <c r="K39" s="2">
        <v>394</v>
      </c>
      <c r="L39" s="3">
        <v>39400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394</v>
      </c>
      <c r="AR39" s="2">
        <v>394</v>
      </c>
      <c r="AS39" s="3">
        <v>39400</v>
      </c>
      <c r="AT39" s="3">
        <v>24822</v>
      </c>
      <c r="AU39" s="4">
        <v>39400</v>
      </c>
      <c r="AV39" s="8">
        <v>24822</v>
      </c>
    </row>
    <row r="40" spans="1:48" ht="18" thickBot="1">
      <c r="A40" s="1" t="s">
        <v>119</v>
      </c>
      <c r="B40" s="1" t="s">
        <v>120</v>
      </c>
      <c r="C40" s="1" t="s">
        <v>121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2</v>
      </c>
      <c r="K40" s="2">
        <v>2</v>
      </c>
      <c r="L40" s="3">
        <v>6400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2</v>
      </c>
      <c r="AR40" s="2">
        <v>2</v>
      </c>
      <c r="AS40" s="3">
        <v>6400</v>
      </c>
      <c r="AT40" s="3">
        <v>4032</v>
      </c>
      <c r="AU40" s="4">
        <v>6400</v>
      </c>
      <c r="AV40" s="8">
        <v>4032</v>
      </c>
    </row>
    <row r="41" spans="1:48" ht="18" thickBot="1">
      <c r="A41" s="1" t="s">
        <v>45</v>
      </c>
      <c r="B41" s="1" t="s">
        <v>37</v>
      </c>
      <c r="C41" s="1"/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5</v>
      </c>
      <c r="K41" s="2">
        <v>5</v>
      </c>
      <c r="L41" s="3">
        <v>16000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5</v>
      </c>
      <c r="AR41" s="2">
        <v>5</v>
      </c>
      <c r="AS41" s="3">
        <v>16000</v>
      </c>
      <c r="AT41" s="3">
        <v>10080</v>
      </c>
      <c r="AU41" s="4">
        <v>16000</v>
      </c>
      <c r="AV41" s="8">
        <v>10080</v>
      </c>
    </row>
    <row r="42" spans="1:48" ht="18" thickBot="1">
      <c r="A42" s="1" t="s">
        <v>122</v>
      </c>
      <c r="B42" s="1" t="s">
        <v>37</v>
      </c>
      <c r="C42" s="1"/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6">
        <v>1240</v>
      </c>
      <c r="K42" s="6">
        <v>1240</v>
      </c>
      <c r="L42" s="3">
        <v>124000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135</v>
      </c>
      <c r="W42" s="2">
        <v>135</v>
      </c>
      <c r="X42" s="3">
        <v>16200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6">
        <v>1375</v>
      </c>
      <c r="AR42" s="6">
        <v>1375</v>
      </c>
      <c r="AS42" s="3">
        <v>140200</v>
      </c>
      <c r="AT42" s="3">
        <v>88326</v>
      </c>
      <c r="AU42" s="4">
        <v>140200</v>
      </c>
      <c r="AV42" s="8">
        <v>88326</v>
      </c>
    </row>
    <row r="43" spans="1:48" ht="18" thickBot="1">
      <c r="A43" s="1" t="s">
        <v>191</v>
      </c>
      <c r="B43" s="1" t="s">
        <v>87</v>
      </c>
      <c r="C43" s="1" t="s">
        <v>192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2</v>
      </c>
      <c r="K43" s="2">
        <v>2</v>
      </c>
      <c r="L43" s="3">
        <v>6400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2</v>
      </c>
      <c r="AR43" s="2">
        <v>2</v>
      </c>
      <c r="AS43" s="3">
        <v>6400</v>
      </c>
      <c r="AT43" s="3">
        <v>4032</v>
      </c>
      <c r="AU43" s="4">
        <v>6400</v>
      </c>
      <c r="AV43" s="8">
        <v>4032</v>
      </c>
    </row>
    <row r="44" spans="1:48" ht="18" thickBot="1">
      <c r="A44" s="1" t="s">
        <v>193</v>
      </c>
      <c r="B44" s="1" t="s">
        <v>74</v>
      </c>
      <c r="C44" s="1"/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1</v>
      </c>
      <c r="K44" s="2">
        <v>1</v>
      </c>
      <c r="L44" s="3">
        <v>2600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1</v>
      </c>
      <c r="AR44" s="2">
        <v>1</v>
      </c>
      <c r="AS44" s="3">
        <v>2600</v>
      </c>
      <c r="AT44" s="3">
        <v>1638</v>
      </c>
      <c r="AU44" s="4">
        <v>2600</v>
      </c>
      <c r="AV44" s="8">
        <v>1638</v>
      </c>
    </row>
    <row r="45" spans="1:48" ht="18" thickBot="1">
      <c r="A45" s="1" t="s">
        <v>194</v>
      </c>
      <c r="B45" s="1" t="s">
        <v>195</v>
      </c>
      <c r="C45" s="1"/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1</v>
      </c>
      <c r="W45" s="2">
        <v>1</v>
      </c>
      <c r="X45" s="3">
        <v>3840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1</v>
      </c>
      <c r="AR45" s="2">
        <v>1</v>
      </c>
      <c r="AS45" s="3">
        <v>3840</v>
      </c>
      <c r="AT45" s="3">
        <v>2419.1999999999998</v>
      </c>
      <c r="AU45" s="4">
        <v>3840</v>
      </c>
      <c r="AV45" s="8">
        <v>2419.1999999999998</v>
      </c>
    </row>
    <row r="46" spans="1:48" ht="18" thickBot="1">
      <c r="A46" s="1" t="s">
        <v>196</v>
      </c>
      <c r="B46" s="1" t="s">
        <v>64</v>
      </c>
      <c r="C46" s="1"/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1</v>
      </c>
      <c r="K46" s="2">
        <v>1</v>
      </c>
      <c r="L46" s="3">
        <v>4500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1</v>
      </c>
      <c r="AR46" s="2">
        <v>1</v>
      </c>
      <c r="AS46" s="3">
        <v>4500</v>
      </c>
      <c r="AT46" s="3">
        <v>2835</v>
      </c>
      <c r="AU46" s="4">
        <v>4500</v>
      </c>
      <c r="AV46" s="8">
        <v>2835</v>
      </c>
    </row>
    <row r="47" spans="1:48" ht="18" thickBot="1">
      <c r="A47" s="1" t="s">
        <v>88</v>
      </c>
      <c r="B47" s="1" t="s">
        <v>74</v>
      </c>
      <c r="C47" s="1"/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7</v>
      </c>
      <c r="K47" s="2">
        <v>7</v>
      </c>
      <c r="L47" s="3">
        <v>12500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7</v>
      </c>
      <c r="AR47" s="2">
        <v>7</v>
      </c>
      <c r="AS47" s="3">
        <v>12500</v>
      </c>
      <c r="AT47" s="3">
        <v>7875</v>
      </c>
      <c r="AU47" s="4">
        <v>12500</v>
      </c>
      <c r="AV47" s="8">
        <v>7875</v>
      </c>
    </row>
    <row r="48" spans="1:48" ht="18" thickBot="1">
      <c r="A48" s="1" t="s">
        <v>99</v>
      </c>
      <c r="B48" s="1" t="s">
        <v>61</v>
      </c>
      <c r="C48" s="1"/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146</v>
      </c>
      <c r="K48" s="2">
        <v>146</v>
      </c>
      <c r="L48" s="3">
        <v>14600</v>
      </c>
      <c r="M48" s="2">
        <v>0</v>
      </c>
      <c r="N48" s="2">
        <v>0</v>
      </c>
      <c r="O48" s="2">
        <v>0</v>
      </c>
      <c r="P48" s="2">
        <v>1</v>
      </c>
      <c r="Q48" s="2">
        <v>69</v>
      </c>
      <c r="R48" s="3">
        <v>6900</v>
      </c>
      <c r="S48" s="2">
        <v>0</v>
      </c>
      <c r="T48" s="2">
        <v>0</v>
      </c>
      <c r="U48" s="2">
        <v>0</v>
      </c>
      <c r="V48" s="2">
        <v>21</v>
      </c>
      <c r="W48" s="2">
        <v>21</v>
      </c>
      <c r="X48" s="3">
        <v>2520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168</v>
      </c>
      <c r="AR48" s="2">
        <v>236</v>
      </c>
      <c r="AS48" s="3">
        <v>24020</v>
      </c>
      <c r="AT48" s="3">
        <v>15132.6</v>
      </c>
      <c r="AU48" s="4">
        <v>24020</v>
      </c>
      <c r="AV48" s="8">
        <v>15132.6</v>
      </c>
    </row>
    <row r="49" spans="1:48" ht="18" thickBot="1">
      <c r="A49" s="1" t="s">
        <v>65</v>
      </c>
      <c r="B49" s="1" t="s">
        <v>61</v>
      </c>
      <c r="C49" s="1"/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3">
        <v>1000</v>
      </c>
      <c r="M49" s="2">
        <v>0</v>
      </c>
      <c r="N49" s="2">
        <v>0</v>
      </c>
      <c r="O49" s="2">
        <v>0</v>
      </c>
      <c r="P49" s="2">
        <v>1</v>
      </c>
      <c r="Q49" s="2">
        <v>3</v>
      </c>
      <c r="R49" s="3">
        <v>8000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2</v>
      </c>
      <c r="AR49" s="2">
        <v>4</v>
      </c>
      <c r="AS49" s="3">
        <v>9000</v>
      </c>
      <c r="AT49" s="3">
        <v>5670</v>
      </c>
      <c r="AU49" s="4">
        <v>9000</v>
      </c>
      <c r="AV49" s="8">
        <v>5670</v>
      </c>
    </row>
    <row r="50" spans="1:48" ht="18" thickBot="1">
      <c r="A50" s="1" t="s">
        <v>66</v>
      </c>
      <c r="B50" s="1" t="s">
        <v>61</v>
      </c>
      <c r="C50" s="1" t="s">
        <v>67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</v>
      </c>
      <c r="Q50" s="2">
        <v>2</v>
      </c>
      <c r="R50" s="3">
        <v>6000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1</v>
      </c>
      <c r="AR50" s="2">
        <v>2</v>
      </c>
      <c r="AS50" s="3">
        <v>6000</v>
      </c>
      <c r="AT50" s="3">
        <v>3780</v>
      </c>
      <c r="AU50" s="4">
        <v>6000</v>
      </c>
      <c r="AV50" s="8">
        <v>3780</v>
      </c>
    </row>
    <row r="51" spans="1:48" ht="18" thickBot="1">
      <c r="A51" s="1" t="s">
        <v>123</v>
      </c>
      <c r="B51" s="1" t="s">
        <v>61</v>
      </c>
      <c r="C51" s="1" t="s">
        <v>124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1</v>
      </c>
      <c r="K51" s="2">
        <v>1</v>
      </c>
      <c r="L51" s="2">
        <v>500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1</v>
      </c>
      <c r="AR51" s="2">
        <v>1</v>
      </c>
      <c r="AS51" s="2">
        <v>500</v>
      </c>
      <c r="AT51" s="2">
        <v>315</v>
      </c>
      <c r="AU51" s="5">
        <v>500</v>
      </c>
      <c r="AV51" s="9">
        <v>315</v>
      </c>
    </row>
    <row r="52" spans="1:48" ht="18" thickBot="1">
      <c r="A52" s="1" t="s">
        <v>100</v>
      </c>
      <c r="B52" s="1" t="s">
        <v>74</v>
      </c>
      <c r="C52" s="1"/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12</v>
      </c>
      <c r="K52" s="2">
        <v>12</v>
      </c>
      <c r="L52" s="3">
        <v>1200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12</v>
      </c>
      <c r="AR52" s="2">
        <v>12</v>
      </c>
      <c r="AS52" s="3">
        <v>1200</v>
      </c>
      <c r="AT52" s="2">
        <v>756</v>
      </c>
      <c r="AU52" s="4">
        <v>1200</v>
      </c>
      <c r="AV52" s="9">
        <v>756</v>
      </c>
    </row>
    <row r="53" spans="1:48" ht="18" thickBot="1">
      <c r="A53" s="1" t="s">
        <v>125</v>
      </c>
      <c r="B53" s="1" t="s">
        <v>69</v>
      </c>
      <c r="C53" s="1"/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1</v>
      </c>
      <c r="L53" s="3">
        <v>3200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1</v>
      </c>
      <c r="AR53" s="2">
        <v>1</v>
      </c>
      <c r="AS53" s="3">
        <v>3200</v>
      </c>
      <c r="AT53" s="3">
        <v>2016</v>
      </c>
      <c r="AU53" s="4">
        <v>3200</v>
      </c>
      <c r="AV53" s="8">
        <v>2016</v>
      </c>
    </row>
    <row r="54" spans="1:48" ht="18" thickBot="1">
      <c r="A54" s="1" t="s">
        <v>68</v>
      </c>
      <c r="B54" s="1" t="s">
        <v>56</v>
      </c>
      <c r="C54" s="1"/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300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1</v>
      </c>
      <c r="AR54" s="2">
        <v>1</v>
      </c>
      <c r="AS54" s="2">
        <v>300</v>
      </c>
      <c r="AT54" s="2">
        <v>189</v>
      </c>
      <c r="AU54" s="5">
        <v>300</v>
      </c>
      <c r="AV54" s="9">
        <v>189</v>
      </c>
    </row>
    <row r="55" spans="1:48" ht="18" thickBot="1">
      <c r="A55" s="1" t="s">
        <v>126</v>
      </c>
      <c r="B55" s="1" t="s">
        <v>127</v>
      </c>
      <c r="C55" s="1" t="s">
        <v>128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1</v>
      </c>
      <c r="L55" s="2">
        <v>100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1</v>
      </c>
      <c r="AR55" s="2">
        <v>1</v>
      </c>
      <c r="AS55" s="2">
        <v>100</v>
      </c>
      <c r="AT55" s="2">
        <v>63</v>
      </c>
      <c r="AU55" s="5">
        <v>100</v>
      </c>
      <c r="AV55" s="9">
        <v>63</v>
      </c>
    </row>
    <row r="56" spans="1:48" ht="18" thickBot="1">
      <c r="A56" s="1" t="s">
        <v>130</v>
      </c>
      <c r="B56" s="1" t="s">
        <v>131</v>
      </c>
      <c r="C56" s="1"/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264</v>
      </c>
      <c r="K56" s="2">
        <v>264</v>
      </c>
      <c r="L56" s="3">
        <v>26400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264</v>
      </c>
      <c r="AR56" s="2">
        <v>264</v>
      </c>
      <c r="AS56" s="3">
        <v>26400</v>
      </c>
      <c r="AT56" s="3">
        <v>16632</v>
      </c>
      <c r="AU56" s="4">
        <v>26400</v>
      </c>
      <c r="AV56" s="8">
        <v>16632</v>
      </c>
    </row>
    <row r="57" spans="1:48" ht="18" thickBot="1">
      <c r="A57" s="1" t="s">
        <v>197</v>
      </c>
      <c r="B57" s="1" t="s">
        <v>131</v>
      </c>
      <c r="C57" s="1"/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3</v>
      </c>
      <c r="K57" s="2">
        <v>3</v>
      </c>
      <c r="L57" s="3">
        <v>9600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3</v>
      </c>
      <c r="AR57" s="2">
        <v>3</v>
      </c>
      <c r="AS57" s="3">
        <v>9600</v>
      </c>
      <c r="AT57" s="3">
        <v>6048</v>
      </c>
      <c r="AU57" s="4">
        <v>9600</v>
      </c>
      <c r="AV57" s="8">
        <v>6048</v>
      </c>
    </row>
    <row r="58" spans="1:48" ht="18" thickBot="1">
      <c r="A58" s="1" t="s">
        <v>132</v>
      </c>
      <c r="B58" s="1" t="s">
        <v>133</v>
      </c>
      <c r="C58" s="1"/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3</v>
      </c>
      <c r="K58" s="2">
        <v>3</v>
      </c>
      <c r="L58" s="3">
        <v>9000</v>
      </c>
      <c r="M58" s="2">
        <v>0</v>
      </c>
      <c r="N58" s="2">
        <v>0</v>
      </c>
      <c r="O58" s="2">
        <v>0</v>
      </c>
      <c r="P58" s="2">
        <v>3</v>
      </c>
      <c r="Q58" s="2">
        <v>9</v>
      </c>
      <c r="R58" s="3">
        <v>24300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6</v>
      </c>
      <c r="AR58" s="2">
        <v>12</v>
      </c>
      <c r="AS58" s="3">
        <v>33300</v>
      </c>
      <c r="AT58" s="3">
        <v>20979</v>
      </c>
      <c r="AU58" s="4">
        <v>33300</v>
      </c>
      <c r="AV58" s="8">
        <v>20979</v>
      </c>
    </row>
    <row r="59" spans="1:48" ht="18" thickBot="1">
      <c r="A59" s="1" t="s">
        <v>198</v>
      </c>
      <c r="B59" s="1" t="s">
        <v>133</v>
      </c>
      <c r="C59" s="1"/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12</v>
      </c>
      <c r="K59" s="2">
        <v>12</v>
      </c>
      <c r="L59" s="3">
        <v>1200</v>
      </c>
      <c r="M59" s="2">
        <v>0</v>
      </c>
      <c r="N59" s="2">
        <v>0</v>
      </c>
      <c r="O59" s="2">
        <v>0</v>
      </c>
      <c r="P59" s="2">
        <v>1</v>
      </c>
      <c r="Q59" s="2">
        <v>71</v>
      </c>
      <c r="R59" s="3">
        <v>7100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13</v>
      </c>
      <c r="AR59" s="2">
        <v>83</v>
      </c>
      <c r="AS59" s="3">
        <v>8300</v>
      </c>
      <c r="AT59" s="3">
        <v>5229</v>
      </c>
      <c r="AU59" s="4">
        <v>8300</v>
      </c>
      <c r="AV59" s="8">
        <v>5229</v>
      </c>
    </row>
    <row r="60" spans="1:48" ht="18" thickBot="1">
      <c r="A60" s="1" t="s">
        <v>134</v>
      </c>
      <c r="B60" s="1" t="s">
        <v>120</v>
      </c>
      <c r="C60" s="1" t="s">
        <v>135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3">
        <v>4400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1</v>
      </c>
      <c r="AR60" s="2">
        <v>1</v>
      </c>
      <c r="AS60" s="3">
        <v>4400</v>
      </c>
      <c r="AT60" s="3">
        <v>2772</v>
      </c>
      <c r="AU60" s="4">
        <v>4400</v>
      </c>
      <c r="AV60" s="8">
        <v>2772</v>
      </c>
    </row>
    <row r="61" spans="1:48" ht="18" thickBot="1">
      <c r="A61" s="1" t="s">
        <v>199</v>
      </c>
      <c r="B61" s="1" t="s">
        <v>56</v>
      </c>
      <c r="C61" s="1"/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6">
        <v>1480</v>
      </c>
      <c r="K61" s="6">
        <v>1480</v>
      </c>
      <c r="L61" s="3">
        <v>148000</v>
      </c>
      <c r="M61" s="2">
        <v>0</v>
      </c>
      <c r="N61" s="2">
        <v>0</v>
      </c>
      <c r="O61" s="2">
        <v>0</v>
      </c>
      <c r="P61" s="2">
        <v>1</v>
      </c>
      <c r="Q61" s="2">
        <v>62</v>
      </c>
      <c r="R61" s="3">
        <v>6200</v>
      </c>
      <c r="S61" s="2">
        <v>0</v>
      </c>
      <c r="T61" s="2">
        <v>0</v>
      </c>
      <c r="U61" s="2">
        <v>0</v>
      </c>
      <c r="V61" s="2">
        <v>205</v>
      </c>
      <c r="W61" s="2">
        <v>205</v>
      </c>
      <c r="X61" s="3">
        <v>24600</v>
      </c>
      <c r="Y61" s="2">
        <v>0</v>
      </c>
      <c r="Z61" s="2">
        <v>0</v>
      </c>
      <c r="AA61" s="2">
        <v>0</v>
      </c>
      <c r="AB61" s="2">
        <v>1</v>
      </c>
      <c r="AC61" s="2">
        <v>62</v>
      </c>
      <c r="AD61" s="3">
        <v>7440</v>
      </c>
      <c r="AE61" s="2">
        <v>0</v>
      </c>
      <c r="AF61" s="2">
        <v>0</v>
      </c>
      <c r="AG61" s="2">
        <v>0</v>
      </c>
      <c r="AH61" s="2">
        <v>83</v>
      </c>
      <c r="AI61" s="2">
        <v>83</v>
      </c>
      <c r="AJ61" s="3">
        <v>9960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6">
        <v>1770</v>
      </c>
      <c r="AR61" s="6">
        <v>1892</v>
      </c>
      <c r="AS61" s="3">
        <v>196200</v>
      </c>
      <c r="AT61" s="3">
        <v>122211.6</v>
      </c>
      <c r="AU61" s="4">
        <v>196200</v>
      </c>
      <c r="AV61" s="8">
        <v>122211.6</v>
      </c>
    </row>
    <row r="62" spans="1:48" ht="18" thickBot="1">
      <c r="A62" s="1" t="s">
        <v>200</v>
      </c>
      <c r="B62" s="1" t="s">
        <v>56</v>
      </c>
      <c r="C62" s="1"/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10</v>
      </c>
      <c r="K62" s="2">
        <v>10</v>
      </c>
      <c r="L62" s="3">
        <v>4000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10</v>
      </c>
      <c r="AR62" s="2">
        <v>10</v>
      </c>
      <c r="AS62" s="3">
        <v>4000</v>
      </c>
      <c r="AT62" s="3">
        <v>2520</v>
      </c>
      <c r="AU62" s="4">
        <v>4000</v>
      </c>
      <c r="AV62" s="8">
        <v>2520</v>
      </c>
    </row>
    <row r="63" spans="1:48" ht="18" thickBot="1">
      <c r="A63" s="1" t="s">
        <v>201</v>
      </c>
      <c r="B63" s="1" t="s">
        <v>56</v>
      </c>
      <c r="C63" s="1"/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16</v>
      </c>
      <c r="K63" s="2">
        <v>16</v>
      </c>
      <c r="L63" s="3">
        <v>48000</v>
      </c>
      <c r="M63" s="2">
        <v>0</v>
      </c>
      <c r="N63" s="2">
        <v>0</v>
      </c>
      <c r="O63" s="2">
        <v>0</v>
      </c>
      <c r="P63" s="2">
        <v>5</v>
      </c>
      <c r="Q63" s="2">
        <v>10</v>
      </c>
      <c r="R63" s="3">
        <v>30000</v>
      </c>
      <c r="S63" s="2">
        <v>0</v>
      </c>
      <c r="T63" s="2">
        <v>0</v>
      </c>
      <c r="U63" s="2">
        <v>0</v>
      </c>
      <c r="V63" s="2">
        <v>1</v>
      </c>
      <c r="W63" s="2">
        <v>1</v>
      </c>
      <c r="X63" s="3">
        <v>3600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22</v>
      </c>
      <c r="AR63" s="2">
        <v>27</v>
      </c>
      <c r="AS63" s="3">
        <v>81600</v>
      </c>
      <c r="AT63" s="3">
        <v>51408</v>
      </c>
      <c r="AU63" s="4">
        <v>81600</v>
      </c>
      <c r="AV63" s="8">
        <v>51408</v>
      </c>
    </row>
    <row r="64" spans="1:48" ht="18" thickBot="1">
      <c r="A64" s="1" t="s">
        <v>89</v>
      </c>
      <c r="B64" s="1" t="s">
        <v>69</v>
      </c>
      <c r="C64" s="1"/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9</v>
      </c>
      <c r="K64" s="2">
        <v>9</v>
      </c>
      <c r="L64" s="2">
        <v>900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19</v>
      </c>
      <c r="W64" s="2">
        <v>19</v>
      </c>
      <c r="X64" s="3">
        <v>2280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28</v>
      </c>
      <c r="AR64" s="2">
        <v>28</v>
      </c>
      <c r="AS64" s="3">
        <v>3180</v>
      </c>
      <c r="AT64" s="3">
        <v>2003.4</v>
      </c>
      <c r="AU64" s="4">
        <v>3180</v>
      </c>
      <c r="AV64" s="8">
        <v>2003.4</v>
      </c>
    </row>
    <row r="65" spans="1:48" ht="36.6" thickBot="1">
      <c r="A65" s="1" t="s">
        <v>90</v>
      </c>
      <c r="B65" s="1" t="s">
        <v>85</v>
      </c>
      <c r="C65" s="1"/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5</v>
      </c>
      <c r="K65" s="2">
        <v>5</v>
      </c>
      <c r="L65" s="3">
        <v>13800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4</v>
      </c>
      <c r="W65" s="2">
        <v>4</v>
      </c>
      <c r="X65" s="3">
        <v>12960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9</v>
      </c>
      <c r="AR65" s="2">
        <v>9</v>
      </c>
      <c r="AS65" s="3">
        <v>26760</v>
      </c>
      <c r="AT65" s="3">
        <v>16858.8</v>
      </c>
      <c r="AU65" s="4">
        <v>26760</v>
      </c>
      <c r="AV65" s="8">
        <v>16858.8</v>
      </c>
    </row>
    <row r="66" spans="1:48" ht="18" thickBot="1">
      <c r="A66" s="1" t="s">
        <v>101</v>
      </c>
      <c r="B66" s="1" t="s">
        <v>102</v>
      </c>
      <c r="C66" s="1"/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3</v>
      </c>
      <c r="W66" s="2">
        <v>3</v>
      </c>
      <c r="X66" s="3">
        <v>11520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3</v>
      </c>
      <c r="AR66" s="2">
        <v>3</v>
      </c>
      <c r="AS66" s="3">
        <v>11520</v>
      </c>
      <c r="AT66" s="3">
        <v>7257.6</v>
      </c>
      <c r="AU66" s="4">
        <v>11520</v>
      </c>
      <c r="AV66" s="8">
        <v>7257.6</v>
      </c>
    </row>
    <row r="67" spans="1:48" ht="18" thickBot="1">
      <c r="A67" s="1" t="s">
        <v>202</v>
      </c>
      <c r="B67" s="1" t="s">
        <v>106</v>
      </c>
      <c r="C67" s="1"/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1</v>
      </c>
      <c r="Q67" s="2">
        <v>2</v>
      </c>
      <c r="R67" s="3">
        <v>8100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1</v>
      </c>
      <c r="AR67" s="2">
        <v>2</v>
      </c>
      <c r="AS67" s="3">
        <v>8100</v>
      </c>
      <c r="AT67" s="3">
        <v>5103</v>
      </c>
      <c r="AU67" s="4">
        <v>8100</v>
      </c>
      <c r="AV67" s="8">
        <v>5103</v>
      </c>
    </row>
    <row r="68" spans="1:48" ht="18" thickBot="1">
      <c r="A68" s="1" t="s">
        <v>136</v>
      </c>
      <c r="B68" s="1" t="s">
        <v>137</v>
      </c>
      <c r="C68" s="1"/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130</v>
      </c>
      <c r="K68" s="2">
        <v>130</v>
      </c>
      <c r="L68" s="3">
        <v>13000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130</v>
      </c>
      <c r="AR68" s="2">
        <v>130</v>
      </c>
      <c r="AS68" s="3">
        <v>13000</v>
      </c>
      <c r="AT68" s="3">
        <v>8190</v>
      </c>
      <c r="AU68" s="4">
        <v>13000</v>
      </c>
      <c r="AV68" s="8">
        <v>8190</v>
      </c>
    </row>
    <row r="69" spans="1:48" ht="18" thickBot="1">
      <c r="A69" s="1" t="s">
        <v>138</v>
      </c>
      <c r="B69" s="1" t="s">
        <v>70</v>
      </c>
      <c r="C69" s="1" t="s">
        <v>139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1</v>
      </c>
      <c r="L69" s="2">
        <v>300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1</v>
      </c>
      <c r="AR69" s="2">
        <v>1</v>
      </c>
      <c r="AS69" s="2">
        <v>300</v>
      </c>
      <c r="AT69" s="2">
        <v>189</v>
      </c>
      <c r="AU69" s="5">
        <v>300</v>
      </c>
      <c r="AV69" s="9">
        <v>189</v>
      </c>
    </row>
    <row r="70" spans="1:48" ht="18.600000000000001" thickBot="1">
      <c r="A70" s="1" t="s">
        <v>203</v>
      </c>
      <c r="B70" s="1" t="s">
        <v>140</v>
      </c>
      <c r="C70" s="1"/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248</v>
      </c>
      <c r="K70" s="2">
        <v>248</v>
      </c>
      <c r="L70" s="3">
        <v>24800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248</v>
      </c>
      <c r="AR70" s="2">
        <v>248</v>
      </c>
      <c r="AS70" s="3">
        <v>24800</v>
      </c>
      <c r="AT70" s="3">
        <v>15624</v>
      </c>
      <c r="AU70" s="4">
        <v>24800</v>
      </c>
      <c r="AV70" s="8">
        <v>15624</v>
      </c>
    </row>
    <row r="71" spans="1:48" ht="18" thickBot="1">
      <c r="A71" s="1" t="s">
        <v>204</v>
      </c>
      <c r="B71" s="1" t="s">
        <v>205</v>
      </c>
      <c r="C71" s="1"/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1</v>
      </c>
      <c r="K71" s="2">
        <v>1</v>
      </c>
      <c r="L71" s="2">
        <v>100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1</v>
      </c>
      <c r="AR71" s="2">
        <v>1</v>
      </c>
      <c r="AS71" s="2">
        <v>100</v>
      </c>
      <c r="AT71" s="2">
        <v>63</v>
      </c>
      <c r="AU71" s="5">
        <v>100</v>
      </c>
      <c r="AV71" s="9">
        <v>63</v>
      </c>
    </row>
    <row r="72" spans="1:48" ht="18" thickBot="1">
      <c r="A72" s="1" t="s">
        <v>103</v>
      </c>
      <c r="B72" s="1" t="s">
        <v>104</v>
      </c>
      <c r="C72" s="1"/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56</v>
      </c>
      <c r="K72" s="2">
        <v>56</v>
      </c>
      <c r="L72" s="3">
        <v>5600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218</v>
      </c>
      <c r="W72" s="2">
        <v>218</v>
      </c>
      <c r="X72" s="3">
        <v>26160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274</v>
      </c>
      <c r="AR72" s="2">
        <v>274</v>
      </c>
      <c r="AS72" s="3">
        <v>31760</v>
      </c>
      <c r="AT72" s="3">
        <v>20008.8</v>
      </c>
      <c r="AU72" s="4">
        <v>31760</v>
      </c>
      <c r="AV72" s="8">
        <v>20008.8</v>
      </c>
    </row>
    <row r="73" spans="1:48" ht="18" thickBot="1">
      <c r="A73" s="1" t="s">
        <v>105</v>
      </c>
      <c r="B73" s="1" t="s">
        <v>16</v>
      </c>
      <c r="C73" s="1"/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1</v>
      </c>
      <c r="K73" s="2">
        <v>1</v>
      </c>
      <c r="L73" s="2">
        <v>100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1</v>
      </c>
      <c r="AR73" s="2">
        <v>1</v>
      </c>
      <c r="AS73" s="2">
        <v>100</v>
      </c>
      <c r="AT73" s="2">
        <v>63</v>
      </c>
      <c r="AU73" s="5">
        <v>100</v>
      </c>
      <c r="AV73" s="9">
        <v>63</v>
      </c>
    </row>
    <row r="74" spans="1:48" ht="18" thickBot="1">
      <c r="A74" s="1" t="s">
        <v>206</v>
      </c>
      <c r="B74" s="1" t="s">
        <v>16</v>
      </c>
      <c r="C74" s="1"/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5</v>
      </c>
      <c r="W74" s="2">
        <v>5</v>
      </c>
      <c r="X74" s="3">
        <v>19200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5</v>
      </c>
      <c r="AR74" s="2">
        <v>5</v>
      </c>
      <c r="AS74" s="3">
        <v>19200</v>
      </c>
      <c r="AT74" s="3">
        <v>12096</v>
      </c>
      <c r="AU74" s="4">
        <v>19200</v>
      </c>
      <c r="AV74" s="8">
        <v>12096</v>
      </c>
    </row>
    <row r="75" spans="1:48" ht="18" thickBot="1">
      <c r="A75" s="1" t="s">
        <v>141</v>
      </c>
      <c r="B75" s="1" t="s">
        <v>46</v>
      </c>
      <c r="C75" s="1"/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2</v>
      </c>
      <c r="K75" s="2">
        <v>2</v>
      </c>
      <c r="L75" s="3">
        <v>4800</v>
      </c>
      <c r="M75" s="2">
        <v>0</v>
      </c>
      <c r="N75" s="2">
        <v>0</v>
      </c>
      <c r="O75" s="2">
        <v>0</v>
      </c>
      <c r="P75" s="2">
        <v>6</v>
      </c>
      <c r="Q75" s="2">
        <v>12</v>
      </c>
      <c r="R75" s="3">
        <v>25920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8</v>
      </c>
      <c r="AR75" s="2">
        <v>14</v>
      </c>
      <c r="AS75" s="3">
        <v>30720</v>
      </c>
      <c r="AT75" s="3">
        <v>19353.599999999999</v>
      </c>
      <c r="AU75" s="4">
        <v>30720</v>
      </c>
      <c r="AV75" s="8">
        <v>19353.599999999999</v>
      </c>
    </row>
    <row r="76" spans="1:48" ht="18" thickBot="1">
      <c r="A76" s="1" t="s">
        <v>207</v>
      </c>
      <c r="B76" s="1" t="s">
        <v>208</v>
      </c>
      <c r="C76" s="1"/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2</v>
      </c>
      <c r="K76" s="2">
        <v>2</v>
      </c>
      <c r="L76" s="2">
        <v>200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8</v>
      </c>
      <c r="W76" s="2">
        <v>8</v>
      </c>
      <c r="X76" s="2">
        <v>960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10</v>
      </c>
      <c r="AR76" s="2">
        <v>10</v>
      </c>
      <c r="AS76" s="3">
        <v>1160</v>
      </c>
      <c r="AT76" s="2">
        <v>730.8</v>
      </c>
      <c r="AU76" s="4">
        <v>1160</v>
      </c>
      <c r="AV76" s="9">
        <v>730.8</v>
      </c>
    </row>
    <row r="77" spans="1:48" ht="18" thickBot="1">
      <c r="A77" s="1" t="s">
        <v>209</v>
      </c>
      <c r="B77" s="1" t="s">
        <v>210</v>
      </c>
      <c r="C77" s="1"/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1</v>
      </c>
      <c r="W77" s="2">
        <v>1</v>
      </c>
      <c r="X77" s="3">
        <v>3840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1</v>
      </c>
      <c r="AR77" s="2">
        <v>1</v>
      </c>
      <c r="AS77" s="3">
        <v>3840</v>
      </c>
      <c r="AT77" s="3">
        <v>2419.1999999999998</v>
      </c>
      <c r="AU77" s="4">
        <v>3840</v>
      </c>
      <c r="AV77" s="8">
        <v>2419.1999999999998</v>
      </c>
    </row>
    <row r="78" spans="1:48" ht="18" thickBot="1">
      <c r="A78" s="1" t="s">
        <v>211</v>
      </c>
      <c r="B78" s="1" t="s">
        <v>210</v>
      </c>
      <c r="C78" s="1"/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6</v>
      </c>
      <c r="K78" s="2">
        <v>6</v>
      </c>
      <c r="L78" s="2">
        <v>600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6</v>
      </c>
      <c r="AR78" s="2">
        <v>6</v>
      </c>
      <c r="AS78" s="2">
        <v>600</v>
      </c>
      <c r="AT78" s="2">
        <v>378</v>
      </c>
      <c r="AU78" s="5">
        <v>600</v>
      </c>
      <c r="AV78" s="9">
        <v>378</v>
      </c>
    </row>
    <row r="79" spans="1:48" ht="18" thickBot="1">
      <c r="A79" s="1" t="s">
        <v>212</v>
      </c>
      <c r="B79" s="1" t="s">
        <v>56</v>
      </c>
      <c r="C79" s="1"/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1</v>
      </c>
      <c r="K79" s="2">
        <v>1</v>
      </c>
      <c r="L79" s="2">
        <v>300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1</v>
      </c>
      <c r="AR79" s="2">
        <v>1</v>
      </c>
      <c r="AS79" s="2">
        <v>300</v>
      </c>
      <c r="AT79" s="2">
        <v>189</v>
      </c>
      <c r="AU79" s="5">
        <v>300</v>
      </c>
      <c r="AV79" s="9">
        <v>189</v>
      </c>
    </row>
    <row r="80" spans="1:48" ht="18" thickBot="1">
      <c r="A80" s="1" t="s">
        <v>142</v>
      </c>
      <c r="B80" s="1" t="s">
        <v>129</v>
      </c>
      <c r="C80" s="1" t="s">
        <v>143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1</v>
      </c>
      <c r="K80" s="2">
        <v>1</v>
      </c>
      <c r="L80" s="3">
        <v>4300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1</v>
      </c>
      <c r="AR80" s="2">
        <v>1</v>
      </c>
      <c r="AS80" s="3">
        <v>4300</v>
      </c>
      <c r="AT80" s="3">
        <v>2709</v>
      </c>
      <c r="AU80" s="4">
        <v>4300</v>
      </c>
      <c r="AV80" s="8">
        <v>2709</v>
      </c>
    </row>
    <row r="81" spans="1:48" ht="18" thickBot="1">
      <c r="A81" s="1" t="s">
        <v>40</v>
      </c>
      <c r="B81" s="1" t="s">
        <v>16</v>
      </c>
      <c r="C81" s="1"/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228</v>
      </c>
      <c r="K81" s="2">
        <v>228</v>
      </c>
      <c r="L81" s="3">
        <v>729600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123</v>
      </c>
      <c r="W81" s="2">
        <v>123</v>
      </c>
      <c r="X81" s="3">
        <v>472320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351</v>
      </c>
      <c r="AR81" s="2">
        <v>351</v>
      </c>
      <c r="AS81" s="3">
        <v>1201920</v>
      </c>
      <c r="AT81" s="3">
        <v>757209.59999999998</v>
      </c>
      <c r="AU81" s="4">
        <v>1201920</v>
      </c>
      <c r="AV81" s="8">
        <v>757209.59999999998</v>
      </c>
    </row>
    <row r="82" spans="1:48" ht="18" thickBot="1">
      <c r="A82" s="1" t="s">
        <v>39</v>
      </c>
      <c r="B82" s="1" t="s">
        <v>16</v>
      </c>
      <c r="C82" s="1"/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858</v>
      </c>
      <c r="K82" s="2">
        <v>858</v>
      </c>
      <c r="L82" s="3">
        <v>85800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414</v>
      </c>
      <c r="W82" s="2">
        <v>414</v>
      </c>
      <c r="X82" s="3">
        <v>49680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6">
        <v>1272</v>
      </c>
      <c r="AR82" s="6">
        <v>1272</v>
      </c>
      <c r="AS82" s="3">
        <v>135480</v>
      </c>
      <c r="AT82" s="3">
        <v>85352.4</v>
      </c>
      <c r="AU82" s="4">
        <v>135480</v>
      </c>
      <c r="AV82" s="8">
        <v>85352.4</v>
      </c>
    </row>
    <row r="83" spans="1:48" ht="18" thickBot="1">
      <c r="A83" s="1" t="s">
        <v>71</v>
      </c>
      <c r="B83" s="1" t="s">
        <v>61</v>
      </c>
      <c r="C83" s="1" t="s">
        <v>72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4</v>
      </c>
      <c r="K83" s="2">
        <v>4</v>
      </c>
      <c r="L83" s="3">
        <v>15600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4</v>
      </c>
      <c r="AR83" s="2">
        <v>4</v>
      </c>
      <c r="AS83" s="3">
        <v>15600</v>
      </c>
      <c r="AT83" s="3">
        <v>9828</v>
      </c>
      <c r="AU83" s="4">
        <v>15600</v>
      </c>
      <c r="AV83" s="8">
        <v>9828</v>
      </c>
    </row>
    <row r="84" spans="1:48" ht="18" thickBot="1">
      <c r="A84" s="1" t="s">
        <v>213</v>
      </c>
      <c r="B84" s="1" t="s">
        <v>214</v>
      </c>
      <c r="C84" s="1"/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50</v>
      </c>
      <c r="K84" s="2">
        <v>50</v>
      </c>
      <c r="L84" s="3">
        <v>5000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12</v>
      </c>
      <c r="W84" s="2">
        <v>12</v>
      </c>
      <c r="X84" s="3">
        <v>1440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62</v>
      </c>
      <c r="AR84" s="2">
        <v>62</v>
      </c>
      <c r="AS84" s="3">
        <v>6440</v>
      </c>
      <c r="AT84" s="3">
        <v>4057.2</v>
      </c>
      <c r="AU84" s="4">
        <v>6440</v>
      </c>
      <c r="AV84" s="8">
        <v>4057.2</v>
      </c>
    </row>
    <row r="85" spans="1:48" ht="18" thickBot="1">
      <c r="A85" s="1" t="s">
        <v>215</v>
      </c>
      <c r="B85" s="1" t="s">
        <v>106</v>
      </c>
      <c r="C85" s="1"/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4</v>
      </c>
      <c r="K85" s="2">
        <v>4</v>
      </c>
      <c r="L85" s="3">
        <v>9400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4</v>
      </c>
      <c r="AR85" s="2">
        <v>4</v>
      </c>
      <c r="AS85" s="3">
        <v>9400</v>
      </c>
      <c r="AT85" s="3">
        <v>5922</v>
      </c>
      <c r="AU85" s="4">
        <v>9400</v>
      </c>
      <c r="AV85" s="8">
        <v>5922</v>
      </c>
    </row>
    <row r="86" spans="1:48" ht="18" thickBot="1">
      <c r="A86" s="1" t="s">
        <v>73</v>
      </c>
      <c r="B86" s="1" t="s">
        <v>74</v>
      </c>
      <c r="C86" s="1"/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2</v>
      </c>
      <c r="K86" s="2">
        <v>2</v>
      </c>
      <c r="L86" s="3">
        <v>9200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2</v>
      </c>
      <c r="AR86" s="2">
        <v>2</v>
      </c>
      <c r="AS86" s="3">
        <v>9200</v>
      </c>
      <c r="AT86" s="3">
        <v>5796</v>
      </c>
      <c r="AU86" s="4">
        <v>9200</v>
      </c>
      <c r="AV86" s="8">
        <v>5796</v>
      </c>
    </row>
    <row r="87" spans="1:48" ht="18" thickBot="1">
      <c r="A87" s="1" t="s">
        <v>144</v>
      </c>
      <c r="B87" s="1" t="s">
        <v>145</v>
      </c>
      <c r="C87" s="1"/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4</v>
      </c>
      <c r="W87" s="2">
        <v>4</v>
      </c>
      <c r="X87" s="2">
        <v>480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4</v>
      </c>
      <c r="AR87" s="2">
        <v>4</v>
      </c>
      <c r="AS87" s="2">
        <v>480</v>
      </c>
      <c r="AT87" s="2">
        <v>302.39999999999998</v>
      </c>
      <c r="AU87" s="5">
        <v>480</v>
      </c>
      <c r="AV87" s="9">
        <v>302.39999999999998</v>
      </c>
    </row>
    <row r="88" spans="1:48" ht="18" thickBot="1">
      <c r="A88" s="1" t="s">
        <v>18</v>
      </c>
      <c r="B88" s="1" t="s">
        <v>16</v>
      </c>
      <c r="C88" s="1" t="s">
        <v>19</v>
      </c>
      <c r="D88" s="2">
        <v>0</v>
      </c>
      <c r="E88" s="2">
        <v>0</v>
      </c>
      <c r="F88" s="2">
        <v>0</v>
      </c>
      <c r="G88" s="2">
        <v>39</v>
      </c>
      <c r="H88" s="2">
        <v>39</v>
      </c>
      <c r="I88" s="3">
        <v>35100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39</v>
      </c>
      <c r="AR88" s="2">
        <v>39</v>
      </c>
      <c r="AS88" s="3">
        <v>35100</v>
      </c>
      <c r="AT88" s="3">
        <v>22113</v>
      </c>
      <c r="AU88" s="4">
        <v>35100</v>
      </c>
      <c r="AV88" s="8">
        <v>22113</v>
      </c>
    </row>
    <row r="89" spans="1:48" ht="18" thickBot="1">
      <c r="A89" s="1" t="s">
        <v>54</v>
      </c>
      <c r="B89" s="1" t="s">
        <v>16</v>
      </c>
      <c r="C89" s="1"/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210</v>
      </c>
      <c r="K89" s="2">
        <v>210</v>
      </c>
      <c r="L89" s="3">
        <v>21000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210</v>
      </c>
      <c r="AR89" s="2">
        <v>210</v>
      </c>
      <c r="AS89" s="3">
        <v>21000</v>
      </c>
      <c r="AT89" s="3">
        <v>13230</v>
      </c>
      <c r="AU89" s="4">
        <v>21000</v>
      </c>
      <c r="AV89" s="8">
        <v>13230</v>
      </c>
    </row>
    <row r="90" spans="1:48" ht="18" thickBot="1">
      <c r="A90" s="1" t="s">
        <v>38</v>
      </c>
      <c r="B90" s="1" t="s">
        <v>35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248</v>
      </c>
      <c r="K90" s="2">
        <v>248</v>
      </c>
      <c r="L90" s="3">
        <v>793600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14</v>
      </c>
      <c r="W90" s="2">
        <v>14</v>
      </c>
      <c r="X90" s="3">
        <v>53760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262</v>
      </c>
      <c r="AR90" s="2">
        <v>262</v>
      </c>
      <c r="AS90" s="3">
        <v>847360</v>
      </c>
      <c r="AT90" s="3">
        <v>533836.80000000005</v>
      </c>
      <c r="AU90" s="4">
        <v>847360</v>
      </c>
      <c r="AV90" s="8">
        <v>533836.80000000005</v>
      </c>
    </row>
    <row r="91" spans="1:48" ht="18" thickBot="1">
      <c r="A91" s="1" t="s">
        <v>107</v>
      </c>
      <c r="B91" s="1" t="s">
        <v>108</v>
      </c>
      <c r="C91" s="1"/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26</v>
      </c>
      <c r="K91" s="2">
        <v>26</v>
      </c>
      <c r="L91" s="3">
        <v>2600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26</v>
      </c>
      <c r="AR91" s="2">
        <v>26</v>
      </c>
      <c r="AS91" s="3">
        <v>2600</v>
      </c>
      <c r="AT91" s="3">
        <v>1638</v>
      </c>
      <c r="AU91" s="4">
        <v>2600</v>
      </c>
      <c r="AV91" s="8">
        <v>1638</v>
      </c>
    </row>
    <row r="92" spans="1:48" ht="18" thickBot="1">
      <c r="A92" s="1" t="s">
        <v>216</v>
      </c>
      <c r="B92" s="1" t="s">
        <v>76</v>
      </c>
      <c r="C92" s="1"/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53</v>
      </c>
      <c r="K92" s="2">
        <v>53</v>
      </c>
      <c r="L92" s="3">
        <v>5300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53</v>
      </c>
      <c r="AR92" s="2">
        <v>53</v>
      </c>
      <c r="AS92" s="3">
        <v>5300</v>
      </c>
      <c r="AT92" s="3">
        <v>3339</v>
      </c>
      <c r="AU92" s="4">
        <v>5300</v>
      </c>
      <c r="AV92" s="8">
        <v>3339</v>
      </c>
    </row>
    <row r="93" spans="1:48" ht="18" thickBot="1">
      <c r="A93" s="1" t="s">
        <v>75</v>
      </c>
      <c r="B93" s="1" t="s">
        <v>76</v>
      </c>
      <c r="C93" s="1"/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1</v>
      </c>
      <c r="Q93" s="2">
        <v>3</v>
      </c>
      <c r="R93" s="3">
        <v>7200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1</v>
      </c>
      <c r="AR93" s="2">
        <v>3</v>
      </c>
      <c r="AS93" s="3">
        <v>7200</v>
      </c>
      <c r="AT93" s="3">
        <v>4536</v>
      </c>
      <c r="AU93" s="4">
        <v>7200</v>
      </c>
      <c r="AV93" s="8">
        <v>4536</v>
      </c>
    </row>
    <row r="94" spans="1:48" ht="18" thickBot="1">
      <c r="A94" s="1" t="s">
        <v>78</v>
      </c>
      <c r="B94" s="1" t="s">
        <v>56</v>
      </c>
      <c r="C94" s="1" t="s">
        <v>79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16</v>
      </c>
      <c r="K94" s="2">
        <v>16</v>
      </c>
      <c r="L94" s="3">
        <v>40000</v>
      </c>
      <c r="M94" s="2">
        <v>0</v>
      </c>
      <c r="N94" s="2">
        <v>0</v>
      </c>
      <c r="O94" s="2">
        <v>0</v>
      </c>
      <c r="P94" s="2">
        <v>12</v>
      </c>
      <c r="Q94" s="2">
        <v>24</v>
      </c>
      <c r="R94" s="3">
        <v>54000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28</v>
      </c>
      <c r="AR94" s="2">
        <v>40</v>
      </c>
      <c r="AS94" s="3">
        <v>94000</v>
      </c>
      <c r="AT94" s="3">
        <v>59220</v>
      </c>
      <c r="AU94" s="4">
        <v>94000</v>
      </c>
      <c r="AV94" s="8">
        <v>59220</v>
      </c>
    </row>
    <row r="95" spans="1:48" ht="18" thickBot="1">
      <c r="A95" s="1" t="s">
        <v>91</v>
      </c>
      <c r="B95" s="1" t="s">
        <v>56</v>
      </c>
      <c r="C95" s="1" t="s">
        <v>92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7</v>
      </c>
      <c r="K95" s="2">
        <v>7</v>
      </c>
      <c r="L95" s="3">
        <v>2100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7</v>
      </c>
      <c r="AR95" s="2">
        <v>7</v>
      </c>
      <c r="AS95" s="3">
        <v>2100</v>
      </c>
      <c r="AT95" s="3">
        <v>1323</v>
      </c>
      <c r="AU95" s="4">
        <v>2100</v>
      </c>
      <c r="AV95" s="8">
        <v>1323</v>
      </c>
    </row>
    <row r="96" spans="1:48">
      <c r="A96" s="1" t="s">
        <v>146</v>
      </c>
      <c r="B96" s="1" t="s">
        <v>113</v>
      </c>
      <c r="C96" s="1"/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2</v>
      </c>
      <c r="W96" s="2">
        <v>2</v>
      </c>
      <c r="X96" s="3">
        <v>8640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2</v>
      </c>
      <c r="AR96" s="2">
        <v>2</v>
      </c>
      <c r="AS96" s="3">
        <v>8640</v>
      </c>
      <c r="AT96" s="3">
        <v>5443.2</v>
      </c>
      <c r="AU96" s="4">
        <v>8640</v>
      </c>
      <c r="AV96" s="8">
        <v>5443.2</v>
      </c>
    </row>
    <row r="97" spans="48:48">
      <c r="AV97" s="21">
        <f>SUM(AV2:AV96)</f>
        <v>3297921.9000000004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합계(8)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2022-09-05T06:32:54Z</dcterms:modified>
</cp:coreProperties>
</file>