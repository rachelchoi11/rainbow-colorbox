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0" yWindow="0" windowWidth="23040" windowHeight="8952"/>
  </bookViews>
  <sheets>
    <sheet name="합계(8)" sheetId="125" r:id="rId1"/>
  </sheets>
  <definedNames>
    <definedName name="_xlnm._FilterDatabase" localSheetId="0" hidden="1">'합계(8)'!$A$1:$AV$1</definedName>
    <definedName name="_xlnm.Extract" localSheetId="0">'합계(8)'!#REF!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47" i="125" l="1"/>
</calcChain>
</file>

<file path=xl/sharedStrings.xml><?xml version="1.0" encoding="utf-8"?>
<sst xmlns="http://schemas.openxmlformats.org/spreadsheetml/2006/main" count="180" uniqueCount="143">
  <si>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</si>
  <si>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</si>
  <si>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</si>
  <si>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</si>
  <si>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</si>
  <si>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</si>
  <si>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</si>
  <si>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</si>
  <si>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</si>
  <si>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</si>
  <si>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</si>
  <si>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</si>
  <si>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</si>
  <si>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</si>
  <si>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</si>
  <si>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</si>
  <si>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21세기 대마법사</t>
  </si>
  <si>
    <t>김광수</t>
  </si>
  <si>
    <t>baro269987</t>
  </si>
  <si>
    <t>권용찬</t>
  </si>
  <si>
    <t>다크메이지</t>
  </si>
  <si>
    <t>김정률</t>
  </si>
  <si>
    <t>baro251773</t>
  </si>
  <si>
    <t>독종무쌍</t>
  </si>
  <si>
    <t>전혁</t>
  </si>
  <si>
    <t>baro294214</t>
  </si>
  <si>
    <t>레이드만물상점</t>
  </si>
  <si>
    <t>ktn0003</t>
  </si>
  <si>
    <t>마계대공 연대기</t>
  </si>
  <si>
    <t>baro269956</t>
  </si>
  <si>
    <t>마스터 k</t>
  </si>
  <si>
    <t>baro269934</t>
  </si>
  <si>
    <t>마왕 데이몬</t>
  </si>
  <si>
    <t>baro251735</t>
  </si>
  <si>
    <t>만인지상</t>
  </si>
  <si>
    <t>baro294235</t>
  </si>
  <si>
    <t>블레이드 헌터</t>
  </si>
  <si>
    <t>baro251724</t>
  </si>
  <si>
    <t>소드 엠페러</t>
  </si>
  <si>
    <t>baro251755</t>
  </si>
  <si>
    <t>독고진</t>
  </si>
  <si>
    <t>스트라이커(완전판)</t>
  </si>
  <si>
    <t>ktn0030</t>
  </si>
  <si>
    <t>신궁전설</t>
  </si>
  <si>
    <t>baro294201</t>
  </si>
  <si>
    <t>용중신권</t>
  </si>
  <si>
    <t>ktn0026</t>
  </si>
  <si>
    <t>월풍</t>
  </si>
  <si>
    <t>baro294245</t>
  </si>
  <si>
    <t>절륜공자</t>
  </si>
  <si>
    <t>ktn0022</t>
  </si>
  <si>
    <t>철중쟁쟁</t>
  </si>
  <si>
    <t>ktn0007</t>
  </si>
  <si>
    <t>트루베니아 연대기</t>
  </si>
  <si>
    <t>baro251699</t>
  </si>
  <si>
    <t>화산지애</t>
  </si>
  <si>
    <t>baro280546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</si>
  <si>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</si>
  <si>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</si>
  <si>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</si>
  <si>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</si>
  <si>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</si>
  <si>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</si>
  <si>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</si>
  <si>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</si>
  <si>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</si>
  <si>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</si>
  <si>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</si>
  <si>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</si>
  <si>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</si>
  <si>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</si>
  <si>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</si>
  <si>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</si>
  <si>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</si>
  <si>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</si>
  <si>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</si>
  <si>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</si>
  <si>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회귀의 전설 (연재)</t>
  </si>
  <si>
    <t>ktn02_0186</t>
  </si>
  <si>
    <t>바람의 기사 아르테온</t>
  </si>
  <si>
    <t>baro288170</t>
  </si>
  <si>
    <t>스피릿 소드 (완전판)</t>
  </si>
  <si>
    <t>ktn0038</t>
  </si>
  <si>
    <t>신규무사</t>
  </si>
  <si>
    <t>ktn0032</t>
  </si>
  <si>
    <t>신마협도</t>
  </si>
  <si>
    <t>ktn0017</t>
  </si>
  <si>
    <t>상왕 진우몽</t>
  </si>
  <si>
    <t>ktn0025</t>
  </si>
  <si>
    <t>스포트라이트 (연재)</t>
  </si>
  <si>
    <t>ktn02_0093</t>
  </si>
  <si>
    <t>프리나이트</t>
  </si>
  <si>
    <t>baro288159</t>
  </si>
  <si>
    <t>수적왕</t>
  </si>
  <si>
    <t>ktn0020</t>
  </si>
  <si>
    <t>용무쌍</t>
  </si>
  <si>
    <t>ktn0021</t>
  </si>
  <si>
    <t>데이몬</t>
  </si>
  <si>
    <t>baro251748</t>
  </si>
  <si>
    <t>게이트 헌터 (완전판)</t>
  </si>
  <si>
    <t>ktn0024</t>
  </si>
  <si>
    <t>소드 엠페러 (연재)</t>
  </si>
  <si>
    <t>영웅 (연재)</t>
  </si>
  <si>
    <t>ktn0013</t>
  </si>
  <si>
    <t>출판사</t>
    <phoneticPr fontId="99" type="noConversion"/>
  </si>
  <si>
    <t>파계</t>
  </si>
  <si>
    <t>ktn0027</t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</si>
  <si>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9" type="noConversion"/>
  </si>
  <si>
    <t>상계무적</t>
  </si>
  <si>
    <t>baro296996</t>
  </si>
  <si>
    <t>상태창빨로 천재 재벌 (연재)</t>
  </si>
  <si>
    <t>리얼탄산</t>
  </si>
  <si>
    <t>소드마스터의 환생</t>
  </si>
  <si>
    <t>파란영</t>
  </si>
  <si>
    <t>ktn0039</t>
  </si>
  <si>
    <t>스트라이커 (연재)</t>
  </si>
  <si>
    <t>ktn0001</t>
  </si>
  <si>
    <t>신을 죽이러 갑니다 (연재)</t>
  </si>
  <si>
    <t>ktn02_0108</t>
  </si>
  <si>
    <t>아나크레온</t>
  </si>
  <si>
    <t>baro257729</t>
  </si>
  <si>
    <t>영웅 (개정판)</t>
  </si>
  <si>
    <t>절대비만</t>
  </si>
  <si>
    <t>baro294226</t>
  </si>
  <si>
    <t>절륜공자 (연재)</t>
  </si>
  <si>
    <t>질주무왕</t>
  </si>
  <si>
    <t>ktn0014</t>
  </si>
  <si>
    <t>천재 배우의 다이어리 (연재)</t>
  </si>
  <si>
    <t>mollen</t>
  </si>
  <si>
    <t>포르트무스</t>
  </si>
  <si>
    <t>ktn0041</t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</si>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</sst>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96" fillId="0" borderId="19" xfId="0" applyFont="1" applyBorder="1" applyAlignment="1">
      <alignment horizontal="left" vertical="center" wrapText="1"/>
    </xf>
    <xf numFmtId="0" fontId="97" fillId="0" borderId="19" xfId="0" applyFont="1" applyBorder="1" applyAlignment="1">
      <alignment horizontal="right" vertical="center" wrapText="1"/>
    </xf>
    <xf numFmtId="4" fontId="97" fillId="0" borderId="19" xfId="0" applyNumberFormat="1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3" fontId="97" fillId="0" borderId="19" xfId="0" applyNumberFormat="1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8" fillId="0" borderId="20" xfId="0" applyNumberFormat="1" applyFont="1" applyBorder="1" applyAlignment="1">
      <alignment horizontal="right" vertical="center" wrapText="1"/>
    </xf>
    <xf numFmtId="0" fontId="100" fillId="33" borderId="1" xfId="1880" applyFont="1" applyFill="1" applyBorder="1" applyAlignment="1">
      <alignment vertical="center" wrapText="1"/>
    </xf>
    <xf numFmtId="0" fontId="100" fillId="38" borderId="1" xfId="1880" applyFont="1" applyFill="1" applyBorder="1" applyAlignment="1">
      <alignment vertical="center" wrapText="1"/>
    </xf>
    <xf numFmtId="0" fontId="101" fillId="39" borderId="1" xfId="0" applyFont="1" applyFill="1" applyBorder="1" applyAlignment="1">
      <alignment vertical="center" wrapText="1"/>
    </xf>
    <xf numFmtId="0" fontId="101" fillId="40" borderId="1" xfId="0" applyFont="1" applyFill="1" applyBorder="1" applyAlignment="1">
      <alignment vertical="center" wrapText="1"/>
    </xf>
    <xf numFmtId="0" fontId="101" fillId="41" borderId="1" xfId="0" applyFont="1" applyFill="1" applyBorder="1" applyAlignment="1">
      <alignment vertical="center" wrapText="1"/>
    </xf>
    <xf numFmtId="0" fontId="101" fillId="42" borderId="1" xfId="0" applyFont="1" applyFill="1" applyBorder="1" applyAlignment="1">
      <alignment horizontal="center" vertical="center" wrapText="1"/>
    </xf>
    <xf numFmtId="41" fontId="101" fillId="42" borderId="1" xfId="2353" applyFont="1" applyFill="1" applyBorder="1" applyAlignment="1">
      <alignment horizontal="center" vertical="center" wrapText="1"/>
    </xf>
    <xf numFmtId="0" fontId="102" fillId="33" borderId="21" xfId="0" applyFont="1" applyFill="1" applyBorder="1" applyAlignment="1">
      <alignment vertical="center"/>
    </xf>
    <xf numFmtId="0" fontId="103" fillId="33" borderId="22" xfId="0" applyFont="1" applyFill="1" applyBorder="1" applyAlignment="1">
      <alignment vertical="center"/>
    </xf>
    <xf numFmtId="0" fontId="104" fillId="0" borderId="0" xfId="0" applyFont="1">
      <alignment vertical="center"/>
    </xf>
    <xf numFmtId="0" fontId="101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47"/>
  <sheetViews>
    <sheetView tabSelected="1" topLeftCell="AA1" zoomScale="85" zoomScaleNormal="85" workbookViewId="0">
      <selection activeCell="AN36" sqref="AN36"/>
    </sheetView>
  </sheetViews>
  <sheetFormatPr defaultRowHeight="17.399999999999999"/>
  <cols>
    <col min="1" max="1" width="24.19921875" bestFit="1" customWidth="1"/>
    <col min="5" max="5" width="10" customWidth="1"/>
    <col min="6" max="6" width="10.296875" customWidth="1"/>
    <col min="45" max="46" width="9.8984375" bestFit="1" customWidth="1"/>
    <col min="47" max="47" width="13.19921875" customWidth="1"/>
    <col min="48" max="48" width="13.5" style="6" bestFit="1" customWidth="1"/>
  </cols>
  <sheetData>
    <row r="1" spans="1:50" s="17" customFormat="1" ht="40.200000000000003" thickBot="1">
      <c r="A1" s="8" t="s">
        <v>0</v>
      </c>
      <c r="B1" s="8" t="s">
        <v>1</v>
      </c>
      <c r="C1" s="8" t="s">
        <v>2</v>
      </c>
      <c r="D1" s="9" t="s">
        <v>57</v>
      </c>
      <c r="E1" s="9" t="s">
        <v>3</v>
      </c>
      <c r="F1" s="9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  <c r="Q1" s="10" t="s">
        <v>69</v>
      </c>
      <c r="R1" s="10" t="s">
        <v>70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9</v>
      </c>
      <c r="Y1" s="11" t="s">
        <v>10</v>
      </c>
      <c r="Z1" s="11" t="s">
        <v>11</v>
      </c>
      <c r="AA1" s="11" t="s">
        <v>12</v>
      </c>
      <c r="AB1" s="11" t="s">
        <v>13</v>
      </c>
      <c r="AC1" s="11" t="s">
        <v>14</v>
      </c>
      <c r="AD1" s="11" t="s">
        <v>15</v>
      </c>
      <c r="AE1" s="18" t="s">
        <v>131</v>
      </c>
      <c r="AF1" s="18" t="s">
        <v>132</v>
      </c>
      <c r="AG1" s="18" t="s">
        <v>133</v>
      </c>
      <c r="AH1" s="18" t="s">
        <v>134</v>
      </c>
      <c r="AI1" s="18" t="s">
        <v>135</v>
      </c>
      <c r="AJ1" s="18" t="s">
        <v>136</v>
      </c>
      <c r="AK1" s="18" t="s">
        <v>137</v>
      </c>
      <c r="AL1" s="18" t="s">
        <v>138</v>
      </c>
      <c r="AM1" s="18" t="s">
        <v>139</v>
      </c>
      <c r="AN1" s="18" t="s">
        <v>140</v>
      </c>
      <c r="AO1" s="18" t="s">
        <v>141</v>
      </c>
      <c r="AP1" s="18" t="s">
        <v>142</v>
      </c>
      <c r="AQ1" s="12" t="s">
        <v>71</v>
      </c>
      <c r="AR1" s="12" t="s">
        <v>72</v>
      </c>
      <c r="AS1" s="12" t="s">
        <v>73</v>
      </c>
      <c r="AT1" s="12" t="s">
        <v>74</v>
      </c>
      <c r="AU1" s="13" t="s">
        <v>75</v>
      </c>
      <c r="AV1" s="14" t="s">
        <v>76</v>
      </c>
      <c r="AW1" s="15" t="s">
        <v>104</v>
      </c>
      <c r="AX1" s="16" t="s">
        <v>107</v>
      </c>
    </row>
    <row r="2" spans="1:50" ht="18" thickBot="1">
      <c r="A2" s="1" t="s">
        <v>16</v>
      </c>
      <c r="B2" s="1" t="s">
        <v>17</v>
      </c>
      <c r="C2" s="1" t="s">
        <v>18</v>
      </c>
      <c r="D2" s="2">
        <v>0</v>
      </c>
      <c r="E2" s="2">
        <v>0</v>
      </c>
      <c r="F2" s="2">
        <v>0</v>
      </c>
      <c r="G2" s="2">
        <v>141</v>
      </c>
      <c r="H2" s="2">
        <v>141</v>
      </c>
      <c r="I2" s="3">
        <v>126900</v>
      </c>
      <c r="J2" s="2">
        <v>6</v>
      </c>
      <c r="K2" s="2">
        <v>6</v>
      </c>
      <c r="L2" s="3">
        <v>19200</v>
      </c>
      <c r="M2" s="2">
        <v>3</v>
      </c>
      <c r="N2" s="2">
        <v>51</v>
      </c>
      <c r="O2" s="3">
        <v>45900</v>
      </c>
      <c r="P2" s="2">
        <v>0</v>
      </c>
      <c r="Q2" s="2">
        <v>0</v>
      </c>
      <c r="R2" s="2">
        <v>0</v>
      </c>
      <c r="S2" s="2">
        <v>48</v>
      </c>
      <c r="T2" s="2">
        <v>48</v>
      </c>
      <c r="U2" s="3">
        <v>51840</v>
      </c>
      <c r="V2" s="2">
        <v>0</v>
      </c>
      <c r="W2" s="2">
        <v>0</v>
      </c>
      <c r="X2" s="2">
        <v>0</v>
      </c>
      <c r="Y2" s="2">
        <v>1</v>
      </c>
      <c r="Z2" s="2">
        <v>17</v>
      </c>
      <c r="AA2" s="3">
        <v>18360</v>
      </c>
      <c r="AB2" s="2">
        <v>0</v>
      </c>
      <c r="AC2" s="2">
        <v>0</v>
      </c>
      <c r="AD2" s="2">
        <v>0</v>
      </c>
      <c r="AE2" s="2">
        <v>28</v>
      </c>
      <c r="AF2" s="2">
        <v>28</v>
      </c>
      <c r="AG2" s="3">
        <v>30240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227</v>
      </c>
      <c r="AR2" s="2">
        <v>291</v>
      </c>
      <c r="AS2" s="3">
        <v>292440</v>
      </c>
      <c r="AT2" s="3">
        <v>180003.6</v>
      </c>
      <c r="AU2" s="4">
        <v>292440</v>
      </c>
      <c r="AV2" s="7">
        <v>180003.6</v>
      </c>
      <c r="AW2" s="2"/>
      <c r="AX2" s="2"/>
    </row>
    <row r="3" spans="1:50" ht="18" thickBot="1">
      <c r="A3" s="1" t="s">
        <v>99</v>
      </c>
      <c r="B3" s="1" t="s">
        <v>19</v>
      </c>
      <c r="C3" s="1" t="s">
        <v>100</v>
      </c>
      <c r="D3" s="2">
        <v>0</v>
      </c>
      <c r="E3" s="2">
        <v>0</v>
      </c>
      <c r="F3" s="2">
        <v>0</v>
      </c>
      <c r="G3" s="2">
        <v>7</v>
      </c>
      <c r="H3" s="2">
        <v>7</v>
      </c>
      <c r="I3" s="3">
        <v>6300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7</v>
      </c>
      <c r="AR3" s="2">
        <v>7</v>
      </c>
      <c r="AS3" s="3">
        <v>6300</v>
      </c>
      <c r="AT3" s="3">
        <v>3969</v>
      </c>
      <c r="AU3" s="4">
        <v>6300</v>
      </c>
      <c r="AV3" s="7">
        <v>3969</v>
      </c>
      <c r="AW3" s="2"/>
      <c r="AX3" s="2"/>
    </row>
    <row r="4" spans="1:50" ht="18" thickBot="1">
      <c r="A4" s="1" t="s">
        <v>20</v>
      </c>
      <c r="B4" s="1" t="s">
        <v>21</v>
      </c>
      <c r="C4" s="1" t="s">
        <v>22</v>
      </c>
      <c r="D4" s="2">
        <v>0</v>
      </c>
      <c r="E4" s="2">
        <v>0</v>
      </c>
      <c r="F4" s="2">
        <v>0</v>
      </c>
      <c r="G4" s="2">
        <v>33</v>
      </c>
      <c r="H4" s="2">
        <v>33</v>
      </c>
      <c r="I4" s="3">
        <v>29700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11</v>
      </c>
      <c r="T4" s="2">
        <v>11</v>
      </c>
      <c r="U4" s="3">
        <v>11880</v>
      </c>
      <c r="V4" s="2">
        <v>1</v>
      </c>
      <c r="W4" s="2">
        <v>1</v>
      </c>
      <c r="X4" s="3">
        <v>3840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  <c r="AF4" s="2">
        <v>1</v>
      </c>
      <c r="AG4" s="3">
        <v>1080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46</v>
      </c>
      <c r="AR4" s="2">
        <v>46</v>
      </c>
      <c r="AS4" s="3">
        <v>46500</v>
      </c>
      <c r="AT4" s="3">
        <v>29143.8</v>
      </c>
      <c r="AU4" s="4">
        <v>46500</v>
      </c>
      <c r="AV4" s="7">
        <v>29143.8</v>
      </c>
      <c r="AW4" s="2"/>
      <c r="AX4" s="2"/>
    </row>
    <row r="5" spans="1:50" ht="18" thickBot="1">
      <c r="A5" s="1" t="s">
        <v>97</v>
      </c>
      <c r="B5" s="1" t="s">
        <v>21</v>
      </c>
      <c r="C5" s="1" t="s">
        <v>98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5</v>
      </c>
      <c r="T5" s="2">
        <v>5</v>
      </c>
      <c r="U5" s="3">
        <v>5400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5</v>
      </c>
      <c r="AR5" s="2">
        <v>5</v>
      </c>
      <c r="AS5" s="3">
        <v>5400</v>
      </c>
      <c r="AT5" s="3">
        <v>3402</v>
      </c>
      <c r="AU5" s="4">
        <v>5400</v>
      </c>
      <c r="AV5" s="7">
        <v>3402</v>
      </c>
      <c r="AW5" s="2"/>
      <c r="AX5" s="2"/>
    </row>
    <row r="6" spans="1:50" ht="18" thickBot="1">
      <c r="A6" s="1" t="s">
        <v>23</v>
      </c>
      <c r="B6" s="1" t="s">
        <v>24</v>
      </c>
      <c r="C6" s="1" t="s">
        <v>25</v>
      </c>
      <c r="D6" s="2">
        <v>0</v>
      </c>
      <c r="E6" s="2">
        <v>0</v>
      </c>
      <c r="F6" s="2">
        <v>0</v>
      </c>
      <c r="G6" s="2">
        <v>12</v>
      </c>
      <c r="H6" s="2">
        <v>12</v>
      </c>
      <c r="I6" s="3">
        <v>10800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12</v>
      </c>
      <c r="AR6" s="2">
        <v>12</v>
      </c>
      <c r="AS6" s="3">
        <v>10800</v>
      </c>
      <c r="AT6" s="3">
        <v>6804</v>
      </c>
      <c r="AU6" s="4">
        <v>10800</v>
      </c>
      <c r="AV6" s="7">
        <v>6804</v>
      </c>
      <c r="AW6" s="2"/>
      <c r="AX6" s="2"/>
    </row>
    <row r="7" spans="1:50" ht="18" thickBot="1">
      <c r="A7" s="1" t="s">
        <v>26</v>
      </c>
      <c r="B7" s="1" t="s">
        <v>24</v>
      </c>
      <c r="C7" s="1" t="s">
        <v>27</v>
      </c>
      <c r="D7" s="2">
        <v>0</v>
      </c>
      <c r="E7" s="2">
        <v>0</v>
      </c>
      <c r="F7" s="2">
        <v>0</v>
      </c>
      <c r="G7" s="2">
        <v>58</v>
      </c>
      <c r="H7" s="2">
        <v>58</v>
      </c>
      <c r="I7" s="3">
        <v>52200</v>
      </c>
      <c r="J7" s="2">
        <v>8</v>
      </c>
      <c r="K7" s="2">
        <v>8</v>
      </c>
      <c r="L7" s="3">
        <v>25600</v>
      </c>
      <c r="M7" s="2">
        <v>3</v>
      </c>
      <c r="N7" s="2">
        <v>24</v>
      </c>
      <c r="O7" s="3">
        <v>21600</v>
      </c>
      <c r="P7" s="2">
        <v>0</v>
      </c>
      <c r="Q7" s="2">
        <v>0</v>
      </c>
      <c r="R7" s="2">
        <v>0</v>
      </c>
      <c r="S7" s="2">
        <v>18</v>
      </c>
      <c r="T7" s="2">
        <v>18</v>
      </c>
      <c r="U7" s="3">
        <v>19440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87</v>
      </c>
      <c r="AR7" s="2">
        <v>108</v>
      </c>
      <c r="AS7" s="3">
        <v>118840</v>
      </c>
      <c r="AT7" s="3">
        <v>74869.2</v>
      </c>
      <c r="AU7" s="4">
        <v>118840</v>
      </c>
      <c r="AV7" s="7">
        <v>74869.2</v>
      </c>
      <c r="AW7" s="2"/>
      <c r="AX7" s="2"/>
    </row>
    <row r="8" spans="1:50" ht="18" thickBot="1">
      <c r="A8" s="1" t="s">
        <v>28</v>
      </c>
      <c r="B8" s="1" t="s">
        <v>17</v>
      </c>
      <c r="C8" s="1" t="s">
        <v>29</v>
      </c>
      <c r="D8" s="2">
        <v>0</v>
      </c>
      <c r="E8" s="2">
        <v>0</v>
      </c>
      <c r="F8" s="2">
        <v>0</v>
      </c>
      <c r="G8" s="2">
        <v>54</v>
      </c>
      <c r="H8" s="2">
        <v>54</v>
      </c>
      <c r="I8" s="3">
        <v>48600</v>
      </c>
      <c r="J8" s="2">
        <v>0</v>
      </c>
      <c r="K8" s="2">
        <v>0</v>
      </c>
      <c r="L8" s="2">
        <v>0</v>
      </c>
      <c r="M8" s="2">
        <v>1</v>
      </c>
      <c r="N8" s="2">
        <v>29</v>
      </c>
      <c r="O8" s="3">
        <v>26100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55</v>
      </c>
      <c r="AR8" s="2">
        <v>83</v>
      </c>
      <c r="AS8" s="3">
        <v>74700</v>
      </c>
      <c r="AT8" s="3">
        <v>47061</v>
      </c>
      <c r="AU8" s="4">
        <v>74700</v>
      </c>
      <c r="AV8" s="7">
        <v>47061</v>
      </c>
      <c r="AW8" s="2"/>
      <c r="AX8" s="2"/>
    </row>
    <row r="9" spans="1:50" ht="18" thickBot="1">
      <c r="A9" s="1" t="s">
        <v>30</v>
      </c>
      <c r="B9" s="1" t="s">
        <v>17</v>
      </c>
      <c r="C9" s="1" t="s">
        <v>31</v>
      </c>
      <c r="D9" s="2">
        <v>0</v>
      </c>
      <c r="E9" s="2">
        <v>0</v>
      </c>
      <c r="F9" s="2">
        <v>0</v>
      </c>
      <c r="G9" s="2">
        <v>56</v>
      </c>
      <c r="H9" s="2">
        <v>56</v>
      </c>
      <c r="I9" s="3">
        <v>50400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56</v>
      </c>
      <c r="AR9" s="2">
        <v>56</v>
      </c>
      <c r="AS9" s="3">
        <v>50400</v>
      </c>
      <c r="AT9" s="3">
        <v>31752</v>
      </c>
      <c r="AU9" s="4">
        <v>50400</v>
      </c>
      <c r="AV9" s="7">
        <v>31752</v>
      </c>
      <c r="AW9" s="2"/>
      <c r="AX9" s="2"/>
    </row>
    <row r="10" spans="1:50" ht="18" thickBot="1">
      <c r="A10" s="1" t="s">
        <v>32</v>
      </c>
      <c r="B10" s="1" t="s">
        <v>21</v>
      </c>
      <c r="C10" s="1" t="s">
        <v>33</v>
      </c>
      <c r="D10" s="2">
        <v>0</v>
      </c>
      <c r="E10" s="2">
        <v>0</v>
      </c>
      <c r="F10" s="2">
        <v>0</v>
      </c>
      <c r="G10" s="2">
        <v>18</v>
      </c>
      <c r="H10" s="2">
        <v>18</v>
      </c>
      <c r="I10" s="3">
        <v>16200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11</v>
      </c>
      <c r="T10" s="2">
        <v>11</v>
      </c>
      <c r="U10" s="3">
        <v>11880</v>
      </c>
      <c r="V10" s="2">
        <v>0</v>
      </c>
      <c r="W10" s="2">
        <v>0</v>
      </c>
      <c r="X10" s="2">
        <v>0</v>
      </c>
      <c r="Y10" s="2">
        <v>1</v>
      </c>
      <c r="Z10" s="2">
        <v>11</v>
      </c>
      <c r="AA10" s="3">
        <v>11880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30</v>
      </c>
      <c r="AR10" s="2">
        <v>40</v>
      </c>
      <c r="AS10" s="3">
        <v>39960</v>
      </c>
      <c r="AT10" s="3">
        <v>25174.799999999999</v>
      </c>
      <c r="AU10" s="4">
        <v>39960</v>
      </c>
      <c r="AV10" s="7">
        <v>25174.799999999999</v>
      </c>
      <c r="AW10" s="2"/>
      <c r="AX10" s="2"/>
    </row>
    <row r="11" spans="1:50" ht="18" thickBot="1">
      <c r="A11" s="1" t="s">
        <v>34</v>
      </c>
      <c r="B11" s="1" t="s">
        <v>24</v>
      </c>
      <c r="C11" s="1" t="s">
        <v>35</v>
      </c>
      <c r="D11" s="2">
        <v>0</v>
      </c>
      <c r="E11" s="2">
        <v>0</v>
      </c>
      <c r="F11" s="2">
        <v>0</v>
      </c>
      <c r="G11" s="2">
        <v>83</v>
      </c>
      <c r="H11" s="2">
        <v>83</v>
      </c>
      <c r="I11" s="3">
        <v>74700</v>
      </c>
      <c r="J11" s="2">
        <v>0</v>
      </c>
      <c r="K11" s="2">
        <v>0</v>
      </c>
      <c r="L11" s="2">
        <v>0</v>
      </c>
      <c r="M11" s="2">
        <v>1</v>
      </c>
      <c r="N11" s="2">
        <v>8</v>
      </c>
      <c r="O11" s="3">
        <v>7200</v>
      </c>
      <c r="P11" s="2">
        <v>0</v>
      </c>
      <c r="Q11" s="2">
        <v>0</v>
      </c>
      <c r="R11" s="2">
        <v>0</v>
      </c>
      <c r="S11" s="2">
        <v>19</v>
      </c>
      <c r="T11" s="2">
        <v>19</v>
      </c>
      <c r="U11" s="3">
        <v>20520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103</v>
      </c>
      <c r="AR11" s="2">
        <v>110</v>
      </c>
      <c r="AS11" s="3">
        <v>102420</v>
      </c>
      <c r="AT11" s="3">
        <v>64524.6</v>
      </c>
      <c r="AU11" s="4">
        <v>102420</v>
      </c>
      <c r="AV11" s="7">
        <v>64524.6</v>
      </c>
      <c r="AW11" s="2"/>
      <c r="AX11" s="2"/>
    </row>
    <row r="12" spans="1:50" ht="18" thickBot="1">
      <c r="A12" s="1" t="s">
        <v>79</v>
      </c>
      <c r="B12" s="1" t="s">
        <v>17</v>
      </c>
      <c r="C12" s="1" t="s">
        <v>80</v>
      </c>
      <c r="D12" s="2">
        <v>0</v>
      </c>
      <c r="E12" s="2">
        <v>0</v>
      </c>
      <c r="F12" s="2">
        <v>0</v>
      </c>
      <c r="G12" s="2">
        <v>12</v>
      </c>
      <c r="H12" s="2">
        <v>12</v>
      </c>
      <c r="I12" s="3">
        <v>10800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21</v>
      </c>
      <c r="T12" s="2">
        <v>21</v>
      </c>
      <c r="U12" s="3">
        <v>22680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33</v>
      </c>
      <c r="AR12" s="2">
        <v>33</v>
      </c>
      <c r="AS12" s="3">
        <v>33480</v>
      </c>
      <c r="AT12" s="3">
        <v>21092.400000000001</v>
      </c>
      <c r="AU12" s="4">
        <v>33480</v>
      </c>
      <c r="AV12" s="7">
        <v>21092.400000000001</v>
      </c>
      <c r="AW12" s="2"/>
      <c r="AX12" s="2"/>
    </row>
    <row r="13" spans="1:50" ht="18" thickBot="1">
      <c r="A13" s="1" t="s">
        <v>36</v>
      </c>
      <c r="B13" s="1" t="s">
        <v>21</v>
      </c>
      <c r="C13" s="1" t="s">
        <v>37</v>
      </c>
      <c r="D13" s="2">
        <v>0</v>
      </c>
      <c r="E13" s="2">
        <v>0</v>
      </c>
      <c r="F13" s="2">
        <v>0</v>
      </c>
      <c r="G13" s="2">
        <v>59</v>
      </c>
      <c r="H13" s="2">
        <v>59</v>
      </c>
      <c r="I13" s="3">
        <v>53100</v>
      </c>
      <c r="J13" s="2">
        <v>0</v>
      </c>
      <c r="K13" s="2">
        <v>0</v>
      </c>
      <c r="L13" s="2">
        <v>0</v>
      </c>
      <c r="M13" s="2">
        <v>1</v>
      </c>
      <c r="N13" s="2">
        <v>9</v>
      </c>
      <c r="O13" s="3">
        <v>8100</v>
      </c>
      <c r="P13" s="2">
        <v>0</v>
      </c>
      <c r="Q13" s="2">
        <v>0</v>
      </c>
      <c r="R13" s="2">
        <v>0</v>
      </c>
      <c r="S13" s="2">
        <v>37</v>
      </c>
      <c r="T13" s="2">
        <v>37</v>
      </c>
      <c r="U13" s="3">
        <v>39960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2</v>
      </c>
      <c r="AF13" s="2">
        <v>2</v>
      </c>
      <c r="AG13" s="3">
        <v>2160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99</v>
      </c>
      <c r="AR13" s="2">
        <v>107</v>
      </c>
      <c r="AS13" s="3">
        <v>103320</v>
      </c>
      <c r="AT13" s="3">
        <v>64789.2</v>
      </c>
      <c r="AU13" s="4">
        <v>103320</v>
      </c>
      <c r="AV13" s="7">
        <v>64789.2</v>
      </c>
      <c r="AW13" s="2"/>
      <c r="AX13" s="2"/>
    </row>
    <row r="14" spans="1:50" ht="18" thickBot="1">
      <c r="A14" s="1" t="s">
        <v>108</v>
      </c>
      <c r="B14" s="1" t="s">
        <v>24</v>
      </c>
      <c r="C14" s="1" t="s">
        <v>109</v>
      </c>
      <c r="D14" s="2">
        <v>0</v>
      </c>
      <c r="E14" s="2">
        <v>0</v>
      </c>
      <c r="F14" s="2">
        <v>0</v>
      </c>
      <c r="G14" s="2">
        <v>4</v>
      </c>
      <c r="H14" s="2">
        <v>4</v>
      </c>
      <c r="I14" s="3">
        <v>3600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3">
        <v>1080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5</v>
      </c>
      <c r="AR14" s="2">
        <v>5</v>
      </c>
      <c r="AS14" s="3">
        <v>4680</v>
      </c>
      <c r="AT14" s="3">
        <v>2948.4</v>
      </c>
      <c r="AU14" s="4">
        <v>4680</v>
      </c>
      <c r="AV14" s="7">
        <v>2948.4</v>
      </c>
      <c r="AW14" s="2"/>
      <c r="AX14" s="2"/>
    </row>
    <row r="15" spans="1:50" ht="18" thickBot="1">
      <c r="A15" s="1" t="s">
        <v>87</v>
      </c>
      <c r="B15" s="1" t="s">
        <v>19</v>
      </c>
      <c r="C15" s="1" t="s">
        <v>88</v>
      </c>
      <c r="D15" s="2">
        <v>0</v>
      </c>
      <c r="E15" s="2">
        <v>0</v>
      </c>
      <c r="F15" s="2">
        <v>0</v>
      </c>
      <c r="G15" s="2">
        <v>4</v>
      </c>
      <c r="H15" s="2">
        <v>4</v>
      </c>
      <c r="I15" s="3">
        <v>3600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4</v>
      </c>
      <c r="AR15" s="2">
        <v>4</v>
      </c>
      <c r="AS15" s="3">
        <v>3600</v>
      </c>
      <c r="AT15" s="3">
        <v>2268</v>
      </c>
      <c r="AU15" s="4">
        <v>3600</v>
      </c>
      <c r="AV15" s="7">
        <v>2268</v>
      </c>
      <c r="AW15" s="2"/>
      <c r="AX15" s="2"/>
    </row>
    <row r="16" spans="1:50" ht="18" thickBot="1">
      <c r="A16" s="1" t="s">
        <v>110</v>
      </c>
      <c r="B16" s="1" t="s">
        <v>111</v>
      </c>
      <c r="C16" s="1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5">
        <v>6292</v>
      </c>
      <c r="K16" s="5">
        <v>6292</v>
      </c>
      <c r="L16" s="3">
        <v>629200</v>
      </c>
      <c r="M16" s="2">
        <v>0</v>
      </c>
      <c r="N16" s="2">
        <v>0</v>
      </c>
      <c r="O16" s="2">
        <v>0</v>
      </c>
      <c r="P16" s="2">
        <v>5</v>
      </c>
      <c r="Q16" s="5">
        <v>1375</v>
      </c>
      <c r="R16" s="3">
        <v>137500</v>
      </c>
      <c r="S16" s="2">
        <v>0</v>
      </c>
      <c r="T16" s="2">
        <v>0</v>
      </c>
      <c r="U16" s="2">
        <v>0</v>
      </c>
      <c r="V16" s="5">
        <v>1117</v>
      </c>
      <c r="W16" s="5">
        <v>1117</v>
      </c>
      <c r="X16" s="3">
        <v>134040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5">
        <v>7414</v>
      </c>
      <c r="AR16" s="5">
        <v>8784</v>
      </c>
      <c r="AS16" s="3">
        <v>900740</v>
      </c>
      <c r="AT16" s="3">
        <v>567466.19999999995</v>
      </c>
      <c r="AU16" s="4">
        <v>900740</v>
      </c>
      <c r="AV16" s="7">
        <v>567466.19999999995</v>
      </c>
      <c r="AW16" s="2"/>
      <c r="AX16" s="2"/>
    </row>
    <row r="17" spans="1:50" ht="18" thickBot="1">
      <c r="A17" s="1" t="s">
        <v>38</v>
      </c>
      <c r="B17" s="1" t="s">
        <v>21</v>
      </c>
      <c r="C17" s="1" t="s">
        <v>39</v>
      </c>
      <c r="D17" s="2">
        <v>0</v>
      </c>
      <c r="E17" s="2">
        <v>0</v>
      </c>
      <c r="F17" s="2">
        <v>0</v>
      </c>
      <c r="G17" s="2">
        <v>35</v>
      </c>
      <c r="H17" s="2">
        <v>35</v>
      </c>
      <c r="I17" s="3">
        <v>31500</v>
      </c>
      <c r="J17" s="2">
        <v>0</v>
      </c>
      <c r="K17" s="2">
        <v>0</v>
      </c>
      <c r="L17" s="2">
        <v>0</v>
      </c>
      <c r="M17" s="2">
        <v>1</v>
      </c>
      <c r="N17" s="2">
        <v>16</v>
      </c>
      <c r="O17" s="3">
        <v>14400</v>
      </c>
      <c r="P17" s="2">
        <v>0</v>
      </c>
      <c r="Q17" s="2">
        <v>0</v>
      </c>
      <c r="R17" s="2">
        <v>0</v>
      </c>
      <c r="S17" s="2">
        <v>2</v>
      </c>
      <c r="T17" s="2">
        <v>2</v>
      </c>
      <c r="U17" s="3">
        <v>2160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38</v>
      </c>
      <c r="AR17" s="2">
        <v>53</v>
      </c>
      <c r="AS17" s="3">
        <v>48060</v>
      </c>
      <c r="AT17" s="3">
        <v>30277.8</v>
      </c>
      <c r="AU17" s="4">
        <v>48060</v>
      </c>
      <c r="AV17" s="7">
        <v>30277.8</v>
      </c>
      <c r="AW17" s="2"/>
      <c r="AX17" s="2"/>
    </row>
    <row r="18" spans="1:50" ht="18" thickBot="1">
      <c r="A18" s="1" t="s">
        <v>101</v>
      </c>
      <c r="B18" s="1" t="s">
        <v>21</v>
      </c>
      <c r="C18" s="1"/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38</v>
      </c>
      <c r="K18" s="2">
        <v>38</v>
      </c>
      <c r="L18" s="3">
        <v>3800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375</v>
      </c>
      <c r="W18" s="2">
        <v>375</v>
      </c>
      <c r="X18" s="3">
        <v>45000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413</v>
      </c>
      <c r="AR18" s="2">
        <v>413</v>
      </c>
      <c r="AS18" s="3">
        <v>48800</v>
      </c>
      <c r="AT18" s="3">
        <v>30744</v>
      </c>
      <c r="AU18" s="4">
        <v>48800</v>
      </c>
      <c r="AV18" s="7">
        <v>30744</v>
      </c>
      <c r="AW18" s="2"/>
      <c r="AX18" s="2"/>
    </row>
    <row r="19" spans="1:50" ht="18" thickBot="1">
      <c r="A19" s="1" t="s">
        <v>112</v>
      </c>
      <c r="B19" s="1" t="s">
        <v>113</v>
      </c>
      <c r="C19" s="1" t="s">
        <v>114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1</v>
      </c>
      <c r="X19" s="3">
        <v>3840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</v>
      </c>
      <c r="AR19" s="2">
        <v>1</v>
      </c>
      <c r="AS19" s="3">
        <v>3840</v>
      </c>
      <c r="AT19" s="3">
        <v>2419.1999999999998</v>
      </c>
      <c r="AU19" s="4">
        <v>3840</v>
      </c>
      <c r="AV19" s="7">
        <v>2419.1999999999998</v>
      </c>
      <c r="AW19" s="2"/>
      <c r="AX19" s="2"/>
    </row>
    <row r="20" spans="1:50" ht="18" thickBot="1">
      <c r="A20" s="1" t="s">
        <v>93</v>
      </c>
      <c r="B20" s="1" t="s">
        <v>19</v>
      </c>
      <c r="C20" s="1" t="s">
        <v>94</v>
      </c>
      <c r="D20" s="2">
        <v>0</v>
      </c>
      <c r="E20" s="2">
        <v>0</v>
      </c>
      <c r="F20" s="2">
        <v>0</v>
      </c>
      <c r="G20" s="2">
        <v>5</v>
      </c>
      <c r="H20" s="2">
        <v>5</v>
      </c>
      <c r="I20" s="3">
        <v>4500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5</v>
      </c>
      <c r="AR20" s="2">
        <v>5</v>
      </c>
      <c r="AS20" s="3">
        <v>4500</v>
      </c>
      <c r="AT20" s="3">
        <v>2835</v>
      </c>
      <c r="AU20" s="4">
        <v>4500</v>
      </c>
      <c r="AV20" s="7">
        <v>2835</v>
      </c>
      <c r="AW20" s="2"/>
      <c r="AX20" s="2"/>
    </row>
    <row r="21" spans="1:50" ht="18" thickBot="1">
      <c r="A21" s="1" t="s">
        <v>115</v>
      </c>
      <c r="B21" s="1" t="s">
        <v>40</v>
      </c>
      <c r="C21" s="1" t="s">
        <v>116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171</v>
      </c>
      <c r="K21" s="2">
        <v>171</v>
      </c>
      <c r="L21" s="3">
        <v>17100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4</v>
      </c>
      <c r="W21" s="2">
        <v>4</v>
      </c>
      <c r="X21" s="2">
        <v>480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175</v>
      </c>
      <c r="AR21" s="2">
        <v>175</v>
      </c>
      <c r="AS21" s="3">
        <v>17580</v>
      </c>
      <c r="AT21" s="3">
        <v>11075.4</v>
      </c>
      <c r="AU21" s="4">
        <v>17580</v>
      </c>
      <c r="AV21" s="7">
        <v>11075.4</v>
      </c>
      <c r="AW21" s="2"/>
      <c r="AX21" s="2"/>
    </row>
    <row r="22" spans="1:50" ht="18" thickBot="1">
      <c r="A22" s="1" t="s">
        <v>41</v>
      </c>
      <c r="B22" s="1" t="s">
        <v>40</v>
      </c>
      <c r="C22" s="1" t="s">
        <v>42</v>
      </c>
      <c r="D22" s="2">
        <v>0</v>
      </c>
      <c r="E22" s="2">
        <v>0</v>
      </c>
      <c r="F22" s="2">
        <v>0</v>
      </c>
      <c r="G22" s="2">
        <v>74</v>
      </c>
      <c r="H22" s="2">
        <v>74</v>
      </c>
      <c r="I22" s="3">
        <v>66600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16</v>
      </c>
      <c r="T22" s="2">
        <v>16</v>
      </c>
      <c r="U22" s="3">
        <v>17280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90</v>
      </c>
      <c r="AR22" s="2">
        <v>90</v>
      </c>
      <c r="AS22" s="3">
        <v>83880</v>
      </c>
      <c r="AT22" s="3">
        <v>52844.4</v>
      </c>
      <c r="AU22" s="4">
        <v>83880</v>
      </c>
      <c r="AV22" s="7">
        <v>52844.4</v>
      </c>
      <c r="AW22" s="2"/>
      <c r="AX22" s="2"/>
    </row>
    <row r="23" spans="1:50" ht="18" thickBot="1">
      <c r="A23" s="1" t="s">
        <v>89</v>
      </c>
      <c r="B23" s="1" t="s">
        <v>24</v>
      </c>
      <c r="C23" s="1" t="s">
        <v>90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185</v>
      </c>
      <c r="K23" s="2">
        <v>185</v>
      </c>
      <c r="L23" s="3">
        <v>18500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185</v>
      </c>
      <c r="AR23" s="2">
        <v>185</v>
      </c>
      <c r="AS23" s="3">
        <v>18500</v>
      </c>
      <c r="AT23" s="3">
        <v>11655</v>
      </c>
      <c r="AU23" s="4">
        <v>18500</v>
      </c>
      <c r="AV23" s="7">
        <v>11655</v>
      </c>
      <c r="AW23" s="2"/>
      <c r="AX23" s="2"/>
    </row>
    <row r="24" spans="1:50" ht="18" thickBot="1">
      <c r="A24" s="1" t="s">
        <v>81</v>
      </c>
      <c r="B24" s="1" t="s">
        <v>21</v>
      </c>
      <c r="C24" s="1" t="s">
        <v>82</v>
      </c>
      <c r="D24" s="2">
        <v>0</v>
      </c>
      <c r="E24" s="2">
        <v>0</v>
      </c>
      <c r="F24" s="2">
        <v>0</v>
      </c>
      <c r="G24" s="2">
        <v>17</v>
      </c>
      <c r="H24" s="2">
        <v>17</v>
      </c>
      <c r="I24" s="3">
        <v>15100</v>
      </c>
      <c r="J24" s="2">
        <v>0</v>
      </c>
      <c r="K24" s="2">
        <v>0</v>
      </c>
      <c r="L24" s="2">
        <v>0</v>
      </c>
      <c r="M24" s="2">
        <v>1</v>
      </c>
      <c r="N24" s="2">
        <v>7</v>
      </c>
      <c r="O24" s="3">
        <v>6100</v>
      </c>
      <c r="P24" s="2">
        <v>0</v>
      </c>
      <c r="Q24" s="2">
        <v>0</v>
      </c>
      <c r="R24" s="2">
        <v>0</v>
      </c>
      <c r="S24" s="2">
        <v>31</v>
      </c>
      <c r="T24" s="2">
        <v>31</v>
      </c>
      <c r="U24" s="3">
        <v>32520</v>
      </c>
      <c r="V24" s="2">
        <v>0</v>
      </c>
      <c r="W24" s="2">
        <v>0</v>
      </c>
      <c r="X24" s="2">
        <v>0</v>
      </c>
      <c r="Y24" s="2">
        <v>1</v>
      </c>
      <c r="Z24" s="2">
        <v>7</v>
      </c>
      <c r="AA24" s="3">
        <v>7320</v>
      </c>
      <c r="AB24" s="2">
        <v>0</v>
      </c>
      <c r="AC24" s="2">
        <v>0</v>
      </c>
      <c r="AD24" s="2">
        <v>0</v>
      </c>
      <c r="AE24" s="2">
        <v>6</v>
      </c>
      <c r="AF24" s="2">
        <v>6</v>
      </c>
      <c r="AG24" s="3">
        <v>6480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56</v>
      </c>
      <c r="AR24" s="2">
        <v>68</v>
      </c>
      <c r="AS24" s="3">
        <v>67520</v>
      </c>
      <c r="AT24" s="3">
        <v>41630.400000000001</v>
      </c>
      <c r="AU24" s="4">
        <v>67520</v>
      </c>
      <c r="AV24" s="7">
        <v>41630.400000000001</v>
      </c>
      <c r="AW24" s="2"/>
      <c r="AX24" s="2"/>
    </row>
    <row r="25" spans="1:50" ht="18" thickBot="1">
      <c r="A25" s="1" t="s">
        <v>43</v>
      </c>
      <c r="B25" s="1" t="s">
        <v>24</v>
      </c>
      <c r="C25" s="1" t="s">
        <v>44</v>
      </c>
      <c r="D25" s="2">
        <v>0</v>
      </c>
      <c r="E25" s="2">
        <v>0</v>
      </c>
      <c r="F25" s="2">
        <v>0</v>
      </c>
      <c r="G25" s="2">
        <v>11</v>
      </c>
      <c r="H25" s="2">
        <v>11</v>
      </c>
      <c r="I25" s="3">
        <v>9900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1</v>
      </c>
      <c r="U25" s="3">
        <v>1080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12</v>
      </c>
      <c r="AR25" s="2">
        <v>12</v>
      </c>
      <c r="AS25" s="3">
        <v>10980</v>
      </c>
      <c r="AT25" s="3">
        <v>6917.4</v>
      </c>
      <c r="AU25" s="4">
        <v>10980</v>
      </c>
      <c r="AV25" s="7">
        <v>6917.4</v>
      </c>
      <c r="AW25" s="2"/>
      <c r="AX25" s="2"/>
    </row>
    <row r="26" spans="1:50" ht="18" thickBot="1">
      <c r="A26" s="1" t="s">
        <v>83</v>
      </c>
      <c r="B26" s="1" t="s">
        <v>19</v>
      </c>
      <c r="C26" s="1" t="s">
        <v>84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5</v>
      </c>
      <c r="O26" s="3">
        <v>4500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5</v>
      </c>
      <c r="AS26" s="3">
        <v>4500</v>
      </c>
      <c r="AT26" s="3">
        <v>2835</v>
      </c>
      <c r="AU26" s="4">
        <v>4500</v>
      </c>
      <c r="AV26" s="7">
        <v>2835</v>
      </c>
      <c r="AW26" s="2"/>
      <c r="AX26" s="2"/>
    </row>
    <row r="27" spans="1:50" ht="18" thickBot="1">
      <c r="A27" s="1" t="s">
        <v>85</v>
      </c>
      <c r="B27" s="1" t="s">
        <v>19</v>
      </c>
      <c r="C27" s="1" t="s">
        <v>86</v>
      </c>
      <c r="D27" s="2">
        <v>0</v>
      </c>
      <c r="E27" s="2">
        <v>0</v>
      </c>
      <c r="F27" s="2">
        <v>0</v>
      </c>
      <c r="G27" s="2">
        <v>11</v>
      </c>
      <c r="H27" s="2">
        <v>11</v>
      </c>
      <c r="I27" s="3">
        <v>9900</v>
      </c>
      <c r="J27" s="2">
        <v>0</v>
      </c>
      <c r="K27" s="2">
        <v>0</v>
      </c>
      <c r="L27" s="2">
        <v>0</v>
      </c>
      <c r="M27" s="2">
        <v>1</v>
      </c>
      <c r="N27" s="2">
        <v>11</v>
      </c>
      <c r="O27" s="3">
        <v>9900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12</v>
      </c>
      <c r="AR27" s="2">
        <v>22</v>
      </c>
      <c r="AS27" s="3">
        <v>19800</v>
      </c>
      <c r="AT27" s="3">
        <v>12474</v>
      </c>
      <c r="AU27" s="4">
        <v>19800</v>
      </c>
      <c r="AV27" s="7">
        <v>12474</v>
      </c>
      <c r="AW27" s="2"/>
      <c r="AX27" s="2"/>
    </row>
    <row r="28" spans="1:50" ht="18" thickBot="1">
      <c r="A28" s="1" t="s">
        <v>117</v>
      </c>
      <c r="B28" s="1" t="s">
        <v>40</v>
      </c>
      <c r="C28" s="1" t="s">
        <v>118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25</v>
      </c>
      <c r="W28" s="2">
        <v>25</v>
      </c>
      <c r="X28" s="3">
        <v>3000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25</v>
      </c>
      <c r="AR28" s="2">
        <v>25</v>
      </c>
      <c r="AS28" s="3">
        <v>3000</v>
      </c>
      <c r="AT28" s="3">
        <v>1890</v>
      </c>
      <c r="AU28" s="4">
        <v>3000</v>
      </c>
      <c r="AV28" s="7">
        <v>1890</v>
      </c>
      <c r="AW28" s="2"/>
      <c r="AX28" s="2"/>
    </row>
    <row r="29" spans="1:50" ht="18" thickBot="1">
      <c r="A29" s="1" t="s">
        <v>119</v>
      </c>
      <c r="B29" s="1" t="s">
        <v>21</v>
      </c>
      <c r="C29" s="1" t="s">
        <v>120</v>
      </c>
      <c r="D29" s="2">
        <v>0</v>
      </c>
      <c r="E29" s="2">
        <v>0</v>
      </c>
      <c r="F29" s="2">
        <v>0</v>
      </c>
      <c r="G29" s="2">
        <v>2</v>
      </c>
      <c r="H29" s="2">
        <v>2</v>
      </c>
      <c r="I29" s="3">
        <v>1800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15</v>
      </c>
      <c r="T29" s="2">
        <v>15</v>
      </c>
      <c r="U29" s="3">
        <v>16200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17</v>
      </c>
      <c r="AR29" s="2">
        <v>17</v>
      </c>
      <c r="AS29" s="3">
        <v>18000</v>
      </c>
      <c r="AT29" s="3">
        <v>11340</v>
      </c>
      <c r="AU29" s="4">
        <v>18000</v>
      </c>
      <c r="AV29" s="7">
        <v>11340</v>
      </c>
      <c r="AW29" s="2"/>
      <c r="AX29" s="2"/>
    </row>
    <row r="30" spans="1:50" ht="18" thickBot="1">
      <c r="A30" s="1" t="s">
        <v>121</v>
      </c>
      <c r="B30" s="1" t="s">
        <v>17</v>
      </c>
      <c r="C30" s="1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3</v>
      </c>
      <c r="K30" s="2">
        <v>3</v>
      </c>
      <c r="L30" s="3">
        <v>9600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3</v>
      </c>
      <c r="AR30" s="2">
        <v>3</v>
      </c>
      <c r="AS30" s="3">
        <v>9600</v>
      </c>
      <c r="AT30" s="3">
        <v>6048</v>
      </c>
      <c r="AU30" s="4">
        <v>9600</v>
      </c>
      <c r="AV30" s="7">
        <v>6048</v>
      </c>
      <c r="AW30" s="2"/>
      <c r="AX30" s="2"/>
    </row>
    <row r="31" spans="1:50" ht="18" thickBot="1">
      <c r="A31" s="1" t="s">
        <v>102</v>
      </c>
      <c r="B31" s="1" t="s">
        <v>17</v>
      </c>
      <c r="C31" s="1" t="s">
        <v>103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92</v>
      </c>
      <c r="K31" s="2">
        <v>92</v>
      </c>
      <c r="L31" s="3">
        <v>9200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92</v>
      </c>
      <c r="AR31" s="2">
        <v>92</v>
      </c>
      <c r="AS31" s="3">
        <v>9200</v>
      </c>
      <c r="AT31" s="3">
        <v>5796</v>
      </c>
      <c r="AU31" s="4">
        <v>9200</v>
      </c>
      <c r="AV31" s="7">
        <v>5796</v>
      </c>
      <c r="AW31" s="2"/>
      <c r="AX31" s="2"/>
    </row>
    <row r="32" spans="1:50" ht="18" thickBot="1">
      <c r="A32" s="1" t="s">
        <v>95</v>
      </c>
      <c r="B32" s="1" t="s">
        <v>19</v>
      </c>
      <c r="C32" s="1" t="s">
        <v>96</v>
      </c>
      <c r="D32" s="2">
        <v>0</v>
      </c>
      <c r="E32" s="2">
        <v>0</v>
      </c>
      <c r="F32" s="2">
        <v>0</v>
      </c>
      <c r="G32" s="2">
        <v>8</v>
      </c>
      <c r="H32" s="2">
        <v>8</v>
      </c>
      <c r="I32" s="3">
        <v>7200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8</v>
      </c>
      <c r="AR32" s="2">
        <v>8</v>
      </c>
      <c r="AS32" s="3">
        <v>7200</v>
      </c>
      <c r="AT32" s="3">
        <v>4536</v>
      </c>
      <c r="AU32" s="4">
        <v>7200</v>
      </c>
      <c r="AV32" s="7">
        <v>4536</v>
      </c>
      <c r="AW32" s="2"/>
      <c r="AX32" s="2"/>
    </row>
    <row r="33" spans="1:50" ht="18" thickBot="1">
      <c r="A33" s="1" t="s">
        <v>45</v>
      </c>
      <c r="B33" s="1" t="s">
        <v>19</v>
      </c>
      <c r="C33" s="1" t="s">
        <v>46</v>
      </c>
      <c r="D33" s="2">
        <v>0</v>
      </c>
      <c r="E33" s="2">
        <v>0</v>
      </c>
      <c r="F33" s="2">
        <v>0</v>
      </c>
      <c r="G33" s="2">
        <v>5</v>
      </c>
      <c r="H33" s="2">
        <v>5</v>
      </c>
      <c r="I33" s="3">
        <v>4500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5</v>
      </c>
      <c r="AR33" s="2">
        <v>5</v>
      </c>
      <c r="AS33" s="3">
        <v>4500</v>
      </c>
      <c r="AT33" s="3">
        <v>2835</v>
      </c>
      <c r="AU33" s="4">
        <v>4500</v>
      </c>
      <c r="AV33" s="7">
        <v>2835</v>
      </c>
      <c r="AW33" s="2"/>
      <c r="AX33" s="2"/>
    </row>
    <row r="34" spans="1:50" ht="18" thickBot="1">
      <c r="A34" s="1" t="s">
        <v>47</v>
      </c>
      <c r="B34" s="1" t="s">
        <v>24</v>
      </c>
      <c r="C34" s="1" t="s">
        <v>48</v>
      </c>
      <c r="D34" s="2">
        <v>0</v>
      </c>
      <c r="E34" s="2">
        <v>0</v>
      </c>
      <c r="F34" s="2">
        <v>0</v>
      </c>
      <c r="G34" s="2">
        <v>8</v>
      </c>
      <c r="H34" s="2">
        <v>8</v>
      </c>
      <c r="I34" s="3">
        <v>7200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8</v>
      </c>
      <c r="R34" s="3">
        <v>25600</v>
      </c>
      <c r="S34" s="2">
        <v>2</v>
      </c>
      <c r="T34" s="2">
        <v>2</v>
      </c>
      <c r="U34" s="3">
        <v>2160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11</v>
      </c>
      <c r="AR34" s="2">
        <v>18</v>
      </c>
      <c r="AS34" s="3">
        <v>34960</v>
      </c>
      <c r="AT34" s="3">
        <v>22024.799999999999</v>
      </c>
      <c r="AU34" s="4">
        <v>34960</v>
      </c>
      <c r="AV34" s="7">
        <v>22024.799999999999</v>
      </c>
      <c r="AW34" s="2"/>
      <c r="AX34" s="2"/>
    </row>
    <row r="35" spans="1:50" ht="18" thickBot="1">
      <c r="A35" s="1" t="s">
        <v>122</v>
      </c>
      <c r="B35" s="1" t="s">
        <v>24</v>
      </c>
      <c r="C35" s="1" t="s">
        <v>123</v>
      </c>
      <c r="D35" s="2">
        <v>0</v>
      </c>
      <c r="E35" s="2">
        <v>0</v>
      </c>
      <c r="F35" s="2">
        <v>0</v>
      </c>
      <c r="G35" s="2">
        <v>8</v>
      </c>
      <c r="H35" s="2">
        <v>8</v>
      </c>
      <c r="I35" s="3">
        <v>7200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7</v>
      </c>
      <c r="T35" s="2">
        <v>7</v>
      </c>
      <c r="U35" s="3">
        <v>7560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15</v>
      </c>
      <c r="AR35" s="2">
        <v>15</v>
      </c>
      <c r="AS35" s="3">
        <v>14760</v>
      </c>
      <c r="AT35" s="3">
        <v>9298.7999999999993</v>
      </c>
      <c r="AU35" s="4">
        <v>14760</v>
      </c>
      <c r="AV35" s="7">
        <v>9298.7999999999993</v>
      </c>
      <c r="AW35" s="2"/>
      <c r="AX35" s="2"/>
    </row>
    <row r="36" spans="1:50" ht="18" thickBot="1">
      <c r="A36" s="1" t="s">
        <v>49</v>
      </c>
      <c r="B36" s="1" t="s">
        <v>24</v>
      </c>
      <c r="C36" s="1" t="s">
        <v>50</v>
      </c>
      <c r="D36" s="2">
        <v>0</v>
      </c>
      <c r="E36" s="2">
        <v>0</v>
      </c>
      <c r="F36" s="2">
        <v>0</v>
      </c>
      <c r="G36" s="2">
        <v>24</v>
      </c>
      <c r="H36" s="2">
        <v>24</v>
      </c>
      <c r="I36" s="3">
        <v>21600</v>
      </c>
      <c r="J36" s="2">
        <v>1</v>
      </c>
      <c r="K36" s="2">
        <v>1</v>
      </c>
      <c r="L36" s="3">
        <v>3200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9</v>
      </c>
      <c r="T36" s="2">
        <v>9</v>
      </c>
      <c r="U36" s="3">
        <v>9720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34</v>
      </c>
      <c r="AR36" s="2">
        <v>34</v>
      </c>
      <c r="AS36" s="3">
        <v>34520</v>
      </c>
      <c r="AT36" s="3">
        <v>21747.599999999999</v>
      </c>
      <c r="AU36" s="4">
        <v>34520</v>
      </c>
      <c r="AV36" s="7">
        <v>21747.599999999999</v>
      </c>
      <c r="AW36" s="2"/>
      <c r="AX36" s="2"/>
    </row>
    <row r="37" spans="1:50" ht="18" thickBot="1">
      <c r="A37" s="1" t="s">
        <v>124</v>
      </c>
      <c r="B37" s="1" t="s">
        <v>24</v>
      </c>
      <c r="C37" s="1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65</v>
      </c>
      <c r="K37" s="2">
        <v>65</v>
      </c>
      <c r="L37" s="3">
        <v>6500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65</v>
      </c>
      <c r="AR37" s="2">
        <v>65</v>
      </c>
      <c r="AS37" s="3">
        <v>6500</v>
      </c>
      <c r="AT37" s="3">
        <v>4095</v>
      </c>
      <c r="AU37" s="4">
        <v>6500</v>
      </c>
      <c r="AV37" s="7">
        <v>4095</v>
      </c>
      <c r="AW37" s="2"/>
      <c r="AX37" s="2"/>
    </row>
    <row r="38" spans="1:50" ht="18" thickBot="1">
      <c r="A38" s="1" t="s">
        <v>125</v>
      </c>
      <c r="B38" s="1" t="s">
        <v>19</v>
      </c>
      <c r="C38" s="1" t="s">
        <v>126</v>
      </c>
      <c r="D38" s="2">
        <v>0</v>
      </c>
      <c r="E38" s="2">
        <v>0</v>
      </c>
      <c r="F38" s="2">
        <v>0</v>
      </c>
      <c r="G38" s="2">
        <v>8</v>
      </c>
      <c r="H38" s="2">
        <v>8</v>
      </c>
      <c r="I38" s="3">
        <v>7200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8</v>
      </c>
      <c r="T38" s="2">
        <v>8</v>
      </c>
      <c r="U38" s="3">
        <v>8640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16</v>
      </c>
      <c r="AR38" s="2">
        <v>16</v>
      </c>
      <c r="AS38" s="3">
        <v>15840</v>
      </c>
      <c r="AT38" s="3">
        <v>9979.2000000000007</v>
      </c>
      <c r="AU38" s="4">
        <v>15840</v>
      </c>
      <c r="AV38" s="7">
        <v>9979.2000000000007</v>
      </c>
      <c r="AW38" s="2"/>
      <c r="AX38" s="2"/>
    </row>
    <row r="39" spans="1:50" ht="18" thickBot="1">
      <c r="A39" s="1" t="s">
        <v>127</v>
      </c>
      <c r="B39" s="1" t="s">
        <v>128</v>
      </c>
      <c r="C39" s="1"/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5">
        <v>5612</v>
      </c>
      <c r="K39" s="5">
        <v>5612</v>
      </c>
      <c r="L39" s="3">
        <v>561200</v>
      </c>
      <c r="M39" s="2">
        <v>0</v>
      </c>
      <c r="N39" s="2">
        <v>0</v>
      </c>
      <c r="O39" s="2">
        <v>0</v>
      </c>
      <c r="P39" s="2">
        <v>1</v>
      </c>
      <c r="Q39" s="2">
        <v>308</v>
      </c>
      <c r="R39" s="3">
        <v>30800</v>
      </c>
      <c r="S39" s="2">
        <v>0</v>
      </c>
      <c r="T39" s="2">
        <v>0</v>
      </c>
      <c r="U39" s="2">
        <v>0</v>
      </c>
      <c r="V39" s="5">
        <v>1068</v>
      </c>
      <c r="W39" s="5">
        <v>1068</v>
      </c>
      <c r="X39" s="3">
        <v>128160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5">
        <v>6681</v>
      </c>
      <c r="AR39" s="5">
        <v>6988</v>
      </c>
      <c r="AS39" s="3">
        <v>720160</v>
      </c>
      <c r="AT39" s="3">
        <v>453700.8</v>
      </c>
      <c r="AU39" s="4">
        <v>720160</v>
      </c>
      <c r="AV39" s="7">
        <v>453700.8</v>
      </c>
      <c r="AW39" s="2"/>
      <c r="AX39" s="2"/>
    </row>
    <row r="40" spans="1:50" ht="18" thickBot="1">
      <c r="A40" s="1" t="s">
        <v>51</v>
      </c>
      <c r="B40" s="1" t="s">
        <v>19</v>
      </c>
      <c r="C40" s="1" t="s">
        <v>52</v>
      </c>
      <c r="D40" s="2">
        <v>0</v>
      </c>
      <c r="E40" s="2">
        <v>0</v>
      </c>
      <c r="F40" s="2">
        <v>0</v>
      </c>
      <c r="G40" s="2">
        <v>34</v>
      </c>
      <c r="H40" s="2">
        <v>34</v>
      </c>
      <c r="I40" s="3">
        <v>30600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13</v>
      </c>
      <c r="T40" s="2">
        <v>13</v>
      </c>
      <c r="U40" s="3">
        <v>14040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47</v>
      </c>
      <c r="AR40" s="2">
        <v>47</v>
      </c>
      <c r="AS40" s="3">
        <v>44640</v>
      </c>
      <c r="AT40" s="3">
        <v>28123.200000000001</v>
      </c>
      <c r="AU40" s="4">
        <v>44640</v>
      </c>
      <c r="AV40" s="7">
        <v>28123.200000000001</v>
      </c>
      <c r="AW40" s="2"/>
      <c r="AX40" s="2"/>
    </row>
    <row r="41" spans="1:50" ht="18" thickBot="1">
      <c r="A41" s="1" t="s">
        <v>53</v>
      </c>
      <c r="B41" s="1" t="s">
        <v>21</v>
      </c>
      <c r="C41" s="1" t="s">
        <v>54</v>
      </c>
      <c r="D41" s="2">
        <v>0</v>
      </c>
      <c r="E41" s="2">
        <v>0</v>
      </c>
      <c r="F41" s="2">
        <v>0</v>
      </c>
      <c r="G41" s="2">
        <v>8</v>
      </c>
      <c r="H41" s="2">
        <v>8</v>
      </c>
      <c r="I41" s="3">
        <v>7200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25</v>
      </c>
      <c r="T41" s="2">
        <v>25</v>
      </c>
      <c r="U41" s="3">
        <v>27000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11</v>
      </c>
      <c r="AF41" s="2">
        <v>11</v>
      </c>
      <c r="AG41" s="3">
        <v>11880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44</v>
      </c>
      <c r="AR41" s="2">
        <v>44</v>
      </c>
      <c r="AS41" s="3">
        <v>46080</v>
      </c>
      <c r="AT41" s="3">
        <v>27367.200000000001</v>
      </c>
      <c r="AU41" s="4">
        <v>46080</v>
      </c>
      <c r="AV41" s="7">
        <v>27367.200000000001</v>
      </c>
      <c r="AW41" s="2"/>
      <c r="AX41" s="2"/>
    </row>
    <row r="42" spans="1:50" ht="18" thickBot="1">
      <c r="A42" s="1" t="s">
        <v>105</v>
      </c>
      <c r="B42" s="1" t="s">
        <v>19</v>
      </c>
      <c r="C42" s="1" t="s">
        <v>106</v>
      </c>
      <c r="D42" s="2">
        <v>0</v>
      </c>
      <c r="E42" s="2">
        <v>0</v>
      </c>
      <c r="F42" s="2">
        <v>0</v>
      </c>
      <c r="G42" s="2">
        <v>2</v>
      </c>
      <c r="H42" s="2">
        <v>2</v>
      </c>
      <c r="I42" s="3">
        <v>1800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3</v>
      </c>
      <c r="T42" s="2">
        <v>3</v>
      </c>
      <c r="U42" s="3">
        <v>3240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5</v>
      </c>
      <c r="AR42" s="2">
        <v>5</v>
      </c>
      <c r="AS42" s="3">
        <v>5040</v>
      </c>
      <c r="AT42" s="3">
        <v>3175.2</v>
      </c>
      <c r="AU42" s="4">
        <v>5040</v>
      </c>
      <c r="AV42" s="7">
        <v>3175.2</v>
      </c>
      <c r="AW42" s="2"/>
      <c r="AX42" s="2"/>
    </row>
    <row r="43" spans="1:50" ht="18" thickBot="1">
      <c r="A43" s="1" t="s">
        <v>129</v>
      </c>
      <c r="B43" s="1" t="s">
        <v>17</v>
      </c>
      <c r="C43" s="1" t="s">
        <v>130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7</v>
      </c>
      <c r="W43" s="2">
        <v>7</v>
      </c>
      <c r="X43" s="3">
        <v>26880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7</v>
      </c>
      <c r="AR43" s="2">
        <v>7</v>
      </c>
      <c r="AS43" s="3">
        <v>26880</v>
      </c>
      <c r="AT43" s="3">
        <v>16934.400000000001</v>
      </c>
      <c r="AU43" s="4">
        <v>26880</v>
      </c>
      <c r="AV43" s="7">
        <v>16934.400000000001</v>
      </c>
      <c r="AW43" s="2"/>
      <c r="AX43" s="2"/>
    </row>
    <row r="44" spans="1:50" ht="18" thickBot="1">
      <c r="A44" s="1" t="s">
        <v>91</v>
      </c>
      <c r="B44" s="1" t="s">
        <v>17</v>
      </c>
      <c r="C44" s="1" t="s">
        <v>92</v>
      </c>
      <c r="D44" s="2">
        <v>0</v>
      </c>
      <c r="E44" s="2">
        <v>0</v>
      </c>
      <c r="F44" s="2">
        <v>0</v>
      </c>
      <c r="G44" s="2">
        <v>8</v>
      </c>
      <c r="H44" s="2">
        <v>8</v>
      </c>
      <c r="I44" s="3">
        <v>7200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13</v>
      </c>
      <c r="T44" s="2">
        <v>13</v>
      </c>
      <c r="U44" s="3">
        <v>14040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21</v>
      </c>
      <c r="AR44" s="2">
        <v>21</v>
      </c>
      <c r="AS44" s="3">
        <v>21240</v>
      </c>
      <c r="AT44" s="3">
        <v>13381.2</v>
      </c>
      <c r="AU44" s="4">
        <v>21240</v>
      </c>
      <c r="AV44" s="7">
        <v>13381.2</v>
      </c>
      <c r="AW44" s="2"/>
      <c r="AX44" s="2"/>
    </row>
    <row r="45" spans="1:50" ht="18" thickBot="1">
      <c r="A45" s="1" t="s">
        <v>55</v>
      </c>
      <c r="B45" s="1" t="s">
        <v>17</v>
      </c>
      <c r="C45" s="1" t="s">
        <v>56</v>
      </c>
      <c r="D45" s="2">
        <v>0</v>
      </c>
      <c r="E45" s="2">
        <v>0</v>
      </c>
      <c r="F45" s="2">
        <v>0</v>
      </c>
      <c r="G45" s="2">
        <v>5</v>
      </c>
      <c r="H45" s="2">
        <v>5</v>
      </c>
      <c r="I45" s="3">
        <v>4500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8</v>
      </c>
      <c r="AA45" s="3">
        <v>8640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6</v>
      </c>
      <c r="AR45" s="2">
        <v>13</v>
      </c>
      <c r="AS45" s="3">
        <v>13140</v>
      </c>
      <c r="AT45" s="3">
        <v>8278.2000000000007</v>
      </c>
      <c r="AU45" s="4">
        <v>13140</v>
      </c>
      <c r="AV45" s="7">
        <v>8278.2000000000007</v>
      </c>
      <c r="AW45" s="2"/>
      <c r="AX45" s="2"/>
    </row>
    <row r="46" spans="1:50">
      <c r="A46" s="1" t="s">
        <v>77</v>
      </c>
      <c r="B46" s="1" t="s">
        <v>17</v>
      </c>
      <c r="C46" s="1" t="s">
        <v>78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5">
        <v>1343</v>
      </c>
      <c r="K46" s="5">
        <v>1343</v>
      </c>
      <c r="L46" s="3">
        <v>134300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5">
        <v>1808</v>
      </c>
      <c r="W46" s="5">
        <v>1808</v>
      </c>
      <c r="X46" s="3">
        <v>216960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5">
        <v>3151</v>
      </c>
      <c r="AR46" s="5">
        <v>3151</v>
      </c>
      <c r="AS46" s="3">
        <v>351260</v>
      </c>
      <c r="AT46" s="3">
        <v>221293.8</v>
      </c>
      <c r="AU46" s="4">
        <v>351260</v>
      </c>
      <c r="AV46" s="7">
        <v>221293.8</v>
      </c>
      <c r="AW46" s="2"/>
      <c r="AX46" s="2"/>
    </row>
    <row r="47" spans="1:50">
      <c r="AV47" s="19">
        <f>SUM(AV2:AV46)</f>
        <v>2202820.1999999993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2022-09-05T06:21:26Z</dcterms:modified>
</cp:coreProperties>
</file>