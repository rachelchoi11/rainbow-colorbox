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미스터블루\"/>
    </mc:Choice>
  </mc:AlternateContent>
  <bookViews>
    <workbookView xWindow="2640" yWindow="1296" windowWidth="25380" windowHeight="12876"/>
  </bookViews>
  <sheets>
    <sheet name="정산내역서" sheetId="8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88" l="1"/>
  <c r="C19" i="88"/>
  <c r="F19" i="88"/>
  <c r="E18" i="88"/>
  <c r="C18" i="88"/>
  <c r="C17" i="88"/>
  <c r="C14" i="88"/>
  <c r="N8" i="88"/>
  <c r="K8" i="88"/>
  <c r="O8" i="88" s="1"/>
  <c r="L8" i="88"/>
  <c r="N9" i="88" l="1"/>
  <c r="K9" i="88"/>
  <c r="O9" i="88" s="1"/>
  <c r="L9" i="88" l="1"/>
  <c r="N7" i="88"/>
  <c r="K7" i="88"/>
  <c r="O7" i="88" s="1"/>
  <c r="N6" i="88"/>
  <c r="K6" i="88"/>
  <c r="O6" i="88" s="1"/>
  <c r="N5" i="88"/>
  <c r="K5" i="88"/>
  <c r="O5" i="88" s="1"/>
  <c r="L7" i="88" l="1"/>
  <c r="L6" i="88"/>
  <c r="L5" i="88"/>
  <c r="P10" i="88" l="1"/>
  <c r="E17" i="88" s="1"/>
  <c r="E14" i="88"/>
</calcChain>
</file>

<file path=xl/sharedStrings.xml><?xml version="1.0" encoding="utf-8"?>
<sst xmlns="http://schemas.openxmlformats.org/spreadsheetml/2006/main" count="63" uniqueCount="43">
  <si>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</si>
  <si>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</si>
  <si>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</si>
  <si>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</si>
  <si>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</si>
  <si>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</si>
  <si>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</si>
  <si>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8" type="noConversion"/>
  </si>
  <si>
    <t>1. 사업자등록번호 : 107-88-30967</t>
    <phoneticPr fontId="18" type="noConversion"/>
  </si>
  <si>
    <t>이메일 : account@mrblue.com</t>
    <phoneticPr fontId="3" type="noConversion"/>
  </si>
  <si>
    <t>정산내역 문의</t>
    <phoneticPr fontId="18" type="noConversion"/>
  </si>
  <si>
    <t>내역</t>
    <phoneticPr fontId="18" type="noConversion"/>
  </si>
  <si>
    <t>공급가액</t>
    <phoneticPr fontId="18" type="noConversion"/>
  </si>
  <si>
    <t>세액</t>
    <phoneticPr fontId="18" type="noConversion"/>
  </si>
  <si>
    <t>합계액</t>
    <phoneticPr fontId="18" type="noConversion"/>
  </si>
  <si>
    <t>mrbluetax@mrblue.com</t>
    <phoneticPr fontId="18" type="noConversion"/>
  </si>
  <si>
    <t>1. 정산내역</t>
    <phoneticPr fontId="18" type="noConversion"/>
  </si>
  <si>
    <t>제공사명</t>
  </si>
  <si>
    <t>계정ID</t>
  </si>
  <si>
    <t>종량제</t>
    <phoneticPr fontId="18" type="noConversion"/>
  </si>
  <si>
    <t>정액제</t>
    <phoneticPr fontId="18" type="noConversion"/>
  </si>
  <si>
    <t>총 합계액</t>
    <phoneticPr fontId="18" type="noConversion"/>
  </si>
  <si>
    <t>블루머니 + A.앱머니</t>
  </si>
  <si>
    <t>I.앱머니</t>
  </si>
  <si>
    <t>합계</t>
    <phoneticPr fontId="18" type="noConversion"/>
  </si>
  <si>
    <t>판매액</t>
  </si>
  <si>
    <t>수익배분율(%)</t>
    <phoneticPr fontId="18" type="noConversion"/>
  </si>
  <si>
    <t>제반수수료(%)</t>
    <phoneticPr fontId="18" type="noConversion"/>
  </si>
  <si>
    <t>정산액</t>
  </si>
  <si>
    <t xml:space="preserve">2. 계산서 발행 </t>
    <phoneticPr fontId="18" type="noConversion"/>
  </si>
  <si>
    <t>3. 공급받는자 정보</t>
    <phoneticPr fontId="18" type="noConversion"/>
  </si>
  <si>
    <t>KT_n</t>
  </si>
  <si>
    <t>KT_n_02</t>
  </si>
  <si>
    <t>KT_n_03</t>
    <phoneticPr fontId="8" type="noConversion"/>
  </si>
  <si>
    <t>박아영 02-337-0610(#256)</t>
    <phoneticPr fontId="3" type="noConversion"/>
  </si>
  <si>
    <t>스토리위즈</t>
  </si>
  <si>
    <t>KT_n_04</t>
    <phoneticPr fontId="8" type="noConversion"/>
  </si>
  <si>
    <t>연락처 : 02-337-0610(#206)</t>
    <phoneticPr fontId="3" type="noConversion"/>
  </si>
  <si>
    <t>storywiz_c</t>
  </si>
  <si>
    <t>콘텐츠제공(8월)_소설</t>
    <phoneticPr fontId="18" type="noConversion"/>
  </si>
  <si>
    <t>콘텐츠제공(8월)_만화</t>
    <phoneticPr fontId="18" type="noConversion"/>
  </si>
  <si>
    <t>* 블루머니와  A.앱머니가 분리된 상세내역은 정산 CMS(http://calc.cms.mrblue.com/client/)에서 확인하실 수 있습니다.</t>
    <phoneticPr fontId="41" type="noConversion"/>
  </si>
  <si>
    <t>&lt;결혼 전쟁&gt;, &lt;그 남자의 사랑방식&gt;, &lt;달콤한 결혼&gt; 정산추가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</si>
</sst>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43"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  <font>
      <sz val="8"/>
      <color theme="1"/>
      <name val="Tahoma"/>
      <family val="2"/>
    </font>
    <font>
      <sz val="8"/>
      <name val="나눔고딕"/>
      <family val="2"/>
      <charset val="129"/>
    </font>
    <font>
      <sz val="8"/>
      <name val="맑은 고딕"/>
      <family val="3"/>
      <charset val="129"/>
      <scheme val="maj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6" borderId="3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" fillId="28" borderId="4" applyNumberFormat="0" applyFont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5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31" borderId="3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26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0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0" fillId="0" borderId="0"/>
    <xf numFmtId="0" fontId="11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0" fillId="38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0" fillId="0" borderId="1" xfId="0" applyFont="1" applyBorder="1">
      <alignment vertical="center"/>
    </xf>
    <xf numFmtId="179" fontId="20" fillId="0" borderId="1" xfId="0" applyNumberFormat="1" applyFont="1" applyBorder="1">
      <alignment vertical="center"/>
    </xf>
    <xf numFmtId="49" fontId="6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 indent="1"/>
    </xf>
    <xf numFmtId="49" fontId="7" fillId="0" borderId="0" xfId="0" applyNumberFormat="1" applyFont="1">
      <alignment vertical="center"/>
    </xf>
    <xf numFmtId="3" fontId="7" fillId="40" borderId="1" xfId="0" applyNumberFormat="1" applyFont="1" applyFill="1" applyBorder="1" applyAlignment="1">
      <alignment horizontal="center" vertical="center" wrapText="1"/>
    </xf>
    <xf numFmtId="9" fontId="7" fillId="40" borderId="1" xfId="0" applyNumberFormat="1" applyFont="1" applyFill="1" applyBorder="1" applyAlignment="1">
      <alignment horizontal="center" vertical="center" wrapText="1"/>
    </xf>
    <xf numFmtId="0" fontId="7" fillId="33" borderId="0" xfId="0" applyFont="1" applyFill="1">
      <alignment vertical="center"/>
    </xf>
    <xf numFmtId="179" fontId="7" fillId="33" borderId="1" xfId="0" applyNumberFormat="1" applyFont="1" applyFill="1" applyBorder="1" applyAlignment="1">
      <alignment vertical="center" wrapText="1"/>
    </xf>
    <xf numFmtId="0" fontId="7" fillId="33" borderId="0" xfId="0" applyFont="1" applyFill="1" applyAlignment="1">
      <alignment horizontal="center" vertical="center" wrapText="1"/>
    </xf>
    <xf numFmtId="179" fontId="7" fillId="33" borderId="0" xfId="0" applyNumberFormat="1" applyFont="1" applyFill="1" applyAlignment="1">
      <alignment vertical="center" wrapText="1"/>
    </xf>
    <xf numFmtId="0" fontId="7" fillId="40" borderId="14" xfId="0" applyFont="1" applyFill="1" applyBorder="1">
      <alignment vertical="center"/>
    </xf>
    <xf numFmtId="0" fontId="7" fillId="40" borderId="17" xfId="0" applyFont="1" applyFill="1" applyBorder="1">
      <alignment vertical="center"/>
    </xf>
    <xf numFmtId="0" fontId="7" fillId="40" borderId="16" xfId="0" applyFont="1" applyFill="1" applyBorder="1">
      <alignment vertical="center"/>
    </xf>
    <xf numFmtId="0" fontId="7" fillId="40" borderId="12" xfId="0" applyFont="1" applyFill="1" applyBorder="1">
      <alignment vertical="center"/>
    </xf>
    <xf numFmtId="0" fontId="7" fillId="40" borderId="15" xfId="0" applyFont="1" applyFill="1" applyBorder="1">
      <alignment vertical="center"/>
    </xf>
    <xf numFmtId="0" fontId="7" fillId="40" borderId="18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38" fontId="20" fillId="38" borderId="1" xfId="0" applyNumberFormat="1" applyFont="1" applyFill="1" applyBorder="1" applyAlignment="1">
      <alignment horizontal="center" vertical="center"/>
    </xf>
    <xf numFmtId="9" fontId="20" fillId="0" borderId="1" xfId="78" applyFont="1" applyBorder="1">
      <alignment vertical="center"/>
    </xf>
    <xf numFmtId="179" fontId="24" fillId="0" borderId="19" xfId="0" applyNumberFormat="1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179" fontId="7" fillId="0" borderId="0" xfId="0" applyNumberFormat="1" applyFont="1">
      <alignment vertical="center"/>
    </xf>
    <xf numFmtId="0" fontId="40" fillId="41" borderId="19" xfId="0" applyFont="1" applyFill="1" applyBorder="1" applyAlignment="1">
      <alignment vertical="center" wrapText="1"/>
    </xf>
    <xf numFmtId="179" fontId="6" fillId="33" borderId="1" xfId="0" applyNumberFormat="1" applyFont="1" applyFill="1" applyBorder="1" applyAlignment="1">
      <alignment vertical="center" wrapText="1"/>
    </xf>
    <xf numFmtId="179" fontId="7" fillId="33" borderId="0" xfId="0" applyNumberFormat="1" applyFont="1" applyFill="1">
      <alignment vertical="center"/>
    </xf>
    <xf numFmtId="0" fontId="21" fillId="37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38" fontId="20" fillId="3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0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40" borderId="13" xfId="0" applyFont="1" applyFill="1" applyBorder="1" applyAlignment="1">
      <alignment horizontal="center" vertical="center" wrapText="1"/>
    </xf>
    <xf numFmtId="0" fontId="7" fillId="40" borderId="2" xfId="0" applyFont="1" applyFill="1" applyBorder="1" applyAlignment="1">
      <alignment horizontal="center" vertical="center" wrapText="1"/>
    </xf>
    <xf numFmtId="0" fontId="7" fillId="33" borderId="13" xfId="0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7" fillId="40" borderId="13" xfId="0" applyFont="1" applyFill="1" applyBorder="1" applyAlignment="1">
      <alignment horizontal="left" vertical="center"/>
    </xf>
    <xf numFmtId="0" fontId="7" fillId="40" borderId="2" xfId="0" applyFont="1" applyFill="1" applyBorder="1" applyAlignment="1">
      <alignment horizontal="left" vertical="center"/>
    </xf>
    <xf numFmtId="31" fontId="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179" fontId="20" fillId="42" borderId="1" xfId="0" applyNumberFormat="1" applyFont="1" applyFill="1" applyBorder="1">
      <alignment vertical="center"/>
    </xf>
    <xf numFmtId="0" fontId="42" fillId="33" borderId="13" xfId="0" applyFont="1" applyFill="1" applyBorder="1" applyAlignment="1">
      <alignment horizontal="center" vertical="center" wrapText="1"/>
    </xf>
    <xf numFmtId="0" fontId="42" fillId="33" borderId="2" xfId="0" applyFont="1" applyFill="1" applyBorder="1" applyAlignment="1">
      <alignment horizontal="center" vertical="center" wrapText="1"/>
    </xf>
  </cellXfs>
  <cellStyles count="80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표준 6" xfId="79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showGridLines="0" tabSelected="1" zoomScaleNormal="100" workbookViewId="0">
      <selection activeCell="D14" sqref="D14"/>
    </sheetView>
  </sheetViews>
  <sheetFormatPr defaultColWidth="10" defaultRowHeight="20.100000000000001" customHeight="1"/>
  <cols>
    <col min="1" max="1" width="15.21875" style="24" customWidth="1"/>
    <col min="2" max="2" width="13.21875" style="2" customWidth="1"/>
    <col min="3" max="16" width="11.2187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7" t="s">
        <v>17</v>
      </c>
      <c r="B2" s="37" t="s">
        <v>18</v>
      </c>
      <c r="C2" s="38" t="s">
        <v>19</v>
      </c>
      <c r="D2" s="38"/>
      <c r="E2" s="38"/>
      <c r="F2" s="38"/>
      <c r="G2" s="38"/>
      <c r="H2" s="38"/>
      <c r="I2" s="38"/>
      <c r="J2" s="38"/>
      <c r="K2" s="38"/>
      <c r="L2" s="38"/>
      <c r="M2" s="39" t="s">
        <v>20</v>
      </c>
      <c r="N2" s="39"/>
      <c r="O2" s="33" t="s">
        <v>21</v>
      </c>
      <c r="P2" s="33"/>
    </row>
    <row r="3" spans="1:16" ht="20.100000000000001" customHeight="1">
      <c r="A3" s="37"/>
      <c r="B3" s="37"/>
      <c r="C3" s="34" t="s">
        <v>22</v>
      </c>
      <c r="D3" s="34"/>
      <c r="E3" s="34"/>
      <c r="F3" s="34"/>
      <c r="G3" s="34" t="s">
        <v>23</v>
      </c>
      <c r="H3" s="34"/>
      <c r="I3" s="34"/>
      <c r="J3" s="34"/>
      <c r="K3" s="35" t="s">
        <v>24</v>
      </c>
      <c r="L3" s="35"/>
      <c r="M3" s="39"/>
      <c r="N3" s="39"/>
      <c r="O3" s="33"/>
      <c r="P3" s="33"/>
    </row>
    <row r="4" spans="1:16" ht="20.100000000000001" customHeight="1">
      <c r="A4" s="37"/>
      <c r="B4" s="37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3456220</v>
      </c>
      <c r="D5" s="26"/>
      <c r="E5" s="26"/>
      <c r="F5" s="7"/>
      <c r="G5" s="27">
        <v>51840</v>
      </c>
      <c r="H5" s="26"/>
      <c r="I5" s="26"/>
      <c r="J5" s="7"/>
      <c r="K5" s="7">
        <f>C5+G5</f>
        <v>3508060</v>
      </c>
      <c r="L5" s="7">
        <f>F5+J5</f>
        <v>0</v>
      </c>
      <c r="M5" s="7">
        <v>0</v>
      </c>
      <c r="N5" s="7">
        <f>M5*63%</f>
        <v>0</v>
      </c>
      <c r="O5" s="7">
        <f>K5+M5</f>
        <v>3508060</v>
      </c>
      <c r="P5" s="51">
        <v>2202820.2000000002</v>
      </c>
    </row>
    <row r="6" spans="1:16" ht="20.100000000000001" customHeight="1">
      <c r="A6" s="28" t="s">
        <v>35</v>
      </c>
      <c r="B6" s="6" t="s">
        <v>32</v>
      </c>
      <c r="C6" s="27">
        <v>5149846</v>
      </c>
      <c r="D6" s="26"/>
      <c r="E6" s="26"/>
      <c r="F6" s="7"/>
      <c r="G6" s="27">
        <v>40716</v>
      </c>
      <c r="H6" s="26"/>
      <c r="I6" s="26"/>
      <c r="J6" s="7"/>
      <c r="K6" s="7">
        <f t="shared" ref="K6:K8" si="0">C6+G6</f>
        <v>5190562</v>
      </c>
      <c r="L6" s="7">
        <f t="shared" ref="L6:L8" si="1">F6+J6</f>
        <v>0</v>
      </c>
      <c r="M6" s="7">
        <v>0</v>
      </c>
      <c r="N6" s="7">
        <f t="shared" ref="N6:N8" si="2">M6*63%</f>
        <v>0</v>
      </c>
      <c r="O6" s="7">
        <f t="shared" ref="O6:O8" si="3">K6+M6</f>
        <v>5190562</v>
      </c>
      <c r="P6" s="51">
        <v>3264353.82</v>
      </c>
    </row>
    <row r="7" spans="1:16" ht="20.100000000000001" customHeight="1">
      <c r="A7" s="28" t="s">
        <v>35</v>
      </c>
      <c r="B7" s="6" t="s">
        <v>33</v>
      </c>
      <c r="C7" s="27">
        <v>5208234</v>
      </c>
      <c r="D7" s="26"/>
      <c r="E7" s="26"/>
      <c r="F7" s="7"/>
      <c r="G7" s="27">
        <v>34152</v>
      </c>
      <c r="H7" s="26"/>
      <c r="I7" s="26"/>
      <c r="J7" s="7"/>
      <c r="K7" s="7">
        <f t="shared" si="0"/>
        <v>5242386</v>
      </c>
      <c r="L7" s="7">
        <f t="shared" si="1"/>
        <v>0</v>
      </c>
      <c r="M7" s="7">
        <v>0</v>
      </c>
      <c r="N7" s="7">
        <f t="shared" si="2"/>
        <v>0</v>
      </c>
      <c r="O7" s="7">
        <f t="shared" si="3"/>
        <v>5242386</v>
      </c>
      <c r="P7" s="51">
        <v>3297921.9</v>
      </c>
    </row>
    <row r="8" spans="1:16" ht="20.100000000000001" customHeight="1">
      <c r="A8" s="28" t="s">
        <v>35</v>
      </c>
      <c r="B8" s="6" t="s">
        <v>36</v>
      </c>
      <c r="C8" s="27">
        <v>3678280</v>
      </c>
      <c r="D8" s="26"/>
      <c r="E8" s="26"/>
      <c r="F8" s="7"/>
      <c r="G8" s="27">
        <v>43680</v>
      </c>
      <c r="H8" s="26"/>
      <c r="I8" s="26"/>
      <c r="J8" s="7"/>
      <c r="K8" s="7">
        <f t="shared" si="0"/>
        <v>3721960</v>
      </c>
      <c r="L8" s="7">
        <f t="shared" si="1"/>
        <v>0</v>
      </c>
      <c r="M8" s="7">
        <v>0</v>
      </c>
      <c r="N8" s="7">
        <f t="shared" si="2"/>
        <v>0</v>
      </c>
      <c r="O8" s="7">
        <f t="shared" si="3"/>
        <v>3721960</v>
      </c>
      <c r="P8" s="51">
        <v>2338719.6</v>
      </c>
    </row>
    <row r="9" spans="1:16" ht="20.100000000000001" customHeight="1">
      <c r="A9" s="28" t="s">
        <v>35</v>
      </c>
      <c r="B9" s="30" t="s">
        <v>38</v>
      </c>
      <c r="C9" s="27">
        <v>35920</v>
      </c>
      <c r="D9" s="26"/>
      <c r="E9" s="26"/>
      <c r="F9" s="7"/>
      <c r="G9" s="27">
        <v>0</v>
      </c>
      <c r="H9" s="26"/>
      <c r="I9" s="26"/>
      <c r="J9" s="7"/>
      <c r="K9" s="7">
        <f t="shared" ref="K9" si="4">C9+G9</f>
        <v>35920</v>
      </c>
      <c r="L9" s="7">
        <f t="shared" ref="L9" si="5">F9+J9</f>
        <v>0</v>
      </c>
      <c r="M9" s="7">
        <v>0</v>
      </c>
      <c r="N9" s="7">
        <f t="shared" ref="N9" si="6">M9*63%</f>
        <v>0</v>
      </c>
      <c r="O9" s="7">
        <f t="shared" ref="O9" si="7">K9+M9</f>
        <v>35920</v>
      </c>
      <c r="P9" s="51">
        <v>21681.599999999999</v>
      </c>
    </row>
    <row r="10" spans="1:16" ht="20.100000000000001" customHeight="1">
      <c r="A10" s="1" t="s">
        <v>41</v>
      </c>
      <c r="O10" s="29"/>
      <c r="P10" s="29">
        <f>SUM(P5:P9)</f>
        <v>11125497.119999999</v>
      </c>
    </row>
    <row r="11" spans="1:16" ht="20.100000000000001" customHeight="1">
      <c r="A11" s="2"/>
    </row>
    <row r="12" spans="1:16" ht="20.100000000000001" customHeight="1">
      <c r="A12" s="8" t="s">
        <v>29</v>
      </c>
      <c r="B12" s="9"/>
      <c r="C12" s="10"/>
      <c r="D12" s="11"/>
      <c r="E12" s="11"/>
      <c r="F12" s="11"/>
    </row>
    <row r="13" spans="1:16" ht="20.100000000000001" customHeight="1">
      <c r="A13" s="40" t="s">
        <v>11</v>
      </c>
      <c r="B13" s="41"/>
      <c r="C13" s="12" t="s">
        <v>12</v>
      </c>
      <c r="D13" s="13" t="s">
        <v>13</v>
      </c>
      <c r="E13" s="12" t="s">
        <v>14</v>
      </c>
      <c r="F13" s="14"/>
    </row>
    <row r="14" spans="1:16" ht="20.100000000000001" customHeight="1">
      <c r="A14" s="42" t="s">
        <v>39</v>
      </c>
      <c r="B14" s="43"/>
      <c r="C14" s="15">
        <f>P6+P5+P7+P8</f>
        <v>11103815.52</v>
      </c>
      <c r="D14" s="15">
        <v>0</v>
      </c>
      <c r="E14" s="15">
        <f>C14+D14</f>
        <v>11103815.52</v>
      </c>
      <c r="F14" s="14"/>
    </row>
    <row r="15" spans="1:16" ht="20.100000000000001" customHeight="1">
      <c r="A15" s="16"/>
      <c r="B15" s="16"/>
      <c r="C15" s="17"/>
      <c r="D15" s="17"/>
      <c r="E15" s="17"/>
      <c r="F15" s="14"/>
    </row>
    <row r="16" spans="1:16" ht="20.100000000000001" customHeight="1">
      <c r="A16" s="40" t="s">
        <v>11</v>
      </c>
      <c r="B16" s="41"/>
      <c r="C16" s="12" t="s">
        <v>12</v>
      </c>
      <c r="D16" s="13" t="s">
        <v>13</v>
      </c>
      <c r="E16" s="12" t="s">
        <v>14</v>
      </c>
      <c r="F16" s="14"/>
    </row>
    <row r="17" spans="1:6" ht="20.100000000000001" customHeight="1">
      <c r="A17" s="42" t="s">
        <v>40</v>
      </c>
      <c r="B17" s="43"/>
      <c r="C17" s="15">
        <f>P9</f>
        <v>21681.599999999999</v>
      </c>
      <c r="D17" s="15">
        <v>0</v>
      </c>
      <c r="E17" s="15">
        <f>C17+D17</f>
        <v>21681.599999999999</v>
      </c>
      <c r="F17" s="14"/>
    </row>
    <row r="18" spans="1:6" ht="20.100000000000001" customHeight="1">
      <c r="A18" s="52" t="s">
        <v>42</v>
      </c>
      <c r="B18" s="53"/>
      <c r="C18" s="15">
        <f>21880*60%</f>
        <v>13128</v>
      </c>
      <c r="D18" s="15">
        <v>0</v>
      </c>
      <c r="E18" s="15">
        <f>C18+D18</f>
        <v>13128</v>
      </c>
      <c r="F18" s="14"/>
    </row>
    <row r="19" spans="1:6" ht="20.100000000000001" customHeight="1">
      <c r="A19" s="49" t="s">
        <v>14</v>
      </c>
      <c r="B19" s="50"/>
      <c r="C19" s="31">
        <f>C17+C18</f>
        <v>34809.599999999999</v>
      </c>
      <c r="D19" s="31">
        <v>0</v>
      </c>
      <c r="E19" s="31">
        <f>C19-D19</f>
        <v>34809.599999999999</v>
      </c>
      <c r="F19" s="32">
        <f>E14+E19</f>
        <v>11138625.119999999</v>
      </c>
    </row>
    <row r="20" spans="1:6" ht="20.100000000000001" customHeight="1">
      <c r="A20" s="16"/>
      <c r="B20" s="16"/>
      <c r="C20" s="17"/>
      <c r="D20" s="17"/>
      <c r="E20" s="17"/>
      <c r="F20" s="14"/>
    </row>
    <row r="21" spans="1:6" ht="20.100000000000001" customHeight="1">
      <c r="A21" s="14"/>
      <c r="B21" s="14"/>
      <c r="C21" s="14"/>
      <c r="D21" s="14"/>
      <c r="E21" s="14"/>
      <c r="F21" s="14"/>
    </row>
    <row r="22" spans="1:6" ht="20.100000000000001" customHeight="1">
      <c r="A22" s="8" t="s">
        <v>30</v>
      </c>
      <c r="B22" s="9"/>
      <c r="C22" s="10"/>
      <c r="D22" s="11"/>
      <c r="E22" s="11"/>
      <c r="F22" s="11"/>
    </row>
    <row r="23" spans="1:6" ht="20.100000000000001" customHeight="1">
      <c r="A23" s="44" t="s">
        <v>0</v>
      </c>
      <c r="B23" s="45"/>
      <c r="C23" s="46">
        <v>44804</v>
      </c>
      <c r="D23" s="46"/>
      <c r="E23" s="46"/>
      <c r="F23" s="46"/>
    </row>
    <row r="24" spans="1:6" ht="20.100000000000001" customHeight="1">
      <c r="A24" s="18" t="s">
        <v>1</v>
      </c>
      <c r="B24" s="19"/>
      <c r="C24" s="47" t="s">
        <v>34</v>
      </c>
      <c r="D24" s="47"/>
      <c r="E24" s="47"/>
      <c r="F24" s="47"/>
    </row>
    <row r="25" spans="1:6" ht="20.100000000000001" customHeight="1">
      <c r="A25" s="20"/>
      <c r="B25" s="21"/>
      <c r="C25" s="36" t="s">
        <v>15</v>
      </c>
      <c r="D25" s="36"/>
      <c r="E25" s="36"/>
      <c r="F25" s="36"/>
    </row>
    <row r="26" spans="1:6" ht="20.100000000000001" customHeight="1">
      <c r="A26" s="22"/>
      <c r="B26" s="23"/>
      <c r="C26" s="48" t="s">
        <v>7</v>
      </c>
      <c r="D26" s="48"/>
      <c r="E26" s="48"/>
      <c r="F26" s="48"/>
    </row>
    <row r="27" spans="1:6" ht="20.100000000000001" customHeight="1">
      <c r="A27" s="18" t="s">
        <v>2</v>
      </c>
      <c r="B27" s="19"/>
      <c r="C27" s="48" t="s">
        <v>8</v>
      </c>
      <c r="D27" s="48"/>
      <c r="E27" s="48"/>
      <c r="F27" s="48"/>
    </row>
    <row r="28" spans="1:6" ht="20.100000000000001" customHeight="1">
      <c r="A28" s="20"/>
      <c r="B28" s="21"/>
      <c r="C28" s="48" t="s">
        <v>3</v>
      </c>
      <c r="D28" s="48"/>
      <c r="E28" s="48"/>
      <c r="F28" s="48"/>
    </row>
    <row r="29" spans="1:6" ht="20.100000000000001" customHeight="1">
      <c r="A29" s="20"/>
      <c r="B29" s="21"/>
      <c r="C29" s="48" t="s">
        <v>4</v>
      </c>
      <c r="D29" s="48"/>
      <c r="E29" s="48"/>
      <c r="F29" s="48"/>
    </row>
    <row r="30" spans="1:6" ht="20.100000000000001" customHeight="1">
      <c r="A30" s="20"/>
      <c r="B30" s="21"/>
      <c r="C30" s="48" t="s">
        <v>7</v>
      </c>
      <c r="D30" s="48"/>
      <c r="E30" s="48"/>
      <c r="F30" s="48"/>
    </row>
    <row r="31" spans="1:6" ht="20.100000000000001" customHeight="1">
      <c r="A31" s="20"/>
      <c r="B31" s="21"/>
      <c r="C31" s="48" t="s">
        <v>5</v>
      </c>
      <c r="D31" s="48"/>
      <c r="E31" s="48"/>
      <c r="F31" s="48"/>
    </row>
    <row r="32" spans="1:6" ht="20.100000000000001" customHeight="1">
      <c r="A32" s="22"/>
      <c r="B32" s="23"/>
      <c r="C32" s="48" t="s">
        <v>6</v>
      </c>
      <c r="D32" s="48"/>
      <c r="E32" s="48"/>
      <c r="F32" s="48"/>
    </row>
    <row r="33" spans="1:6" ht="20.100000000000001" customHeight="1">
      <c r="A33" s="18" t="s">
        <v>10</v>
      </c>
      <c r="B33" s="19"/>
      <c r="C33" s="48" t="s">
        <v>37</v>
      </c>
      <c r="D33" s="48"/>
      <c r="E33" s="48"/>
      <c r="F33" s="48"/>
    </row>
    <row r="34" spans="1:6" ht="20.100000000000001" customHeight="1">
      <c r="A34" s="22"/>
      <c r="B34" s="23"/>
      <c r="C34" s="48" t="s">
        <v>9</v>
      </c>
      <c r="D34" s="48"/>
      <c r="E34" s="48"/>
      <c r="F34" s="48"/>
    </row>
  </sheetData>
  <mergeCells count="27">
    <mergeCell ref="C33:F33"/>
    <mergeCell ref="C34:F34"/>
    <mergeCell ref="C26:F26"/>
    <mergeCell ref="C27:F27"/>
    <mergeCell ref="C28:F28"/>
    <mergeCell ref="C29:F29"/>
    <mergeCell ref="C30:F30"/>
    <mergeCell ref="C31:F31"/>
    <mergeCell ref="A14:B14"/>
    <mergeCell ref="A23:B23"/>
    <mergeCell ref="C23:F23"/>
    <mergeCell ref="C24:F24"/>
    <mergeCell ref="C32:F32"/>
    <mergeCell ref="A16:B16"/>
    <mergeCell ref="A17:B17"/>
    <mergeCell ref="A18:B18"/>
    <mergeCell ref="A19:B19"/>
    <mergeCell ref="A2:A4"/>
    <mergeCell ref="B2:B4"/>
    <mergeCell ref="C2:L2"/>
    <mergeCell ref="M2:N3"/>
    <mergeCell ref="A13:B13"/>
    <mergeCell ref="O2:P3"/>
    <mergeCell ref="C3:F3"/>
    <mergeCell ref="G3:J3"/>
    <mergeCell ref="K3:L3"/>
    <mergeCell ref="C25:F25"/>
  </mergeCells>
  <phoneticPr fontId="8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2022-09-05T07:03:51Z</dcterms:modified>
</cp:coreProperties>
</file>