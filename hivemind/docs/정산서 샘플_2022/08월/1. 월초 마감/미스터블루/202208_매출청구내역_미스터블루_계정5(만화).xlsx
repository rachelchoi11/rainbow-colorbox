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미스터블루\"/>
    </mc:Choice>
  </mc:AlternateContent>
  <bookViews>
    <workbookView xWindow="0" yWindow="0" windowWidth="23040" windowHeight="8952"/>
  </bookViews>
  <sheets>
    <sheet name="합계(8)" sheetId="125" r:id="rId1"/>
  </sheets>
  <definedNames>
    <definedName name="_xlnm._FilterDatabase" localSheetId="0" hidden="1">'합계(8)'!$A$1:$AV$1</definedName>
    <definedName name="_xlnm.Extract" localSheetId="0">'합계(8)'!#REF!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10" i="125" l="1"/>
</calcChain>
</file>

<file path=xl/sharedStrings.xml><?xml version="1.0" encoding="utf-8"?>
<sst xmlns="http://schemas.openxmlformats.org/spreadsheetml/2006/main" count="66" uniqueCount="57">
  <si>
    <t>작품명</t>
  </si>
  <si>
    <t>작가명</t>
  </si>
  <si>
    <t>코드</t>
  </si>
  <si>
    <t>정액_매출액</t>
    <phoneticPr fontId="26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</si>
  <si>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</si>
  <si>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</si>
  <si>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</si>
  <si>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</si>
  <si>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</si>
  <si>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</si>
  <si>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</si>
  <si>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</si>
  <si>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</si>
  <si>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</si>
  <si>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</si>
  <si>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</si>
  <si>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정액_건수</t>
    <phoneticPr fontId="26" type="noConversion"/>
  </si>
  <si>
    <t>정액_정산액</t>
    <phoneticPr fontId="26" type="noConversion"/>
  </si>
  <si>
    <t>블루머니_권별대여_건수</t>
    <phoneticPr fontId="95" type="noConversion"/>
  </si>
  <si>
    <t>블루머니_권별대여_이용권(화) 수</t>
    <phoneticPr fontId="95" type="noConversion"/>
  </si>
  <si>
    <t>블루머니_권별대여_매출액</t>
    <phoneticPr fontId="95" type="noConversion"/>
  </si>
  <si>
    <t>블루머니_권별소장_건수</t>
    <phoneticPr fontId="95" type="noConversion"/>
  </si>
  <si>
    <t>블루머니_권별소장_이용권(화) 수</t>
    <phoneticPr fontId="95" type="noConversion"/>
  </si>
  <si>
    <t>블루머니_권별소장_매출액</t>
    <phoneticPr fontId="95" type="noConversion"/>
  </si>
  <si>
    <t>블루머니_전권대여_건수</t>
    <phoneticPr fontId="95" type="noConversion"/>
  </si>
  <si>
    <t>블루머니_전권대여_이용권(화) 수</t>
    <phoneticPr fontId="95" type="noConversion"/>
  </si>
  <si>
    <t>블루머니_전권대여_매출액</t>
    <phoneticPr fontId="95" type="noConversion"/>
  </si>
  <si>
    <t>블루머니_전권소장_건수</t>
    <phoneticPr fontId="95" type="noConversion"/>
  </si>
  <si>
    <t>블루머니_전권소장_이용권(화) 수</t>
    <phoneticPr fontId="95" type="noConversion"/>
  </si>
  <si>
    <t>블루머니_전권소장_매출액</t>
    <phoneticPr fontId="95" type="noConversion"/>
  </si>
  <si>
    <t>계_건수</t>
    <phoneticPr fontId="95" type="noConversion"/>
  </si>
  <si>
    <t>계_이용권(화)수</t>
    <phoneticPr fontId="95" type="noConversion"/>
  </si>
  <si>
    <t>계_매출액</t>
    <phoneticPr fontId="95" type="noConversion"/>
  </si>
  <si>
    <t>계_정산액</t>
    <phoneticPr fontId="95" type="noConversion"/>
  </si>
  <si>
    <t>매출액</t>
    <phoneticPr fontId="26" type="noConversion"/>
  </si>
  <si>
    <t>정산액</t>
    <phoneticPr fontId="26" type="noConversion"/>
  </si>
  <si>
    <t>출판사</t>
    <phoneticPr fontId="99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</si>
  <si>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9" type="noConversion"/>
  </si>
  <si>
    <t>I.앱머니_권별대여_건수</t>
    <phoneticPr fontId="26" type="noConversion"/>
  </si>
  <si>
    <t>I.앱머니_권별대여_이용권(화) 수</t>
    <phoneticPr fontId="26" type="noConversion"/>
  </si>
  <si>
    <t>I.앱머니_권별대여_매출액</t>
    <phoneticPr fontId="26" type="noConversion"/>
  </si>
  <si>
    <t>I.앱머니_권별소장_건수</t>
    <phoneticPr fontId="26" type="noConversion"/>
  </si>
  <si>
    <t>I.앱머니_권별소장_이용권(화) 수</t>
    <phoneticPr fontId="26" type="noConversion"/>
  </si>
  <si>
    <t>I.앱머니_권별소장_매출액</t>
    <phoneticPr fontId="26" type="noConversion"/>
  </si>
  <si>
    <t>I.앱머니_전권대여_건수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</si>
  <si>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</si>
  <si>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</si>
  <si>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I.앱머니_전권소장_건수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</si>
  <si>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</si>
  <si>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</si>
  <si>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결혼전쟁 [스크롤]</t>
  </si>
  <si>
    <t>웹티,올코</t>
  </si>
  <si>
    <t>그남자의 사랑방식 [스크롤]</t>
  </si>
  <si>
    <t>달콤한 결혼 [스크롤]</t>
  </si>
  <si>
    <t>대표님과 연애를 시작했습니다 [스크롤]</t>
  </si>
  <si>
    <t>천년의 사랑 [스크롤]</t>
  </si>
  <si>
    <t>올코,웹티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</si>
</sst>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5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rgb="FFBEBEBE"/>
      </left>
      <right/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96" fillId="0" borderId="19" xfId="0" applyFont="1" applyBorder="1" applyAlignment="1">
      <alignment horizontal="left" vertical="center" wrapText="1"/>
    </xf>
    <xf numFmtId="0" fontId="97" fillId="0" borderId="19" xfId="0" applyFont="1" applyBorder="1" applyAlignment="1">
      <alignment horizontal="right" vertical="center" wrapText="1"/>
    </xf>
    <xf numFmtId="4" fontId="97" fillId="0" borderId="19" xfId="0" applyNumberFormat="1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1" fontId="0" fillId="0" borderId="0" xfId="2353" applyFont="1">
      <alignment vertical="center"/>
    </xf>
    <xf numFmtId="4" fontId="98" fillId="0" borderId="20" xfId="0" applyNumberFormat="1" applyFont="1" applyBorder="1" applyAlignment="1">
      <alignment horizontal="right" vertical="center" wrapText="1"/>
    </xf>
    <xf numFmtId="0" fontId="100" fillId="33" borderId="1" xfId="1880" applyFont="1" applyFill="1" applyBorder="1" applyAlignment="1">
      <alignment vertical="center" wrapText="1"/>
    </xf>
    <xf numFmtId="0" fontId="100" fillId="38" borderId="1" xfId="1880" applyFont="1" applyFill="1" applyBorder="1" applyAlignment="1">
      <alignment vertical="center" wrapText="1"/>
    </xf>
    <xf numFmtId="0" fontId="101" fillId="39" borderId="1" xfId="0" applyFont="1" applyFill="1" applyBorder="1" applyAlignment="1">
      <alignment vertical="center" wrapText="1"/>
    </xf>
    <xf numFmtId="0" fontId="101" fillId="40" borderId="1" xfId="0" applyFont="1" applyFill="1" applyBorder="1" applyAlignment="1">
      <alignment vertical="center" wrapText="1"/>
    </xf>
    <xf numFmtId="0" fontId="101" fillId="41" borderId="1" xfId="0" applyFont="1" applyFill="1" applyBorder="1" applyAlignment="1">
      <alignment vertical="center" wrapText="1"/>
    </xf>
    <xf numFmtId="0" fontId="101" fillId="42" borderId="1" xfId="0" applyFont="1" applyFill="1" applyBorder="1" applyAlignment="1">
      <alignment horizontal="center" vertical="center" wrapText="1"/>
    </xf>
    <xf numFmtId="41" fontId="101" fillId="42" borderId="1" xfId="2353" applyFont="1" applyFill="1" applyBorder="1" applyAlignment="1">
      <alignment horizontal="center" vertical="center" wrapText="1"/>
    </xf>
    <xf numFmtId="0" fontId="102" fillId="33" borderId="21" xfId="0" applyFont="1" applyFill="1" applyBorder="1" applyAlignment="1">
      <alignment vertical="center"/>
    </xf>
    <xf numFmtId="0" fontId="103" fillId="33" borderId="22" xfId="0" applyFont="1" applyFill="1" applyBorder="1" applyAlignment="1">
      <alignment vertical="center"/>
    </xf>
    <xf numFmtId="0" fontId="104" fillId="0" borderId="0" xfId="0" applyFont="1">
      <alignment vertical="center"/>
    </xf>
    <xf numFmtId="0" fontId="101" fillId="44" borderId="1" xfId="0" applyFont="1" applyFill="1" applyBorder="1" applyAlignment="1">
      <alignment vertical="center" wrapText="1"/>
    </xf>
    <xf numFmtId="41" fontId="0" fillId="43" borderId="0" xfId="2353" applyFont="1" applyFill="1">
      <alignment vertical="center"/>
    </xf>
    <xf numFmtId="0" fontId="98" fillId="0" borderId="19" xfId="0" applyFont="1" applyBorder="1" applyAlignment="1">
      <alignment horizontal="right" vertical="center" wrapText="1"/>
    </xf>
    <xf numFmtId="0" fontId="98" fillId="0" borderId="20" xfId="0" applyFont="1" applyBorder="1" applyAlignment="1">
      <alignment horizontal="right" vertical="center" wrapText="1"/>
    </xf>
    <xf numFmtId="4" fontId="98" fillId="0" borderId="23" xfId="0" applyNumberFormat="1" applyFont="1" applyFill="1" applyBorder="1" applyAlignment="1">
      <alignment horizontal="right" vertical="center" wrapText="1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X10"/>
  <sheetViews>
    <sheetView tabSelected="1" zoomScale="85" zoomScaleNormal="85" workbookViewId="0"/>
  </sheetViews>
  <sheetFormatPr defaultRowHeight="17.399999999999999"/>
  <cols>
    <col min="1" max="1" width="24.19921875" bestFit="1" customWidth="1"/>
    <col min="5" max="5" width="10" customWidth="1"/>
    <col min="6" max="6" width="10.296875" customWidth="1"/>
    <col min="45" max="46" width="9.8984375" bestFit="1" customWidth="1"/>
    <col min="47" max="47" width="13.19921875" customWidth="1"/>
    <col min="48" max="48" width="13.5" style="5" bestFit="1" customWidth="1"/>
  </cols>
  <sheetData>
    <row r="1" spans="1:50" s="16" customFormat="1" ht="40.200000000000003" thickBot="1">
      <c r="A1" s="7" t="s">
        <v>0</v>
      </c>
      <c r="B1" s="7" t="s">
        <v>1</v>
      </c>
      <c r="C1" s="7" t="s">
        <v>2</v>
      </c>
      <c r="D1" s="8" t="s">
        <v>16</v>
      </c>
      <c r="E1" s="8" t="s">
        <v>3</v>
      </c>
      <c r="F1" s="8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  <c r="P1" s="9" t="s">
        <v>27</v>
      </c>
      <c r="Q1" s="9" t="s">
        <v>28</v>
      </c>
      <c r="R1" s="9" t="s">
        <v>29</v>
      </c>
      <c r="S1" s="10" t="s">
        <v>4</v>
      </c>
      <c r="T1" s="10" t="s">
        <v>5</v>
      </c>
      <c r="U1" s="10" t="s">
        <v>6</v>
      </c>
      <c r="V1" s="10" t="s">
        <v>7</v>
      </c>
      <c r="W1" s="10" t="s">
        <v>8</v>
      </c>
      <c r="X1" s="10" t="s">
        <v>9</v>
      </c>
      <c r="Y1" s="10" t="s">
        <v>10</v>
      </c>
      <c r="Z1" s="10" t="s">
        <v>11</v>
      </c>
      <c r="AA1" s="10" t="s">
        <v>12</v>
      </c>
      <c r="AB1" s="10" t="s">
        <v>13</v>
      </c>
      <c r="AC1" s="10" t="s">
        <v>14</v>
      </c>
      <c r="AD1" s="10" t="s">
        <v>15</v>
      </c>
      <c r="AE1" s="17" t="s">
        <v>38</v>
      </c>
      <c r="AF1" s="17" t="s">
        <v>39</v>
      </c>
      <c r="AG1" s="17" t="s">
        <v>40</v>
      </c>
      <c r="AH1" s="17" t="s">
        <v>41</v>
      </c>
      <c r="AI1" s="17" t="s">
        <v>42</v>
      </c>
      <c r="AJ1" s="17" t="s">
        <v>43</v>
      </c>
      <c r="AK1" s="17" t="s">
        <v>44</v>
      </c>
      <c r="AL1" s="17" t="s">
        <v>45</v>
      </c>
      <c r="AM1" s="17" t="s">
        <v>46</v>
      </c>
      <c r="AN1" s="17" t="s">
        <v>47</v>
      </c>
      <c r="AO1" s="17" t="s">
        <v>48</v>
      </c>
      <c r="AP1" s="17" t="s">
        <v>49</v>
      </c>
      <c r="AQ1" s="11" t="s">
        <v>30</v>
      </c>
      <c r="AR1" s="11" t="s">
        <v>31</v>
      </c>
      <c r="AS1" s="11" t="s">
        <v>32</v>
      </c>
      <c r="AT1" s="11" t="s">
        <v>33</v>
      </c>
      <c r="AU1" s="12" t="s">
        <v>34</v>
      </c>
      <c r="AV1" s="13" t="s">
        <v>35</v>
      </c>
      <c r="AW1" s="14" t="s">
        <v>36</v>
      </c>
      <c r="AX1" s="15" t="s">
        <v>37</v>
      </c>
    </row>
    <row r="2" spans="1:50" ht="18" thickBot="1">
      <c r="A2" s="1" t="s">
        <v>50</v>
      </c>
      <c r="B2" s="1" t="s">
        <v>51</v>
      </c>
      <c r="C2" s="1"/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 s="2">
        <v>1</v>
      </c>
      <c r="U2" s="2">
        <v>240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1</v>
      </c>
      <c r="AR2" s="2">
        <v>1</v>
      </c>
      <c r="AS2" s="2">
        <v>240</v>
      </c>
      <c r="AT2" s="2">
        <v>151.19999999999999</v>
      </c>
      <c r="AU2" s="19">
        <v>240</v>
      </c>
      <c r="AV2" s="20">
        <v>151.19999999999999</v>
      </c>
    </row>
    <row r="3" spans="1:50" ht="18" thickBot="1">
      <c r="A3" s="1" t="s">
        <v>52</v>
      </c>
      <c r="B3" s="1" t="s">
        <v>51</v>
      </c>
      <c r="C3" s="1"/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5</v>
      </c>
      <c r="T3" s="2">
        <v>5</v>
      </c>
      <c r="U3" s="3">
        <v>1200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5</v>
      </c>
      <c r="AR3" s="2">
        <v>5</v>
      </c>
      <c r="AS3" s="3">
        <v>1200</v>
      </c>
      <c r="AT3" s="2">
        <v>756</v>
      </c>
      <c r="AU3" s="4">
        <v>1200</v>
      </c>
      <c r="AV3" s="20">
        <v>756</v>
      </c>
    </row>
    <row r="4" spans="1:50" ht="18" thickBot="1">
      <c r="A4" s="1" t="s">
        <v>53</v>
      </c>
      <c r="B4" s="1" t="s">
        <v>51</v>
      </c>
      <c r="C4" s="1"/>
      <c r="D4" s="2">
        <v>0</v>
      </c>
      <c r="E4" s="2">
        <v>0</v>
      </c>
      <c r="F4" s="2">
        <v>0</v>
      </c>
      <c r="G4" s="2">
        <v>3</v>
      </c>
      <c r="H4" s="2">
        <v>3</v>
      </c>
      <c r="I4" s="2">
        <v>600</v>
      </c>
      <c r="J4" s="2">
        <v>0</v>
      </c>
      <c r="K4" s="2">
        <v>0</v>
      </c>
      <c r="L4" s="2">
        <v>0</v>
      </c>
      <c r="M4" s="2">
        <v>1</v>
      </c>
      <c r="N4" s="2">
        <v>72</v>
      </c>
      <c r="O4" s="3">
        <v>14400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4</v>
      </c>
      <c r="AR4" s="2">
        <v>75</v>
      </c>
      <c r="AS4" s="3">
        <v>15000</v>
      </c>
      <c r="AT4" s="3">
        <v>9000</v>
      </c>
      <c r="AU4" s="4">
        <v>15000</v>
      </c>
      <c r="AV4" s="6">
        <v>9000</v>
      </c>
    </row>
    <row r="5" spans="1:50" ht="18" thickBot="1">
      <c r="A5" s="1" t="s">
        <v>54</v>
      </c>
      <c r="B5" s="1" t="s">
        <v>51</v>
      </c>
      <c r="C5" s="1"/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32</v>
      </c>
      <c r="R5" s="3">
        <v>16000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1</v>
      </c>
      <c r="AR5" s="2">
        <v>32</v>
      </c>
      <c r="AS5" s="3">
        <v>16000</v>
      </c>
      <c r="AT5" s="3">
        <v>9600</v>
      </c>
      <c r="AU5" s="4">
        <v>16000</v>
      </c>
      <c r="AV5" s="6">
        <v>9600</v>
      </c>
    </row>
    <row r="6" spans="1:50" ht="18" thickBot="1">
      <c r="A6" s="1" t="s">
        <v>55</v>
      </c>
      <c r="B6" s="1" t="s">
        <v>56</v>
      </c>
      <c r="C6" s="1"/>
      <c r="D6" s="2">
        <v>0</v>
      </c>
      <c r="E6" s="2">
        <v>0</v>
      </c>
      <c r="F6" s="2">
        <v>0</v>
      </c>
      <c r="G6" s="2">
        <v>3</v>
      </c>
      <c r="H6" s="2">
        <v>3</v>
      </c>
      <c r="I6" s="2">
        <v>600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12</v>
      </c>
      <c r="T6" s="2">
        <v>12</v>
      </c>
      <c r="U6" s="3">
        <v>2880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15</v>
      </c>
      <c r="AR6" s="2">
        <v>15</v>
      </c>
      <c r="AS6" s="3">
        <v>3480</v>
      </c>
      <c r="AT6" s="3">
        <v>2174.4</v>
      </c>
      <c r="AU6" s="4">
        <v>3480</v>
      </c>
      <c r="AV6" s="6">
        <v>2174.4</v>
      </c>
    </row>
    <row r="7" spans="1:50" ht="18" thickBot="1">
      <c r="A7" s="1" t="s">
        <v>50</v>
      </c>
      <c r="B7" s="1" t="s">
        <v>51</v>
      </c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3"/>
      <c r="AT7" s="3"/>
      <c r="AU7" s="21">
        <v>11000</v>
      </c>
      <c r="AV7" s="6">
        <v>6600</v>
      </c>
    </row>
    <row r="8" spans="1:50" ht="18" thickBot="1">
      <c r="A8" s="1" t="s">
        <v>52</v>
      </c>
      <c r="B8" s="1" t="s">
        <v>51</v>
      </c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3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3"/>
      <c r="AT8" s="3"/>
      <c r="AU8" s="21">
        <v>480</v>
      </c>
      <c r="AV8" s="6">
        <v>288</v>
      </c>
    </row>
    <row r="9" spans="1:50">
      <c r="A9" s="1" t="s">
        <v>53</v>
      </c>
      <c r="B9" s="1" t="s">
        <v>51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3"/>
      <c r="AT9" s="3"/>
      <c r="AU9" s="21">
        <v>10400</v>
      </c>
      <c r="AV9" s="6">
        <v>6240</v>
      </c>
    </row>
    <row r="10" spans="1:50">
      <c r="AV10" s="18">
        <f>SUM(AV2:AV9)</f>
        <v>34809.600000000006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2022-09-05T07:02:28Z</dcterms:modified>
</cp:coreProperties>
</file>