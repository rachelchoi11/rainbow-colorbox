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8월 마감\1. 월초 마감\미스터블루\"/>
    </mc:Choice>
  </mc:AlternateContent>
  <bookViews>
    <workbookView xWindow="0" yWindow="0" windowWidth="23040" windowHeight="8952" tabRatio="722"/>
  </bookViews>
  <sheets>
    <sheet name="합계(8)" sheetId="140" r:id="rId1"/>
  </sheets>
  <definedNames>
    <definedName name="_xlnm._FilterDatabase" localSheetId="0" hidden="1">'합계(8)'!#REF!</definedName>
    <definedName name="_xlnm.Extract" localSheetId="0">'합계(8)'!#REF!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100" i="140" l="1"/>
</calcChain>
</file>

<file path=xl/sharedStrings.xml><?xml version="1.0" encoding="utf-8"?>
<sst xmlns="http://schemas.openxmlformats.org/spreadsheetml/2006/main" count="275" uniqueCount="231">
  <si>
    <t>작품명</t>
  </si>
  <si>
    <t>작가명</t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</si>
  <si>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</si>
  <si>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</si>
  <si>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</si>
  <si>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</si>
  <si>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</si>
  <si>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</si>
  <si>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</si>
  <si>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</si>
  <si>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</si>
  <si>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</si>
  <si>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</si>
  <si>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</si>
  <si>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정액_건수</t>
    <phoneticPr fontId="26" type="noConversion"/>
  </si>
  <si>
    <t>정액_정산액</t>
    <phoneticPr fontId="26" type="noConversion"/>
  </si>
  <si>
    <t>블루머니_권별소장_건수</t>
    <phoneticPr fontId="95" type="noConversion"/>
  </si>
  <si>
    <t>블루머니_전권대여_매출액</t>
    <phoneticPr fontId="95" type="noConversion"/>
  </si>
  <si>
    <t>블루머니_전권소장_건수</t>
    <phoneticPr fontId="95" type="noConversion"/>
  </si>
  <si>
    <t>블루머니_전권소장_이용권(화) 수</t>
    <phoneticPr fontId="95" type="noConversion"/>
  </si>
  <si>
    <t>계_이용권(화)수</t>
    <phoneticPr fontId="95" type="noConversion"/>
  </si>
  <si>
    <t>계_정산액</t>
    <phoneticPr fontId="95" type="noConversion"/>
  </si>
  <si>
    <t>정산액</t>
    <phoneticPr fontId="26" type="noConversion"/>
  </si>
  <si>
    <t>[BL] 익스클루시브(Exclusive)</t>
  </si>
  <si>
    <t>사틴</t>
  </si>
  <si>
    <t>[BL] 하루하루</t>
  </si>
  <si>
    <t>[BL] More than BLUE(모어 댄 블루)</t>
  </si>
  <si>
    <t>나나코</t>
  </si>
  <si>
    <t>nabit0001</t>
  </si>
  <si>
    <t>강호, 미치다</t>
  </si>
  <si>
    <t>최재봉</t>
  </si>
  <si>
    <t>SE213127</t>
  </si>
  <si>
    <t>김원경</t>
  </si>
  <si>
    <t>군주, 다시 귀환하다</t>
  </si>
  <si>
    <t>백범(白帆)</t>
  </si>
  <si>
    <t>깃들다</t>
  </si>
  <si>
    <t>현진서</t>
  </si>
  <si>
    <t>남궁세가 건달공자</t>
  </si>
  <si>
    <t>협행마</t>
  </si>
  <si>
    <t>SE211690</t>
  </si>
  <si>
    <t>남창목가</t>
  </si>
  <si>
    <t>SE213128</t>
  </si>
  <si>
    <t>낯선 밤에 마주친</t>
  </si>
  <si>
    <t>춈춈</t>
  </si>
  <si>
    <t>너만 보면 두근두근</t>
  </si>
  <si>
    <t>정경하</t>
  </si>
  <si>
    <t>더 캡틴</t>
  </si>
  <si>
    <t>용가리맛쿠키</t>
  </si>
  <si>
    <t>동대륙의 낭인무사</t>
  </si>
  <si>
    <t>epilogue0034</t>
  </si>
  <si>
    <t>뜨겁게 안녕</t>
  </si>
  <si>
    <t>러브니</t>
  </si>
  <si>
    <t>모닝콜(Morning Call)</t>
  </si>
  <si>
    <t>하이지</t>
  </si>
  <si>
    <t>무림병장</t>
  </si>
  <si>
    <t>epilogue0059</t>
  </si>
  <si>
    <t>무심코</t>
  </si>
  <si>
    <t>달로</t>
  </si>
  <si>
    <t>무적살수</t>
  </si>
  <si>
    <t>epilogue0052</t>
  </si>
  <si>
    <t>미쳐 버린 밤</t>
  </si>
  <si>
    <t>백화(百花)</t>
  </si>
  <si>
    <t>백범</t>
  </si>
  <si>
    <t>바스락</t>
  </si>
  <si>
    <t>밤의 제물</t>
  </si>
  <si>
    <t>두럭</t>
  </si>
  <si>
    <t>밤이 오는 소리</t>
  </si>
  <si>
    <t>마뇽</t>
  </si>
  <si>
    <t>법보다 주먹</t>
  </si>
  <si>
    <t>법보다 주먹 (연재)</t>
  </si>
  <si>
    <t>epilogue0041</t>
  </si>
  <si>
    <t>신윤희(에드가)</t>
  </si>
  <si>
    <t>송여희</t>
  </si>
  <si>
    <t>라벤더블루</t>
  </si>
  <si>
    <t>사내 연애의 끝</t>
  </si>
  <si>
    <t>최현자</t>
  </si>
  <si>
    <t>새벽달</t>
  </si>
  <si>
    <t>김혜연</t>
  </si>
  <si>
    <t>설국연가</t>
  </si>
  <si>
    <t>수면제</t>
  </si>
  <si>
    <t>명우</t>
  </si>
  <si>
    <t>슈크림</t>
  </si>
  <si>
    <t>송민선</t>
  </si>
  <si>
    <t>신들의 성소</t>
  </si>
  <si>
    <t>중년바나나</t>
  </si>
  <si>
    <t>nabit0041</t>
  </si>
  <si>
    <t>악당의 리턴</t>
  </si>
  <si>
    <t>악당의 리턴 (연재)</t>
  </si>
  <si>
    <t>엑스 비서</t>
  </si>
  <si>
    <t>비향</t>
  </si>
  <si>
    <t>여름, 밤의 사정</t>
  </si>
  <si>
    <t>연애의 시작</t>
  </si>
  <si>
    <t>차크</t>
  </si>
  <si>
    <t>용병수칙</t>
  </si>
  <si>
    <t>epilogue0055</t>
  </si>
  <si>
    <t>우리 집 악마 새끼</t>
  </si>
  <si>
    <t>thecompany0025</t>
  </si>
  <si>
    <t>위사무적</t>
  </si>
  <si>
    <t>epilogue0035</t>
  </si>
  <si>
    <t>위사무적 (연재)</t>
  </si>
  <si>
    <t>유일한 취미</t>
  </si>
  <si>
    <t>서혜은</t>
  </si>
  <si>
    <t>이 맛에 회장한다</t>
  </si>
  <si>
    <t>SE213316</t>
  </si>
  <si>
    <t>이리 와 봐</t>
  </si>
  <si>
    <t>최강주</t>
  </si>
  <si>
    <t>nabit0031</t>
  </si>
  <si>
    <t>이별 그리고 그 후</t>
  </si>
  <si>
    <t>이세계 최강 군바리</t>
  </si>
  <si>
    <t>SE213130</t>
  </si>
  <si>
    <t>이차적 일탈</t>
  </si>
  <si>
    <t>일교차</t>
  </si>
  <si>
    <t>해화</t>
  </si>
  <si>
    <t>전설이 돼라</t>
  </si>
  <si>
    <t>전장의 금기</t>
  </si>
  <si>
    <t>epilogue0033</t>
  </si>
  <si>
    <t>진짜 사나이</t>
  </si>
  <si>
    <t>집착 상사</t>
  </si>
  <si>
    <t>장현미</t>
  </si>
  <si>
    <t>집착의 맛 (연재)</t>
  </si>
  <si>
    <t>sJessi</t>
  </si>
  <si>
    <t>처녀 보쌈</t>
  </si>
  <si>
    <t>첫사랑을 종료하시겠습니까</t>
  </si>
  <si>
    <t>이파람</t>
  </si>
  <si>
    <t>티끌모아 대박</t>
  </si>
  <si>
    <t>폭군의 공물</t>
  </si>
  <si>
    <t>여러해살이풀</t>
  </si>
  <si>
    <t>nabit0065</t>
  </si>
  <si>
    <t>하고 싶어</t>
  </si>
  <si>
    <t>시아</t>
  </si>
  <si>
    <t>nabit0061</t>
  </si>
  <si>
    <t>헌터 킹</t>
  </si>
  <si>
    <t>흑막의 신</t>
  </si>
  <si>
    <t>출판사</t>
    <phoneticPr fontId="99" type="noConversion"/>
  </si>
  <si>
    <t>군주, 다시 귀환하다 (연재)</t>
  </si>
  <si>
    <t>넘어와</t>
  </si>
  <si>
    <t>연유</t>
  </si>
  <si>
    <t>봄볕이 아른아른</t>
  </si>
  <si>
    <t>불꽃</t>
  </si>
  <si>
    <t>빠져들다</t>
  </si>
  <si>
    <t>알리시아</t>
  </si>
  <si>
    <t>연애의 끝</t>
  </si>
  <si>
    <t>완벽한 이상형</t>
  </si>
  <si>
    <t>지니</t>
  </si>
  <si>
    <t>thecompany0022</t>
  </si>
  <si>
    <t>피모</t>
  </si>
  <si>
    <t>이리 와 봐 (외전)</t>
  </si>
  <si>
    <t>nabit0045</t>
  </si>
  <si>
    <t>이중생활</t>
  </si>
  <si>
    <t>이정숙</t>
  </si>
  <si>
    <t>전설이 돼라(개정판) (연재)</t>
  </si>
  <si>
    <t>집착의 맛</t>
  </si>
  <si>
    <t>하일군재래(何日君再來)</t>
  </si>
  <si>
    <t>향기로운 뿔</t>
  </si>
  <si>
    <t>이진희</t>
  </si>
  <si>
    <t>황궁애사</t>
  </si>
  <si>
    <t>thecompany0014</t>
  </si>
  <si>
    <t>코드</t>
  </si>
  <si>
    <t>블루머니_권별대여_이용권(화) 수</t>
    <phoneticPr fontId="95" type="noConversion"/>
  </si>
  <si>
    <t>블루머니_전권대여_건수</t>
    <phoneticPr fontId="95" type="noConversion"/>
  </si>
  <si>
    <t>블루머니_전권소장_매출액</t>
    <phoneticPr fontId="95" type="noConversion"/>
  </si>
  <si>
    <t>I.앱머니_권별대여_건수</t>
    <phoneticPr fontId="26" type="noConversion"/>
  </si>
  <si>
    <t>I.앱머니_권별대여_매출액</t>
    <phoneticPr fontId="26" type="noConversion"/>
  </si>
  <si>
    <t>I.앱머니_권별소장_이용권(화) 수</t>
    <phoneticPr fontId="26" type="noConversion"/>
  </si>
  <si>
    <t>I.앱머니_권별소장_매출액</t>
    <phoneticPr fontId="26" type="noConversion"/>
  </si>
  <si>
    <t>I.앱머니_전권대여_이용권(화) 수</t>
    <phoneticPr fontId="26" type="noConversion"/>
  </si>
  <si>
    <t>I.앱머니_전권대여_매출액</t>
    <phoneticPr fontId="26" type="noConversion"/>
  </si>
  <si>
    <t>I.앱머니_전권소장_건수</t>
    <phoneticPr fontId="26" type="noConversion"/>
  </si>
  <si>
    <t>I.앱머니_전권소장_이용권(화) 수</t>
    <phoneticPr fontId="26" type="noConversion"/>
  </si>
  <si>
    <t>I.앱머니_전권소장_매출액</t>
    <phoneticPr fontId="26" type="noConversion"/>
  </si>
  <si>
    <r>
      <rPr>
        <sz val="9"/>
        <color theme="1"/>
        <rFont val="돋움"/>
        <family val="3"/>
        <charset val="129"/>
      </rPr>
      <t>작가</t>
    </r>
    <r>
      <rPr>
        <sz val="9"/>
        <color theme="1"/>
        <rFont val="맑은 고딕"/>
        <family val="2"/>
        <scheme val="minor"/>
      </rPr>
      <t xml:space="preserve"> CP</t>
    </r>
    <phoneticPr fontId="99" type="noConversion"/>
  </si>
  <si>
    <t>정액_매출액</t>
    <phoneticPr fontId="26" type="noConversion"/>
  </si>
  <si>
    <t>블루머니_권별대여_건수</t>
    <phoneticPr fontId="95" type="noConversion"/>
  </si>
  <si>
    <t>블루머니_권별대여_매출액</t>
    <phoneticPr fontId="95" type="noConversion"/>
  </si>
  <si>
    <t>블루머니_권별소장_이용권(화) 수</t>
    <phoneticPr fontId="95" type="noConversion"/>
  </si>
  <si>
    <t>블루머니_권별소장_매출액</t>
    <phoneticPr fontId="95" type="noConversion"/>
  </si>
  <si>
    <t>블루머니_전권대여_이용권(화) 수</t>
    <phoneticPr fontId="95" type="noConversion"/>
  </si>
  <si>
    <t>I.앱머니_권별대여_이용권(화) 수</t>
    <phoneticPr fontId="26" type="noConversion"/>
  </si>
  <si>
    <t>I.앱머니_권별소장_건수</t>
    <phoneticPr fontId="26" type="noConversion"/>
  </si>
  <si>
    <t>I.앱머니_전권대여_건수</t>
    <phoneticPr fontId="26" type="noConversion"/>
  </si>
  <si>
    <t>계_건수</t>
    <phoneticPr fontId="95" type="noConversion"/>
  </si>
  <si>
    <t>계_매출액</t>
    <phoneticPr fontId="95" type="noConversion"/>
  </si>
  <si>
    <t>매출액</t>
    <phoneticPr fontId="26" type="noConversion"/>
  </si>
  <si>
    <t>[BL] 그저, 닿지 않을 너에게 (연재)</t>
  </si>
  <si>
    <t>뚜여사</t>
  </si>
  <si>
    <t>[BL] 너만 모르는 연애 (연재)</t>
  </si>
  <si>
    <t>카에트</t>
  </si>
  <si>
    <t>[BL] 사냥꾼</t>
  </si>
  <si>
    <t>라돌체</t>
  </si>
  <si>
    <t>lsbl0011</t>
  </si>
  <si>
    <t>계약 비서</t>
  </si>
  <si>
    <t>그대로부터 시작된 밤</t>
  </si>
  <si>
    <t>서향</t>
  </si>
  <si>
    <t>nabit0076</t>
  </si>
  <si>
    <t>기획에 산다</t>
  </si>
  <si>
    <t>꽃처럼 너를 안는다</t>
  </si>
  <si>
    <t>반지영</t>
  </si>
  <si>
    <t>너는 천사</t>
  </si>
  <si>
    <t>다정한 악몽</t>
  </si>
  <si>
    <t>하루가</t>
  </si>
  <si>
    <t>동대륙의 낭인무사 (연재)</t>
  </si>
  <si>
    <t>무적살수 (연재)</t>
  </si>
  <si>
    <t>바람피우지 마세요 (연재)</t>
  </si>
  <si>
    <t>정감</t>
  </si>
  <si>
    <t>바보가 만드는 멋진 세상 (개정판)</t>
  </si>
  <si>
    <t>불순한 재회</t>
  </si>
  <si>
    <t>사냥꾼은 마왕이 되기 싫다</t>
  </si>
  <si>
    <t>강명운</t>
  </si>
  <si>
    <t>삶의 끝에서</t>
  </si>
  <si>
    <t>이승희</t>
  </si>
  <si>
    <t>소울 슈터</t>
  </si>
  <si>
    <t>라이큐</t>
  </si>
  <si>
    <t>술탄</t>
  </si>
  <si>
    <t>jooki</t>
  </si>
  <si>
    <t>nabit0032</t>
  </si>
  <si>
    <t>술탄 (외전)</t>
  </si>
  <si>
    <t>nabit0046</t>
  </si>
  <si>
    <t>신들의 성소 (외전)</t>
  </si>
  <si>
    <t>nabit0066</t>
  </si>
  <si>
    <t>운상연담: 화불능귀일락 (외전)</t>
  </si>
  <si>
    <t>thecompany0019</t>
  </si>
  <si>
    <t>작열감</t>
  </si>
  <si>
    <t>리밀</t>
  </si>
  <si>
    <t>클라우드 나인(Cloud 9)</t>
  </si>
  <si>
    <t>nabit0062</t>
  </si>
  <si>
    <t>패서네이팅 라이어(Fascinating Liar)</t>
  </si>
  <si>
    <t>알트파인</t>
  </si>
  <si>
    <t>하루하루 (연재)</t>
  </si>
  <si>
    <t>황궁애사 (외전)</t>
  </si>
  <si>
    <t>thecompany0015</t>
  </si>
  <si>
    <t>흑막의 신 (연재)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</si>
</sst>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5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  <font>
      <sz val="8"/>
      <name val="돋움"/>
      <family val="3"/>
      <charset val="129"/>
    </font>
    <font>
      <b/>
      <sz val="9"/>
      <color rgb="FF2F3743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돋움"/>
      <family val="3"/>
      <charset val="129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96" fillId="0" borderId="19" xfId="0" applyFont="1" applyBorder="1" applyAlignment="1">
      <alignment horizontal="left" vertical="center" wrapText="1"/>
    </xf>
    <xf numFmtId="0" fontId="97" fillId="0" borderId="19" xfId="0" applyFont="1" applyBorder="1" applyAlignment="1">
      <alignment horizontal="right" vertical="center" wrapText="1"/>
    </xf>
    <xf numFmtId="4" fontId="97" fillId="0" borderId="19" xfId="0" applyNumberFormat="1" applyFont="1" applyBorder="1" applyAlignment="1">
      <alignment horizontal="right" vertical="center" wrapText="1"/>
    </xf>
    <xf numFmtId="4" fontId="98" fillId="0" borderId="19" xfId="0" applyNumberFormat="1" applyFont="1" applyBorder="1" applyAlignment="1">
      <alignment horizontal="right" vertical="center" wrapText="1"/>
    </xf>
    <xf numFmtId="0" fontId="98" fillId="0" borderId="19" xfId="0" applyFont="1" applyBorder="1" applyAlignment="1">
      <alignment horizontal="right" vertical="center" wrapText="1"/>
    </xf>
    <xf numFmtId="41" fontId="0" fillId="0" borderId="0" xfId="2353" applyFont="1">
      <alignment vertical="center"/>
    </xf>
    <xf numFmtId="4" fontId="98" fillId="0" borderId="20" xfId="0" applyNumberFormat="1" applyFont="1" applyBorder="1" applyAlignment="1">
      <alignment horizontal="right" vertical="center" wrapText="1"/>
    </xf>
    <xf numFmtId="0" fontId="98" fillId="0" borderId="20" xfId="0" applyFont="1" applyBorder="1" applyAlignment="1">
      <alignment horizontal="right" vertical="center" wrapText="1"/>
    </xf>
    <xf numFmtId="41" fontId="18" fillId="43" borderId="0" xfId="2353" applyFont="1" applyFill="1">
      <alignment vertical="center"/>
    </xf>
    <xf numFmtId="0" fontId="100" fillId="33" borderId="1" xfId="1880" applyFont="1" applyFill="1" applyBorder="1" applyAlignment="1">
      <alignment vertical="center" wrapText="1"/>
    </xf>
    <xf numFmtId="0" fontId="100" fillId="38" borderId="1" xfId="1880" applyFont="1" applyFill="1" applyBorder="1" applyAlignment="1">
      <alignment vertical="center" wrapText="1"/>
    </xf>
    <xf numFmtId="0" fontId="101" fillId="39" borderId="1" xfId="0" applyFont="1" applyFill="1" applyBorder="1" applyAlignment="1">
      <alignment vertical="center" wrapText="1"/>
    </xf>
    <xf numFmtId="0" fontId="101" fillId="40" borderId="1" xfId="0" applyFont="1" applyFill="1" applyBorder="1" applyAlignment="1">
      <alignment vertical="center" wrapText="1"/>
    </xf>
    <xf numFmtId="0" fontId="101" fillId="44" borderId="1" xfId="0" applyFont="1" applyFill="1" applyBorder="1" applyAlignment="1">
      <alignment vertical="center" wrapText="1"/>
    </xf>
    <xf numFmtId="0" fontId="101" fillId="41" borderId="1" xfId="0" applyFont="1" applyFill="1" applyBorder="1" applyAlignment="1">
      <alignment vertical="center" wrapText="1"/>
    </xf>
    <xf numFmtId="0" fontId="101" fillId="42" borderId="1" xfId="0" applyFont="1" applyFill="1" applyBorder="1" applyAlignment="1">
      <alignment horizontal="center" vertical="center" wrapText="1"/>
    </xf>
    <xf numFmtId="41" fontId="101" fillId="42" borderId="1" xfId="2353" applyFont="1" applyFill="1" applyBorder="1" applyAlignment="1">
      <alignment horizontal="center" vertical="center" wrapText="1"/>
    </xf>
    <xf numFmtId="0" fontId="102" fillId="33" borderId="21" xfId="0" applyFont="1" applyFill="1" applyBorder="1" applyAlignment="1">
      <alignment vertical="center"/>
    </xf>
    <xf numFmtId="0" fontId="103" fillId="33" borderId="22" xfId="0" applyFont="1" applyFill="1" applyBorder="1" applyAlignment="1">
      <alignment vertical="center"/>
    </xf>
    <xf numFmtId="0" fontId="104" fillId="0" borderId="0" xfId="0" applyFont="1">
      <alignment vertical="center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X100"/>
  <sheetViews>
    <sheetView tabSelected="1" topLeftCell="AL80" zoomScaleNormal="100" workbookViewId="0">
      <selection activeCell="AR88" sqref="AR88"/>
    </sheetView>
  </sheetViews>
  <sheetFormatPr defaultRowHeight="17.399999999999999"/>
  <cols>
    <col min="1" max="1" width="25.19921875" bestFit="1" customWidth="1"/>
    <col min="35" max="35" width="12.8984375" customWidth="1"/>
    <col min="36" max="36" width="13.296875" style="6" bestFit="1" customWidth="1"/>
    <col min="48" max="48" width="10.69921875" bestFit="1" customWidth="1"/>
  </cols>
  <sheetData>
    <row r="1" spans="1:50" s="20" customFormat="1" ht="40.200000000000003" thickBot="1">
      <c r="A1" s="10" t="s">
        <v>0</v>
      </c>
      <c r="B1" s="10" t="s">
        <v>1</v>
      </c>
      <c r="C1" s="10" t="s">
        <v>157</v>
      </c>
      <c r="D1" s="11" t="s">
        <v>14</v>
      </c>
      <c r="E1" s="11" t="s">
        <v>171</v>
      </c>
      <c r="F1" s="11" t="s">
        <v>15</v>
      </c>
      <c r="G1" s="12" t="s">
        <v>172</v>
      </c>
      <c r="H1" s="12" t="s">
        <v>158</v>
      </c>
      <c r="I1" s="12" t="s">
        <v>173</v>
      </c>
      <c r="J1" s="12" t="s">
        <v>16</v>
      </c>
      <c r="K1" s="12" t="s">
        <v>174</v>
      </c>
      <c r="L1" s="12" t="s">
        <v>175</v>
      </c>
      <c r="M1" s="12" t="s">
        <v>159</v>
      </c>
      <c r="N1" s="12" t="s">
        <v>176</v>
      </c>
      <c r="O1" s="12" t="s">
        <v>17</v>
      </c>
      <c r="P1" s="12" t="s">
        <v>18</v>
      </c>
      <c r="Q1" s="12" t="s">
        <v>19</v>
      </c>
      <c r="R1" s="12" t="s">
        <v>160</v>
      </c>
      <c r="S1" s="13" t="s">
        <v>2</v>
      </c>
      <c r="T1" s="13" t="s">
        <v>3</v>
      </c>
      <c r="U1" s="13" t="s">
        <v>4</v>
      </c>
      <c r="V1" s="13" t="s">
        <v>5</v>
      </c>
      <c r="W1" s="13" t="s">
        <v>6</v>
      </c>
      <c r="X1" s="13" t="s">
        <v>7</v>
      </c>
      <c r="Y1" s="13" t="s">
        <v>8</v>
      </c>
      <c r="Z1" s="13" t="s">
        <v>9</v>
      </c>
      <c r="AA1" s="13" t="s">
        <v>10</v>
      </c>
      <c r="AB1" s="13" t="s">
        <v>11</v>
      </c>
      <c r="AC1" s="13" t="s">
        <v>12</v>
      </c>
      <c r="AD1" s="13" t="s">
        <v>13</v>
      </c>
      <c r="AE1" s="14" t="s">
        <v>161</v>
      </c>
      <c r="AF1" s="14" t="s">
        <v>177</v>
      </c>
      <c r="AG1" s="14" t="s">
        <v>162</v>
      </c>
      <c r="AH1" s="14" t="s">
        <v>178</v>
      </c>
      <c r="AI1" s="14" t="s">
        <v>163</v>
      </c>
      <c r="AJ1" s="14" t="s">
        <v>164</v>
      </c>
      <c r="AK1" s="14" t="s">
        <v>179</v>
      </c>
      <c r="AL1" s="14" t="s">
        <v>165</v>
      </c>
      <c r="AM1" s="14" t="s">
        <v>166</v>
      </c>
      <c r="AN1" s="14" t="s">
        <v>167</v>
      </c>
      <c r="AO1" s="14" t="s">
        <v>168</v>
      </c>
      <c r="AP1" s="14" t="s">
        <v>169</v>
      </c>
      <c r="AQ1" s="15" t="s">
        <v>180</v>
      </c>
      <c r="AR1" s="15" t="s">
        <v>20</v>
      </c>
      <c r="AS1" s="15" t="s">
        <v>181</v>
      </c>
      <c r="AT1" s="15" t="s">
        <v>21</v>
      </c>
      <c r="AU1" s="16" t="s">
        <v>182</v>
      </c>
      <c r="AV1" s="17" t="s">
        <v>22</v>
      </c>
      <c r="AW1" s="18" t="s">
        <v>133</v>
      </c>
      <c r="AX1" s="19" t="s">
        <v>170</v>
      </c>
    </row>
    <row r="2" spans="1:50" ht="18" thickBot="1">
      <c r="A2" s="1" t="s">
        <v>183</v>
      </c>
      <c r="B2" s="1" t="s">
        <v>184</v>
      </c>
      <c r="C2" s="1"/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6</v>
      </c>
      <c r="K2" s="2">
        <v>6</v>
      </c>
      <c r="L2" s="2">
        <v>600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6</v>
      </c>
      <c r="AR2" s="2">
        <v>6</v>
      </c>
      <c r="AS2" s="2">
        <v>600</v>
      </c>
      <c r="AT2" s="2">
        <v>378</v>
      </c>
      <c r="AU2" s="5">
        <v>600</v>
      </c>
      <c r="AV2" s="8">
        <v>378</v>
      </c>
    </row>
    <row r="3" spans="1:50" ht="18" thickBot="1">
      <c r="A3" s="1" t="s">
        <v>185</v>
      </c>
      <c r="B3" s="1" t="s">
        <v>186</v>
      </c>
      <c r="C3" s="1"/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1</v>
      </c>
      <c r="K3" s="2">
        <v>1</v>
      </c>
      <c r="L3" s="2">
        <v>100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1</v>
      </c>
      <c r="AR3" s="2">
        <v>1</v>
      </c>
      <c r="AS3" s="2">
        <v>100</v>
      </c>
      <c r="AT3" s="2">
        <v>63</v>
      </c>
      <c r="AU3" s="5">
        <v>100</v>
      </c>
      <c r="AV3" s="8">
        <v>63</v>
      </c>
    </row>
    <row r="4" spans="1:50" ht="18" thickBot="1">
      <c r="A4" s="1" t="s">
        <v>187</v>
      </c>
      <c r="B4" s="1" t="s">
        <v>188</v>
      </c>
      <c r="C4" s="1" t="s">
        <v>189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1</v>
      </c>
      <c r="K4" s="2">
        <v>1</v>
      </c>
      <c r="L4" s="3">
        <v>2700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1</v>
      </c>
      <c r="AR4" s="2">
        <v>1</v>
      </c>
      <c r="AS4" s="3">
        <v>2700</v>
      </c>
      <c r="AT4" s="3">
        <v>1701</v>
      </c>
      <c r="AU4" s="4">
        <v>2700</v>
      </c>
      <c r="AV4" s="7">
        <v>1701</v>
      </c>
    </row>
    <row r="5" spans="1:50" ht="18" thickBot="1">
      <c r="A5" s="1" t="s">
        <v>23</v>
      </c>
      <c r="B5" s="1" t="s">
        <v>24</v>
      </c>
      <c r="C5" s="1"/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13</v>
      </c>
      <c r="K5" s="2">
        <v>13</v>
      </c>
      <c r="L5" s="3">
        <v>39000</v>
      </c>
      <c r="M5" s="2">
        <v>0</v>
      </c>
      <c r="N5" s="2">
        <v>0</v>
      </c>
      <c r="O5" s="2">
        <v>0</v>
      </c>
      <c r="P5" s="2">
        <v>2</v>
      </c>
      <c r="Q5" s="2">
        <v>4</v>
      </c>
      <c r="R5" s="3">
        <v>12000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15</v>
      </c>
      <c r="AR5" s="2">
        <v>17</v>
      </c>
      <c r="AS5" s="3">
        <v>51000</v>
      </c>
      <c r="AT5" s="3">
        <v>32130</v>
      </c>
      <c r="AU5" s="4">
        <v>51000</v>
      </c>
      <c r="AV5" s="7">
        <v>32130</v>
      </c>
    </row>
    <row r="6" spans="1:50" ht="18" thickBot="1">
      <c r="A6" s="1" t="s">
        <v>25</v>
      </c>
      <c r="B6" s="1" t="s">
        <v>24</v>
      </c>
      <c r="C6" s="1"/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10</v>
      </c>
      <c r="K6" s="2">
        <v>10</v>
      </c>
      <c r="L6" s="3">
        <v>36000</v>
      </c>
      <c r="M6" s="2">
        <v>0</v>
      </c>
      <c r="N6" s="2">
        <v>0</v>
      </c>
      <c r="O6" s="2">
        <v>0</v>
      </c>
      <c r="P6" s="2">
        <v>2</v>
      </c>
      <c r="Q6" s="2">
        <v>4</v>
      </c>
      <c r="R6" s="3">
        <v>14400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12</v>
      </c>
      <c r="AR6" s="2">
        <v>14</v>
      </c>
      <c r="AS6" s="3">
        <v>50400</v>
      </c>
      <c r="AT6" s="3">
        <v>31752</v>
      </c>
      <c r="AU6" s="4">
        <v>50400</v>
      </c>
      <c r="AV6" s="7">
        <v>31752</v>
      </c>
    </row>
    <row r="7" spans="1:50" ht="18" thickBot="1">
      <c r="A7" s="1" t="s">
        <v>26</v>
      </c>
      <c r="B7" s="1" t="s">
        <v>27</v>
      </c>
      <c r="C7" s="1" t="s">
        <v>28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1</v>
      </c>
      <c r="L7" s="3">
        <v>3200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1</v>
      </c>
      <c r="AR7" s="2">
        <v>1</v>
      </c>
      <c r="AS7" s="3">
        <v>3200</v>
      </c>
      <c r="AT7" s="3">
        <v>2016</v>
      </c>
      <c r="AU7" s="4">
        <v>3200</v>
      </c>
      <c r="AV7" s="7">
        <v>2016</v>
      </c>
    </row>
    <row r="8" spans="1:50" ht="18" thickBot="1">
      <c r="A8" s="1" t="s">
        <v>29</v>
      </c>
      <c r="B8" s="1" t="s">
        <v>30</v>
      </c>
      <c r="C8" s="1" t="s">
        <v>31</v>
      </c>
      <c r="D8" s="2">
        <v>0</v>
      </c>
      <c r="E8" s="2">
        <v>0</v>
      </c>
      <c r="F8" s="2">
        <v>0</v>
      </c>
      <c r="G8" s="2">
        <v>49</v>
      </c>
      <c r="H8" s="2">
        <v>49</v>
      </c>
      <c r="I8" s="3">
        <v>44100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18</v>
      </c>
      <c r="T8" s="2">
        <v>18</v>
      </c>
      <c r="U8" s="3">
        <v>19440</v>
      </c>
      <c r="V8" s="2">
        <v>0</v>
      </c>
      <c r="W8" s="2">
        <v>0</v>
      </c>
      <c r="X8" s="2">
        <v>0</v>
      </c>
      <c r="Y8" s="2">
        <v>1</v>
      </c>
      <c r="Z8" s="2">
        <v>21</v>
      </c>
      <c r="AA8" s="3">
        <v>20412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68</v>
      </c>
      <c r="AR8" s="2">
        <v>88</v>
      </c>
      <c r="AS8" s="3">
        <v>83952</v>
      </c>
      <c r="AT8" s="3">
        <v>52889.760000000002</v>
      </c>
      <c r="AU8" s="4">
        <v>83952</v>
      </c>
      <c r="AV8" s="7">
        <v>52889.760000000002</v>
      </c>
    </row>
    <row r="9" spans="1:50" ht="18" thickBot="1">
      <c r="A9" s="1" t="s">
        <v>190</v>
      </c>
      <c r="B9" s="1" t="s">
        <v>32</v>
      </c>
      <c r="C9" s="1"/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</v>
      </c>
      <c r="K9" s="2">
        <v>2</v>
      </c>
      <c r="L9" s="3">
        <v>5000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2</v>
      </c>
      <c r="AR9" s="2">
        <v>2</v>
      </c>
      <c r="AS9" s="3">
        <v>5000</v>
      </c>
      <c r="AT9" s="3">
        <v>3150</v>
      </c>
      <c r="AU9" s="4">
        <v>5000</v>
      </c>
      <c r="AV9" s="7">
        <v>3150</v>
      </c>
    </row>
    <row r="10" spans="1:50" ht="18" thickBot="1">
      <c r="A10" s="1" t="s">
        <v>33</v>
      </c>
      <c r="B10" s="1" t="s">
        <v>34</v>
      </c>
      <c r="C10" s="1"/>
      <c r="D10" s="2">
        <v>0</v>
      </c>
      <c r="E10" s="2">
        <v>0</v>
      </c>
      <c r="F10" s="2">
        <v>0</v>
      </c>
      <c r="G10" s="2">
        <v>4</v>
      </c>
      <c r="H10" s="2">
        <v>4</v>
      </c>
      <c r="I10" s="3">
        <v>3600</v>
      </c>
      <c r="J10" s="2">
        <v>0</v>
      </c>
      <c r="K10" s="2">
        <v>0</v>
      </c>
      <c r="L10" s="2">
        <v>0</v>
      </c>
      <c r="M10" s="2">
        <v>1</v>
      </c>
      <c r="N10" s="2">
        <v>9</v>
      </c>
      <c r="O10" s="3">
        <v>8100</v>
      </c>
      <c r="P10" s="2">
        <v>0</v>
      </c>
      <c r="Q10" s="2">
        <v>0</v>
      </c>
      <c r="R10" s="2">
        <v>0</v>
      </c>
      <c r="S10" s="2">
        <v>13</v>
      </c>
      <c r="T10" s="2">
        <v>13</v>
      </c>
      <c r="U10" s="3">
        <v>14040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18</v>
      </c>
      <c r="AR10" s="2">
        <v>26</v>
      </c>
      <c r="AS10" s="3">
        <v>25740</v>
      </c>
      <c r="AT10" s="3">
        <v>16216.2</v>
      </c>
      <c r="AU10" s="4">
        <v>25740</v>
      </c>
      <c r="AV10" s="7">
        <v>16216.2</v>
      </c>
    </row>
    <row r="11" spans="1:50" ht="18" thickBot="1">
      <c r="A11" s="1" t="s">
        <v>134</v>
      </c>
      <c r="B11" s="1" t="s">
        <v>34</v>
      </c>
      <c r="C11" s="1"/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38</v>
      </c>
      <c r="W11" s="2">
        <v>38</v>
      </c>
      <c r="X11" s="3">
        <v>4560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38</v>
      </c>
      <c r="AR11" s="2">
        <v>38</v>
      </c>
      <c r="AS11" s="3">
        <v>4560</v>
      </c>
      <c r="AT11" s="3">
        <v>2872.8</v>
      </c>
      <c r="AU11" s="4">
        <v>4560</v>
      </c>
      <c r="AV11" s="7">
        <v>2872.8</v>
      </c>
    </row>
    <row r="12" spans="1:50" ht="18" thickBot="1">
      <c r="A12" s="1" t="s">
        <v>191</v>
      </c>
      <c r="B12" s="1" t="s">
        <v>192</v>
      </c>
      <c r="C12" s="1" t="s">
        <v>193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1</v>
      </c>
      <c r="K12" s="2">
        <v>1</v>
      </c>
      <c r="L12" s="3">
        <v>3700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1</v>
      </c>
      <c r="AR12" s="2">
        <v>1</v>
      </c>
      <c r="AS12" s="3">
        <v>3700</v>
      </c>
      <c r="AT12" s="3">
        <v>2331</v>
      </c>
      <c r="AU12" s="4">
        <v>3700</v>
      </c>
      <c r="AV12" s="7">
        <v>2331</v>
      </c>
    </row>
    <row r="13" spans="1:50" ht="18" thickBot="1">
      <c r="A13" s="1" t="s">
        <v>194</v>
      </c>
      <c r="B13" s="1" t="s">
        <v>34</v>
      </c>
      <c r="C13" s="1"/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6</v>
      </c>
      <c r="T13" s="2">
        <v>6</v>
      </c>
      <c r="U13" s="3">
        <v>6480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6</v>
      </c>
      <c r="AR13" s="2">
        <v>6</v>
      </c>
      <c r="AS13" s="3">
        <v>6480</v>
      </c>
      <c r="AT13" s="3">
        <v>4082.4</v>
      </c>
      <c r="AU13" s="4">
        <v>6480</v>
      </c>
      <c r="AV13" s="7">
        <v>4082.4</v>
      </c>
    </row>
    <row r="14" spans="1:50" ht="18" thickBot="1">
      <c r="A14" s="1" t="s">
        <v>35</v>
      </c>
      <c r="B14" s="1" t="s">
        <v>36</v>
      </c>
      <c r="C14" s="1"/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3</v>
      </c>
      <c r="K14" s="2">
        <v>3</v>
      </c>
      <c r="L14" s="3">
        <v>7500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3</v>
      </c>
      <c r="AR14" s="2">
        <v>3</v>
      </c>
      <c r="AS14" s="3">
        <v>7500</v>
      </c>
      <c r="AT14" s="3">
        <v>4725</v>
      </c>
      <c r="AU14" s="4">
        <v>7500</v>
      </c>
      <c r="AV14" s="7">
        <v>4725</v>
      </c>
    </row>
    <row r="15" spans="1:50" ht="18" thickBot="1">
      <c r="A15" s="1" t="s">
        <v>195</v>
      </c>
      <c r="B15" s="1" t="s">
        <v>196</v>
      </c>
      <c r="C15" s="1"/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1</v>
      </c>
      <c r="L15" s="3">
        <v>2000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1</v>
      </c>
      <c r="AR15" s="2">
        <v>1</v>
      </c>
      <c r="AS15" s="3">
        <v>2000</v>
      </c>
      <c r="AT15" s="3">
        <v>1260</v>
      </c>
      <c r="AU15" s="4">
        <v>2000</v>
      </c>
      <c r="AV15" s="7">
        <v>1260</v>
      </c>
    </row>
    <row r="16" spans="1:50" ht="18" thickBot="1">
      <c r="A16" s="1" t="s">
        <v>37</v>
      </c>
      <c r="B16" s="1" t="s">
        <v>38</v>
      </c>
      <c r="C16" s="1" t="s">
        <v>39</v>
      </c>
      <c r="D16" s="2">
        <v>0</v>
      </c>
      <c r="E16" s="2">
        <v>0</v>
      </c>
      <c r="F16" s="2">
        <v>0</v>
      </c>
      <c r="G16" s="2">
        <v>45</v>
      </c>
      <c r="H16" s="2">
        <v>45</v>
      </c>
      <c r="I16" s="3">
        <v>40500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1</v>
      </c>
      <c r="T16" s="2">
        <v>1</v>
      </c>
      <c r="U16" s="3">
        <v>1080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3</v>
      </c>
      <c r="AF16" s="2">
        <v>3</v>
      </c>
      <c r="AG16" s="3">
        <v>3240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49</v>
      </c>
      <c r="AR16" s="2">
        <v>49</v>
      </c>
      <c r="AS16" s="3">
        <v>44820</v>
      </c>
      <c r="AT16" s="3">
        <v>27783</v>
      </c>
      <c r="AU16" s="4">
        <v>44820</v>
      </c>
      <c r="AV16" s="7">
        <v>27783</v>
      </c>
    </row>
    <row r="17" spans="1:48" ht="18" thickBot="1">
      <c r="A17" s="1" t="s">
        <v>40</v>
      </c>
      <c r="B17" s="1" t="s">
        <v>30</v>
      </c>
      <c r="C17" s="1" t="s">
        <v>41</v>
      </c>
      <c r="D17" s="2">
        <v>0</v>
      </c>
      <c r="E17" s="2">
        <v>0</v>
      </c>
      <c r="F17" s="2">
        <v>0</v>
      </c>
      <c r="G17" s="2">
        <v>82</v>
      </c>
      <c r="H17" s="2">
        <v>82</v>
      </c>
      <c r="I17" s="3">
        <v>73800</v>
      </c>
      <c r="J17" s="2">
        <v>1</v>
      </c>
      <c r="K17" s="2">
        <v>1</v>
      </c>
      <c r="L17" s="3">
        <v>2500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120</v>
      </c>
      <c r="T17" s="2">
        <v>120</v>
      </c>
      <c r="U17" s="3">
        <v>129600</v>
      </c>
      <c r="V17" s="2">
        <v>0</v>
      </c>
      <c r="W17" s="2">
        <v>0</v>
      </c>
      <c r="X17" s="2">
        <v>0</v>
      </c>
      <c r="Y17" s="2">
        <v>1</v>
      </c>
      <c r="Z17" s="2">
        <v>24</v>
      </c>
      <c r="AA17" s="3">
        <v>25920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204</v>
      </c>
      <c r="AR17" s="2">
        <v>227</v>
      </c>
      <c r="AS17" s="3">
        <v>231820</v>
      </c>
      <c r="AT17" s="3">
        <v>146046.6</v>
      </c>
      <c r="AU17" s="4">
        <v>231820</v>
      </c>
      <c r="AV17" s="7">
        <v>146046.6</v>
      </c>
    </row>
    <row r="18" spans="1:48" ht="18" thickBot="1">
      <c r="A18" s="1" t="s">
        <v>42</v>
      </c>
      <c r="B18" s="1" t="s">
        <v>43</v>
      </c>
      <c r="C18" s="1"/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5</v>
      </c>
      <c r="K18" s="2">
        <v>5</v>
      </c>
      <c r="L18" s="3">
        <v>10000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5</v>
      </c>
      <c r="AR18" s="2">
        <v>5</v>
      </c>
      <c r="AS18" s="3">
        <v>10000</v>
      </c>
      <c r="AT18" s="3">
        <v>6300</v>
      </c>
      <c r="AU18" s="4">
        <v>10000</v>
      </c>
      <c r="AV18" s="7">
        <v>6300</v>
      </c>
    </row>
    <row r="19" spans="1:48" ht="18" thickBot="1">
      <c r="A19" s="1" t="s">
        <v>197</v>
      </c>
      <c r="B19" s="1" t="s">
        <v>45</v>
      </c>
      <c r="C19" s="1"/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111</v>
      </c>
      <c r="K19" s="2">
        <v>111</v>
      </c>
      <c r="L19" s="3">
        <v>222000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9</v>
      </c>
      <c r="W19" s="2">
        <v>9</v>
      </c>
      <c r="X19" s="3">
        <v>21600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2</v>
      </c>
      <c r="AI19" s="2">
        <v>2</v>
      </c>
      <c r="AJ19" s="3">
        <v>4800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122</v>
      </c>
      <c r="AR19" s="2">
        <v>122</v>
      </c>
      <c r="AS19" s="3">
        <v>248400</v>
      </c>
      <c r="AT19" s="3">
        <v>155820</v>
      </c>
      <c r="AU19" s="4">
        <v>248400</v>
      </c>
      <c r="AV19" s="7">
        <v>155820</v>
      </c>
    </row>
    <row r="20" spans="1:48" ht="18" thickBot="1">
      <c r="A20" s="1" t="s">
        <v>44</v>
      </c>
      <c r="B20" s="1" t="s">
        <v>45</v>
      </c>
      <c r="C20" s="1"/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5</v>
      </c>
      <c r="K20" s="2">
        <v>5</v>
      </c>
      <c r="L20" s="3">
        <v>12500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5</v>
      </c>
      <c r="AR20" s="2">
        <v>5</v>
      </c>
      <c r="AS20" s="3">
        <v>12500</v>
      </c>
      <c r="AT20" s="3">
        <v>7875</v>
      </c>
      <c r="AU20" s="4">
        <v>12500</v>
      </c>
      <c r="AV20" s="7">
        <v>7875</v>
      </c>
    </row>
    <row r="21" spans="1:48" ht="18" thickBot="1">
      <c r="A21" s="1" t="s">
        <v>135</v>
      </c>
      <c r="B21" s="1" t="s">
        <v>72</v>
      </c>
      <c r="C21" s="1"/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3</v>
      </c>
      <c r="K21" s="2">
        <v>3</v>
      </c>
      <c r="L21" s="3">
        <v>6000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3</v>
      </c>
      <c r="AR21" s="2">
        <v>3</v>
      </c>
      <c r="AS21" s="3">
        <v>6000</v>
      </c>
      <c r="AT21" s="3">
        <v>3780</v>
      </c>
      <c r="AU21" s="4">
        <v>6000</v>
      </c>
      <c r="AV21" s="7">
        <v>3780</v>
      </c>
    </row>
    <row r="22" spans="1:48" ht="18" thickBot="1">
      <c r="A22" s="1" t="s">
        <v>198</v>
      </c>
      <c r="B22" s="1" t="s">
        <v>199</v>
      </c>
      <c r="C22" s="1"/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2</v>
      </c>
      <c r="K22" s="2">
        <v>2</v>
      </c>
      <c r="L22" s="3">
        <v>4000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2</v>
      </c>
      <c r="W22" s="2">
        <v>2</v>
      </c>
      <c r="X22" s="3">
        <v>4800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4</v>
      </c>
      <c r="AR22" s="2">
        <v>4</v>
      </c>
      <c r="AS22" s="3">
        <v>8800</v>
      </c>
      <c r="AT22" s="3">
        <v>5544</v>
      </c>
      <c r="AU22" s="4">
        <v>8800</v>
      </c>
      <c r="AV22" s="7">
        <v>5544</v>
      </c>
    </row>
    <row r="23" spans="1:48" ht="18" thickBot="1">
      <c r="A23" s="1" t="s">
        <v>46</v>
      </c>
      <c r="B23" s="1" t="s">
        <v>34</v>
      </c>
      <c r="C23" s="1"/>
      <c r="D23" s="2">
        <v>0</v>
      </c>
      <c r="E23" s="2">
        <v>0</v>
      </c>
      <c r="F23" s="2">
        <v>0</v>
      </c>
      <c r="G23" s="2">
        <v>8</v>
      </c>
      <c r="H23" s="2">
        <v>8</v>
      </c>
      <c r="I23" s="3">
        <v>7200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13</v>
      </c>
      <c r="T23" s="2">
        <v>13</v>
      </c>
      <c r="U23" s="3">
        <v>14040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21</v>
      </c>
      <c r="AR23" s="2">
        <v>21</v>
      </c>
      <c r="AS23" s="3">
        <v>21240</v>
      </c>
      <c r="AT23" s="3">
        <v>13381.2</v>
      </c>
      <c r="AU23" s="4">
        <v>21240</v>
      </c>
      <c r="AV23" s="7">
        <v>13381.2</v>
      </c>
    </row>
    <row r="24" spans="1:48" ht="18" thickBot="1">
      <c r="A24" s="1" t="s">
        <v>48</v>
      </c>
      <c r="B24" s="1" t="s">
        <v>38</v>
      </c>
      <c r="C24" s="1" t="s">
        <v>49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2</v>
      </c>
      <c r="K24" s="2">
        <v>2</v>
      </c>
      <c r="L24" s="3">
        <v>5000</v>
      </c>
      <c r="M24" s="2">
        <v>1</v>
      </c>
      <c r="N24" s="2">
        <v>9</v>
      </c>
      <c r="O24" s="3">
        <v>7290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1</v>
      </c>
      <c r="Z24" s="2">
        <v>9</v>
      </c>
      <c r="AA24" s="3">
        <v>8748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4</v>
      </c>
      <c r="AR24" s="2">
        <v>20</v>
      </c>
      <c r="AS24" s="3">
        <v>21038</v>
      </c>
      <c r="AT24" s="3">
        <v>13253.94</v>
      </c>
      <c r="AU24" s="4">
        <v>21038</v>
      </c>
      <c r="AV24" s="7">
        <v>13253.94</v>
      </c>
    </row>
    <row r="25" spans="1:48" ht="18" thickBot="1">
      <c r="A25" s="1" t="s">
        <v>200</v>
      </c>
      <c r="B25" s="1" t="s">
        <v>38</v>
      </c>
      <c r="C25" s="1"/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23</v>
      </c>
      <c r="K25" s="2">
        <v>23</v>
      </c>
      <c r="L25" s="3">
        <v>2300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23</v>
      </c>
      <c r="AR25" s="2">
        <v>23</v>
      </c>
      <c r="AS25" s="3">
        <v>2300</v>
      </c>
      <c r="AT25" s="3">
        <v>1449</v>
      </c>
      <c r="AU25" s="4">
        <v>2300</v>
      </c>
      <c r="AV25" s="7">
        <v>1449</v>
      </c>
    </row>
    <row r="26" spans="1:48" ht="18" thickBot="1">
      <c r="A26" s="1" t="s">
        <v>50</v>
      </c>
      <c r="B26" s="1" t="s">
        <v>51</v>
      </c>
      <c r="C26" s="1"/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3</v>
      </c>
      <c r="K26" s="2">
        <v>3</v>
      </c>
      <c r="L26" s="3">
        <v>6000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3</v>
      </c>
      <c r="AR26" s="2">
        <v>3</v>
      </c>
      <c r="AS26" s="3">
        <v>6000</v>
      </c>
      <c r="AT26" s="3">
        <v>3780</v>
      </c>
      <c r="AU26" s="4">
        <v>6000</v>
      </c>
      <c r="AV26" s="7">
        <v>3780</v>
      </c>
    </row>
    <row r="27" spans="1:48" ht="18" thickBot="1">
      <c r="A27" s="1" t="s">
        <v>52</v>
      </c>
      <c r="B27" s="1" t="s">
        <v>53</v>
      </c>
      <c r="C27" s="1"/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2</v>
      </c>
      <c r="K27" s="2">
        <v>2</v>
      </c>
      <c r="L27" s="3">
        <v>4000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2</v>
      </c>
      <c r="AR27" s="2">
        <v>2</v>
      </c>
      <c r="AS27" s="3">
        <v>4000</v>
      </c>
      <c r="AT27" s="3">
        <v>2520</v>
      </c>
      <c r="AU27" s="4">
        <v>4000</v>
      </c>
      <c r="AV27" s="7">
        <v>2520</v>
      </c>
    </row>
    <row r="28" spans="1:48" ht="18" thickBot="1">
      <c r="A28" s="1" t="s">
        <v>54</v>
      </c>
      <c r="B28" s="1" t="s">
        <v>38</v>
      </c>
      <c r="C28" s="1" t="s">
        <v>55</v>
      </c>
      <c r="D28" s="2">
        <v>0</v>
      </c>
      <c r="E28" s="2">
        <v>0</v>
      </c>
      <c r="F28" s="2">
        <v>0</v>
      </c>
      <c r="G28" s="2">
        <v>4</v>
      </c>
      <c r="H28" s="2">
        <v>4</v>
      </c>
      <c r="I28" s="3">
        <v>3600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4</v>
      </c>
      <c r="AR28" s="2">
        <v>4</v>
      </c>
      <c r="AS28" s="3">
        <v>3600</v>
      </c>
      <c r="AT28" s="3">
        <v>2268</v>
      </c>
      <c r="AU28" s="4">
        <v>3600</v>
      </c>
      <c r="AV28" s="7">
        <v>2268</v>
      </c>
    </row>
    <row r="29" spans="1:48" ht="18" thickBot="1">
      <c r="A29" s="1" t="s">
        <v>56</v>
      </c>
      <c r="B29" s="1" t="s">
        <v>57</v>
      </c>
      <c r="C29" s="1"/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1</v>
      </c>
      <c r="K29" s="2">
        <v>1</v>
      </c>
      <c r="L29" s="3">
        <v>2000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1</v>
      </c>
      <c r="AR29" s="2">
        <v>1</v>
      </c>
      <c r="AS29" s="3">
        <v>2000</v>
      </c>
      <c r="AT29" s="3">
        <v>1260</v>
      </c>
      <c r="AU29" s="4">
        <v>2000</v>
      </c>
      <c r="AV29" s="7">
        <v>1260</v>
      </c>
    </row>
    <row r="30" spans="1:48" ht="18" thickBot="1">
      <c r="A30" s="1" t="s">
        <v>58</v>
      </c>
      <c r="B30" s="1" t="s">
        <v>38</v>
      </c>
      <c r="C30" s="1" t="s">
        <v>59</v>
      </c>
      <c r="D30" s="2">
        <v>0</v>
      </c>
      <c r="E30" s="2">
        <v>0</v>
      </c>
      <c r="F30" s="2">
        <v>0</v>
      </c>
      <c r="G30" s="2">
        <v>30</v>
      </c>
      <c r="H30" s="2">
        <v>30</v>
      </c>
      <c r="I30" s="3">
        <v>27000</v>
      </c>
      <c r="J30" s="2">
        <v>0</v>
      </c>
      <c r="K30" s="2">
        <v>0</v>
      </c>
      <c r="L30" s="2">
        <v>0</v>
      </c>
      <c r="M30" s="2">
        <v>3</v>
      </c>
      <c r="N30" s="2">
        <v>21</v>
      </c>
      <c r="O30" s="3">
        <v>17010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33</v>
      </c>
      <c r="AR30" s="2">
        <v>51</v>
      </c>
      <c r="AS30" s="3">
        <v>44010</v>
      </c>
      <c r="AT30" s="3">
        <v>27726.3</v>
      </c>
      <c r="AU30" s="4">
        <v>44010</v>
      </c>
      <c r="AV30" s="7">
        <v>27726.3</v>
      </c>
    </row>
    <row r="31" spans="1:48" ht="18" thickBot="1">
      <c r="A31" s="1" t="s">
        <v>201</v>
      </c>
      <c r="B31" s="1" t="s">
        <v>38</v>
      </c>
      <c r="C31" s="1"/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1</v>
      </c>
      <c r="L31" s="2">
        <v>100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1</v>
      </c>
      <c r="AR31" s="2">
        <v>1</v>
      </c>
      <c r="AS31" s="2">
        <v>100</v>
      </c>
      <c r="AT31" s="2">
        <v>63</v>
      </c>
      <c r="AU31" s="5">
        <v>100</v>
      </c>
      <c r="AV31" s="8">
        <v>63</v>
      </c>
    </row>
    <row r="32" spans="1:48" ht="18" thickBot="1">
      <c r="A32" s="1" t="s">
        <v>60</v>
      </c>
      <c r="B32" s="1" t="s">
        <v>61</v>
      </c>
      <c r="C32" s="1"/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1</v>
      </c>
      <c r="K32" s="2">
        <v>1</v>
      </c>
      <c r="L32" s="3">
        <v>2000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1</v>
      </c>
      <c r="AR32" s="2">
        <v>1</v>
      </c>
      <c r="AS32" s="3">
        <v>2000</v>
      </c>
      <c r="AT32" s="3">
        <v>1260</v>
      </c>
      <c r="AU32" s="4">
        <v>2000</v>
      </c>
      <c r="AV32" s="7">
        <v>1260</v>
      </c>
    </row>
    <row r="33" spans="1:48" ht="18" thickBot="1">
      <c r="A33" s="1" t="s">
        <v>202</v>
      </c>
      <c r="B33" s="1" t="s">
        <v>203</v>
      </c>
      <c r="C33" s="1"/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3</v>
      </c>
      <c r="K33" s="2">
        <v>3</v>
      </c>
      <c r="L33" s="2">
        <v>300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3</v>
      </c>
      <c r="AR33" s="2">
        <v>3</v>
      </c>
      <c r="AS33" s="2">
        <v>300</v>
      </c>
      <c r="AT33" s="2">
        <v>189</v>
      </c>
      <c r="AU33" s="5">
        <v>300</v>
      </c>
      <c r="AV33" s="8">
        <v>189</v>
      </c>
    </row>
    <row r="34" spans="1:48" ht="18" thickBot="1">
      <c r="A34" s="1" t="s">
        <v>204</v>
      </c>
      <c r="B34" s="1" t="s">
        <v>62</v>
      </c>
      <c r="C34" s="1"/>
      <c r="D34" s="2">
        <v>0</v>
      </c>
      <c r="E34" s="2">
        <v>0</v>
      </c>
      <c r="F34" s="2">
        <v>0</v>
      </c>
      <c r="G34" s="2">
        <v>6</v>
      </c>
      <c r="H34" s="2">
        <v>6</v>
      </c>
      <c r="I34" s="3">
        <v>5400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8</v>
      </c>
      <c r="T34" s="2">
        <v>8</v>
      </c>
      <c r="U34" s="3">
        <v>8640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14</v>
      </c>
      <c r="AR34" s="2">
        <v>14</v>
      </c>
      <c r="AS34" s="3">
        <v>14040</v>
      </c>
      <c r="AT34" s="3">
        <v>8845.2000000000007</v>
      </c>
      <c r="AU34" s="4">
        <v>14040</v>
      </c>
      <c r="AV34" s="7">
        <v>8845.2000000000007</v>
      </c>
    </row>
    <row r="35" spans="1:48" ht="18" thickBot="1">
      <c r="A35" s="1" t="s">
        <v>63</v>
      </c>
      <c r="B35" s="1" t="s">
        <v>57</v>
      </c>
      <c r="C35" s="1"/>
      <c r="D35" s="2">
        <v>0</v>
      </c>
      <c r="E35" s="2">
        <v>0</v>
      </c>
      <c r="F35" s="2">
        <v>0</v>
      </c>
      <c r="G35" s="2">
        <v>1</v>
      </c>
      <c r="H35" s="2">
        <v>1</v>
      </c>
      <c r="I35" s="3">
        <v>1400</v>
      </c>
      <c r="J35" s="2">
        <v>7</v>
      </c>
      <c r="K35" s="2">
        <v>7</v>
      </c>
      <c r="L35" s="3">
        <v>14000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8</v>
      </c>
      <c r="AR35" s="2">
        <v>8</v>
      </c>
      <c r="AS35" s="3">
        <v>15400</v>
      </c>
      <c r="AT35" s="3">
        <v>9702</v>
      </c>
      <c r="AU35" s="4">
        <v>15400</v>
      </c>
      <c r="AV35" s="7">
        <v>9702</v>
      </c>
    </row>
    <row r="36" spans="1:48" ht="18" thickBot="1">
      <c r="A36" s="1" t="s">
        <v>64</v>
      </c>
      <c r="B36" s="1" t="s">
        <v>65</v>
      </c>
      <c r="C36" s="1"/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1</v>
      </c>
      <c r="K36" s="2">
        <v>1</v>
      </c>
      <c r="L36" s="3">
        <v>2500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1</v>
      </c>
      <c r="AR36" s="2">
        <v>1</v>
      </c>
      <c r="AS36" s="3">
        <v>2500</v>
      </c>
      <c r="AT36" s="3">
        <v>1575</v>
      </c>
      <c r="AU36" s="4">
        <v>2500</v>
      </c>
      <c r="AV36" s="7">
        <v>1575</v>
      </c>
    </row>
    <row r="37" spans="1:48" ht="18" thickBot="1">
      <c r="A37" s="1" t="s">
        <v>66</v>
      </c>
      <c r="B37" s="1" t="s">
        <v>67</v>
      </c>
      <c r="C37" s="1"/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1</v>
      </c>
      <c r="K37" s="2">
        <v>1</v>
      </c>
      <c r="L37" s="3">
        <v>2000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1</v>
      </c>
      <c r="AR37" s="2">
        <v>1</v>
      </c>
      <c r="AS37" s="3">
        <v>2000</v>
      </c>
      <c r="AT37" s="3">
        <v>1260</v>
      </c>
      <c r="AU37" s="4">
        <v>2000</v>
      </c>
      <c r="AV37" s="7">
        <v>1260</v>
      </c>
    </row>
    <row r="38" spans="1:48" ht="18" thickBot="1">
      <c r="A38" s="1" t="s">
        <v>68</v>
      </c>
      <c r="B38" s="1" t="s">
        <v>34</v>
      </c>
      <c r="C38" s="1"/>
      <c r="D38" s="2">
        <v>0</v>
      </c>
      <c r="E38" s="2">
        <v>0</v>
      </c>
      <c r="F38" s="2">
        <v>0</v>
      </c>
      <c r="G38" s="2">
        <v>133</v>
      </c>
      <c r="H38" s="2">
        <v>133</v>
      </c>
      <c r="I38" s="3">
        <v>119700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13</v>
      </c>
      <c r="T38" s="2">
        <v>13</v>
      </c>
      <c r="U38" s="3">
        <v>14040</v>
      </c>
      <c r="V38" s="2">
        <v>0</v>
      </c>
      <c r="W38" s="2">
        <v>0</v>
      </c>
      <c r="X38" s="2">
        <v>0</v>
      </c>
      <c r="Y38" s="2">
        <v>3</v>
      </c>
      <c r="Z38" s="2">
        <v>87</v>
      </c>
      <c r="AA38" s="3">
        <v>84564</v>
      </c>
      <c r="AB38" s="2">
        <v>0</v>
      </c>
      <c r="AC38" s="2">
        <v>0</v>
      </c>
      <c r="AD38" s="2">
        <v>0</v>
      </c>
      <c r="AE38" s="2">
        <v>29</v>
      </c>
      <c r="AF38" s="2">
        <v>29</v>
      </c>
      <c r="AG38" s="3">
        <v>31320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178</v>
      </c>
      <c r="AR38" s="2">
        <v>262</v>
      </c>
      <c r="AS38" s="3">
        <v>249624</v>
      </c>
      <c r="AT38" s="3">
        <v>152878.32</v>
      </c>
      <c r="AU38" s="4">
        <v>249624</v>
      </c>
      <c r="AV38" s="7">
        <v>152878.32</v>
      </c>
    </row>
    <row r="39" spans="1:48" ht="18" thickBot="1">
      <c r="A39" s="1" t="s">
        <v>69</v>
      </c>
      <c r="B39" s="1" t="s">
        <v>34</v>
      </c>
      <c r="C39" s="1" t="s">
        <v>70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1</v>
      </c>
      <c r="L39" s="2">
        <v>100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1</v>
      </c>
      <c r="AR39" s="2">
        <v>1</v>
      </c>
      <c r="AS39" s="2">
        <v>100</v>
      </c>
      <c r="AT39" s="2">
        <v>63</v>
      </c>
      <c r="AU39" s="5">
        <v>100</v>
      </c>
      <c r="AV39" s="8">
        <v>63</v>
      </c>
    </row>
    <row r="40" spans="1:48" ht="18" thickBot="1">
      <c r="A40" s="1" t="s">
        <v>137</v>
      </c>
      <c r="B40" s="1" t="s">
        <v>72</v>
      </c>
      <c r="C40" s="1"/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3</v>
      </c>
      <c r="K40" s="2">
        <v>3</v>
      </c>
      <c r="L40" s="3">
        <v>6000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3</v>
      </c>
      <c r="AR40" s="2">
        <v>3</v>
      </c>
      <c r="AS40" s="3">
        <v>6000</v>
      </c>
      <c r="AT40" s="3">
        <v>3780</v>
      </c>
      <c r="AU40" s="4">
        <v>6000</v>
      </c>
      <c r="AV40" s="7">
        <v>3780</v>
      </c>
    </row>
    <row r="41" spans="1:48" ht="18" thickBot="1">
      <c r="A41" s="1" t="s">
        <v>138</v>
      </c>
      <c r="B41" s="1" t="s">
        <v>77</v>
      </c>
      <c r="C41" s="1"/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1</v>
      </c>
      <c r="K41" s="2">
        <v>1</v>
      </c>
      <c r="L41" s="3">
        <v>3000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1</v>
      </c>
      <c r="AR41" s="2">
        <v>1</v>
      </c>
      <c r="AS41" s="3">
        <v>3000</v>
      </c>
      <c r="AT41" s="3">
        <v>1890</v>
      </c>
      <c r="AU41" s="4">
        <v>3000</v>
      </c>
      <c r="AV41" s="7">
        <v>1890</v>
      </c>
    </row>
    <row r="42" spans="1:48" ht="18" thickBot="1">
      <c r="A42" s="1" t="s">
        <v>205</v>
      </c>
      <c r="B42" s="1" t="s">
        <v>118</v>
      </c>
      <c r="C42" s="1"/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168</v>
      </c>
      <c r="K42" s="2">
        <v>168</v>
      </c>
      <c r="L42" s="3">
        <v>420000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1</v>
      </c>
      <c r="X42" s="3">
        <v>3000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169</v>
      </c>
      <c r="AR42" s="2">
        <v>169</v>
      </c>
      <c r="AS42" s="3">
        <v>423000</v>
      </c>
      <c r="AT42" s="3">
        <v>266490</v>
      </c>
      <c r="AU42" s="4">
        <v>423000</v>
      </c>
      <c r="AV42" s="7">
        <v>266490</v>
      </c>
    </row>
    <row r="43" spans="1:48" ht="18" thickBot="1">
      <c r="A43" s="1" t="s">
        <v>139</v>
      </c>
      <c r="B43" s="1" t="s">
        <v>140</v>
      </c>
      <c r="C43" s="1"/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5</v>
      </c>
      <c r="K43" s="2">
        <v>5</v>
      </c>
      <c r="L43" s="3">
        <v>12500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5</v>
      </c>
      <c r="AR43" s="2">
        <v>5</v>
      </c>
      <c r="AS43" s="3">
        <v>12500</v>
      </c>
      <c r="AT43" s="3">
        <v>7875</v>
      </c>
      <c r="AU43" s="4">
        <v>12500</v>
      </c>
      <c r="AV43" s="7">
        <v>7875</v>
      </c>
    </row>
    <row r="44" spans="1:48" ht="18" thickBot="1">
      <c r="A44" s="1" t="s">
        <v>74</v>
      </c>
      <c r="B44" s="1" t="s">
        <v>73</v>
      </c>
      <c r="C44" s="1"/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10</v>
      </c>
      <c r="K44" s="2">
        <v>10</v>
      </c>
      <c r="L44" s="3">
        <v>25000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10</v>
      </c>
      <c r="AR44" s="2">
        <v>10</v>
      </c>
      <c r="AS44" s="3">
        <v>25000</v>
      </c>
      <c r="AT44" s="3">
        <v>15750</v>
      </c>
      <c r="AU44" s="4">
        <v>25000</v>
      </c>
      <c r="AV44" s="7">
        <v>15750</v>
      </c>
    </row>
    <row r="45" spans="1:48" ht="18" thickBot="1">
      <c r="A45" s="1" t="s">
        <v>206</v>
      </c>
      <c r="B45" s="1" t="s">
        <v>207</v>
      </c>
      <c r="C45" s="1"/>
      <c r="D45" s="2">
        <v>0</v>
      </c>
      <c r="E45" s="2">
        <v>0</v>
      </c>
      <c r="F45" s="2">
        <v>0</v>
      </c>
      <c r="G45" s="2">
        <v>8</v>
      </c>
      <c r="H45" s="2">
        <v>8</v>
      </c>
      <c r="I45" s="3">
        <v>7200</v>
      </c>
      <c r="J45" s="2">
        <v>0</v>
      </c>
      <c r="K45" s="2">
        <v>0</v>
      </c>
      <c r="L45" s="2">
        <v>0</v>
      </c>
      <c r="M45" s="2">
        <v>8</v>
      </c>
      <c r="N45" s="2">
        <v>48</v>
      </c>
      <c r="O45" s="3">
        <v>31860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1</v>
      </c>
      <c r="Z45" s="2">
        <v>6</v>
      </c>
      <c r="AA45" s="3">
        <v>4536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17</v>
      </c>
      <c r="AR45" s="2">
        <v>62</v>
      </c>
      <c r="AS45" s="3">
        <v>43596</v>
      </c>
      <c r="AT45" s="3">
        <v>27465.48</v>
      </c>
      <c r="AU45" s="4">
        <v>43596</v>
      </c>
      <c r="AV45" s="7">
        <v>27465.48</v>
      </c>
    </row>
    <row r="46" spans="1:48" ht="18" thickBot="1">
      <c r="A46" s="1" t="s">
        <v>208</v>
      </c>
      <c r="B46" s="1" t="s">
        <v>209</v>
      </c>
      <c r="C46" s="1"/>
      <c r="D46" s="2">
        <v>0</v>
      </c>
      <c r="E46" s="2">
        <v>0</v>
      </c>
      <c r="F46" s="2">
        <v>0</v>
      </c>
      <c r="G46" s="2">
        <v>1</v>
      </c>
      <c r="H46" s="2">
        <v>1</v>
      </c>
      <c r="I46" s="3">
        <v>1400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1</v>
      </c>
      <c r="AR46" s="2">
        <v>1</v>
      </c>
      <c r="AS46" s="3">
        <v>1400</v>
      </c>
      <c r="AT46" s="2">
        <v>882</v>
      </c>
      <c r="AU46" s="4">
        <v>1400</v>
      </c>
      <c r="AV46" s="8">
        <v>882</v>
      </c>
    </row>
    <row r="47" spans="1:48" ht="18" thickBot="1">
      <c r="A47" s="1" t="s">
        <v>76</v>
      </c>
      <c r="B47" s="1" t="s">
        <v>77</v>
      </c>
      <c r="C47" s="1"/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1</v>
      </c>
      <c r="K47" s="2">
        <v>1</v>
      </c>
      <c r="L47" s="3">
        <v>2500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1</v>
      </c>
      <c r="AR47" s="2">
        <v>1</v>
      </c>
      <c r="AS47" s="3">
        <v>2500</v>
      </c>
      <c r="AT47" s="3">
        <v>1575</v>
      </c>
      <c r="AU47" s="4">
        <v>2500</v>
      </c>
      <c r="AV47" s="7">
        <v>1575</v>
      </c>
    </row>
    <row r="48" spans="1:48" ht="18" thickBot="1">
      <c r="A48" s="1" t="s">
        <v>78</v>
      </c>
      <c r="B48" s="1" t="s">
        <v>67</v>
      </c>
      <c r="C48" s="1"/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4</v>
      </c>
      <c r="K48" s="2">
        <v>4</v>
      </c>
      <c r="L48" s="3">
        <v>8000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4</v>
      </c>
      <c r="AR48" s="2">
        <v>4</v>
      </c>
      <c r="AS48" s="3">
        <v>8000</v>
      </c>
      <c r="AT48" s="3">
        <v>5040</v>
      </c>
      <c r="AU48" s="4">
        <v>8000</v>
      </c>
      <c r="AV48" s="7">
        <v>5040</v>
      </c>
    </row>
    <row r="49" spans="1:48" ht="18" thickBot="1">
      <c r="A49" s="1" t="s">
        <v>210</v>
      </c>
      <c r="B49" s="1" t="s">
        <v>211</v>
      </c>
      <c r="C49" s="1"/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1</v>
      </c>
      <c r="N49" s="2">
        <v>8</v>
      </c>
      <c r="O49" s="3">
        <v>5040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1</v>
      </c>
      <c r="Z49" s="2">
        <v>8</v>
      </c>
      <c r="AA49" s="3">
        <v>6048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2</v>
      </c>
      <c r="AR49" s="2">
        <v>16</v>
      </c>
      <c r="AS49" s="3">
        <v>11088</v>
      </c>
      <c r="AT49" s="3">
        <v>6985.44</v>
      </c>
      <c r="AU49" s="4">
        <v>11088</v>
      </c>
      <c r="AV49" s="7">
        <v>6985.44</v>
      </c>
    </row>
    <row r="50" spans="1:48" ht="18" thickBot="1">
      <c r="A50" s="1" t="s">
        <v>79</v>
      </c>
      <c r="B50" s="1" t="s">
        <v>80</v>
      </c>
      <c r="C50" s="1"/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3</v>
      </c>
      <c r="K50" s="2">
        <v>3</v>
      </c>
      <c r="L50" s="3">
        <v>6000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3</v>
      </c>
      <c r="AR50" s="2">
        <v>3</v>
      </c>
      <c r="AS50" s="3">
        <v>6000</v>
      </c>
      <c r="AT50" s="3">
        <v>3780</v>
      </c>
      <c r="AU50" s="4">
        <v>6000</v>
      </c>
      <c r="AV50" s="7">
        <v>3780</v>
      </c>
    </row>
    <row r="51" spans="1:48" ht="18" thickBot="1">
      <c r="A51" s="1" t="s">
        <v>212</v>
      </c>
      <c r="B51" s="1" t="s">
        <v>213</v>
      </c>
      <c r="C51" s="1" t="s">
        <v>214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5</v>
      </c>
      <c r="K51" s="2">
        <v>5</v>
      </c>
      <c r="L51" s="3">
        <v>17500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5</v>
      </c>
      <c r="AR51" s="2">
        <v>5</v>
      </c>
      <c r="AS51" s="3">
        <v>17500</v>
      </c>
      <c r="AT51" s="3">
        <v>11025</v>
      </c>
      <c r="AU51" s="4">
        <v>17500</v>
      </c>
      <c r="AV51" s="7">
        <v>11025</v>
      </c>
    </row>
    <row r="52" spans="1:48" ht="18" thickBot="1">
      <c r="A52" s="1" t="s">
        <v>215</v>
      </c>
      <c r="B52" s="1" t="s">
        <v>213</v>
      </c>
      <c r="C52" s="1" t="s">
        <v>216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1</v>
      </c>
      <c r="L52" s="3">
        <v>2500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1</v>
      </c>
      <c r="AR52" s="2">
        <v>1</v>
      </c>
      <c r="AS52" s="3">
        <v>2500</v>
      </c>
      <c r="AT52" s="3">
        <v>1575</v>
      </c>
      <c r="AU52" s="4">
        <v>2500</v>
      </c>
      <c r="AV52" s="7">
        <v>1575</v>
      </c>
    </row>
    <row r="53" spans="1:48" ht="18" thickBot="1">
      <c r="A53" s="1" t="s">
        <v>81</v>
      </c>
      <c r="B53" s="1" t="s">
        <v>82</v>
      </c>
      <c r="C53" s="1"/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1</v>
      </c>
      <c r="K53" s="2">
        <v>1</v>
      </c>
      <c r="L53" s="3">
        <v>2500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1</v>
      </c>
      <c r="AR53" s="2">
        <v>1</v>
      </c>
      <c r="AS53" s="3">
        <v>2500</v>
      </c>
      <c r="AT53" s="3">
        <v>1575</v>
      </c>
      <c r="AU53" s="4">
        <v>2500</v>
      </c>
      <c r="AV53" s="7">
        <v>1575</v>
      </c>
    </row>
    <row r="54" spans="1:48" ht="18" thickBot="1">
      <c r="A54" s="1" t="s">
        <v>83</v>
      </c>
      <c r="B54" s="1" t="s">
        <v>84</v>
      </c>
      <c r="C54" s="1" t="s">
        <v>85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7</v>
      </c>
      <c r="K54" s="2">
        <v>7</v>
      </c>
      <c r="L54" s="3">
        <v>26600</v>
      </c>
      <c r="M54" s="2">
        <v>0</v>
      </c>
      <c r="N54" s="2">
        <v>0</v>
      </c>
      <c r="O54" s="2">
        <v>0</v>
      </c>
      <c r="P54" s="2">
        <v>1</v>
      </c>
      <c r="Q54" s="2">
        <v>2</v>
      </c>
      <c r="R54" s="3">
        <v>7600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8</v>
      </c>
      <c r="AR54" s="2">
        <v>9</v>
      </c>
      <c r="AS54" s="3">
        <v>34200</v>
      </c>
      <c r="AT54" s="3">
        <v>21546</v>
      </c>
      <c r="AU54" s="4">
        <v>34200</v>
      </c>
      <c r="AV54" s="7">
        <v>21546</v>
      </c>
    </row>
    <row r="55" spans="1:48" ht="18" thickBot="1">
      <c r="A55" s="1" t="s">
        <v>217</v>
      </c>
      <c r="B55" s="1" t="s">
        <v>84</v>
      </c>
      <c r="C55" s="1" t="s">
        <v>218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2</v>
      </c>
      <c r="K55" s="2">
        <v>2</v>
      </c>
      <c r="L55" s="3">
        <v>2400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2</v>
      </c>
      <c r="AR55" s="2">
        <v>2</v>
      </c>
      <c r="AS55" s="3">
        <v>2400</v>
      </c>
      <c r="AT55" s="3">
        <v>1512</v>
      </c>
      <c r="AU55" s="4">
        <v>2400</v>
      </c>
      <c r="AV55" s="7">
        <v>1512</v>
      </c>
    </row>
    <row r="56" spans="1:48" ht="18" thickBot="1">
      <c r="A56" s="1" t="s">
        <v>86</v>
      </c>
      <c r="B56" s="1" t="s">
        <v>34</v>
      </c>
      <c r="C56" s="1"/>
      <c r="D56" s="2">
        <v>0</v>
      </c>
      <c r="E56" s="2">
        <v>0</v>
      </c>
      <c r="F56" s="2">
        <v>0</v>
      </c>
      <c r="G56" s="2">
        <v>63</v>
      </c>
      <c r="H56" s="2">
        <v>63</v>
      </c>
      <c r="I56" s="3">
        <v>56700</v>
      </c>
      <c r="J56" s="2">
        <v>0</v>
      </c>
      <c r="K56" s="2">
        <v>0</v>
      </c>
      <c r="L56" s="2">
        <v>0</v>
      </c>
      <c r="M56" s="2">
        <v>6</v>
      </c>
      <c r="N56" s="2">
        <v>66</v>
      </c>
      <c r="O56" s="3">
        <v>41580</v>
      </c>
      <c r="P56" s="2">
        <v>0</v>
      </c>
      <c r="Q56" s="2">
        <v>0</v>
      </c>
      <c r="R56" s="2">
        <v>0</v>
      </c>
      <c r="S56" s="2">
        <v>4</v>
      </c>
      <c r="T56" s="2">
        <v>4</v>
      </c>
      <c r="U56" s="3">
        <v>4320</v>
      </c>
      <c r="V56" s="2">
        <v>0</v>
      </c>
      <c r="W56" s="2">
        <v>0</v>
      </c>
      <c r="X56" s="2">
        <v>0</v>
      </c>
      <c r="Y56" s="2">
        <v>4</v>
      </c>
      <c r="Z56" s="2">
        <v>44</v>
      </c>
      <c r="AA56" s="3">
        <v>36828</v>
      </c>
      <c r="AB56" s="2">
        <v>0</v>
      </c>
      <c r="AC56" s="2">
        <v>0</v>
      </c>
      <c r="AD56" s="2">
        <v>0</v>
      </c>
      <c r="AE56" s="2">
        <v>4</v>
      </c>
      <c r="AF56" s="2">
        <v>4</v>
      </c>
      <c r="AG56" s="3">
        <v>4320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81</v>
      </c>
      <c r="AR56" s="2">
        <v>181</v>
      </c>
      <c r="AS56" s="3">
        <v>143748</v>
      </c>
      <c r="AT56" s="3">
        <v>89956.44</v>
      </c>
      <c r="AU56" s="4">
        <v>143748</v>
      </c>
      <c r="AV56" s="7">
        <v>89956.44</v>
      </c>
    </row>
    <row r="57" spans="1:48" ht="18" thickBot="1">
      <c r="A57" s="1" t="s">
        <v>87</v>
      </c>
      <c r="B57" s="1" t="s">
        <v>34</v>
      </c>
      <c r="C57" s="1"/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275</v>
      </c>
      <c r="K57" s="2">
        <v>275</v>
      </c>
      <c r="L57" s="3">
        <v>27500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275</v>
      </c>
      <c r="AR57" s="2">
        <v>275</v>
      </c>
      <c r="AS57" s="3">
        <v>27500</v>
      </c>
      <c r="AT57" s="3">
        <v>17325</v>
      </c>
      <c r="AU57" s="4">
        <v>27500</v>
      </c>
      <c r="AV57" s="7">
        <v>17325</v>
      </c>
    </row>
    <row r="58" spans="1:48" ht="18" thickBot="1">
      <c r="A58" s="1" t="s">
        <v>88</v>
      </c>
      <c r="B58" s="1" t="s">
        <v>89</v>
      </c>
      <c r="C58" s="1"/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2</v>
      </c>
      <c r="K58" s="2">
        <v>2</v>
      </c>
      <c r="L58" s="3">
        <v>4000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2</v>
      </c>
      <c r="AR58" s="2">
        <v>2</v>
      </c>
      <c r="AS58" s="3">
        <v>4000</v>
      </c>
      <c r="AT58" s="3">
        <v>2520</v>
      </c>
      <c r="AU58" s="4">
        <v>4000</v>
      </c>
      <c r="AV58" s="7">
        <v>2520</v>
      </c>
    </row>
    <row r="59" spans="1:48" ht="18" thickBot="1">
      <c r="A59" s="1" t="s">
        <v>90</v>
      </c>
      <c r="B59" s="1" t="s">
        <v>43</v>
      </c>
      <c r="C59" s="1"/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12</v>
      </c>
      <c r="K59" s="2">
        <v>12</v>
      </c>
      <c r="L59" s="3">
        <v>24000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12</v>
      </c>
      <c r="AR59" s="2">
        <v>12</v>
      </c>
      <c r="AS59" s="3">
        <v>24000</v>
      </c>
      <c r="AT59" s="3">
        <v>15120</v>
      </c>
      <c r="AU59" s="4">
        <v>24000</v>
      </c>
      <c r="AV59" s="7">
        <v>15120</v>
      </c>
    </row>
    <row r="60" spans="1:48" ht="18" thickBot="1">
      <c r="A60" s="1" t="s">
        <v>141</v>
      </c>
      <c r="B60" s="1" t="s">
        <v>92</v>
      </c>
      <c r="C60" s="1"/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91</v>
      </c>
      <c r="K60" s="2">
        <v>91</v>
      </c>
      <c r="L60" s="3">
        <v>318500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91</v>
      </c>
      <c r="AR60" s="2">
        <v>91</v>
      </c>
      <c r="AS60" s="3">
        <v>318500</v>
      </c>
      <c r="AT60" s="3">
        <v>200655</v>
      </c>
      <c r="AU60" s="4">
        <v>318500</v>
      </c>
      <c r="AV60" s="7">
        <v>200655</v>
      </c>
    </row>
    <row r="61" spans="1:48" ht="18" thickBot="1">
      <c r="A61" s="1" t="s">
        <v>91</v>
      </c>
      <c r="B61" s="1" t="s">
        <v>92</v>
      </c>
      <c r="C61" s="1"/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1</v>
      </c>
      <c r="K61" s="2">
        <v>1</v>
      </c>
      <c r="L61" s="3">
        <v>3000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1</v>
      </c>
      <c r="AR61" s="2">
        <v>1</v>
      </c>
      <c r="AS61" s="3">
        <v>3000</v>
      </c>
      <c r="AT61" s="3">
        <v>1890</v>
      </c>
      <c r="AU61" s="4">
        <v>3000</v>
      </c>
      <c r="AV61" s="7">
        <v>1890</v>
      </c>
    </row>
    <row r="62" spans="1:48" ht="18.600000000000001" thickBot="1">
      <c r="A62" s="1" t="s">
        <v>142</v>
      </c>
      <c r="B62" s="1" t="s">
        <v>143</v>
      </c>
      <c r="C62" s="1" t="s">
        <v>144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2</v>
      </c>
      <c r="K62" s="2">
        <v>2</v>
      </c>
      <c r="L62" s="3">
        <v>7600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2</v>
      </c>
      <c r="AR62" s="2">
        <v>2</v>
      </c>
      <c r="AS62" s="3">
        <v>7600</v>
      </c>
      <c r="AT62" s="3">
        <v>4788</v>
      </c>
      <c r="AU62" s="4">
        <v>7600</v>
      </c>
      <c r="AV62" s="7">
        <v>4788</v>
      </c>
    </row>
    <row r="63" spans="1:48" ht="18" thickBot="1">
      <c r="A63" s="1" t="s">
        <v>93</v>
      </c>
      <c r="B63" s="1" t="s">
        <v>38</v>
      </c>
      <c r="C63" s="1" t="s">
        <v>94</v>
      </c>
      <c r="D63" s="2">
        <v>0</v>
      </c>
      <c r="E63" s="2">
        <v>0</v>
      </c>
      <c r="F63" s="2">
        <v>0</v>
      </c>
      <c r="G63" s="2">
        <v>2</v>
      </c>
      <c r="H63" s="2">
        <v>2</v>
      </c>
      <c r="I63" s="3">
        <v>1800</v>
      </c>
      <c r="J63" s="2">
        <v>0</v>
      </c>
      <c r="K63" s="2">
        <v>0</v>
      </c>
      <c r="L63" s="2">
        <v>0</v>
      </c>
      <c r="M63" s="2">
        <v>1</v>
      </c>
      <c r="N63" s="2">
        <v>8</v>
      </c>
      <c r="O63" s="3">
        <v>6480</v>
      </c>
      <c r="P63" s="2">
        <v>0</v>
      </c>
      <c r="Q63" s="2">
        <v>0</v>
      </c>
      <c r="R63" s="2">
        <v>0</v>
      </c>
      <c r="S63" s="2">
        <v>6</v>
      </c>
      <c r="T63" s="2">
        <v>6</v>
      </c>
      <c r="U63" s="3">
        <v>6480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9</v>
      </c>
      <c r="AR63" s="2">
        <v>16</v>
      </c>
      <c r="AS63" s="3">
        <v>14760</v>
      </c>
      <c r="AT63" s="3">
        <v>9298.7999999999993</v>
      </c>
      <c r="AU63" s="4">
        <v>14760</v>
      </c>
      <c r="AV63" s="7">
        <v>9298.7999999999993</v>
      </c>
    </row>
    <row r="64" spans="1:48" ht="18.600000000000001" thickBot="1">
      <c r="A64" s="1" t="s">
        <v>95</v>
      </c>
      <c r="B64" s="1" t="s">
        <v>47</v>
      </c>
      <c r="C64" s="1" t="s">
        <v>96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1</v>
      </c>
      <c r="K64" s="2">
        <v>1</v>
      </c>
      <c r="L64" s="3">
        <v>3500</v>
      </c>
      <c r="M64" s="2">
        <v>0</v>
      </c>
      <c r="N64" s="2">
        <v>0</v>
      </c>
      <c r="O64" s="2">
        <v>0</v>
      </c>
      <c r="P64" s="2">
        <v>1</v>
      </c>
      <c r="Q64" s="2">
        <v>2</v>
      </c>
      <c r="R64" s="3">
        <v>6300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2</v>
      </c>
      <c r="AR64" s="2">
        <v>3</v>
      </c>
      <c r="AS64" s="3">
        <v>9800</v>
      </c>
      <c r="AT64" s="3">
        <v>6174</v>
      </c>
      <c r="AU64" s="4">
        <v>9800</v>
      </c>
      <c r="AV64" s="7">
        <v>6174</v>
      </c>
    </row>
    <row r="65" spans="1:48" ht="18.600000000000001" thickBot="1">
      <c r="A65" s="1" t="s">
        <v>219</v>
      </c>
      <c r="B65" s="1" t="s">
        <v>145</v>
      </c>
      <c r="C65" s="1" t="s">
        <v>220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1</v>
      </c>
      <c r="K65" s="2">
        <v>1</v>
      </c>
      <c r="L65" s="2">
        <v>600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1</v>
      </c>
      <c r="AR65" s="2">
        <v>1</v>
      </c>
      <c r="AS65" s="2">
        <v>600</v>
      </c>
      <c r="AT65" s="2">
        <v>378</v>
      </c>
      <c r="AU65" s="5">
        <v>600</v>
      </c>
      <c r="AV65" s="8">
        <v>378</v>
      </c>
    </row>
    <row r="66" spans="1:48" ht="18" thickBot="1">
      <c r="A66" s="1" t="s">
        <v>97</v>
      </c>
      <c r="B66" s="1" t="s">
        <v>38</v>
      </c>
      <c r="C66" s="1" t="s">
        <v>98</v>
      </c>
      <c r="D66" s="2">
        <v>0</v>
      </c>
      <c r="E66" s="2">
        <v>0</v>
      </c>
      <c r="F66" s="2">
        <v>0</v>
      </c>
      <c r="G66" s="2">
        <v>61</v>
      </c>
      <c r="H66" s="2">
        <v>61</v>
      </c>
      <c r="I66" s="3">
        <v>42700</v>
      </c>
      <c r="J66" s="2">
        <v>0</v>
      </c>
      <c r="K66" s="2">
        <v>0</v>
      </c>
      <c r="L66" s="2">
        <v>0</v>
      </c>
      <c r="M66" s="2">
        <v>14</v>
      </c>
      <c r="N66" s="2">
        <v>98</v>
      </c>
      <c r="O66" s="3">
        <v>48020</v>
      </c>
      <c r="P66" s="2">
        <v>0</v>
      </c>
      <c r="Q66" s="2">
        <v>0</v>
      </c>
      <c r="R66" s="2">
        <v>0</v>
      </c>
      <c r="S66" s="2">
        <v>22</v>
      </c>
      <c r="T66" s="2">
        <v>22</v>
      </c>
      <c r="U66" s="3">
        <v>18480</v>
      </c>
      <c r="V66" s="2">
        <v>0</v>
      </c>
      <c r="W66" s="2">
        <v>0</v>
      </c>
      <c r="X66" s="2">
        <v>0</v>
      </c>
      <c r="Y66" s="2">
        <v>1</v>
      </c>
      <c r="Z66" s="2">
        <v>7</v>
      </c>
      <c r="AA66" s="3">
        <v>4116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98</v>
      </c>
      <c r="AR66" s="2">
        <v>188</v>
      </c>
      <c r="AS66" s="3">
        <v>113316</v>
      </c>
      <c r="AT66" s="3">
        <v>71389.08</v>
      </c>
      <c r="AU66" s="4">
        <v>113316</v>
      </c>
      <c r="AV66" s="7">
        <v>71389.08</v>
      </c>
    </row>
    <row r="67" spans="1:48" ht="18" thickBot="1">
      <c r="A67" s="1" t="s">
        <v>99</v>
      </c>
      <c r="B67" s="1" t="s">
        <v>38</v>
      </c>
      <c r="C67" s="1"/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2</v>
      </c>
      <c r="K67" s="2">
        <v>2</v>
      </c>
      <c r="L67" s="2">
        <v>200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2</v>
      </c>
      <c r="AR67" s="2">
        <v>2</v>
      </c>
      <c r="AS67" s="2">
        <v>200</v>
      </c>
      <c r="AT67" s="2">
        <v>126</v>
      </c>
      <c r="AU67" s="5">
        <v>200</v>
      </c>
      <c r="AV67" s="8">
        <v>126</v>
      </c>
    </row>
    <row r="68" spans="1:48" ht="18" thickBot="1">
      <c r="A68" s="1" t="s">
        <v>100</v>
      </c>
      <c r="B68" s="1" t="s">
        <v>101</v>
      </c>
      <c r="C68" s="1"/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1</v>
      </c>
      <c r="W68" s="2">
        <v>1</v>
      </c>
      <c r="X68" s="3">
        <v>2400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1</v>
      </c>
      <c r="AR68" s="2">
        <v>1</v>
      </c>
      <c r="AS68" s="3">
        <v>2400</v>
      </c>
      <c r="AT68" s="3">
        <v>1512</v>
      </c>
      <c r="AU68" s="4">
        <v>2400</v>
      </c>
      <c r="AV68" s="7">
        <v>1512</v>
      </c>
    </row>
    <row r="69" spans="1:48" ht="18" thickBot="1">
      <c r="A69" s="1" t="s">
        <v>102</v>
      </c>
      <c r="B69" s="1" t="s">
        <v>38</v>
      </c>
      <c r="C69" s="1" t="s">
        <v>103</v>
      </c>
      <c r="D69" s="2">
        <v>0</v>
      </c>
      <c r="E69" s="2">
        <v>0</v>
      </c>
      <c r="F69" s="2">
        <v>0</v>
      </c>
      <c r="G69" s="2">
        <v>16</v>
      </c>
      <c r="H69" s="2">
        <v>16</v>
      </c>
      <c r="I69" s="3">
        <v>14400</v>
      </c>
      <c r="J69" s="2">
        <v>2</v>
      </c>
      <c r="K69" s="2">
        <v>2</v>
      </c>
      <c r="L69" s="3">
        <v>5000</v>
      </c>
      <c r="M69" s="2">
        <v>1</v>
      </c>
      <c r="N69" s="2">
        <v>7</v>
      </c>
      <c r="O69" s="3">
        <v>6300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19</v>
      </c>
      <c r="AR69" s="2">
        <v>25</v>
      </c>
      <c r="AS69" s="3">
        <v>25700</v>
      </c>
      <c r="AT69" s="3">
        <v>16191</v>
      </c>
      <c r="AU69" s="4">
        <v>25700</v>
      </c>
      <c r="AV69" s="7">
        <v>16191</v>
      </c>
    </row>
    <row r="70" spans="1:48" ht="18" thickBot="1">
      <c r="A70" s="1" t="s">
        <v>104</v>
      </c>
      <c r="B70" s="1" t="s">
        <v>105</v>
      </c>
      <c r="C70" s="1" t="s">
        <v>106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5</v>
      </c>
      <c r="K70" s="2">
        <v>5</v>
      </c>
      <c r="L70" s="3">
        <v>19000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5</v>
      </c>
      <c r="AR70" s="2">
        <v>5</v>
      </c>
      <c r="AS70" s="3">
        <v>19000</v>
      </c>
      <c r="AT70" s="3">
        <v>11970</v>
      </c>
      <c r="AU70" s="4">
        <v>19000</v>
      </c>
      <c r="AV70" s="7">
        <v>11970</v>
      </c>
    </row>
    <row r="71" spans="1:48" ht="18" thickBot="1">
      <c r="A71" s="1" t="s">
        <v>146</v>
      </c>
      <c r="B71" s="1" t="s">
        <v>105</v>
      </c>
      <c r="C71" s="1" t="s">
        <v>147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3</v>
      </c>
      <c r="K71" s="2">
        <v>3</v>
      </c>
      <c r="L71" s="3">
        <v>1800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3</v>
      </c>
      <c r="AR71" s="2">
        <v>3</v>
      </c>
      <c r="AS71" s="3">
        <v>1800</v>
      </c>
      <c r="AT71" s="3">
        <v>1134</v>
      </c>
      <c r="AU71" s="4">
        <v>1800</v>
      </c>
      <c r="AV71" s="7">
        <v>1134</v>
      </c>
    </row>
    <row r="72" spans="1:48" ht="18" thickBot="1">
      <c r="A72" s="1" t="s">
        <v>107</v>
      </c>
      <c r="B72" s="1" t="s">
        <v>75</v>
      </c>
      <c r="C72" s="1"/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1</v>
      </c>
      <c r="K72" s="2">
        <v>1</v>
      </c>
      <c r="L72" s="3">
        <v>2000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1</v>
      </c>
      <c r="AR72" s="2">
        <v>1</v>
      </c>
      <c r="AS72" s="3">
        <v>2000</v>
      </c>
      <c r="AT72" s="3">
        <v>1260</v>
      </c>
      <c r="AU72" s="4">
        <v>2000</v>
      </c>
      <c r="AV72" s="7">
        <v>1260</v>
      </c>
    </row>
    <row r="73" spans="1:48" ht="18" thickBot="1">
      <c r="A73" s="1" t="s">
        <v>108</v>
      </c>
      <c r="B73" s="1" t="s">
        <v>38</v>
      </c>
      <c r="C73" s="1" t="s">
        <v>109</v>
      </c>
      <c r="D73" s="2">
        <v>0</v>
      </c>
      <c r="E73" s="2">
        <v>0</v>
      </c>
      <c r="F73" s="2">
        <v>0</v>
      </c>
      <c r="G73" s="2">
        <v>43</v>
      </c>
      <c r="H73" s="2">
        <v>43</v>
      </c>
      <c r="I73" s="3">
        <v>38700</v>
      </c>
      <c r="J73" s="2">
        <v>0</v>
      </c>
      <c r="K73" s="2">
        <v>0</v>
      </c>
      <c r="L73" s="2">
        <v>0</v>
      </c>
      <c r="M73" s="2">
        <v>11</v>
      </c>
      <c r="N73" s="2">
        <v>88</v>
      </c>
      <c r="O73" s="3">
        <v>55440</v>
      </c>
      <c r="P73" s="2">
        <v>0</v>
      </c>
      <c r="Q73" s="2">
        <v>0</v>
      </c>
      <c r="R73" s="2">
        <v>0</v>
      </c>
      <c r="S73" s="2">
        <v>15</v>
      </c>
      <c r="T73" s="2">
        <v>15</v>
      </c>
      <c r="U73" s="3">
        <v>16200</v>
      </c>
      <c r="V73" s="2">
        <v>0</v>
      </c>
      <c r="W73" s="2">
        <v>0</v>
      </c>
      <c r="X73" s="2">
        <v>0</v>
      </c>
      <c r="Y73" s="2">
        <v>1</v>
      </c>
      <c r="Z73" s="2">
        <v>8</v>
      </c>
      <c r="AA73" s="3">
        <v>6048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70</v>
      </c>
      <c r="AR73" s="2">
        <v>154</v>
      </c>
      <c r="AS73" s="3">
        <v>116388</v>
      </c>
      <c r="AT73" s="3">
        <v>73324.44</v>
      </c>
      <c r="AU73" s="4">
        <v>116388</v>
      </c>
      <c r="AV73" s="7">
        <v>73324.44</v>
      </c>
    </row>
    <row r="74" spans="1:48" ht="18" thickBot="1">
      <c r="A74" s="1" t="s">
        <v>148</v>
      </c>
      <c r="B74" s="1" t="s">
        <v>149</v>
      </c>
      <c r="C74" s="1"/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1</v>
      </c>
      <c r="K74" s="2">
        <v>1</v>
      </c>
      <c r="L74" s="3">
        <v>2000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1</v>
      </c>
      <c r="AR74" s="2">
        <v>1</v>
      </c>
      <c r="AS74" s="3">
        <v>2000</v>
      </c>
      <c r="AT74" s="3">
        <v>1260</v>
      </c>
      <c r="AU74" s="4">
        <v>2000</v>
      </c>
      <c r="AV74" s="7">
        <v>1260</v>
      </c>
    </row>
    <row r="75" spans="1:48" ht="18" thickBot="1">
      <c r="A75" s="1" t="s">
        <v>110</v>
      </c>
      <c r="B75" s="1" t="s">
        <v>101</v>
      </c>
      <c r="C75" s="1"/>
      <c r="D75" s="2">
        <v>0</v>
      </c>
      <c r="E75" s="2">
        <v>0</v>
      </c>
      <c r="F75" s="2">
        <v>0</v>
      </c>
      <c r="G75" s="2">
        <v>4</v>
      </c>
      <c r="H75" s="2">
        <v>4</v>
      </c>
      <c r="I75" s="3">
        <v>5600</v>
      </c>
      <c r="J75" s="2">
        <v>18</v>
      </c>
      <c r="K75" s="2">
        <v>18</v>
      </c>
      <c r="L75" s="3">
        <v>33000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22</v>
      </c>
      <c r="AR75" s="2">
        <v>22</v>
      </c>
      <c r="AS75" s="3">
        <v>38600</v>
      </c>
      <c r="AT75" s="3">
        <v>24318</v>
      </c>
      <c r="AU75" s="4">
        <v>38600</v>
      </c>
      <c r="AV75" s="7">
        <v>24318</v>
      </c>
    </row>
    <row r="76" spans="1:48" ht="18" thickBot="1">
      <c r="A76" s="1" t="s">
        <v>111</v>
      </c>
      <c r="B76" s="1" t="s">
        <v>112</v>
      </c>
      <c r="C76" s="1"/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7</v>
      </c>
      <c r="K76" s="2">
        <v>7</v>
      </c>
      <c r="L76" s="3">
        <v>17500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1</v>
      </c>
      <c r="W76" s="2">
        <v>1</v>
      </c>
      <c r="X76" s="3">
        <v>3000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8</v>
      </c>
      <c r="AR76" s="2">
        <v>8</v>
      </c>
      <c r="AS76" s="3">
        <v>20500</v>
      </c>
      <c r="AT76" s="3">
        <v>12915</v>
      </c>
      <c r="AU76" s="4">
        <v>20500</v>
      </c>
      <c r="AV76" s="7">
        <v>12915</v>
      </c>
    </row>
    <row r="77" spans="1:48" ht="18" thickBot="1">
      <c r="A77" s="1" t="s">
        <v>221</v>
      </c>
      <c r="B77" s="1" t="s">
        <v>222</v>
      </c>
      <c r="C77" s="1"/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285</v>
      </c>
      <c r="K77" s="2">
        <v>285</v>
      </c>
      <c r="L77" s="3">
        <v>570000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285</v>
      </c>
      <c r="AR77" s="2">
        <v>285</v>
      </c>
      <c r="AS77" s="3">
        <v>570000</v>
      </c>
      <c r="AT77" s="3">
        <v>359100</v>
      </c>
      <c r="AU77" s="4">
        <v>570000</v>
      </c>
      <c r="AV77" s="7">
        <v>359100</v>
      </c>
    </row>
    <row r="78" spans="1:48" ht="18" thickBot="1">
      <c r="A78" s="1" t="s">
        <v>113</v>
      </c>
      <c r="B78" s="1" t="s">
        <v>34</v>
      </c>
      <c r="C78" s="1"/>
      <c r="D78" s="2">
        <v>0</v>
      </c>
      <c r="E78" s="2">
        <v>0</v>
      </c>
      <c r="F78" s="2">
        <v>0</v>
      </c>
      <c r="G78" s="2">
        <v>30</v>
      </c>
      <c r="H78" s="2">
        <v>30</v>
      </c>
      <c r="I78" s="3">
        <v>27000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2</v>
      </c>
      <c r="T78" s="2">
        <v>2</v>
      </c>
      <c r="U78" s="3">
        <v>2160</v>
      </c>
      <c r="V78" s="2">
        <v>0</v>
      </c>
      <c r="W78" s="2">
        <v>0</v>
      </c>
      <c r="X78" s="2">
        <v>0</v>
      </c>
      <c r="Y78" s="2">
        <v>1</v>
      </c>
      <c r="Z78" s="2">
        <v>13</v>
      </c>
      <c r="AA78" s="3">
        <v>14040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33</v>
      </c>
      <c r="AR78" s="2">
        <v>45</v>
      </c>
      <c r="AS78" s="3">
        <v>43200</v>
      </c>
      <c r="AT78" s="3">
        <v>27216</v>
      </c>
      <c r="AU78" s="4">
        <v>43200</v>
      </c>
      <c r="AV78" s="7">
        <v>27216</v>
      </c>
    </row>
    <row r="79" spans="1:48" ht="18" thickBot="1">
      <c r="A79" s="1" t="s">
        <v>150</v>
      </c>
      <c r="B79" s="1" t="s">
        <v>34</v>
      </c>
      <c r="C79" s="1"/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274</v>
      </c>
      <c r="K79" s="2">
        <v>274</v>
      </c>
      <c r="L79" s="3">
        <v>27400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274</v>
      </c>
      <c r="AR79" s="2">
        <v>274</v>
      </c>
      <c r="AS79" s="3">
        <v>27400</v>
      </c>
      <c r="AT79" s="3">
        <v>17262</v>
      </c>
      <c r="AU79" s="4">
        <v>27400</v>
      </c>
      <c r="AV79" s="7">
        <v>17262</v>
      </c>
    </row>
    <row r="80" spans="1:48" ht="18" thickBot="1">
      <c r="A80" s="1" t="s">
        <v>114</v>
      </c>
      <c r="B80" s="1" t="s">
        <v>38</v>
      </c>
      <c r="C80" s="1" t="s">
        <v>115</v>
      </c>
      <c r="D80" s="2">
        <v>0</v>
      </c>
      <c r="E80" s="2">
        <v>0</v>
      </c>
      <c r="F80" s="2">
        <v>0</v>
      </c>
      <c r="G80" s="2">
        <v>16</v>
      </c>
      <c r="H80" s="2">
        <v>16</v>
      </c>
      <c r="I80" s="3">
        <v>14400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13</v>
      </c>
      <c r="T80" s="2">
        <v>13</v>
      </c>
      <c r="U80" s="3">
        <v>14040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29</v>
      </c>
      <c r="AR80" s="2">
        <v>29</v>
      </c>
      <c r="AS80" s="3">
        <v>28440</v>
      </c>
      <c r="AT80" s="3">
        <v>17917.2</v>
      </c>
      <c r="AU80" s="4">
        <v>28440</v>
      </c>
      <c r="AV80" s="7">
        <v>17917.2</v>
      </c>
    </row>
    <row r="81" spans="1:48" ht="18" thickBot="1">
      <c r="A81" s="1" t="s">
        <v>116</v>
      </c>
      <c r="B81" s="1" t="s">
        <v>34</v>
      </c>
      <c r="C81" s="1"/>
      <c r="D81" s="2">
        <v>0</v>
      </c>
      <c r="E81" s="2">
        <v>0</v>
      </c>
      <c r="F81" s="2">
        <v>0</v>
      </c>
      <c r="G81" s="2">
        <v>10</v>
      </c>
      <c r="H81" s="2">
        <v>10</v>
      </c>
      <c r="I81" s="3">
        <v>9000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11</v>
      </c>
      <c r="T81" s="2">
        <v>11</v>
      </c>
      <c r="U81" s="3">
        <v>11880</v>
      </c>
      <c r="V81" s="2">
        <v>0</v>
      </c>
      <c r="W81" s="2">
        <v>0</v>
      </c>
      <c r="X81" s="2">
        <v>0</v>
      </c>
      <c r="Y81" s="2">
        <v>1</v>
      </c>
      <c r="Z81" s="2">
        <v>13</v>
      </c>
      <c r="AA81" s="3">
        <v>14040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22</v>
      </c>
      <c r="AR81" s="2">
        <v>34</v>
      </c>
      <c r="AS81" s="3">
        <v>34920</v>
      </c>
      <c r="AT81" s="3">
        <v>21999.599999999999</v>
      </c>
      <c r="AU81" s="4">
        <v>34920</v>
      </c>
      <c r="AV81" s="7">
        <v>21999.599999999999</v>
      </c>
    </row>
    <row r="82" spans="1:48" ht="18" thickBot="1">
      <c r="A82" s="1" t="s">
        <v>117</v>
      </c>
      <c r="B82" s="1" t="s">
        <v>118</v>
      </c>
      <c r="C82" s="1"/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6</v>
      </c>
      <c r="K82" s="2">
        <v>6</v>
      </c>
      <c r="L82" s="3">
        <v>12000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6</v>
      </c>
      <c r="AR82" s="2">
        <v>6</v>
      </c>
      <c r="AS82" s="3">
        <v>12000</v>
      </c>
      <c r="AT82" s="3">
        <v>7560</v>
      </c>
      <c r="AU82" s="4">
        <v>12000</v>
      </c>
      <c r="AV82" s="7">
        <v>7560</v>
      </c>
    </row>
    <row r="83" spans="1:48" ht="18" thickBot="1">
      <c r="A83" s="1" t="s">
        <v>151</v>
      </c>
      <c r="B83" s="1" t="s">
        <v>120</v>
      </c>
      <c r="C83" s="1"/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8</v>
      </c>
      <c r="K83" s="2">
        <v>8</v>
      </c>
      <c r="L83" s="3">
        <v>18600</v>
      </c>
      <c r="M83" s="2">
        <v>0</v>
      </c>
      <c r="N83" s="2">
        <v>0</v>
      </c>
      <c r="O83" s="2">
        <v>0</v>
      </c>
      <c r="P83" s="2">
        <v>1</v>
      </c>
      <c r="Q83" s="2">
        <v>3</v>
      </c>
      <c r="R83" s="3">
        <v>6300</v>
      </c>
      <c r="S83" s="2">
        <v>0</v>
      </c>
      <c r="T83" s="2">
        <v>0</v>
      </c>
      <c r="U83" s="2">
        <v>0</v>
      </c>
      <c r="V83" s="2">
        <v>3</v>
      </c>
      <c r="W83" s="2">
        <v>3</v>
      </c>
      <c r="X83" s="3">
        <v>7560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12</v>
      </c>
      <c r="AR83" s="2">
        <v>14</v>
      </c>
      <c r="AS83" s="3">
        <v>32460</v>
      </c>
      <c r="AT83" s="3">
        <v>20449.8</v>
      </c>
      <c r="AU83" s="4">
        <v>32460</v>
      </c>
      <c r="AV83" s="7">
        <v>20449.8</v>
      </c>
    </row>
    <row r="84" spans="1:48" ht="18" thickBot="1">
      <c r="A84" s="1" t="s">
        <v>119</v>
      </c>
      <c r="B84" s="1" t="s">
        <v>120</v>
      </c>
      <c r="C84" s="1"/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120</v>
      </c>
      <c r="K84" s="2">
        <v>120</v>
      </c>
      <c r="L84" s="3">
        <v>12000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120</v>
      </c>
      <c r="AR84" s="2">
        <v>120</v>
      </c>
      <c r="AS84" s="3">
        <v>12000</v>
      </c>
      <c r="AT84" s="3">
        <v>7560</v>
      </c>
      <c r="AU84" s="4">
        <v>12000</v>
      </c>
      <c r="AV84" s="7">
        <v>7560</v>
      </c>
    </row>
    <row r="85" spans="1:48" ht="18" thickBot="1">
      <c r="A85" s="1" t="s">
        <v>121</v>
      </c>
      <c r="B85" s="1" t="s">
        <v>32</v>
      </c>
      <c r="C85" s="1"/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5</v>
      </c>
      <c r="K85" s="2">
        <v>5</v>
      </c>
      <c r="L85" s="3">
        <v>12500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5</v>
      </c>
      <c r="AR85" s="2">
        <v>5</v>
      </c>
      <c r="AS85" s="3">
        <v>12500</v>
      </c>
      <c r="AT85" s="3">
        <v>7875</v>
      </c>
      <c r="AU85" s="4">
        <v>12500</v>
      </c>
      <c r="AV85" s="7">
        <v>7875</v>
      </c>
    </row>
    <row r="86" spans="1:48" ht="18" thickBot="1">
      <c r="A86" s="1" t="s">
        <v>122</v>
      </c>
      <c r="B86" s="1" t="s">
        <v>123</v>
      </c>
      <c r="C86" s="1"/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1</v>
      </c>
      <c r="K86" s="2">
        <v>1</v>
      </c>
      <c r="L86" s="3">
        <v>2000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1</v>
      </c>
      <c r="AR86" s="2">
        <v>1</v>
      </c>
      <c r="AS86" s="3">
        <v>2000</v>
      </c>
      <c r="AT86" s="3">
        <v>1260</v>
      </c>
      <c r="AU86" s="4">
        <v>2000</v>
      </c>
      <c r="AV86" s="7">
        <v>1260</v>
      </c>
    </row>
    <row r="87" spans="1:48" ht="18" thickBot="1">
      <c r="A87" s="1" t="s">
        <v>223</v>
      </c>
      <c r="B87" s="1" t="s">
        <v>213</v>
      </c>
      <c r="C87" s="1" t="s">
        <v>224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2</v>
      </c>
      <c r="K87" s="2">
        <v>2</v>
      </c>
      <c r="L87" s="3">
        <v>6000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2</v>
      </c>
      <c r="AR87" s="2">
        <v>2</v>
      </c>
      <c r="AS87" s="3">
        <v>6000</v>
      </c>
      <c r="AT87" s="3">
        <v>3780</v>
      </c>
      <c r="AU87" s="4">
        <v>6000</v>
      </c>
      <c r="AV87" s="7">
        <v>3780</v>
      </c>
    </row>
    <row r="88" spans="1:48" ht="18" thickBot="1">
      <c r="A88" s="1" t="s">
        <v>124</v>
      </c>
      <c r="B88" s="1" t="s">
        <v>34</v>
      </c>
      <c r="C88" s="1"/>
      <c r="D88" s="2">
        <v>0</v>
      </c>
      <c r="E88" s="2">
        <v>0</v>
      </c>
      <c r="F88" s="2">
        <v>0</v>
      </c>
      <c r="G88" s="2">
        <v>20</v>
      </c>
      <c r="H88" s="2">
        <v>20</v>
      </c>
      <c r="I88" s="3">
        <v>18000</v>
      </c>
      <c r="J88" s="2">
        <v>0</v>
      </c>
      <c r="K88" s="2">
        <v>0</v>
      </c>
      <c r="L88" s="2">
        <v>0</v>
      </c>
      <c r="M88" s="2">
        <v>1</v>
      </c>
      <c r="N88" s="2">
        <v>10</v>
      </c>
      <c r="O88" s="3">
        <v>9000</v>
      </c>
      <c r="P88" s="2">
        <v>0</v>
      </c>
      <c r="Q88" s="2">
        <v>0</v>
      </c>
      <c r="R88" s="2">
        <v>0</v>
      </c>
      <c r="S88" s="2">
        <v>22</v>
      </c>
      <c r="T88" s="2">
        <v>22</v>
      </c>
      <c r="U88" s="3">
        <v>23760</v>
      </c>
      <c r="V88" s="2">
        <v>0</v>
      </c>
      <c r="W88" s="2">
        <v>0</v>
      </c>
      <c r="X88" s="2">
        <v>0</v>
      </c>
      <c r="Y88" s="2">
        <v>2</v>
      </c>
      <c r="Z88" s="2">
        <v>20</v>
      </c>
      <c r="AA88" s="3">
        <v>21600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45</v>
      </c>
      <c r="AR88" s="2">
        <v>72</v>
      </c>
      <c r="AS88" s="3">
        <v>72360</v>
      </c>
      <c r="AT88" s="3">
        <v>45586.8</v>
      </c>
      <c r="AU88" s="4">
        <v>72360</v>
      </c>
      <c r="AV88" s="7">
        <v>45586.8</v>
      </c>
    </row>
    <row r="89" spans="1:48" ht="18" thickBot="1">
      <c r="A89" s="1" t="s">
        <v>225</v>
      </c>
      <c r="B89" s="1" t="s">
        <v>226</v>
      </c>
      <c r="C89" s="1"/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1</v>
      </c>
      <c r="W89" s="2">
        <v>1</v>
      </c>
      <c r="X89" s="3">
        <v>3600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1</v>
      </c>
      <c r="AR89" s="2">
        <v>1</v>
      </c>
      <c r="AS89" s="3">
        <v>3600</v>
      </c>
      <c r="AT89" s="3">
        <v>2268</v>
      </c>
      <c r="AU89" s="4">
        <v>3600</v>
      </c>
      <c r="AV89" s="7">
        <v>2268</v>
      </c>
    </row>
    <row r="90" spans="1:48" ht="18" thickBot="1">
      <c r="A90" s="1" t="s">
        <v>125</v>
      </c>
      <c r="B90" s="1" t="s">
        <v>126</v>
      </c>
      <c r="C90" s="1" t="s">
        <v>127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3</v>
      </c>
      <c r="K90" s="2">
        <v>3</v>
      </c>
      <c r="L90" s="3">
        <v>10800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3</v>
      </c>
      <c r="AR90" s="2">
        <v>3</v>
      </c>
      <c r="AS90" s="3">
        <v>10800</v>
      </c>
      <c r="AT90" s="3">
        <v>6804</v>
      </c>
      <c r="AU90" s="4">
        <v>10800</v>
      </c>
      <c r="AV90" s="7">
        <v>6804</v>
      </c>
    </row>
    <row r="91" spans="1:48" ht="18" thickBot="1">
      <c r="A91" s="1" t="s">
        <v>128</v>
      </c>
      <c r="B91" s="1" t="s">
        <v>129</v>
      </c>
      <c r="C91" s="1" t="s">
        <v>130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5</v>
      </c>
      <c r="K91" s="2">
        <v>5</v>
      </c>
      <c r="L91" s="3">
        <v>17500</v>
      </c>
      <c r="M91" s="2">
        <v>0</v>
      </c>
      <c r="N91" s="2">
        <v>0</v>
      </c>
      <c r="O91" s="2">
        <v>0</v>
      </c>
      <c r="P91" s="2">
        <v>2</v>
      </c>
      <c r="Q91" s="2">
        <v>4</v>
      </c>
      <c r="R91" s="3">
        <v>14000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7</v>
      </c>
      <c r="AR91" s="2">
        <v>9</v>
      </c>
      <c r="AS91" s="3">
        <v>31500</v>
      </c>
      <c r="AT91" s="3">
        <v>19845</v>
      </c>
      <c r="AU91" s="4">
        <v>31500</v>
      </c>
      <c r="AV91" s="7">
        <v>19845</v>
      </c>
    </row>
    <row r="92" spans="1:48" ht="18" thickBot="1">
      <c r="A92" s="1" t="s">
        <v>227</v>
      </c>
      <c r="B92" s="1" t="s">
        <v>24</v>
      </c>
      <c r="C92" s="1"/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40</v>
      </c>
      <c r="K92" s="2">
        <v>40</v>
      </c>
      <c r="L92" s="3">
        <v>4000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40</v>
      </c>
      <c r="AR92" s="2">
        <v>40</v>
      </c>
      <c r="AS92" s="3">
        <v>4000</v>
      </c>
      <c r="AT92" s="3">
        <v>2520</v>
      </c>
      <c r="AU92" s="4">
        <v>4000</v>
      </c>
      <c r="AV92" s="7">
        <v>2520</v>
      </c>
    </row>
    <row r="93" spans="1:48" ht="18" thickBot="1">
      <c r="A93" s="1" t="s">
        <v>152</v>
      </c>
      <c r="B93" s="1" t="s">
        <v>71</v>
      </c>
      <c r="C93" s="1"/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6</v>
      </c>
      <c r="K93" s="2">
        <v>6</v>
      </c>
      <c r="L93" s="3">
        <v>15000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6</v>
      </c>
      <c r="AR93" s="2">
        <v>6</v>
      </c>
      <c r="AS93" s="3">
        <v>15000</v>
      </c>
      <c r="AT93" s="3">
        <v>9450</v>
      </c>
      <c r="AU93" s="4">
        <v>15000</v>
      </c>
      <c r="AV93" s="7">
        <v>9450</v>
      </c>
    </row>
    <row r="94" spans="1:48" ht="18" thickBot="1">
      <c r="A94" s="1" t="s">
        <v>153</v>
      </c>
      <c r="B94" s="1" t="s">
        <v>154</v>
      </c>
      <c r="C94" s="1"/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1</v>
      </c>
      <c r="K94" s="2">
        <v>1</v>
      </c>
      <c r="L94" s="3">
        <v>3000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1</v>
      </c>
      <c r="AR94" s="2">
        <v>1</v>
      </c>
      <c r="AS94" s="3">
        <v>3000</v>
      </c>
      <c r="AT94" s="3">
        <v>1890</v>
      </c>
      <c r="AU94" s="4">
        <v>3000</v>
      </c>
      <c r="AV94" s="7">
        <v>1890</v>
      </c>
    </row>
    <row r="95" spans="1:48" ht="18" thickBot="1">
      <c r="A95" s="1" t="s">
        <v>131</v>
      </c>
      <c r="B95" s="1" t="s">
        <v>34</v>
      </c>
      <c r="C95" s="1"/>
      <c r="D95" s="2">
        <v>0</v>
      </c>
      <c r="E95" s="2">
        <v>0</v>
      </c>
      <c r="F95" s="2">
        <v>0</v>
      </c>
      <c r="G95" s="2">
        <v>37</v>
      </c>
      <c r="H95" s="2">
        <v>37</v>
      </c>
      <c r="I95" s="3">
        <v>33300</v>
      </c>
      <c r="J95" s="2">
        <v>0</v>
      </c>
      <c r="K95" s="2">
        <v>0</v>
      </c>
      <c r="L95" s="2">
        <v>0</v>
      </c>
      <c r="M95" s="2">
        <v>2</v>
      </c>
      <c r="N95" s="2">
        <v>14</v>
      </c>
      <c r="O95" s="3">
        <v>11340</v>
      </c>
      <c r="P95" s="2">
        <v>0</v>
      </c>
      <c r="Q95" s="2">
        <v>0</v>
      </c>
      <c r="R95" s="2">
        <v>0</v>
      </c>
      <c r="S95" s="2">
        <v>8</v>
      </c>
      <c r="T95" s="2">
        <v>8</v>
      </c>
      <c r="U95" s="3">
        <v>8640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47</v>
      </c>
      <c r="AR95" s="2">
        <v>59</v>
      </c>
      <c r="AS95" s="3">
        <v>53280</v>
      </c>
      <c r="AT95" s="3">
        <v>33566.400000000001</v>
      </c>
      <c r="AU95" s="4">
        <v>53280</v>
      </c>
      <c r="AV95" s="7">
        <v>33566.400000000001</v>
      </c>
    </row>
    <row r="96" spans="1:48" ht="18.600000000000001" thickBot="1">
      <c r="A96" s="1" t="s">
        <v>155</v>
      </c>
      <c r="B96" s="1" t="s">
        <v>136</v>
      </c>
      <c r="C96" s="1" t="s">
        <v>156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2</v>
      </c>
      <c r="K96" s="2">
        <v>2</v>
      </c>
      <c r="L96" s="3">
        <v>7000</v>
      </c>
      <c r="M96" s="2">
        <v>0</v>
      </c>
      <c r="N96" s="2">
        <v>0</v>
      </c>
      <c r="O96" s="2">
        <v>0</v>
      </c>
      <c r="P96" s="2">
        <v>1</v>
      </c>
      <c r="Q96" s="2">
        <v>2</v>
      </c>
      <c r="R96" s="3">
        <v>6300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3</v>
      </c>
      <c r="AR96" s="2">
        <v>4</v>
      </c>
      <c r="AS96" s="3">
        <v>13300</v>
      </c>
      <c r="AT96" s="3">
        <v>8379</v>
      </c>
      <c r="AU96" s="4">
        <v>13300</v>
      </c>
      <c r="AV96" s="7">
        <v>8379</v>
      </c>
    </row>
    <row r="97" spans="1:48" ht="18.600000000000001" thickBot="1">
      <c r="A97" s="1" t="s">
        <v>228</v>
      </c>
      <c r="B97" s="1" t="s">
        <v>136</v>
      </c>
      <c r="C97" s="1" t="s">
        <v>229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1</v>
      </c>
      <c r="K97" s="2">
        <v>1</v>
      </c>
      <c r="L97" s="2">
        <v>400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1</v>
      </c>
      <c r="AR97" s="2">
        <v>1</v>
      </c>
      <c r="AS97" s="2">
        <v>400</v>
      </c>
      <c r="AT97" s="2">
        <v>252</v>
      </c>
      <c r="AU97" s="5">
        <v>400</v>
      </c>
      <c r="AV97" s="8">
        <v>252</v>
      </c>
    </row>
    <row r="98" spans="1:48" ht="18" thickBot="1">
      <c r="A98" s="1" t="s">
        <v>132</v>
      </c>
      <c r="B98" s="1" t="s">
        <v>34</v>
      </c>
      <c r="C98" s="1"/>
      <c r="D98" s="2">
        <v>0</v>
      </c>
      <c r="E98" s="2">
        <v>0</v>
      </c>
      <c r="F98" s="2">
        <v>0</v>
      </c>
      <c r="G98" s="2">
        <v>14</v>
      </c>
      <c r="H98" s="2">
        <v>14</v>
      </c>
      <c r="I98" s="3">
        <v>12600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2</v>
      </c>
      <c r="T98" s="2">
        <v>2</v>
      </c>
      <c r="U98" s="3">
        <v>2160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16</v>
      </c>
      <c r="AR98" s="2">
        <v>16</v>
      </c>
      <c r="AS98" s="3">
        <v>14760</v>
      </c>
      <c r="AT98" s="3">
        <v>9298.7999999999993</v>
      </c>
      <c r="AU98" s="4">
        <v>14760</v>
      </c>
      <c r="AV98" s="7">
        <v>9298.7999999999993</v>
      </c>
    </row>
    <row r="99" spans="1:48">
      <c r="A99" s="1" t="s">
        <v>230</v>
      </c>
      <c r="B99" s="1" t="s">
        <v>34</v>
      </c>
      <c r="C99" s="1"/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192</v>
      </c>
      <c r="K99" s="2">
        <v>192</v>
      </c>
      <c r="L99" s="3">
        <v>19200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31</v>
      </c>
      <c r="W99" s="2">
        <v>31</v>
      </c>
      <c r="X99" s="3">
        <v>3720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223</v>
      </c>
      <c r="AR99" s="2">
        <v>223</v>
      </c>
      <c r="AS99" s="3">
        <v>22920</v>
      </c>
      <c r="AT99" s="3">
        <v>14439.6</v>
      </c>
      <c r="AU99" s="4">
        <v>22920</v>
      </c>
      <c r="AV99" s="7">
        <v>14439.6</v>
      </c>
    </row>
    <row r="100" spans="1:48">
      <c r="AV100" s="9">
        <f>SUM(AV2:AV99)</f>
        <v>2338719.5999999996</v>
      </c>
    </row>
  </sheetData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2022-09-05T06:46:54Z</dcterms:modified>
</cp:coreProperties>
</file>