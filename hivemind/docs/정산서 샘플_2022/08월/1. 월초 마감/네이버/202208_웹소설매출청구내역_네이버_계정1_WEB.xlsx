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네이버\"/>
    </mc:Choice>
  </mc:AlternateContent>
  <bookViews>
    <workbookView xWindow="0" yWindow="0" windowWidth="23040" windowHeight="8952" tabRatio="766"/>
  </bookViews>
  <sheets>
    <sheet name="합계 (8)" sheetId="412" r:id="rId1"/>
  </sheets>
  <definedNames>
    <definedName name="_xlnm._FilterDatabase" localSheetId="0" hidden="1">'합계 (8)'!$A$1:$AM$1</definedName>
    <definedName name="_xlnm.Extract" localSheetId="0">'합계 (8)'!#REF!</definedName>
  </definedNames>
  <calcPr calcId="152511"/>
</workbook>
</file>

<file path=xl/calcChain.xml><?xml version="1.0" encoding="utf-8"?>
<calcChain xmlns="http://schemas.openxmlformats.org/spreadsheetml/2006/main">
  <c r="BO54" i="412" l="1"/>
  <c r="BN42" i="412"/>
  <c r="BO42" i="412"/>
  <c r="BN43" i="412"/>
  <c r="BO43" i="412" s="1"/>
  <c r="BN44" i="412"/>
  <c r="BO44" i="412"/>
  <c r="BN45" i="412"/>
  <c r="BO45" i="412" s="1"/>
  <c r="BN46" i="412"/>
  <c r="BO46" i="412"/>
  <c r="BN47" i="412"/>
  <c r="BO47" i="412" s="1"/>
  <c r="BN48" i="412"/>
  <c r="BO48" i="412"/>
  <c r="BN49" i="412"/>
  <c r="BO49" i="412" s="1"/>
  <c r="BN50" i="412"/>
  <c r="BO50" i="412"/>
  <c r="BN51" i="412"/>
  <c r="BO51" i="412" s="1"/>
  <c r="BN52" i="412"/>
  <c r="BO52" i="412"/>
  <c r="BN53" i="412"/>
  <c r="BO53" i="412" s="1"/>
  <c r="BN34" i="412" l="1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29" i="412" l="1"/>
  <c r="BO29" i="412" s="1"/>
  <c r="BN30" i="412"/>
  <c r="BO30" i="412" s="1"/>
  <c r="BN31" i="412"/>
  <c r="BO31" i="412" s="1"/>
  <c r="BN32" i="412"/>
  <c r="BO32" i="412" s="1"/>
  <c r="BN33" i="412"/>
  <c r="BO3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" i="412"/>
  <c r="BO2" i="412" s="1"/>
  <c r="BN3" i="412"/>
  <c r="BO3" i="412" s="1"/>
</calcChain>
</file>

<file path=xl/comments1.xml><?xml version="1.0" encoding="utf-8"?>
<comments xmlns="http://schemas.openxmlformats.org/spreadsheetml/2006/main">
  <authors>
    <author>storywiz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</t>
        </r>
        <r>
          <rPr>
            <b/>
            <sz val="9"/>
            <color indexed="81"/>
            <rFont val="돋움"/>
            <family val="3"/>
            <charset val="129"/>
          </rPr>
          <t>스토어</t>
        </r>
        <r>
          <rPr>
            <b/>
            <sz val="9"/>
            <color indexed="81"/>
            <rFont val="Tahoma"/>
            <family val="2"/>
          </rPr>
          <t>(PC)
PC</t>
        </r>
        <r>
          <rPr>
            <b/>
            <sz val="9"/>
            <color indexed="81"/>
            <rFont val="돋움"/>
            <family val="3"/>
            <charset val="129"/>
          </rPr>
          <t>뷰어</t>
        </r>
        <r>
          <rPr>
            <b/>
            <sz val="9"/>
            <color indexed="81"/>
            <rFont val="Tahoma"/>
            <family val="2"/>
          </rPr>
          <t>(PC)
N</t>
        </r>
        <r>
          <rPr>
            <b/>
            <sz val="9"/>
            <color indexed="81"/>
            <rFont val="돋움"/>
            <family val="3"/>
            <charset val="129"/>
          </rPr>
          <t>스토어</t>
        </r>
        <r>
          <rPr>
            <b/>
            <sz val="9"/>
            <color indexed="81"/>
            <rFont val="Tahoma"/>
            <family val="2"/>
          </rPr>
          <t>(MW)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<sst xmlns="http://schemas.openxmlformats.org/spreadsheetml/2006/main" count="433" uniqueCount="142">
  <si>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</si>
  <si>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</si>
  <si>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</si>
  <si>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</si>
  <si>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</si>
  <si>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</si>
  <si>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</si>
  <si>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</si>
  <si>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</si>
  <si>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</si>
  <si>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</si>
  <si>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</si>
  <si>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</si>
  <si>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</si>
  <si>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</si>
  <si>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</si>
  <si>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</si>
  <si>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</si>
  <si>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</si>
  <si>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</si>
  <si>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</si>
  <si>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주식회사 스토리위즈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</si>
  <si>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</si>
  <si>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</si>
  <si>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</si>
  <si>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</si>
  <si>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</si>
  <si>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</si>
  <si>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</si>
  <si>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</si>
  <si>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만인지상 [단행본]</t>
  </si>
  <si>
    <t>전혁</t>
  </si>
  <si>
    <t>2015.05.27</t>
  </si>
  <si>
    <t>스피릿 소드</t>
  </si>
  <si>
    <t>2016.07.06</t>
  </si>
  <si>
    <t>스트라이커</t>
  </si>
  <si>
    <t>독고진</t>
  </si>
  <si>
    <t>2016.05.25</t>
  </si>
  <si>
    <t>신궁전설 [단행본]</t>
  </si>
  <si>
    <t>2015.05.28</t>
  </si>
  <si>
    <t>2017.08.22</t>
  </si>
  <si>
    <t>2020.08.07</t>
  </si>
  <si>
    <t>두경</t>
  </si>
  <si>
    <t>천조를 가진 남자 [단행본]</t>
  </si>
  <si>
    <t>절륜공자 [단행본]</t>
  </si>
  <si>
    <t>합계</t>
  </si>
  <si>
    <t>순매출(합계-수수료)</t>
    <phoneticPr fontId="20" type="noConversion"/>
  </si>
  <si>
    <t>2021.08.12</t>
  </si>
  <si>
    <t>SW 매출</t>
    <phoneticPr fontId="20" type="noConversion"/>
  </si>
  <si>
    <t>앱마켓수수료</t>
  </si>
  <si>
    <t>레이드 만물상점[완전판] [단행본]</t>
  </si>
  <si>
    <t>2016.06.16</t>
  </si>
  <si>
    <t>상계무적 [단행본]</t>
  </si>
  <si>
    <t>2015.07.03</t>
  </si>
  <si>
    <t>칼 [단행본]</t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</si>
  <si>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</si>
  <si>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</si>
  <si>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</si>
  <si>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</si>
  <si>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</si>
  <si>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</si>
  <si>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</si>
  <si>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</si>
  <si>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</si>
  <si>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</si>
  <si>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</si>
  <si>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</si>
  <si>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</si>
  <si>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</si>
  <si>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</si>
  <si>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</si>
  <si>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</si>
  <si>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</si>
  <si>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</si>
  <si>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</si>
  <si>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</si>
  <si>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</si>
  <si>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</si>
  <si>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</si>
  <si>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</si>
  <si>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</si>
  <si>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</si>
  <si>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</si>
  <si>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</si>
  <si>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</si>
  <si>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</si>
  <si>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</si>
  <si>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</si>
  <si>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</si>
  <si>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</si>
  <si>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</si>
  <si>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</si>
  <si>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</si>
  <si>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</si>
  <si>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</si>
  <si>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</si>
  <si>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</si>
  <si>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</si>
  <si>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</si>
  <si>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</si>
  <si>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</si>
  <si>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</si>
  <si>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</si>
  <si>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</si>
  <si>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</si>
  <si>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</si>
  <si>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</si>
  <si>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</si>
  <si>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</si>
  <si>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</si>
  <si>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</si>
  <si>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출판사</t>
    <phoneticPr fontId="25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</si>
  <si>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5" type="noConversion"/>
  </si>
  <si>
    <t>N스토어(PC)</t>
  </si>
  <si>
    <t>PC뷰어(PC)</t>
  </si>
  <si>
    <t>N스토어(MW)</t>
  </si>
  <si>
    <t>프리 나이트 [단행본]</t>
  </si>
  <si>
    <t>2014.10.01</t>
  </si>
  <si>
    <t>칼</t>
  </si>
  <si>
    <t>2020.09.07</t>
  </si>
  <si>
    <t>검산도해</t>
  </si>
  <si>
    <t>2020.04.28</t>
  </si>
  <si>
    <t>수적왕</t>
  </si>
  <si>
    <t>2020.09.11</t>
  </si>
  <si>
    <t>용중신권</t>
  </si>
  <si>
    <t>검령천하: 나의 검 너의 노래 [독점]</t>
  </si>
  <si>
    <t>금시조</t>
  </si>
  <si>
    <t>2020.08.10</t>
  </si>
  <si>
    <t>영웅[개정판]</t>
  </si>
  <si>
    <t>2016.04.13</t>
  </si>
  <si>
    <t>철중쟁쟁 [단행본]</t>
  </si>
  <si>
    <t>2016.03.17</t>
  </si>
  <si>
    <t>스트라이커 [완전판] [단행본]</t>
  </si>
  <si>
    <t>2016.11.29</t>
  </si>
  <si>
    <t>순백의 아가씨</t>
  </si>
  <si>
    <t>한례</t>
  </si>
  <si>
    <t>게이트 헌터 [완전판] [단행본]</t>
  </si>
  <si>
    <t>2017.04.26</t>
  </si>
  <si>
    <t>천조를 가진 남자</t>
  </si>
  <si>
    <t>2017.11.15</t>
  </si>
  <si>
    <t>소드엠페러</t>
  </si>
  <si>
    <t>2020.12.18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</si>
</sst>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3" fillId="0" borderId="0" xfId="42" applyFont="1" applyFill="1">
      <alignment vertical="center"/>
    </xf>
    <xf numFmtId="41" fontId="22" fillId="34" borderId="0" xfId="42" applyFont="1" applyFill="1">
      <alignment vertical="center"/>
    </xf>
    <xf numFmtId="0" fontId="24" fillId="35" borderId="10" xfId="0" applyFont="1" applyFill="1" applyBorder="1" applyAlignment="1">
      <alignment vertical="center"/>
    </xf>
    <xf numFmtId="0" fontId="26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Q54"/>
  <sheetViews>
    <sheetView tabSelected="1" zoomScaleNormal="100" workbookViewId="0">
      <pane xSplit="9" ySplit="1" topLeftCell="BM47" activePane="bottomRight" state="frozen"/>
      <selection pane="topRight" activeCell="J1" sqref="J1"/>
      <selection pane="bottomLeft" activeCell="A2" sqref="A2"/>
      <selection pane="bottomRight" activeCell="BO54" sqref="BO54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2" customWidth="1"/>
  </cols>
  <sheetData>
    <row r="1" spans="1:69" ht="27" customHeight="1" x14ac:dyDescent="0.4">
      <c r="A1" s="2" t="s">
        <v>55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56</v>
      </c>
      <c r="I1" s="13" t="s">
        <v>6</v>
      </c>
      <c r="J1" s="11" t="s">
        <v>57</v>
      </c>
      <c r="K1" s="11" t="s">
        <v>58</v>
      </c>
      <c r="L1" s="11" t="s">
        <v>59</v>
      </c>
      <c r="M1" s="11" t="s">
        <v>60</v>
      </c>
      <c r="N1" s="11" t="s">
        <v>61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  <c r="U1" s="11" t="s">
        <v>68</v>
      </c>
      <c r="V1" s="11" t="s">
        <v>69</v>
      </c>
      <c r="W1" s="11" t="s">
        <v>70</v>
      </c>
      <c r="X1" s="11" t="s">
        <v>71</v>
      </c>
      <c r="Y1" s="11" t="s">
        <v>72</v>
      </c>
      <c r="Z1" s="11" t="s">
        <v>73</v>
      </c>
      <c r="AA1" s="11" t="s">
        <v>74</v>
      </c>
      <c r="AB1" s="11" t="s">
        <v>75</v>
      </c>
      <c r="AC1" s="11" t="s">
        <v>76</v>
      </c>
      <c r="AD1" s="11" t="s">
        <v>77</v>
      </c>
      <c r="AE1" s="11" t="s">
        <v>78</v>
      </c>
      <c r="AF1" s="11" t="s">
        <v>79</v>
      </c>
      <c r="AG1" s="11" t="s">
        <v>80</v>
      </c>
      <c r="AH1" s="11" t="s">
        <v>81</v>
      </c>
      <c r="AI1" s="11" t="s">
        <v>82</v>
      </c>
      <c r="AJ1" s="11" t="s">
        <v>83</v>
      </c>
      <c r="AK1" s="11" t="s">
        <v>84</v>
      </c>
      <c r="AL1" s="11" t="s">
        <v>85</v>
      </c>
      <c r="AM1" s="11" t="s">
        <v>86</v>
      </c>
      <c r="AN1" s="11" t="s">
        <v>87</v>
      </c>
      <c r="AO1" s="11" t="s">
        <v>88</v>
      </c>
      <c r="AP1" s="11" t="s">
        <v>89</v>
      </c>
      <c r="AQ1" s="11" t="s">
        <v>90</v>
      </c>
      <c r="AR1" s="11" t="s">
        <v>91</v>
      </c>
      <c r="AS1" s="11" t="s">
        <v>92</v>
      </c>
      <c r="AT1" s="11" t="s">
        <v>93</v>
      </c>
      <c r="AU1" s="11" t="s">
        <v>94</v>
      </c>
      <c r="AV1" s="11" t="s">
        <v>95</v>
      </c>
      <c r="AW1" s="11" t="s">
        <v>96</v>
      </c>
      <c r="AX1" s="11" t="s">
        <v>97</v>
      </c>
      <c r="AY1" s="11" t="s">
        <v>98</v>
      </c>
      <c r="AZ1" s="11" t="s">
        <v>99</v>
      </c>
      <c r="BA1" s="11" t="s">
        <v>100</v>
      </c>
      <c r="BB1" s="11" t="s">
        <v>101</v>
      </c>
      <c r="BC1" s="11" t="s">
        <v>102</v>
      </c>
      <c r="BD1" s="11" t="s">
        <v>103</v>
      </c>
      <c r="BE1" s="11" t="s">
        <v>104</v>
      </c>
      <c r="BF1" s="11" t="s">
        <v>105</v>
      </c>
      <c r="BG1" s="11" t="s">
        <v>106</v>
      </c>
      <c r="BH1" s="11" t="s">
        <v>107</v>
      </c>
      <c r="BI1" s="11" t="s">
        <v>108</v>
      </c>
      <c r="BJ1" s="11" t="s">
        <v>109</v>
      </c>
      <c r="BK1" s="11" t="s">
        <v>110</v>
      </c>
      <c r="BL1" s="11" t="s">
        <v>49</v>
      </c>
      <c r="BM1" s="11" t="s">
        <v>45</v>
      </c>
      <c r="BN1" s="11" t="s">
        <v>46</v>
      </c>
      <c r="BO1" s="11" t="s">
        <v>48</v>
      </c>
      <c r="BP1" s="17" t="s">
        <v>111</v>
      </c>
      <c r="BQ1" s="18" t="s">
        <v>112</v>
      </c>
    </row>
    <row r="2" spans="1:69" x14ac:dyDescent="0.4">
      <c r="A2" s="5" t="s">
        <v>113</v>
      </c>
      <c r="B2" s="5" t="s">
        <v>15</v>
      </c>
      <c r="C2" s="5">
        <v>159260</v>
      </c>
      <c r="D2" s="6"/>
      <c r="E2" s="5" t="s">
        <v>11</v>
      </c>
      <c r="F2" s="5" t="s">
        <v>16</v>
      </c>
      <c r="G2" s="5" t="s">
        <v>11</v>
      </c>
      <c r="H2" s="7" t="s">
        <v>7</v>
      </c>
      <c r="I2" s="7" t="s">
        <v>17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2</v>
      </c>
      <c r="AC2" s="8">
        <v>1500</v>
      </c>
      <c r="AD2" s="7">
        <v>0</v>
      </c>
      <c r="AE2" s="7">
        <v>0</v>
      </c>
      <c r="AF2" s="7">
        <v>0</v>
      </c>
      <c r="AG2" s="7">
        <v>0</v>
      </c>
      <c r="AH2" s="7">
        <v>1</v>
      </c>
      <c r="AI2" s="7">
        <v>360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7</v>
      </c>
      <c r="BA2" s="8">
        <v>7560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561.6</v>
      </c>
      <c r="BM2" s="9">
        <v>9420</v>
      </c>
      <c r="BN2" s="14">
        <f t="shared" ref="BN2:BN3" si="0">BM2-BL2</f>
        <v>8858.4</v>
      </c>
      <c r="BO2" s="15">
        <f t="shared" ref="BO2:BO3" si="1">BN2*70%</f>
        <v>6200.8799999999992</v>
      </c>
    </row>
    <row r="3" spans="1:69" x14ac:dyDescent="0.4">
      <c r="A3" s="5" t="s">
        <v>113</v>
      </c>
      <c r="B3" s="5" t="s">
        <v>29</v>
      </c>
      <c r="C3" s="5">
        <v>159266</v>
      </c>
      <c r="D3" s="6"/>
      <c r="E3" s="5" t="s">
        <v>11</v>
      </c>
      <c r="F3" s="5" t="s">
        <v>16</v>
      </c>
      <c r="G3" s="5" t="s">
        <v>11</v>
      </c>
      <c r="H3" s="7" t="s">
        <v>7</v>
      </c>
      <c r="I3" s="7" t="s">
        <v>25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9</v>
      </c>
      <c r="AC3" s="8">
        <v>8100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9">
        <v>8100</v>
      </c>
      <c r="BN3" s="14">
        <f t="shared" si="0"/>
        <v>8100</v>
      </c>
      <c r="BO3" s="15">
        <f t="shared" si="1"/>
        <v>5670</v>
      </c>
    </row>
    <row r="4" spans="1:69" x14ac:dyDescent="0.4">
      <c r="A4" s="5" t="s">
        <v>113</v>
      </c>
      <c r="B4" s="5" t="s">
        <v>14</v>
      </c>
      <c r="C4" s="5">
        <v>355332</v>
      </c>
      <c r="D4" s="6"/>
      <c r="E4" s="5" t="s">
        <v>11</v>
      </c>
      <c r="F4" s="5" t="s">
        <v>13</v>
      </c>
      <c r="G4" s="5" t="s">
        <v>11</v>
      </c>
      <c r="H4" s="7" t="s">
        <v>8</v>
      </c>
      <c r="I4" s="7" t="s">
        <v>47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57</v>
      </c>
      <c r="AF4" s="8">
        <v>5700</v>
      </c>
      <c r="AG4" s="7">
        <v>0</v>
      </c>
      <c r="AH4" s="7">
        <v>0</v>
      </c>
      <c r="AI4" s="7">
        <v>0</v>
      </c>
      <c r="AJ4" s="7">
        <v>0</v>
      </c>
      <c r="AK4" s="7">
        <v>1</v>
      </c>
      <c r="AL4" s="7">
        <v>120</v>
      </c>
      <c r="AM4" s="7">
        <v>0</v>
      </c>
      <c r="AN4" s="7">
        <v>0</v>
      </c>
      <c r="AO4" s="7">
        <v>0</v>
      </c>
      <c r="AP4" s="7">
        <v>0</v>
      </c>
      <c r="AQ4" s="7">
        <v>3</v>
      </c>
      <c r="AR4" s="7">
        <v>300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36</v>
      </c>
      <c r="BM4" s="9">
        <v>6120</v>
      </c>
      <c r="BN4" s="14">
        <f t="shared" ref="BN4:BN28" si="2">BM4-BL4</f>
        <v>6084</v>
      </c>
      <c r="BO4" s="15">
        <f t="shared" ref="BO4:BO28" si="3">BN4*70%</f>
        <v>4258.8</v>
      </c>
    </row>
    <row r="5" spans="1:69" x14ac:dyDescent="0.4">
      <c r="A5" s="5" t="s">
        <v>113</v>
      </c>
      <c r="B5" s="5" t="s">
        <v>24</v>
      </c>
      <c r="C5" s="5">
        <v>159268</v>
      </c>
      <c r="D5" s="6"/>
      <c r="E5" s="5" t="s">
        <v>11</v>
      </c>
      <c r="F5" s="5" t="s">
        <v>16</v>
      </c>
      <c r="G5" s="5" t="s">
        <v>11</v>
      </c>
      <c r="H5" s="7" t="s">
        <v>7</v>
      </c>
      <c r="I5" s="7" t="s">
        <v>25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4</v>
      </c>
      <c r="AC5" s="8">
        <v>3300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3</v>
      </c>
      <c r="BA5" s="8">
        <v>2520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151.19999999999999</v>
      </c>
      <c r="BM5" s="9">
        <v>5820</v>
      </c>
      <c r="BN5" s="14">
        <f t="shared" si="2"/>
        <v>5668.8</v>
      </c>
      <c r="BO5" s="15">
        <f t="shared" si="3"/>
        <v>3968.16</v>
      </c>
    </row>
    <row r="6" spans="1:69" x14ac:dyDescent="0.4">
      <c r="A6" s="5" t="s">
        <v>113</v>
      </c>
      <c r="B6" s="5" t="s">
        <v>20</v>
      </c>
      <c r="C6" s="5">
        <v>159270</v>
      </c>
      <c r="D6" s="6"/>
      <c r="E6" s="5" t="s">
        <v>11</v>
      </c>
      <c r="F6" s="5" t="s">
        <v>16</v>
      </c>
      <c r="G6" s="5" t="s">
        <v>11</v>
      </c>
      <c r="H6" s="7" t="s">
        <v>10</v>
      </c>
      <c r="I6" s="7" t="s">
        <v>19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</v>
      </c>
      <c r="AC6" s="8">
        <v>1700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3</v>
      </c>
      <c r="BA6" s="8">
        <v>2280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136.80000000000001</v>
      </c>
      <c r="BM6" s="9">
        <v>3980</v>
      </c>
      <c r="BN6" s="14">
        <f t="shared" si="2"/>
        <v>3843.2</v>
      </c>
      <c r="BO6" s="15">
        <f t="shared" si="3"/>
        <v>2690.24</v>
      </c>
    </row>
    <row r="7" spans="1:69" x14ac:dyDescent="0.4">
      <c r="A7" s="5" t="s">
        <v>113</v>
      </c>
      <c r="B7" s="5" t="s">
        <v>52</v>
      </c>
      <c r="C7" s="5">
        <v>196917</v>
      </c>
      <c r="D7" s="6"/>
      <c r="E7" s="5" t="s">
        <v>11</v>
      </c>
      <c r="F7" s="5" t="s">
        <v>31</v>
      </c>
      <c r="G7" s="5" t="s">
        <v>11</v>
      </c>
      <c r="H7" s="7" t="s">
        <v>7</v>
      </c>
      <c r="I7" s="7" t="s">
        <v>53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4</v>
      </c>
      <c r="AC7" s="8">
        <v>3600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9">
        <v>3600</v>
      </c>
      <c r="BN7" s="14">
        <f t="shared" si="2"/>
        <v>3600</v>
      </c>
      <c r="BO7" s="15">
        <f t="shared" si="3"/>
        <v>2520</v>
      </c>
    </row>
    <row r="8" spans="1:69" x14ac:dyDescent="0.4">
      <c r="A8" s="5" t="s">
        <v>113</v>
      </c>
      <c r="B8" s="5" t="s">
        <v>22</v>
      </c>
      <c r="C8" s="5">
        <v>161447</v>
      </c>
      <c r="D8" s="6"/>
      <c r="E8" s="5" t="s">
        <v>11</v>
      </c>
      <c r="F8" s="5" t="s">
        <v>13</v>
      </c>
      <c r="G8" s="5" t="s">
        <v>11</v>
      </c>
      <c r="H8" s="7" t="s">
        <v>7</v>
      </c>
      <c r="I8" s="7" t="s">
        <v>23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2</v>
      </c>
      <c r="AC8" s="8">
        <v>1800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1</v>
      </c>
      <c r="AO8" s="7">
        <v>900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9">
        <v>2700</v>
      </c>
      <c r="BN8" s="14">
        <f t="shared" si="2"/>
        <v>2700</v>
      </c>
      <c r="BO8" s="15">
        <f t="shared" si="3"/>
        <v>1889.9999999999998</v>
      </c>
    </row>
    <row r="9" spans="1:69" x14ac:dyDescent="0.4">
      <c r="A9" s="5" t="s">
        <v>113</v>
      </c>
      <c r="B9" s="5" t="s">
        <v>116</v>
      </c>
      <c r="C9" s="5">
        <v>169151</v>
      </c>
      <c r="D9" s="6"/>
      <c r="E9" s="5" t="s">
        <v>11</v>
      </c>
      <c r="F9" s="5" t="s">
        <v>13</v>
      </c>
      <c r="G9" s="5" t="s">
        <v>11</v>
      </c>
      <c r="H9" s="7" t="s">
        <v>7</v>
      </c>
      <c r="I9" s="7" t="s">
        <v>117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</v>
      </c>
      <c r="AC9" s="7">
        <v>0</v>
      </c>
      <c r="AD9" s="7">
        <v>400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2</v>
      </c>
      <c r="AO9" s="8">
        <v>1400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9">
        <v>1800</v>
      </c>
      <c r="BN9" s="14">
        <f t="shared" si="2"/>
        <v>1800</v>
      </c>
      <c r="BO9" s="15">
        <f t="shared" si="3"/>
        <v>1260</v>
      </c>
    </row>
    <row r="10" spans="1:69" x14ac:dyDescent="0.4">
      <c r="A10" s="5" t="s">
        <v>113</v>
      </c>
      <c r="B10" s="5" t="s">
        <v>26</v>
      </c>
      <c r="C10" s="5">
        <v>159258</v>
      </c>
      <c r="D10" s="6"/>
      <c r="E10" s="5" t="s">
        <v>11</v>
      </c>
      <c r="F10" s="5" t="s">
        <v>16</v>
      </c>
      <c r="G10" s="5" t="s">
        <v>11</v>
      </c>
      <c r="H10" s="7" t="s">
        <v>7</v>
      </c>
      <c r="I10" s="7" t="s">
        <v>25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1</v>
      </c>
      <c r="AU10" s="8">
        <v>1080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108</v>
      </c>
      <c r="BM10" s="9">
        <v>1080</v>
      </c>
      <c r="BN10" s="14">
        <f t="shared" si="2"/>
        <v>972</v>
      </c>
      <c r="BO10" s="15">
        <f t="shared" si="3"/>
        <v>680.4</v>
      </c>
    </row>
    <row r="11" spans="1:69" x14ac:dyDescent="0.4">
      <c r="A11" s="5" t="s">
        <v>113</v>
      </c>
      <c r="B11" s="5" t="s">
        <v>43</v>
      </c>
      <c r="C11" s="5">
        <v>305089</v>
      </c>
      <c r="D11" s="6"/>
      <c r="E11" s="5" t="s">
        <v>11</v>
      </c>
      <c r="F11" s="5" t="s">
        <v>42</v>
      </c>
      <c r="G11" s="5" t="s">
        <v>11</v>
      </c>
      <c r="H11" s="7" t="s">
        <v>7</v>
      </c>
      <c r="I11" s="7" t="s">
        <v>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1</v>
      </c>
      <c r="AO11" s="7">
        <v>900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900</v>
      </c>
      <c r="BN11" s="14">
        <f t="shared" si="2"/>
        <v>900</v>
      </c>
      <c r="BO11" s="15">
        <f t="shared" si="3"/>
        <v>630</v>
      </c>
    </row>
    <row r="12" spans="1:69" x14ac:dyDescent="0.4">
      <c r="A12" s="5" t="s">
        <v>113</v>
      </c>
      <c r="B12" s="5" t="s">
        <v>50</v>
      </c>
      <c r="C12" s="5">
        <v>238494</v>
      </c>
      <c r="D12" s="6"/>
      <c r="E12" s="5" t="s">
        <v>11</v>
      </c>
      <c r="F12" s="5" t="s">
        <v>31</v>
      </c>
      <c r="G12" s="5" t="s">
        <v>11</v>
      </c>
      <c r="H12" s="7" t="s">
        <v>7</v>
      </c>
      <c r="I12" s="7" t="s">
        <v>51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</v>
      </c>
      <c r="AC12" s="7">
        <v>900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900</v>
      </c>
      <c r="BN12" s="14">
        <f t="shared" si="2"/>
        <v>900</v>
      </c>
      <c r="BO12" s="15">
        <f t="shared" si="3"/>
        <v>630</v>
      </c>
    </row>
    <row r="13" spans="1:69" ht="19.2" x14ac:dyDescent="0.4">
      <c r="A13" s="5" t="s">
        <v>113</v>
      </c>
      <c r="B13" s="5" t="s">
        <v>118</v>
      </c>
      <c r="C13" s="5">
        <v>408332</v>
      </c>
      <c r="D13" s="6"/>
      <c r="E13" s="5" t="s">
        <v>11</v>
      </c>
      <c r="F13" s="5" t="s">
        <v>12</v>
      </c>
      <c r="G13" s="5" t="s">
        <v>21</v>
      </c>
      <c r="H13" s="7" t="s">
        <v>7</v>
      </c>
      <c r="I13" s="7" t="s">
        <v>119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4</v>
      </c>
      <c r="AF13" s="7">
        <v>400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400</v>
      </c>
      <c r="BN13" s="14">
        <f t="shared" si="2"/>
        <v>400</v>
      </c>
      <c r="BO13" s="15">
        <f t="shared" si="3"/>
        <v>280</v>
      </c>
    </row>
    <row r="14" spans="1:69" x14ac:dyDescent="0.4">
      <c r="A14" s="5" t="s">
        <v>113</v>
      </c>
      <c r="B14" s="5" t="s">
        <v>120</v>
      </c>
      <c r="C14" s="5">
        <v>395747</v>
      </c>
      <c r="D14" s="6"/>
      <c r="E14" s="5" t="s">
        <v>11</v>
      </c>
      <c r="F14" s="5" t="s">
        <v>12</v>
      </c>
      <c r="G14" s="5" t="s">
        <v>11</v>
      </c>
      <c r="H14" s="7" t="s">
        <v>7</v>
      </c>
      <c r="I14" s="7" t="s">
        <v>121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2</v>
      </c>
      <c r="AF14" s="7">
        <v>200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200</v>
      </c>
      <c r="BN14" s="14">
        <f t="shared" si="2"/>
        <v>200</v>
      </c>
      <c r="BO14" s="15">
        <f t="shared" si="3"/>
        <v>140</v>
      </c>
    </row>
    <row r="15" spans="1:69" ht="19.2" x14ac:dyDescent="0.4">
      <c r="A15" s="5" t="s">
        <v>113</v>
      </c>
      <c r="B15" s="5" t="s">
        <v>122</v>
      </c>
      <c r="C15" s="5">
        <v>408616</v>
      </c>
      <c r="D15" s="6"/>
      <c r="E15" s="5" t="s">
        <v>11</v>
      </c>
      <c r="F15" s="5" t="s">
        <v>12</v>
      </c>
      <c r="G15" s="5" t="s">
        <v>21</v>
      </c>
      <c r="H15" s="7" t="s">
        <v>7</v>
      </c>
      <c r="I15" s="7" t="s">
        <v>123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2</v>
      </c>
      <c r="AF15" s="7">
        <v>200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200</v>
      </c>
      <c r="BN15" s="14">
        <f t="shared" si="2"/>
        <v>200</v>
      </c>
      <c r="BO15" s="15">
        <f t="shared" si="3"/>
        <v>140</v>
      </c>
    </row>
    <row r="16" spans="1:69" ht="19.2" x14ac:dyDescent="0.4">
      <c r="A16" s="5" t="s">
        <v>113</v>
      </c>
      <c r="B16" s="5" t="s">
        <v>124</v>
      </c>
      <c r="C16" s="5">
        <v>408450</v>
      </c>
      <c r="D16" s="6"/>
      <c r="E16" s="5" t="s">
        <v>11</v>
      </c>
      <c r="F16" s="5" t="s">
        <v>12</v>
      </c>
      <c r="G16" s="5" t="s">
        <v>21</v>
      </c>
      <c r="H16" s="7" t="s">
        <v>7</v>
      </c>
      <c r="I16" s="7" t="s">
        <v>123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2</v>
      </c>
      <c r="AF16" s="7">
        <v>200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200</v>
      </c>
      <c r="BN16" s="14">
        <f t="shared" si="2"/>
        <v>200</v>
      </c>
      <c r="BO16" s="15">
        <f t="shared" si="3"/>
        <v>140</v>
      </c>
    </row>
    <row r="17" spans="1:67" x14ac:dyDescent="0.4">
      <c r="A17" s="5" t="s">
        <v>113</v>
      </c>
      <c r="B17" s="5" t="s">
        <v>125</v>
      </c>
      <c r="C17" s="5">
        <v>388417</v>
      </c>
      <c r="D17" s="6"/>
      <c r="E17" s="5" t="s">
        <v>11</v>
      </c>
      <c r="F17" s="5" t="s">
        <v>126</v>
      </c>
      <c r="G17" s="5" t="s">
        <v>11</v>
      </c>
      <c r="H17" s="7" t="s">
        <v>7</v>
      </c>
      <c r="I17" s="7" t="s">
        <v>127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7">
        <v>120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120</v>
      </c>
      <c r="BN17" s="14">
        <f t="shared" si="2"/>
        <v>120</v>
      </c>
      <c r="BO17" s="15">
        <f t="shared" si="3"/>
        <v>84</v>
      </c>
    </row>
    <row r="18" spans="1:67" x14ac:dyDescent="0.4">
      <c r="A18" s="5" t="s">
        <v>113</v>
      </c>
      <c r="B18" s="5" t="s">
        <v>128</v>
      </c>
      <c r="C18" s="5">
        <v>227013</v>
      </c>
      <c r="D18" s="6"/>
      <c r="E18" s="5" t="s">
        <v>11</v>
      </c>
      <c r="F18" s="5" t="s">
        <v>13</v>
      </c>
      <c r="G18" s="5" t="s">
        <v>11</v>
      </c>
      <c r="H18" s="7" t="s">
        <v>7</v>
      </c>
      <c r="I18" s="7" t="s">
        <v>129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7">
        <v>120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120</v>
      </c>
      <c r="BN18" s="14">
        <f t="shared" si="2"/>
        <v>120</v>
      </c>
      <c r="BO18" s="15">
        <f t="shared" si="3"/>
        <v>84</v>
      </c>
    </row>
    <row r="19" spans="1:67" x14ac:dyDescent="0.4">
      <c r="A19" s="5" t="s">
        <v>114</v>
      </c>
      <c r="B19" s="5" t="s">
        <v>14</v>
      </c>
      <c r="C19" s="5">
        <v>355332</v>
      </c>
      <c r="D19" s="6"/>
      <c r="E19" s="5" t="s">
        <v>11</v>
      </c>
      <c r="F19" s="5" t="s">
        <v>13</v>
      </c>
      <c r="G19" s="5" t="s">
        <v>11</v>
      </c>
      <c r="H19" s="7" t="s">
        <v>8</v>
      </c>
      <c r="I19" s="7" t="s">
        <v>47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8">
        <v>1642</v>
      </c>
      <c r="AF19" s="8">
        <v>159940</v>
      </c>
      <c r="AG19" s="8">
        <v>4500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52</v>
      </c>
      <c r="AR19" s="8">
        <v>4600</v>
      </c>
      <c r="AS19" s="7">
        <v>600</v>
      </c>
      <c r="AT19" s="7">
        <v>0</v>
      </c>
      <c r="AU19" s="7">
        <v>0</v>
      </c>
      <c r="AV19" s="7">
        <v>0</v>
      </c>
      <c r="AW19" s="7">
        <v>17</v>
      </c>
      <c r="AX19" s="8">
        <v>2040</v>
      </c>
      <c r="AY19" s="7">
        <v>0</v>
      </c>
      <c r="AZ19" s="7">
        <v>0</v>
      </c>
      <c r="BA19" s="7">
        <v>0</v>
      </c>
      <c r="BB19" s="7">
        <v>0</v>
      </c>
      <c r="BC19" s="7">
        <v>97</v>
      </c>
      <c r="BD19" s="8">
        <v>11640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902.4</v>
      </c>
      <c r="BM19" s="9">
        <v>183320</v>
      </c>
      <c r="BN19" s="14">
        <f t="shared" si="2"/>
        <v>182417.6</v>
      </c>
      <c r="BO19" s="15">
        <f t="shared" si="3"/>
        <v>127692.31999999999</v>
      </c>
    </row>
    <row r="20" spans="1:67" x14ac:dyDescent="0.4">
      <c r="A20" s="5" t="s">
        <v>114</v>
      </c>
      <c r="B20" s="5" t="s">
        <v>15</v>
      </c>
      <c r="C20" s="5">
        <v>159260</v>
      </c>
      <c r="D20" s="6"/>
      <c r="E20" s="5" t="s">
        <v>11</v>
      </c>
      <c r="F20" s="5" t="s">
        <v>16</v>
      </c>
      <c r="G20" s="5" t="s">
        <v>11</v>
      </c>
      <c r="H20" s="7" t="s">
        <v>7</v>
      </c>
      <c r="I20" s="7" t="s">
        <v>17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5</v>
      </c>
      <c r="AC20" s="8">
        <v>4500</v>
      </c>
      <c r="AD20" s="7">
        <v>0</v>
      </c>
      <c r="AE20" s="7">
        <v>8</v>
      </c>
      <c r="AF20" s="8">
        <v>23400</v>
      </c>
      <c r="AG20" s="7">
        <v>200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2</v>
      </c>
      <c r="AO20" s="8">
        <v>1800</v>
      </c>
      <c r="AP20" s="7">
        <v>0</v>
      </c>
      <c r="AQ20" s="7">
        <v>1</v>
      </c>
      <c r="AR20" s="8">
        <v>2000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9">
        <v>31900</v>
      </c>
      <c r="BN20" s="14">
        <f t="shared" si="2"/>
        <v>31900</v>
      </c>
      <c r="BO20" s="15">
        <f t="shared" si="3"/>
        <v>22330</v>
      </c>
    </row>
    <row r="21" spans="1:67" x14ac:dyDescent="0.4">
      <c r="A21" s="5" t="s">
        <v>114</v>
      </c>
      <c r="B21" s="5" t="s">
        <v>29</v>
      </c>
      <c r="C21" s="5">
        <v>159266</v>
      </c>
      <c r="D21" s="6"/>
      <c r="E21" s="5" t="s">
        <v>11</v>
      </c>
      <c r="F21" s="5" t="s">
        <v>16</v>
      </c>
      <c r="G21" s="5" t="s">
        <v>11</v>
      </c>
      <c r="H21" s="7" t="s">
        <v>7</v>
      </c>
      <c r="I21" s="7" t="s">
        <v>25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7</v>
      </c>
      <c r="AR21" s="8">
        <v>21700</v>
      </c>
      <c r="AS21" s="7">
        <v>700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9">
        <v>22400</v>
      </c>
      <c r="BN21" s="14">
        <f t="shared" si="2"/>
        <v>22400</v>
      </c>
      <c r="BO21" s="15">
        <f t="shared" si="3"/>
        <v>15679.999999999998</v>
      </c>
    </row>
    <row r="22" spans="1:67" x14ac:dyDescent="0.4">
      <c r="A22" s="5" t="s">
        <v>114</v>
      </c>
      <c r="B22" s="5" t="s">
        <v>22</v>
      </c>
      <c r="C22" s="5">
        <v>161447</v>
      </c>
      <c r="D22" s="6"/>
      <c r="E22" s="5" t="s">
        <v>11</v>
      </c>
      <c r="F22" s="5" t="s">
        <v>13</v>
      </c>
      <c r="G22" s="5" t="s">
        <v>11</v>
      </c>
      <c r="H22" s="7" t="s">
        <v>7</v>
      </c>
      <c r="I22" s="7" t="s">
        <v>23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15</v>
      </c>
      <c r="AC22" s="8">
        <v>13500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5</v>
      </c>
      <c r="AO22" s="8">
        <v>4500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9">
        <v>18000</v>
      </c>
      <c r="BN22" s="14">
        <f t="shared" si="2"/>
        <v>18000</v>
      </c>
      <c r="BO22" s="15">
        <f t="shared" si="3"/>
        <v>12600</v>
      </c>
    </row>
    <row r="23" spans="1:67" ht="19.2" x14ac:dyDescent="0.4">
      <c r="A23" s="5" t="s">
        <v>114</v>
      </c>
      <c r="B23" s="5" t="s">
        <v>118</v>
      </c>
      <c r="C23" s="5">
        <v>408332</v>
      </c>
      <c r="D23" s="6"/>
      <c r="E23" s="5" t="s">
        <v>11</v>
      </c>
      <c r="F23" s="5" t="s">
        <v>12</v>
      </c>
      <c r="G23" s="5" t="s">
        <v>21</v>
      </c>
      <c r="H23" s="7" t="s">
        <v>7</v>
      </c>
      <c r="I23" s="7" t="s">
        <v>119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110</v>
      </c>
      <c r="AF23" s="8">
        <v>11000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9">
        <v>11000</v>
      </c>
      <c r="BN23" s="14">
        <f t="shared" si="2"/>
        <v>11000</v>
      </c>
      <c r="BO23" s="15">
        <f t="shared" si="3"/>
        <v>7699.9999999999991</v>
      </c>
    </row>
    <row r="24" spans="1:67" x14ac:dyDescent="0.4">
      <c r="A24" s="5" t="s">
        <v>114</v>
      </c>
      <c r="B24" s="5" t="s">
        <v>26</v>
      </c>
      <c r="C24" s="5">
        <v>159258</v>
      </c>
      <c r="D24" s="6"/>
      <c r="E24" s="5" t="s">
        <v>11</v>
      </c>
      <c r="F24" s="5" t="s">
        <v>16</v>
      </c>
      <c r="G24" s="5" t="s">
        <v>11</v>
      </c>
      <c r="H24" s="7" t="s">
        <v>7</v>
      </c>
      <c r="I24" s="7" t="s">
        <v>25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6</v>
      </c>
      <c r="AC24" s="8">
        <v>4800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1</v>
      </c>
      <c r="AU24" s="8">
        <v>1080</v>
      </c>
      <c r="AV24" s="7">
        <v>0</v>
      </c>
      <c r="AW24" s="7">
        <v>0</v>
      </c>
      <c r="AX24" s="7">
        <v>0</v>
      </c>
      <c r="AY24" s="7">
        <v>0</v>
      </c>
      <c r="AZ24" s="7">
        <v>4</v>
      </c>
      <c r="BA24" s="8">
        <v>3960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345.6</v>
      </c>
      <c r="BM24" s="9">
        <v>9840</v>
      </c>
      <c r="BN24" s="14">
        <f t="shared" si="2"/>
        <v>9494.4</v>
      </c>
      <c r="BO24" s="15">
        <f t="shared" si="3"/>
        <v>6646.079999999999</v>
      </c>
    </row>
    <row r="25" spans="1:67" x14ac:dyDescent="0.4">
      <c r="A25" s="5" t="s">
        <v>114</v>
      </c>
      <c r="B25" s="5" t="s">
        <v>27</v>
      </c>
      <c r="C25" s="5">
        <v>159255</v>
      </c>
      <c r="D25" s="6"/>
      <c r="E25" s="5" t="s">
        <v>11</v>
      </c>
      <c r="F25" s="5" t="s">
        <v>16</v>
      </c>
      <c r="G25" s="5" t="s">
        <v>11</v>
      </c>
      <c r="H25" s="7" t="s">
        <v>8</v>
      </c>
      <c r="I25" s="7" t="s">
        <v>28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4</v>
      </c>
      <c r="AC25" s="8">
        <v>2800</v>
      </c>
      <c r="AD25" s="7">
        <v>0</v>
      </c>
      <c r="AE25" s="7">
        <v>0</v>
      </c>
      <c r="AF25" s="7">
        <v>0</v>
      </c>
      <c r="AG25" s="7">
        <v>0</v>
      </c>
      <c r="AH25" s="7">
        <v>2</v>
      </c>
      <c r="AI25" s="8">
        <v>2040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4</v>
      </c>
      <c r="BA25" s="8">
        <v>4320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871.2</v>
      </c>
      <c r="BM25" s="9">
        <v>9160</v>
      </c>
      <c r="BN25" s="14">
        <f t="shared" si="2"/>
        <v>8288.7999999999993</v>
      </c>
      <c r="BO25" s="15">
        <f t="shared" si="3"/>
        <v>5802.1599999999989</v>
      </c>
    </row>
    <row r="26" spans="1:67" ht="19.2" x14ac:dyDescent="0.4">
      <c r="A26" s="5" t="s">
        <v>114</v>
      </c>
      <c r="B26" s="5" t="s">
        <v>44</v>
      </c>
      <c r="C26" s="5">
        <v>406370</v>
      </c>
      <c r="D26" s="6"/>
      <c r="E26" s="5" t="s">
        <v>11</v>
      </c>
      <c r="F26" s="5" t="s">
        <v>31</v>
      </c>
      <c r="G26" s="5" t="s">
        <v>21</v>
      </c>
      <c r="H26" s="7" t="s">
        <v>8</v>
      </c>
      <c r="I26" s="7" t="s">
        <v>41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9</v>
      </c>
      <c r="AC26" s="8">
        <v>8100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9">
        <v>8100</v>
      </c>
      <c r="BN26" s="14">
        <f t="shared" si="2"/>
        <v>8100</v>
      </c>
      <c r="BO26" s="15">
        <f t="shared" si="3"/>
        <v>5670</v>
      </c>
    </row>
    <row r="27" spans="1:67" x14ac:dyDescent="0.4">
      <c r="A27" s="5" t="s">
        <v>114</v>
      </c>
      <c r="B27" s="5" t="s">
        <v>33</v>
      </c>
      <c r="C27" s="5">
        <v>194565</v>
      </c>
      <c r="D27" s="6"/>
      <c r="E27" s="5" t="s">
        <v>11</v>
      </c>
      <c r="F27" s="5" t="s">
        <v>16</v>
      </c>
      <c r="G27" s="5" t="s">
        <v>11</v>
      </c>
      <c r="H27" s="7" t="s">
        <v>7</v>
      </c>
      <c r="I27" s="7" t="s">
        <v>34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78</v>
      </c>
      <c r="AR27" s="8">
        <v>7700</v>
      </c>
      <c r="AS27" s="7">
        <v>100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9">
        <v>7800</v>
      </c>
      <c r="BN27" s="14">
        <f t="shared" si="2"/>
        <v>7800</v>
      </c>
      <c r="BO27" s="15">
        <f t="shared" si="3"/>
        <v>5460</v>
      </c>
    </row>
    <row r="28" spans="1:67" x14ac:dyDescent="0.4">
      <c r="A28" s="5" t="s">
        <v>114</v>
      </c>
      <c r="B28" s="5" t="s">
        <v>20</v>
      </c>
      <c r="C28" s="5">
        <v>159270</v>
      </c>
      <c r="D28" s="6"/>
      <c r="E28" s="5" t="s">
        <v>11</v>
      </c>
      <c r="F28" s="5" t="s">
        <v>16</v>
      </c>
      <c r="G28" s="5" t="s">
        <v>11</v>
      </c>
      <c r="H28" s="7" t="s">
        <v>10</v>
      </c>
      <c r="I28" s="7" t="s">
        <v>19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7</v>
      </c>
      <c r="AC28" s="8">
        <v>6100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1</v>
      </c>
      <c r="BA28" s="7">
        <v>240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14.4</v>
      </c>
      <c r="BM28" s="9">
        <v>6340</v>
      </c>
      <c r="BN28" s="14">
        <f t="shared" si="2"/>
        <v>6325.6</v>
      </c>
      <c r="BO28" s="15">
        <f t="shared" si="3"/>
        <v>4427.92</v>
      </c>
    </row>
    <row r="29" spans="1:67" x14ac:dyDescent="0.4">
      <c r="A29" s="5" t="s">
        <v>114</v>
      </c>
      <c r="B29" s="5" t="s">
        <v>130</v>
      </c>
      <c r="C29" s="5">
        <v>229857</v>
      </c>
      <c r="D29" s="6"/>
      <c r="E29" s="5" t="s">
        <v>11</v>
      </c>
      <c r="F29" s="5" t="s">
        <v>12</v>
      </c>
      <c r="G29" s="5" t="s">
        <v>11</v>
      </c>
      <c r="H29" s="7" t="s">
        <v>10</v>
      </c>
      <c r="I29" s="7" t="s">
        <v>131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7</v>
      </c>
      <c r="AC29" s="8">
        <v>6300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9">
        <v>6300</v>
      </c>
      <c r="BN29" s="14">
        <f t="shared" ref="BN29:BN33" si="4">BM29-BL29</f>
        <v>6300</v>
      </c>
      <c r="BO29" s="15">
        <f t="shared" ref="BO29:BO33" si="5">BN29*70%</f>
        <v>4410</v>
      </c>
    </row>
    <row r="30" spans="1:67" x14ac:dyDescent="0.4">
      <c r="A30" s="5" t="s">
        <v>114</v>
      </c>
      <c r="B30" s="5" t="s">
        <v>24</v>
      </c>
      <c r="C30" s="5">
        <v>159268</v>
      </c>
      <c r="D30" s="6"/>
      <c r="E30" s="5" t="s">
        <v>11</v>
      </c>
      <c r="F30" s="5" t="s">
        <v>16</v>
      </c>
      <c r="G30" s="5" t="s">
        <v>11</v>
      </c>
      <c r="H30" s="7" t="s">
        <v>7</v>
      </c>
      <c r="I30" s="7" t="s">
        <v>25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3</v>
      </c>
      <c r="AC30" s="8">
        <v>2700</v>
      </c>
      <c r="AD30" s="7">
        <v>0</v>
      </c>
      <c r="AE30" s="7">
        <v>0</v>
      </c>
      <c r="AF30" s="7">
        <v>0</v>
      </c>
      <c r="AG30" s="7">
        <v>0</v>
      </c>
      <c r="AH30" s="7">
        <v>1</v>
      </c>
      <c r="AI30" s="8">
        <v>1044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2</v>
      </c>
      <c r="BA30" s="8">
        <v>2160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442.8</v>
      </c>
      <c r="BM30" s="9">
        <v>5904</v>
      </c>
      <c r="BN30" s="14">
        <f t="shared" si="4"/>
        <v>5461.2</v>
      </c>
      <c r="BO30" s="15">
        <f t="shared" si="5"/>
        <v>3822.8399999999997</v>
      </c>
    </row>
    <row r="31" spans="1:67" x14ac:dyDescent="0.4">
      <c r="A31" s="5" t="s">
        <v>114</v>
      </c>
      <c r="B31" s="5" t="s">
        <v>54</v>
      </c>
      <c r="C31" s="5">
        <v>285994</v>
      </c>
      <c r="D31" s="6"/>
      <c r="E31" s="5" t="s">
        <v>11</v>
      </c>
      <c r="F31" s="5" t="s">
        <v>12</v>
      </c>
      <c r="G31" s="5" t="s">
        <v>11</v>
      </c>
      <c r="H31" s="7" t="s">
        <v>7</v>
      </c>
      <c r="I31" s="7" t="s">
        <v>40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6</v>
      </c>
      <c r="AC31" s="8">
        <v>5400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9">
        <v>5400</v>
      </c>
      <c r="BN31" s="14">
        <f t="shared" si="4"/>
        <v>5400</v>
      </c>
      <c r="BO31" s="15">
        <f t="shared" si="5"/>
        <v>3779.9999999999995</v>
      </c>
    </row>
    <row r="32" spans="1:67" x14ac:dyDescent="0.4">
      <c r="A32" s="5" t="s">
        <v>114</v>
      </c>
      <c r="B32" s="5" t="s">
        <v>116</v>
      </c>
      <c r="C32" s="5">
        <v>169151</v>
      </c>
      <c r="D32" s="6"/>
      <c r="E32" s="5" t="s">
        <v>11</v>
      </c>
      <c r="F32" s="5" t="s">
        <v>13</v>
      </c>
      <c r="G32" s="5" t="s">
        <v>11</v>
      </c>
      <c r="H32" s="7" t="s">
        <v>7</v>
      </c>
      <c r="I32" s="7" t="s">
        <v>117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3</v>
      </c>
      <c r="AC32" s="7">
        <v>0</v>
      </c>
      <c r="AD32" s="8">
        <v>2700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3</v>
      </c>
      <c r="AO32" s="8">
        <v>2700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9">
        <v>5400</v>
      </c>
      <c r="BN32" s="14">
        <f t="shared" si="4"/>
        <v>5400</v>
      </c>
      <c r="BO32" s="15">
        <f t="shared" si="5"/>
        <v>3779.9999999999995</v>
      </c>
    </row>
    <row r="33" spans="1:67" x14ac:dyDescent="0.4">
      <c r="A33" s="5" t="s">
        <v>114</v>
      </c>
      <c r="B33" s="5" t="s">
        <v>35</v>
      </c>
      <c r="C33" s="5">
        <v>215737</v>
      </c>
      <c r="D33" s="6"/>
      <c r="E33" s="5" t="s">
        <v>11</v>
      </c>
      <c r="F33" s="5" t="s">
        <v>36</v>
      </c>
      <c r="G33" s="5" t="s">
        <v>11</v>
      </c>
      <c r="H33" s="7" t="s">
        <v>7</v>
      </c>
      <c r="I33" s="7" t="s">
        <v>37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10</v>
      </c>
      <c r="AF33" s="8">
        <v>1000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12</v>
      </c>
      <c r="AR33" s="8">
        <v>1000</v>
      </c>
      <c r="AS33" s="7">
        <v>200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24</v>
      </c>
      <c r="BD33" s="8">
        <v>2880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172.8</v>
      </c>
      <c r="BM33" s="9">
        <v>5080</v>
      </c>
      <c r="BN33" s="14">
        <f t="shared" si="4"/>
        <v>4907.2</v>
      </c>
      <c r="BO33" s="15">
        <f t="shared" si="5"/>
        <v>3435.0399999999995</v>
      </c>
    </row>
    <row r="34" spans="1:67" x14ac:dyDescent="0.4">
      <c r="A34" s="5" t="s">
        <v>114</v>
      </c>
      <c r="B34" s="5" t="s">
        <v>120</v>
      </c>
      <c r="C34" s="5">
        <v>395747</v>
      </c>
      <c r="D34" s="6"/>
      <c r="E34" s="5" t="s">
        <v>11</v>
      </c>
      <c r="F34" s="5" t="s">
        <v>12</v>
      </c>
      <c r="G34" s="5" t="s">
        <v>11</v>
      </c>
      <c r="H34" s="7" t="s">
        <v>7</v>
      </c>
      <c r="I34" s="7" t="s">
        <v>121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36</v>
      </c>
      <c r="AF34" s="8">
        <v>3600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9">
        <v>3600</v>
      </c>
      <c r="BN34" s="14">
        <f t="shared" ref="BN34:BN41" si="6">BM34-BL34</f>
        <v>3600</v>
      </c>
      <c r="BO34" s="15">
        <f t="shared" ref="BO34:BO41" si="7">BN34*70%</f>
        <v>2520</v>
      </c>
    </row>
    <row r="35" spans="1:67" x14ac:dyDescent="0.4">
      <c r="A35" s="5" t="s">
        <v>114</v>
      </c>
      <c r="B35" s="5" t="s">
        <v>43</v>
      </c>
      <c r="C35" s="5">
        <v>305089</v>
      </c>
      <c r="D35" s="6"/>
      <c r="E35" s="5" t="s">
        <v>11</v>
      </c>
      <c r="F35" s="5" t="s">
        <v>42</v>
      </c>
      <c r="G35" s="5" t="s">
        <v>11</v>
      </c>
      <c r="H35" s="7" t="s">
        <v>7</v>
      </c>
      <c r="I35" s="7" t="s">
        <v>9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4</v>
      </c>
      <c r="AO35" s="8">
        <v>3400</v>
      </c>
      <c r="AP35" s="7">
        <v>200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9">
        <v>3600</v>
      </c>
      <c r="BN35" s="14">
        <f t="shared" si="6"/>
        <v>3600</v>
      </c>
      <c r="BO35" s="15">
        <f t="shared" si="7"/>
        <v>2520</v>
      </c>
    </row>
    <row r="36" spans="1:67" x14ac:dyDescent="0.4">
      <c r="A36" s="5" t="s">
        <v>114</v>
      </c>
      <c r="B36" s="5" t="s">
        <v>30</v>
      </c>
      <c r="C36" s="5">
        <v>192737</v>
      </c>
      <c r="D36" s="6"/>
      <c r="E36" s="5" t="s">
        <v>11</v>
      </c>
      <c r="F36" s="5" t="s">
        <v>31</v>
      </c>
      <c r="G36" s="5" t="s">
        <v>11</v>
      </c>
      <c r="H36" s="7" t="s">
        <v>7</v>
      </c>
      <c r="I36" s="7" t="s">
        <v>32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4</v>
      </c>
      <c r="AC36" s="8">
        <v>3600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9">
        <v>3600</v>
      </c>
      <c r="BN36" s="14">
        <f t="shared" si="6"/>
        <v>3600</v>
      </c>
      <c r="BO36" s="15">
        <f t="shared" si="7"/>
        <v>2520</v>
      </c>
    </row>
    <row r="37" spans="1:67" x14ac:dyDescent="0.4">
      <c r="A37" s="5" t="s">
        <v>114</v>
      </c>
      <c r="B37" s="5" t="s">
        <v>132</v>
      </c>
      <c r="C37" s="5">
        <v>258201</v>
      </c>
      <c r="D37" s="6"/>
      <c r="E37" s="5" t="s">
        <v>11</v>
      </c>
      <c r="F37" s="5" t="s">
        <v>36</v>
      </c>
      <c r="G37" s="5" t="s">
        <v>11</v>
      </c>
      <c r="H37" s="7" t="s">
        <v>7</v>
      </c>
      <c r="I37" s="7" t="s">
        <v>133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0</v>
      </c>
      <c r="AD37" s="7">
        <v>200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3</v>
      </c>
      <c r="BA37" s="8">
        <v>3000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180</v>
      </c>
      <c r="BM37" s="9">
        <v>3200</v>
      </c>
      <c r="BN37" s="14">
        <f t="shared" si="6"/>
        <v>3020</v>
      </c>
      <c r="BO37" s="15">
        <f t="shared" si="7"/>
        <v>2114</v>
      </c>
    </row>
    <row r="38" spans="1:67" ht="19.2" x14ac:dyDescent="0.4">
      <c r="A38" s="5" t="s">
        <v>114</v>
      </c>
      <c r="B38" s="5" t="s">
        <v>134</v>
      </c>
      <c r="C38" s="5">
        <v>408463</v>
      </c>
      <c r="D38" s="6"/>
      <c r="E38" s="5" t="s">
        <v>11</v>
      </c>
      <c r="F38" s="5" t="s">
        <v>135</v>
      </c>
      <c r="G38" s="5" t="s">
        <v>21</v>
      </c>
      <c r="H38" s="7" t="s">
        <v>7</v>
      </c>
      <c r="I38" s="7" t="s">
        <v>123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27</v>
      </c>
      <c r="AF38" s="8">
        <v>2700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9">
        <v>2700</v>
      </c>
      <c r="BN38" s="14">
        <f t="shared" si="6"/>
        <v>2700</v>
      </c>
      <c r="BO38" s="15">
        <f t="shared" si="7"/>
        <v>1889.9999999999998</v>
      </c>
    </row>
    <row r="39" spans="1:67" x14ac:dyDescent="0.4">
      <c r="A39" s="5" t="s">
        <v>114</v>
      </c>
      <c r="B39" s="5" t="s">
        <v>136</v>
      </c>
      <c r="C39" s="5">
        <v>272304</v>
      </c>
      <c r="D39" s="6"/>
      <c r="E39" s="5" t="s">
        <v>11</v>
      </c>
      <c r="F39" s="5" t="s">
        <v>12</v>
      </c>
      <c r="G39" s="5" t="s">
        <v>11</v>
      </c>
      <c r="H39" s="7" t="s">
        <v>7</v>
      </c>
      <c r="I39" s="7" t="s">
        <v>137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3</v>
      </c>
      <c r="AC39" s="8">
        <v>2700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9">
        <v>2700</v>
      </c>
      <c r="BN39" s="14">
        <f t="shared" si="6"/>
        <v>2700</v>
      </c>
      <c r="BO39" s="15">
        <f t="shared" si="7"/>
        <v>1889.9999999999998</v>
      </c>
    </row>
    <row r="40" spans="1:67" x14ac:dyDescent="0.4">
      <c r="A40" s="5" t="s">
        <v>114</v>
      </c>
      <c r="B40" s="5" t="s">
        <v>52</v>
      </c>
      <c r="C40" s="5">
        <v>196917</v>
      </c>
      <c r="D40" s="6"/>
      <c r="E40" s="5" t="s">
        <v>11</v>
      </c>
      <c r="F40" s="5" t="s">
        <v>31</v>
      </c>
      <c r="G40" s="5" t="s">
        <v>11</v>
      </c>
      <c r="H40" s="7" t="s">
        <v>7</v>
      </c>
      <c r="I40" s="7" t="s">
        <v>53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2</v>
      </c>
      <c r="AC40" s="8">
        <v>1800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9">
        <v>1800</v>
      </c>
      <c r="BN40" s="14">
        <f t="shared" si="6"/>
        <v>1800</v>
      </c>
      <c r="BO40" s="15">
        <f t="shared" si="7"/>
        <v>1260</v>
      </c>
    </row>
    <row r="41" spans="1:67" x14ac:dyDescent="0.4">
      <c r="A41" s="5" t="s">
        <v>114</v>
      </c>
      <c r="B41" s="5" t="s">
        <v>50</v>
      </c>
      <c r="C41" s="5">
        <v>238494</v>
      </c>
      <c r="D41" s="6"/>
      <c r="E41" s="5" t="s">
        <v>11</v>
      </c>
      <c r="F41" s="5" t="s">
        <v>31</v>
      </c>
      <c r="G41" s="5" t="s">
        <v>11</v>
      </c>
      <c r="H41" s="7" t="s">
        <v>7</v>
      </c>
      <c r="I41" s="7" t="s">
        <v>51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2</v>
      </c>
      <c r="AC41" s="8">
        <v>1800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9">
        <v>1800</v>
      </c>
      <c r="BN41" s="14">
        <f t="shared" si="6"/>
        <v>1800</v>
      </c>
      <c r="BO41" s="15">
        <f t="shared" si="7"/>
        <v>1260</v>
      </c>
    </row>
    <row r="42" spans="1:67" ht="19.2" x14ac:dyDescent="0.4">
      <c r="A42" s="5" t="s">
        <v>114</v>
      </c>
      <c r="B42" s="5" t="s">
        <v>124</v>
      </c>
      <c r="C42" s="5">
        <v>408450</v>
      </c>
      <c r="D42" s="6"/>
      <c r="E42" s="5" t="s">
        <v>11</v>
      </c>
      <c r="F42" s="5" t="s">
        <v>12</v>
      </c>
      <c r="G42" s="5" t="s">
        <v>21</v>
      </c>
      <c r="H42" s="7" t="s">
        <v>7</v>
      </c>
      <c r="I42" s="7" t="s">
        <v>123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8</v>
      </c>
      <c r="AF42" s="7">
        <v>800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800</v>
      </c>
      <c r="BN42" s="14">
        <f t="shared" ref="BN42:BN53" si="8">BM42-BL42</f>
        <v>800</v>
      </c>
      <c r="BO42" s="15">
        <f t="shared" ref="BO42:BO53" si="9">BN42*70%</f>
        <v>560</v>
      </c>
    </row>
    <row r="43" spans="1:67" x14ac:dyDescent="0.4">
      <c r="A43" s="5" t="s">
        <v>114</v>
      </c>
      <c r="B43" s="5" t="s">
        <v>138</v>
      </c>
      <c r="C43" s="5">
        <v>287064</v>
      </c>
      <c r="D43" s="6"/>
      <c r="E43" s="5" t="s">
        <v>11</v>
      </c>
      <c r="F43" s="5" t="s">
        <v>42</v>
      </c>
      <c r="G43" s="5" t="s">
        <v>11</v>
      </c>
      <c r="H43" s="7" t="s">
        <v>7</v>
      </c>
      <c r="I43" s="7" t="s">
        <v>139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2</v>
      </c>
      <c r="AF43" s="7">
        <v>200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200</v>
      </c>
      <c r="BN43" s="14">
        <f t="shared" si="8"/>
        <v>200</v>
      </c>
      <c r="BO43" s="15">
        <f t="shared" si="9"/>
        <v>140</v>
      </c>
    </row>
    <row r="44" spans="1:67" ht="19.2" x14ac:dyDescent="0.4">
      <c r="A44" s="5" t="s">
        <v>114</v>
      </c>
      <c r="B44" s="5" t="s">
        <v>122</v>
      </c>
      <c r="C44" s="5">
        <v>408616</v>
      </c>
      <c r="D44" s="6"/>
      <c r="E44" s="5" t="s">
        <v>11</v>
      </c>
      <c r="F44" s="5" t="s">
        <v>12</v>
      </c>
      <c r="G44" s="5" t="s">
        <v>21</v>
      </c>
      <c r="H44" s="7" t="s">
        <v>7</v>
      </c>
      <c r="I44" s="7" t="s">
        <v>123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2</v>
      </c>
      <c r="AF44" s="7">
        <v>200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200</v>
      </c>
      <c r="BN44" s="14">
        <f t="shared" si="8"/>
        <v>200</v>
      </c>
      <c r="BO44" s="15">
        <f t="shared" si="9"/>
        <v>140</v>
      </c>
    </row>
    <row r="45" spans="1:67" x14ac:dyDescent="0.4">
      <c r="A45" s="5" t="s">
        <v>114</v>
      </c>
      <c r="B45" s="5" t="s">
        <v>128</v>
      </c>
      <c r="C45" s="5">
        <v>227013</v>
      </c>
      <c r="D45" s="6"/>
      <c r="E45" s="5" t="s">
        <v>11</v>
      </c>
      <c r="F45" s="5" t="s">
        <v>13</v>
      </c>
      <c r="G45" s="5" t="s">
        <v>11</v>
      </c>
      <c r="H45" s="7" t="s">
        <v>7</v>
      </c>
      <c r="I45" s="7" t="s">
        <v>129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</v>
      </c>
      <c r="AF45" s="7">
        <v>120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120</v>
      </c>
      <c r="BN45" s="14">
        <f t="shared" si="8"/>
        <v>120</v>
      </c>
      <c r="BO45" s="15">
        <f t="shared" si="9"/>
        <v>84</v>
      </c>
    </row>
    <row r="46" spans="1:67" x14ac:dyDescent="0.4">
      <c r="A46" s="5" t="s">
        <v>115</v>
      </c>
      <c r="B46" s="5" t="s">
        <v>18</v>
      </c>
      <c r="C46" s="5">
        <v>161539</v>
      </c>
      <c r="D46" s="6"/>
      <c r="E46" s="5" t="s">
        <v>11</v>
      </c>
      <c r="F46" s="5" t="s">
        <v>16</v>
      </c>
      <c r="G46" s="5" t="s">
        <v>11</v>
      </c>
      <c r="H46" s="7" t="s">
        <v>7</v>
      </c>
      <c r="I46" s="7" t="s">
        <v>19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1</v>
      </c>
      <c r="AC46" s="7">
        <v>900</v>
      </c>
      <c r="AD46" s="7">
        <v>0</v>
      </c>
      <c r="AE46" s="7">
        <v>1</v>
      </c>
      <c r="AF46" s="7">
        <v>0</v>
      </c>
      <c r="AG46" s="8">
        <v>3200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9">
        <v>4100</v>
      </c>
      <c r="BN46" s="14">
        <f t="shared" si="8"/>
        <v>4100</v>
      </c>
      <c r="BO46" s="15">
        <f t="shared" si="9"/>
        <v>2870</v>
      </c>
    </row>
    <row r="47" spans="1:67" x14ac:dyDescent="0.4">
      <c r="A47" s="5" t="s">
        <v>115</v>
      </c>
      <c r="B47" s="5" t="s">
        <v>15</v>
      </c>
      <c r="C47" s="5">
        <v>159260</v>
      </c>
      <c r="D47" s="6"/>
      <c r="E47" s="5" t="s">
        <v>11</v>
      </c>
      <c r="F47" s="5" t="s">
        <v>16</v>
      </c>
      <c r="G47" s="5" t="s">
        <v>11</v>
      </c>
      <c r="H47" s="7" t="s">
        <v>7</v>
      </c>
      <c r="I47" s="7" t="s">
        <v>17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4</v>
      </c>
      <c r="AC47" s="7">
        <v>900</v>
      </c>
      <c r="AD47" s="8">
        <v>2700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9">
        <v>3600</v>
      </c>
      <c r="BN47" s="14">
        <f t="shared" si="8"/>
        <v>3600</v>
      </c>
      <c r="BO47" s="15">
        <f t="shared" si="9"/>
        <v>2520</v>
      </c>
    </row>
    <row r="48" spans="1:67" x14ac:dyDescent="0.4">
      <c r="A48" s="5" t="s">
        <v>115</v>
      </c>
      <c r="B48" s="5" t="s">
        <v>38</v>
      </c>
      <c r="C48" s="5">
        <v>192729</v>
      </c>
      <c r="D48" s="6"/>
      <c r="E48" s="5" t="s">
        <v>11</v>
      </c>
      <c r="F48" s="5" t="s">
        <v>31</v>
      </c>
      <c r="G48" s="5" t="s">
        <v>11</v>
      </c>
      <c r="H48" s="7" t="s">
        <v>7</v>
      </c>
      <c r="I48" s="7" t="s">
        <v>39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4</v>
      </c>
      <c r="AC48" s="8">
        <v>3600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9">
        <v>3600</v>
      </c>
      <c r="BN48" s="14">
        <f t="shared" si="8"/>
        <v>3600</v>
      </c>
      <c r="BO48" s="15">
        <f t="shared" si="9"/>
        <v>2520</v>
      </c>
    </row>
    <row r="49" spans="1:67" x14ac:dyDescent="0.4">
      <c r="A49" s="5" t="s">
        <v>115</v>
      </c>
      <c r="B49" s="5" t="s">
        <v>20</v>
      </c>
      <c r="C49" s="5">
        <v>159270</v>
      </c>
      <c r="D49" s="6"/>
      <c r="E49" s="5" t="s">
        <v>11</v>
      </c>
      <c r="F49" s="5" t="s">
        <v>16</v>
      </c>
      <c r="G49" s="5" t="s">
        <v>11</v>
      </c>
      <c r="H49" s="7" t="s">
        <v>10</v>
      </c>
      <c r="I49" s="7" t="s">
        <v>19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2</v>
      </c>
      <c r="AC49" s="7">
        <v>900</v>
      </c>
      <c r="AD49" s="7">
        <v>900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9">
        <v>1800</v>
      </c>
      <c r="BN49" s="14">
        <f t="shared" si="8"/>
        <v>1800</v>
      </c>
      <c r="BO49" s="15">
        <f t="shared" si="9"/>
        <v>1260</v>
      </c>
    </row>
    <row r="50" spans="1:67" x14ac:dyDescent="0.4">
      <c r="A50" s="5" t="s">
        <v>115</v>
      </c>
      <c r="B50" s="5" t="s">
        <v>14</v>
      </c>
      <c r="C50" s="5">
        <v>355332</v>
      </c>
      <c r="D50" s="6"/>
      <c r="E50" s="5" t="s">
        <v>11</v>
      </c>
      <c r="F50" s="5" t="s">
        <v>13</v>
      </c>
      <c r="G50" s="5" t="s">
        <v>11</v>
      </c>
      <c r="H50" s="7" t="s">
        <v>8</v>
      </c>
      <c r="I50" s="7" t="s">
        <v>47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11</v>
      </c>
      <c r="AF50" s="8">
        <v>1020</v>
      </c>
      <c r="AG50" s="7">
        <v>100</v>
      </c>
      <c r="AH50" s="7">
        <v>0</v>
      </c>
      <c r="AI50" s="7">
        <v>0</v>
      </c>
      <c r="AJ50" s="7">
        <v>0</v>
      </c>
      <c r="AK50" s="7">
        <v>1</v>
      </c>
      <c r="AL50" s="7">
        <v>120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2</v>
      </c>
      <c r="AX50" s="7">
        <v>240</v>
      </c>
      <c r="AY50" s="7">
        <v>0</v>
      </c>
      <c r="AZ50" s="7">
        <v>0</v>
      </c>
      <c r="BA50" s="7">
        <v>0</v>
      </c>
      <c r="BB50" s="7">
        <v>0</v>
      </c>
      <c r="BC50" s="7">
        <v>2</v>
      </c>
      <c r="BD50" s="7">
        <v>240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74.400000000000006</v>
      </c>
      <c r="BM50" s="9">
        <v>1720</v>
      </c>
      <c r="BN50" s="14">
        <f t="shared" si="8"/>
        <v>1645.6</v>
      </c>
      <c r="BO50" s="15">
        <f t="shared" si="9"/>
        <v>1151.9199999999998</v>
      </c>
    </row>
    <row r="51" spans="1:67" x14ac:dyDescent="0.4">
      <c r="A51" s="5" t="s">
        <v>115</v>
      </c>
      <c r="B51" s="5" t="s">
        <v>27</v>
      </c>
      <c r="C51" s="5">
        <v>159255</v>
      </c>
      <c r="D51" s="6"/>
      <c r="E51" s="5" t="s">
        <v>11</v>
      </c>
      <c r="F51" s="5" t="s">
        <v>16</v>
      </c>
      <c r="G51" s="5" t="s">
        <v>11</v>
      </c>
      <c r="H51" s="7" t="s">
        <v>8</v>
      </c>
      <c r="I51" s="7" t="s">
        <v>28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7">
        <v>900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900</v>
      </c>
      <c r="BN51" s="14">
        <f t="shared" si="8"/>
        <v>900</v>
      </c>
      <c r="BO51" s="15">
        <f t="shared" si="9"/>
        <v>630</v>
      </c>
    </row>
    <row r="52" spans="1:67" x14ac:dyDescent="0.4">
      <c r="A52" s="5" t="s">
        <v>115</v>
      </c>
      <c r="B52" s="5" t="s">
        <v>128</v>
      </c>
      <c r="C52" s="5">
        <v>227013</v>
      </c>
      <c r="D52" s="6"/>
      <c r="E52" s="5" t="s">
        <v>11</v>
      </c>
      <c r="F52" s="5" t="s">
        <v>13</v>
      </c>
      <c r="G52" s="5" t="s">
        <v>11</v>
      </c>
      <c r="H52" s="7" t="s">
        <v>7</v>
      </c>
      <c r="I52" s="7" t="s">
        <v>129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</v>
      </c>
      <c r="AF52" s="7">
        <v>120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0">
        <v>120</v>
      </c>
      <c r="BN52" s="14">
        <f t="shared" si="8"/>
        <v>120</v>
      </c>
      <c r="BO52" s="15">
        <f t="shared" si="9"/>
        <v>84</v>
      </c>
    </row>
    <row r="53" spans="1:67" x14ac:dyDescent="0.4">
      <c r="A53" s="5" t="s">
        <v>115</v>
      </c>
      <c r="B53" s="5" t="s">
        <v>140</v>
      </c>
      <c r="C53" s="5">
        <v>418829</v>
      </c>
      <c r="D53" s="6"/>
      <c r="E53" s="5" t="s">
        <v>11</v>
      </c>
      <c r="F53" s="5" t="s">
        <v>16</v>
      </c>
      <c r="G53" s="5" t="s">
        <v>11</v>
      </c>
      <c r="H53" s="7" t="s">
        <v>7</v>
      </c>
      <c r="I53" s="7" t="s">
        <v>141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</v>
      </c>
      <c r="AF53" s="7">
        <v>0</v>
      </c>
      <c r="AG53" s="7">
        <v>100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100</v>
      </c>
      <c r="BN53" s="14">
        <f t="shared" si="8"/>
        <v>100</v>
      </c>
      <c r="BO53" s="15">
        <f t="shared" si="9"/>
        <v>70</v>
      </c>
    </row>
    <row r="54" spans="1:67" x14ac:dyDescent="0.4">
      <c r="BO54" s="16">
        <f>SUM(BO2:BO53)</f>
        <v>292506.75999999995</v>
      </c>
    </row>
  </sheetData>
  <phoneticPr fontId="20" type="noConversion"/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2022-09-02T05:43:20Z</dcterms:modified>
</cp:coreProperties>
</file>