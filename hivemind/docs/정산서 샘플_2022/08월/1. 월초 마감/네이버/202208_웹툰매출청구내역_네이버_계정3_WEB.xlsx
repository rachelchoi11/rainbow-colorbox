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(8)'!$A$1:$AM$1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M23" i="412" l="1"/>
  <c r="BN22" i="412"/>
  <c r="BO22" i="412" s="1"/>
  <c r="BN21" i="412"/>
  <c r="BO21" i="412" s="1"/>
  <c r="BN20" i="412"/>
  <c r="BO20" i="412" s="1"/>
  <c r="BN19" i="412"/>
  <c r="BO19" i="412" s="1"/>
  <c r="BN6" i="412"/>
  <c r="BN5" i="412"/>
  <c r="BN4" i="412"/>
  <c r="BN3" i="412"/>
  <c r="BO3" i="412" s="1"/>
  <c r="BN2" i="412"/>
  <c r="BN11" i="412" l="1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/>
  <c r="BO4" i="412" l="1"/>
  <c r="BO5" i="412"/>
  <c r="BO6" i="412"/>
  <c r="BN7" i="412"/>
  <c r="BO7" i="412" s="1"/>
  <c r="BN8" i="412"/>
  <c r="BO8" i="412" s="1"/>
  <c r="BN9" i="412"/>
  <c r="BO9" i="412" s="1"/>
  <c r="BN10" i="412"/>
  <c r="BO10" i="412" s="1"/>
  <c r="BO2" i="412" l="1"/>
  <c r="BO23" i="412" s="1"/>
</calcChain>
</file>

<file path=xl/sharedStrings.xml><?xml version="1.0" encoding="utf-8"?>
<sst xmlns="http://schemas.openxmlformats.org/spreadsheetml/2006/main" count="216" uniqueCount="114">
  <si>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</si>
  <si>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</si>
  <si>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</si>
  <si>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</si>
  <si>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</si>
  <si>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</si>
  <si>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</si>
  <si>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</si>
  <si>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</si>
  <si>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</si>
  <si>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</si>
  <si>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</si>
  <si>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</si>
  <si>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</si>
  <si>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</si>
  <si>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</si>
  <si>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</si>
  <si>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</si>
  <si>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</si>
  <si>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</si>
  <si>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</si>
  <si>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</si>
  <si>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</si>
  <si>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</si>
  <si>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</si>
  <si>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</si>
  <si>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</si>
  <si>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</si>
  <si>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</si>
  <si>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</si>
  <si>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</si>
  <si>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</si>
  <si>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</si>
  <si>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</si>
  <si>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</si>
  <si>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</si>
  <si>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</si>
  <si>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</si>
  <si>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</si>
  <si>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</si>
  <si>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</si>
  <si>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</si>
  <si>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</si>
  <si>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</si>
  <si>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</si>
  <si>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</si>
  <si>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</si>
  <si>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</si>
  <si>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</si>
  <si>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</si>
  <si>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</si>
  <si>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</si>
  <si>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</si>
  <si>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</si>
  <si>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</si>
  <si>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</si>
  <si>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</si>
  <si>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</si>
  <si>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</si>
  <si>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</si>
  <si>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</si>
  <si>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</si>
  <si>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</si>
  <si>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</si>
  <si>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</si>
  <si>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</si>
  <si>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</si>
  <si>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</si>
  <si>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</si>
  <si>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</si>
  <si>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</si>
  <si>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</si>
  <si>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</si>
  <si>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</si>
  <si>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</si>
  <si>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2022.09.02</t>
  </si>
  <si>
    <t>커피여우 김삼월</t>
  </si>
  <si>
    <t>스토리위즈_만화</t>
  </si>
  <si>
    <t>A.Noa, RK Studio</t>
  </si>
  <si>
    <t>스토리위즈</t>
  </si>
  <si>
    <t>2022.08.31</t>
  </si>
  <si>
    <t>별빛 아래 우리</t>
  </si>
  <si>
    <t>건일</t>
  </si>
  <si>
    <t>2022.09.01</t>
  </si>
  <si>
    <t>악역이지만, 남주는 꼬시지 않아요</t>
  </si>
  <si>
    <t>kuri</t>
  </si>
  <si>
    <t>백스테이지 키스신</t>
  </si>
  <si>
    <t>수정과</t>
  </si>
  <si>
    <t>2019.12.07</t>
  </si>
  <si>
    <t>가출천사 육성계약</t>
  </si>
  <si>
    <t>Bae.C, 조우</t>
  </si>
  <si>
    <t>계약연애, 오늘부터 1일</t>
  </si>
  <si>
    <t>원기공장</t>
  </si>
  <si>
    <t>2019.03.11</t>
  </si>
  <si>
    <t>공주전쟁</t>
  </si>
  <si>
    <t>Luojie</t>
  </si>
  <si>
    <t>사랑을 찾아서</t>
  </si>
  <si>
    <t>웹툰TV</t>
  </si>
  <si>
    <t>2020.04.01</t>
  </si>
  <si>
    <t>폐하, 옥체 보존하세요!</t>
  </si>
  <si>
    <t>IvyeqianheXyouzhijiaozi</t>
  </si>
  <si>
    <t>2020.07.13</t>
  </si>
  <si>
    <t>무령후</t>
  </si>
  <si>
    <t>당만문화</t>
  </si>
  <si>
    <t>2019.01.27</t>
  </si>
  <si>
    <t>달콤한 결혼</t>
  </si>
  <si>
    <t>낙신동만</t>
  </si>
  <si>
    <t>2019.02.10</t>
  </si>
  <si>
    <t>심연의 눈</t>
  </si>
  <si>
    <t>M.C.K.</t>
  </si>
  <si>
    <t>2022.07.09</t>
  </si>
  <si>
    <t>개천고 세계편</t>
  </si>
  <si>
    <t>채준</t>
  </si>
  <si>
    <t>2022.05.02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</si>
</sst>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  <xf numFmtId="41" fontId="24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86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3" bestFit="1" customWidth="1"/>
    <col min="67" max="67" width="13.3984375" style="13" customWidth="1"/>
  </cols>
  <sheetData>
    <row r="1" spans="1:69" ht="27" customHeight="1" x14ac:dyDescent="0.4">
      <c r="A1" s="2" t="s">
        <v>15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16</v>
      </c>
      <c r="I1" s="14" t="s">
        <v>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39</v>
      </c>
      <c r="AG1" s="12" t="s">
        <v>40</v>
      </c>
      <c r="AH1" s="12" t="s">
        <v>41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12" t="s">
        <v>50</v>
      </c>
      <c r="AR1" s="12" t="s">
        <v>51</v>
      </c>
      <c r="AS1" s="12" t="s">
        <v>52</v>
      </c>
      <c r="AT1" s="12" t="s">
        <v>53</v>
      </c>
      <c r="AU1" s="12" t="s">
        <v>54</v>
      </c>
      <c r="AV1" s="12" t="s">
        <v>55</v>
      </c>
      <c r="AW1" s="12" t="s">
        <v>56</v>
      </c>
      <c r="AX1" s="12" t="s">
        <v>57</v>
      </c>
      <c r="AY1" s="12" t="s">
        <v>58</v>
      </c>
      <c r="AZ1" s="12" t="s">
        <v>59</v>
      </c>
      <c r="BA1" s="12" t="s">
        <v>60</v>
      </c>
      <c r="BB1" s="12" t="s">
        <v>61</v>
      </c>
      <c r="BC1" s="12" t="s">
        <v>62</v>
      </c>
      <c r="BD1" s="12" t="s">
        <v>63</v>
      </c>
      <c r="BE1" s="12" t="s">
        <v>64</v>
      </c>
      <c r="BF1" s="12" t="s">
        <v>65</v>
      </c>
      <c r="BG1" s="12" t="s">
        <v>66</v>
      </c>
      <c r="BH1" s="12" t="s">
        <v>67</v>
      </c>
      <c r="BI1" s="12" t="s">
        <v>68</v>
      </c>
      <c r="BJ1" s="12" t="s">
        <v>69</v>
      </c>
      <c r="BK1" s="12" t="s">
        <v>70</v>
      </c>
      <c r="BL1" s="12" t="s">
        <v>11</v>
      </c>
      <c r="BM1" s="12" t="s">
        <v>10</v>
      </c>
      <c r="BN1" s="12" t="s">
        <v>71</v>
      </c>
      <c r="BO1" s="12" t="s">
        <v>72</v>
      </c>
      <c r="BP1" s="18" t="s">
        <v>73</v>
      </c>
      <c r="BQ1" s="19" t="s">
        <v>74</v>
      </c>
    </row>
    <row r="2" spans="1:69" x14ac:dyDescent="0.4">
      <c r="A2" s="5" t="s">
        <v>12</v>
      </c>
      <c r="B2" s="5" t="s">
        <v>76</v>
      </c>
      <c r="C2" s="5">
        <v>464964</v>
      </c>
      <c r="D2" s="6"/>
      <c r="E2" s="5" t="s">
        <v>77</v>
      </c>
      <c r="F2" s="5" t="s">
        <v>78</v>
      </c>
      <c r="G2" s="5" t="s">
        <v>79</v>
      </c>
      <c r="H2" s="7" t="s">
        <v>7</v>
      </c>
      <c r="I2" s="7" t="s">
        <v>80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6</v>
      </c>
      <c r="AF2" s="8">
        <v>3000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3000</v>
      </c>
      <c r="BN2" s="15">
        <f>BM2-BL2</f>
        <v>3000</v>
      </c>
      <c r="BO2" s="16">
        <f t="shared" ref="BO2:BO10" si="0">BN2*70%</f>
        <v>2100</v>
      </c>
    </row>
    <row r="3" spans="1:69" x14ac:dyDescent="0.4">
      <c r="A3" s="5" t="s">
        <v>12</v>
      </c>
      <c r="B3" s="5" t="s">
        <v>81</v>
      </c>
      <c r="C3" s="5">
        <v>435954</v>
      </c>
      <c r="D3" s="6"/>
      <c r="E3" s="5" t="s">
        <v>77</v>
      </c>
      <c r="F3" s="5" t="s">
        <v>82</v>
      </c>
      <c r="G3" s="5" t="s">
        <v>79</v>
      </c>
      <c r="H3" s="7" t="s">
        <v>7</v>
      </c>
      <c r="I3" s="7" t="s">
        <v>83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3</v>
      </c>
      <c r="AF3" s="7">
        <v>0</v>
      </c>
      <c r="AG3" s="8">
        <v>1200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1200</v>
      </c>
      <c r="BN3" s="15">
        <f>BM3-BL3</f>
        <v>1200</v>
      </c>
      <c r="BO3" s="16">
        <f>BN3*70%</f>
        <v>840</v>
      </c>
    </row>
    <row r="4" spans="1:69" x14ac:dyDescent="0.4">
      <c r="A4" s="5" t="s">
        <v>12</v>
      </c>
      <c r="B4" s="5" t="s">
        <v>84</v>
      </c>
      <c r="C4" s="5">
        <v>465461</v>
      </c>
      <c r="D4" s="6"/>
      <c r="E4" s="5" t="s">
        <v>77</v>
      </c>
      <c r="F4" s="5" t="s">
        <v>85</v>
      </c>
      <c r="G4" s="5" t="s">
        <v>79</v>
      </c>
      <c r="H4" s="7" t="s">
        <v>7</v>
      </c>
      <c r="I4" s="7" t="s">
        <v>75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</v>
      </c>
      <c r="AC4" s="7">
        <v>600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1</v>
      </c>
      <c r="BA4" s="7">
        <v>240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14.4</v>
      </c>
      <c r="BM4" s="11">
        <v>840</v>
      </c>
      <c r="BN4" s="15">
        <f>BM4-BL4</f>
        <v>825.6</v>
      </c>
      <c r="BO4" s="16">
        <f t="shared" si="0"/>
        <v>577.91999999999996</v>
      </c>
    </row>
    <row r="5" spans="1:69" x14ac:dyDescent="0.4">
      <c r="A5" s="5" t="s">
        <v>12</v>
      </c>
      <c r="B5" s="5" t="s">
        <v>86</v>
      </c>
      <c r="C5" s="5">
        <v>383201</v>
      </c>
      <c r="D5" s="6"/>
      <c r="E5" s="5" t="s">
        <v>77</v>
      </c>
      <c r="F5" s="5" t="s">
        <v>87</v>
      </c>
      <c r="G5" s="5" t="s">
        <v>79</v>
      </c>
      <c r="H5" s="7" t="s">
        <v>7</v>
      </c>
      <c r="I5" s="7" t="s">
        <v>88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3</v>
      </c>
      <c r="AC5" s="7">
        <v>600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600</v>
      </c>
      <c r="BN5" s="15">
        <f>BM5-BL5</f>
        <v>600</v>
      </c>
      <c r="BO5" s="16">
        <f t="shared" si="0"/>
        <v>420</v>
      </c>
    </row>
    <row r="6" spans="1:69" x14ac:dyDescent="0.4">
      <c r="A6" s="5" t="s">
        <v>12</v>
      </c>
      <c r="B6" s="5" t="s">
        <v>89</v>
      </c>
      <c r="C6" s="5">
        <v>465463</v>
      </c>
      <c r="D6" s="6"/>
      <c r="E6" s="5" t="s">
        <v>77</v>
      </c>
      <c r="F6" s="5" t="s">
        <v>90</v>
      </c>
      <c r="G6" s="5" t="s">
        <v>79</v>
      </c>
      <c r="H6" s="7" t="s">
        <v>9</v>
      </c>
      <c r="I6" s="7" t="s">
        <v>80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</v>
      </c>
      <c r="AC6" s="7">
        <v>400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400</v>
      </c>
      <c r="BN6" s="15">
        <f>BM6-BL6</f>
        <v>400</v>
      </c>
      <c r="BO6" s="16">
        <f t="shared" si="0"/>
        <v>280</v>
      </c>
    </row>
    <row r="7" spans="1:69" x14ac:dyDescent="0.4">
      <c r="A7" s="5" t="s">
        <v>12</v>
      </c>
      <c r="B7" s="5" t="s">
        <v>91</v>
      </c>
      <c r="C7" s="5">
        <v>351846</v>
      </c>
      <c r="D7" s="6"/>
      <c r="E7" s="5" t="s">
        <v>77</v>
      </c>
      <c r="F7" s="5" t="s">
        <v>92</v>
      </c>
      <c r="G7" s="5" t="s">
        <v>79</v>
      </c>
      <c r="H7" s="7" t="s">
        <v>7</v>
      </c>
      <c r="I7" s="7" t="s">
        <v>93</v>
      </c>
      <c r="J7" s="7">
        <v>0</v>
      </c>
      <c r="K7" s="7">
        <v>84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100</v>
      </c>
      <c r="BN7" s="15">
        <f t="shared" ref="BN7:BN10" si="1">BM7-BL7</f>
        <v>100</v>
      </c>
      <c r="BO7" s="16">
        <f t="shared" si="0"/>
        <v>70</v>
      </c>
    </row>
    <row r="8" spans="1:69" x14ac:dyDescent="0.4">
      <c r="A8" s="5" t="s">
        <v>12</v>
      </c>
      <c r="B8" s="5" t="s">
        <v>94</v>
      </c>
      <c r="C8" s="5">
        <v>423525</v>
      </c>
      <c r="D8" s="6"/>
      <c r="E8" s="5" t="s">
        <v>77</v>
      </c>
      <c r="F8" s="5" t="s">
        <v>95</v>
      </c>
      <c r="G8" s="5" t="s">
        <v>79</v>
      </c>
      <c r="H8" s="7" t="s">
        <v>7</v>
      </c>
      <c r="I8" s="7" t="s">
        <v>75</v>
      </c>
      <c r="J8" s="7">
        <v>0</v>
      </c>
      <c r="K8" s="7">
        <v>17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0</v>
      </c>
      <c r="BN8" s="15">
        <f t="shared" si="1"/>
        <v>0</v>
      </c>
      <c r="BO8" s="16">
        <f t="shared" si="0"/>
        <v>0</v>
      </c>
    </row>
    <row r="9" spans="1:69" x14ac:dyDescent="0.4">
      <c r="A9" s="5" t="s">
        <v>12</v>
      </c>
      <c r="B9" s="5" t="s">
        <v>96</v>
      </c>
      <c r="C9" s="5">
        <v>393567</v>
      </c>
      <c r="D9" s="6"/>
      <c r="E9" s="5" t="s">
        <v>77</v>
      </c>
      <c r="F9" s="5" t="s">
        <v>97</v>
      </c>
      <c r="G9" s="5" t="s">
        <v>79</v>
      </c>
      <c r="H9" s="7" t="s">
        <v>8</v>
      </c>
      <c r="I9" s="7" t="s">
        <v>98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0</v>
      </c>
      <c r="BN9" s="15">
        <f t="shared" si="1"/>
        <v>0</v>
      </c>
      <c r="BO9" s="16">
        <f t="shared" si="0"/>
        <v>0</v>
      </c>
    </row>
    <row r="10" spans="1:69" ht="19.2" x14ac:dyDescent="0.4">
      <c r="A10" s="5" t="s">
        <v>12</v>
      </c>
      <c r="B10" s="5" t="s">
        <v>99</v>
      </c>
      <c r="C10" s="5">
        <v>380491</v>
      </c>
      <c r="D10" s="6"/>
      <c r="E10" s="5" t="s">
        <v>77</v>
      </c>
      <c r="F10" s="5" t="s">
        <v>100</v>
      </c>
      <c r="G10" s="5" t="s">
        <v>79</v>
      </c>
      <c r="H10" s="7" t="s">
        <v>7</v>
      </c>
      <c r="I10" s="7" t="s">
        <v>101</v>
      </c>
      <c r="J10" s="7">
        <v>0</v>
      </c>
      <c r="K10" s="7">
        <v>16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1">
        <v>0</v>
      </c>
      <c r="BN10" s="15">
        <f t="shared" si="1"/>
        <v>0</v>
      </c>
      <c r="BO10" s="16">
        <f t="shared" si="0"/>
        <v>0</v>
      </c>
    </row>
    <row r="11" spans="1:69" x14ac:dyDescent="0.4">
      <c r="A11" s="5" t="s">
        <v>13</v>
      </c>
      <c r="B11" s="5" t="s">
        <v>89</v>
      </c>
      <c r="C11" s="5">
        <v>465463</v>
      </c>
      <c r="D11" s="6"/>
      <c r="E11" s="5" t="s">
        <v>77</v>
      </c>
      <c r="F11" s="5" t="s">
        <v>90</v>
      </c>
      <c r="G11" s="5" t="s">
        <v>79</v>
      </c>
      <c r="H11" s="7" t="s">
        <v>9</v>
      </c>
      <c r="I11" s="7" t="s">
        <v>80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87</v>
      </c>
      <c r="AC11" s="8">
        <v>17400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17400</v>
      </c>
      <c r="BN11" s="15">
        <f t="shared" ref="BN11:BN18" si="2">BM11-BL11</f>
        <v>17400</v>
      </c>
      <c r="BO11" s="16">
        <f t="shared" ref="BO11:BO18" si="3">BN11*70%</f>
        <v>12180</v>
      </c>
    </row>
    <row r="12" spans="1:69" x14ac:dyDescent="0.4">
      <c r="A12" s="5" t="s">
        <v>13</v>
      </c>
      <c r="B12" s="5" t="s">
        <v>84</v>
      </c>
      <c r="C12" s="5">
        <v>465461</v>
      </c>
      <c r="D12" s="6"/>
      <c r="E12" s="5" t="s">
        <v>77</v>
      </c>
      <c r="F12" s="5" t="s">
        <v>85</v>
      </c>
      <c r="G12" s="5" t="s">
        <v>79</v>
      </c>
      <c r="H12" s="7" t="s">
        <v>7</v>
      </c>
      <c r="I12" s="7" t="s">
        <v>75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30</v>
      </c>
      <c r="AC12" s="8">
        <v>6000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22</v>
      </c>
      <c r="BA12" s="8">
        <v>4800</v>
      </c>
      <c r="BB12" s="7">
        <v>400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288</v>
      </c>
      <c r="BM12" s="10">
        <v>11200</v>
      </c>
      <c r="BN12" s="15">
        <f t="shared" si="2"/>
        <v>10912</v>
      </c>
      <c r="BO12" s="16">
        <f t="shared" si="3"/>
        <v>7638.4</v>
      </c>
    </row>
    <row r="13" spans="1:69" x14ac:dyDescent="0.4">
      <c r="A13" s="5" t="s">
        <v>13</v>
      </c>
      <c r="B13" s="5" t="s">
        <v>102</v>
      </c>
      <c r="C13" s="5">
        <v>320809</v>
      </c>
      <c r="D13" s="6"/>
      <c r="E13" s="5" t="s">
        <v>77</v>
      </c>
      <c r="F13" s="5" t="s">
        <v>103</v>
      </c>
      <c r="G13" s="5" t="s">
        <v>79</v>
      </c>
      <c r="H13" s="7" t="s">
        <v>7</v>
      </c>
      <c r="I13" s="7" t="s">
        <v>104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11</v>
      </c>
      <c r="AC13" s="8">
        <v>2200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2200</v>
      </c>
      <c r="BN13" s="15">
        <f t="shared" si="2"/>
        <v>2200</v>
      </c>
      <c r="BO13" s="16">
        <f t="shared" si="3"/>
        <v>1540</v>
      </c>
    </row>
    <row r="14" spans="1:69" x14ac:dyDescent="0.4">
      <c r="A14" s="5" t="s">
        <v>13</v>
      </c>
      <c r="B14" s="5" t="s">
        <v>105</v>
      </c>
      <c r="C14" s="5">
        <v>323829</v>
      </c>
      <c r="D14" s="6"/>
      <c r="E14" s="5" t="s">
        <v>77</v>
      </c>
      <c r="F14" s="5" t="s">
        <v>106</v>
      </c>
      <c r="G14" s="5" t="s">
        <v>79</v>
      </c>
      <c r="H14" s="7" t="s">
        <v>7</v>
      </c>
      <c r="I14" s="7" t="s">
        <v>107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12</v>
      </c>
      <c r="AC14" s="8">
        <v>1200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1200</v>
      </c>
      <c r="BN14" s="15">
        <f t="shared" si="2"/>
        <v>1200</v>
      </c>
      <c r="BO14" s="16">
        <f t="shared" si="3"/>
        <v>840</v>
      </c>
    </row>
    <row r="15" spans="1:69" x14ac:dyDescent="0.4">
      <c r="A15" s="5" t="s">
        <v>13</v>
      </c>
      <c r="B15" s="5" t="s">
        <v>91</v>
      </c>
      <c r="C15" s="5">
        <v>351846</v>
      </c>
      <c r="D15" s="6"/>
      <c r="E15" s="5" t="s">
        <v>77</v>
      </c>
      <c r="F15" s="5" t="s">
        <v>92</v>
      </c>
      <c r="G15" s="5" t="s">
        <v>79</v>
      </c>
      <c r="H15" s="7" t="s">
        <v>7</v>
      </c>
      <c r="I15" s="7" t="s">
        <v>93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</v>
      </c>
      <c r="AC15" s="8">
        <v>1000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1000</v>
      </c>
      <c r="BN15" s="15">
        <f t="shared" si="2"/>
        <v>1000</v>
      </c>
      <c r="BO15" s="16">
        <f t="shared" si="3"/>
        <v>700</v>
      </c>
    </row>
    <row r="16" spans="1:69" x14ac:dyDescent="0.4">
      <c r="A16" s="5" t="s">
        <v>13</v>
      </c>
      <c r="B16" s="5" t="s">
        <v>86</v>
      </c>
      <c r="C16" s="5">
        <v>383201</v>
      </c>
      <c r="D16" s="6"/>
      <c r="E16" s="5" t="s">
        <v>77</v>
      </c>
      <c r="F16" s="5" t="s">
        <v>87</v>
      </c>
      <c r="G16" s="5" t="s">
        <v>79</v>
      </c>
      <c r="H16" s="7" t="s">
        <v>7</v>
      </c>
      <c r="I16" s="7" t="s">
        <v>88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</v>
      </c>
      <c r="AC16" s="7">
        <v>400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400</v>
      </c>
      <c r="BN16" s="15">
        <f t="shared" si="2"/>
        <v>400</v>
      </c>
      <c r="BO16" s="16">
        <f t="shared" si="3"/>
        <v>280</v>
      </c>
    </row>
    <row r="17" spans="1:67" x14ac:dyDescent="0.4">
      <c r="A17" s="5" t="s">
        <v>13</v>
      </c>
      <c r="B17" s="5" t="s">
        <v>108</v>
      </c>
      <c r="C17" s="5">
        <v>461521</v>
      </c>
      <c r="D17" s="6"/>
      <c r="E17" s="5" t="s">
        <v>77</v>
      </c>
      <c r="F17" s="5" t="s">
        <v>109</v>
      </c>
      <c r="G17" s="5" t="s">
        <v>79</v>
      </c>
      <c r="H17" s="7" t="s">
        <v>8</v>
      </c>
      <c r="I17" s="7" t="s">
        <v>110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200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200</v>
      </c>
      <c r="BN17" s="15">
        <f t="shared" si="2"/>
        <v>200</v>
      </c>
      <c r="BO17" s="16">
        <f t="shared" si="3"/>
        <v>140</v>
      </c>
    </row>
    <row r="18" spans="1:67" x14ac:dyDescent="0.4">
      <c r="A18" s="5" t="s">
        <v>13</v>
      </c>
      <c r="B18" s="5" t="s">
        <v>94</v>
      </c>
      <c r="C18" s="5">
        <v>423525</v>
      </c>
      <c r="D18" s="6"/>
      <c r="E18" s="5" t="s">
        <v>77</v>
      </c>
      <c r="F18" s="5" t="s">
        <v>95</v>
      </c>
      <c r="G18" s="5" t="s">
        <v>79</v>
      </c>
      <c r="H18" s="7" t="s">
        <v>7</v>
      </c>
      <c r="I18" s="7" t="s">
        <v>75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0</v>
      </c>
      <c r="BN18" s="15">
        <f t="shared" si="2"/>
        <v>0</v>
      </c>
      <c r="BO18" s="16">
        <f t="shared" si="3"/>
        <v>0</v>
      </c>
    </row>
    <row r="19" spans="1:67" x14ac:dyDescent="0.4">
      <c r="A19" s="5" t="s">
        <v>14</v>
      </c>
      <c r="B19" s="5" t="s">
        <v>111</v>
      </c>
      <c r="C19" s="5">
        <v>467630</v>
      </c>
      <c r="D19" s="6"/>
      <c r="E19" s="5" t="s">
        <v>77</v>
      </c>
      <c r="F19" s="5" t="s">
        <v>112</v>
      </c>
      <c r="G19" s="5" t="s">
        <v>79</v>
      </c>
      <c r="H19" s="7" t="s">
        <v>8</v>
      </c>
      <c r="I19" s="7" t="s">
        <v>113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4</v>
      </c>
      <c r="AC19" s="7">
        <v>520</v>
      </c>
      <c r="AD19" s="7">
        <v>300</v>
      </c>
      <c r="AE19" s="7">
        <v>0</v>
      </c>
      <c r="AF19" s="7">
        <v>0</v>
      </c>
      <c r="AG19" s="7">
        <v>0</v>
      </c>
      <c r="AH19" s="7">
        <v>2</v>
      </c>
      <c r="AI19" s="7">
        <v>480</v>
      </c>
      <c r="AJ19" s="7">
        <v>0</v>
      </c>
      <c r="AK19" s="7">
        <v>0</v>
      </c>
      <c r="AL19" s="7">
        <v>0</v>
      </c>
      <c r="AM19" s="7">
        <v>0</v>
      </c>
      <c r="AN19" s="7">
        <v>1</v>
      </c>
      <c r="AO19" s="7">
        <v>200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144</v>
      </c>
      <c r="BM19" s="10">
        <v>1500</v>
      </c>
      <c r="BN19" s="15">
        <f t="shared" ref="BN19:BN22" si="4">BM19-BL19</f>
        <v>1356</v>
      </c>
      <c r="BO19" s="16">
        <f t="shared" ref="BO19:BO22" si="5">BN19*70%</f>
        <v>949.19999999999993</v>
      </c>
    </row>
    <row r="20" spans="1:67" x14ac:dyDescent="0.4">
      <c r="A20" s="5" t="s">
        <v>14</v>
      </c>
      <c r="B20" s="5" t="s">
        <v>84</v>
      </c>
      <c r="C20" s="5">
        <v>465461</v>
      </c>
      <c r="D20" s="6"/>
      <c r="E20" s="5" t="s">
        <v>77</v>
      </c>
      <c r="F20" s="5" t="s">
        <v>85</v>
      </c>
      <c r="G20" s="5" t="s">
        <v>79</v>
      </c>
      <c r="H20" s="7" t="s">
        <v>7</v>
      </c>
      <c r="I20" s="7" t="s">
        <v>75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3</v>
      </c>
      <c r="AC20" s="7">
        <v>600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1</v>
      </c>
      <c r="AU20" s="7">
        <v>240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24</v>
      </c>
      <c r="BM20" s="11">
        <v>840</v>
      </c>
      <c r="BN20" s="15">
        <f t="shared" si="4"/>
        <v>816</v>
      </c>
      <c r="BO20" s="16">
        <f t="shared" si="5"/>
        <v>571.19999999999993</v>
      </c>
    </row>
    <row r="21" spans="1:67" x14ac:dyDescent="0.4">
      <c r="A21" s="5" t="s">
        <v>14</v>
      </c>
      <c r="B21" s="5" t="s">
        <v>81</v>
      </c>
      <c r="C21" s="5">
        <v>435954</v>
      </c>
      <c r="D21" s="6"/>
      <c r="E21" s="5" t="s">
        <v>77</v>
      </c>
      <c r="F21" s="5" t="s">
        <v>82</v>
      </c>
      <c r="G21" s="5" t="s">
        <v>79</v>
      </c>
      <c r="H21" s="7" t="s">
        <v>7</v>
      </c>
      <c r="I21" s="7" t="s">
        <v>83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</v>
      </c>
      <c r="AC21" s="7">
        <v>200</v>
      </c>
      <c r="AD21" s="7">
        <v>200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1</v>
      </c>
      <c r="AO21" s="7">
        <v>200</v>
      </c>
      <c r="AP21" s="7">
        <v>0</v>
      </c>
      <c r="AQ21" s="7">
        <v>0</v>
      </c>
      <c r="AR21" s="7">
        <v>0</v>
      </c>
      <c r="AS21" s="7">
        <v>0</v>
      </c>
      <c r="AT21" s="7">
        <v>1</v>
      </c>
      <c r="AU21" s="7">
        <v>240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24</v>
      </c>
      <c r="BM21" s="11">
        <v>840</v>
      </c>
      <c r="BN21" s="15">
        <f t="shared" si="4"/>
        <v>816</v>
      </c>
      <c r="BO21" s="16">
        <f t="shared" si="5"/>
        <v>571.19999999999993</v>
      </c>
    </row>
    <row r="22" spans="1:67" x14ac:dyDescent="0.4">
      <c r="A22" s="5" t="s">
        <v>14</v>
      </c>
      <c r="B22" s="5" t="s">
        <v>94</v>
      </c>
      <c r="C22" s="5">
        <v>423525</v>
      </c>
      <c r="D22" s="6"/>
      <c r="E22" s="5" t="s">
        <v>77</v>
      </c>
      <c r="F22" s="5" t="s">
        <v>95</v>
      </c>
      <c r="G22" s="5" t="s">
        <v>79</v>
      </c>
      <c r="H22" s="7" t="s">
        <v>7</v>
      </c>
      <c r="I22" s="7" t="s">
        <v>75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200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200</v>
      </c>
      <c r="BN22" s="15">
        <f t="shared" si="4"/>
        <v>200</v>
      </c>
      <c r="BO22" s="16">
        <f t="shared" si="5"/>
        <v>140</v>
      </c>
    </row>
    <row r="23" spans="1:67" x14ac:dyDescent="0.4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20">
        <f>SUM(BM2:BM22)</f>
        <v>43120</v>
      </c>
      <c r="BO23" s="17">
        <f>SUM(BO2:BO22)</f>
        <v>29837.920000000002</v>
      </c>
    </row>
    <row r="24" spans="1:67" x14ac:dyDescent="0.4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7" x14ac:dyDescent="0.4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7" x14ac:dyDescent="0.4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8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7" x14ac:dyDescent="0.4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8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7" x14ac:dyDescent="0.4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8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7" x14ac:dyDescent="0.4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7" x14ac:dyDescent="0.4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7" x14ac:dyDescent="0.4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7" x14ac:dyDescent="0.4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8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4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4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8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4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4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4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8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8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1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1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1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1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1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1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1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1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1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1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8"/>
      <c r="L86" s="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8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8"/>
      <c r="AR86" s="8"/>
      <c r="AS86" s="8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8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8"/>
      <c r="AD88" s="8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8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8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8"/>
      <c r="K90" s="8"/>
      <c r="L90" s="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8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8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8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8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8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8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8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8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8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/>
      <c r="AD107" s="7"/>
      <c r="AE107" s="7"/>
      <c r="AF107" s="8"/>
      <c r="AG107" s="8"/>
      <c r="AH107" s="7"/>
      <c r="AI107" s="7"/>
      <c r="AJ107" s="7"/>
      <c r="AK107" s="7"/>
      <c r="AL107" s="7"/>
      <c r="AM107" s="7"/>
      <c r="AN107" s="7"/>
      <c r="AO107" s="8"/>
      <c r="AP107" s="8"/>
      <c r="AQ107" s="7"/>
      <c r="AR107" s="8"/>
      <c r="AS107" s="8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8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8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8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8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8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8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8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8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1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1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1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1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1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1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1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1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8"/>
      <c r="L257" s="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8"/>
      <c r="AR257" s="8"/>
      <c r="AS257" s="8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8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8"/>
      <c r="AG258" s="8"/>
      <c r="AH258" s="7"/>
      <c r="AI258" s="7"/>
      <c r="AJ258" s="7"/>
      <c r="AK258" s="8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8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8"/>
      <c r="AG259" s="8"/>
      <c r="AH259" s="7"/>
      <c r="AI259" s="7"/>
      <c r="AJ259" s="7"/>
      <c r="AK259" s="8"/>
      <c r="AL259" s="8"/>
      <c r="AM259" s="8"/>
      <c r="AN259" s="7"/>
      <c r="AO259" s="7"/>
      <c r="AP259" s="7"/>
      <c r="AQ259" s="8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8"/>
      <c r="AR260" s="8"/>
      <c r="AS260" s="8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8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8"/>
      <c r="AF262" s="8"/>
      <c r="AG262" s="8"/>
      <c r="AH262" s="7"/>
      <c r="AI262" s="7"/>
      <c r="AJ262" s="7"/>
      <c r="AK262" s="8"/>
      <c r="AL262" s="8"/>
      <c r="AM262" s="8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8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8"/>
      <c r="AF263" s="8"/>
      <c r="AG263" s="8"/>
      <c r="AH263" s="7"/>
      <c r="AI263" s="7"/>
      <c r="AJ263" s="7"/>
      <c r="AK263" s="8"/>
      <c r="AL263" s="8"/>
      <c r="AM263" s="8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8"/>
      <c r="AF264" s="8"/>
      <c r="AG264" s="8"/>
      <c r="AH264" s="7"/>
      <c r="AI264" s="7"/>
      <c r="AJ264" s="7"/>
      <c r="AK264" s="8"/>
      <c r="AL264" s="8"/>
      <c r="AM264" s="8"/>
      <c r="AN264" s="7"/>
      <c r="AO264" s="7"/>
      <c r="AP264" s="7"/>
      <c r="AQ264" s="7"/>
      <c r="AR264" s="8"/>
      <c r="AS264" s="8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8"/>
      <c r="L265" s="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8"/>
      <c r="AF265" s="8"/>
      <c r="AG265" s="8"/>
      <c r="AH265" s="7"/>
      <c r="AI265" s="7"/>
      <c r="AJ265" s="7"/>
      <c r="AK265" s="8"/>
      <c r="AL265" s="8"/>
      <c r="AM265" s="8"/>
      <c r="AN265" s="7"/>
      <c r="AO265" s="7"/>
      <c r="AP265" s="7"/>
      <c r="AQ265" s="7"/>
      <c r="AR265" s="8"/>
      <c r="AS265" s="8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8"/>
      <c r="AF266" s="8"/>
      <c r="AG266" s="8"/>
      <c r="AH266" s="7"/>
      <c r="AI266" s="7"/>
      <c r="AJ266" s="7"/>
      <c r="AK266" s="8"/>
      <c r="AL266" s="8"/>
      <c r="AM266" s="8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8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8"/>
      <c r="AF267" s="8"/>
      <c r="AG267" s="8"/>
      <c r="AH267" s="7"/>
      <c r="AI267" s="7"/>
      <c r="AJ267" s="7"/>
      <c r="AK267" s="8"/>
      <c r="AL267" s="8"/>
      <c r="AM267" s="8"/>
      <c r="AN267" s="7"/>
      <c r="AO267" s="7"/>
      <c r="AP267" s="7"/>
      <c r="AQ267" s="7"/>
      <c r="AR267" s="8"/>
      <c r="AS267" s="8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8"/>
      <c r="AL268" s="8"/>
      <c r="AM268" s="8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8"/>
      <c r="K270" s="7"/>
      <c r="L270" s="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8"/>
      <c r="AH270" s="7"/>
      <c r="AI270" s="7"/>
      <c r="AJ270" s="7"/>
      <c r="AK270" s="7"/>
      <c r="AL270" s="8"/>
      <c r="AM270" s="8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8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8"/>
      <c r="AN272" s="7"/>
      <c r="AO272" s="7"/>
      <c r="AP272" s="7"/>
      <c r="AQ272" s="7"/>
      <c r="AR272" s="8"/>
      <c r="AS272" s="8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8"/>
      <c r="AS273" s="8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8"/>
      <c r="AJ274" s="8"/>
      <c r="AK274" s="7"/>
      <c r="AL274" s="7"/>
      <c r="AM274" s="7"/>
      <c r="AN274" s="7"/>
      <c r="AO274" s="7"/>
      <c r="AP274" s="7"/>
      <c r="AQ274" s="7"/>
      <c r="AR274" s="8"/>
      <c r="AS274" s="8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8"/>
      <c r="AS277" s="8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8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8"/>
      <c r="AH284" s="7"/>
      <c r="AI284" s="7"/>
      <c r="AJ284" s="7"/>
      <c r="AK284" s="7"/>
      <c r="AL284" s="8"/>
      <c r="AM284" s="8"/>
      <c r="AN284" s="7"/>
      <c r="AO284" s="7"/>
      <c r="AP284" s="7"/>
      <c r="AQ284" s="7"/>
      <c r="AR284" s="8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8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8"/>
      <c r="AH288" s="7"/>
      <c r="AI288" s="7"/>
      <c r="AJ288" s="7"/>
      <c r="AK288" s="7"/>
      <c r="AL288" s="8"/>
      <c r="AM288" s="8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8"/>
      <c r="AH289" s="7"/>
      <c r="AI289" s="7"/>
      <c r="AJ289" s="7"/>
      <c r="AK289" s="7"/>
      <c r="AL289" s="8"/>
      <c r="AM289" s="8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8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8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8"/>
      <c r="AJ303" s="7"/>
      <c r="AK303" s="7"/>
      <c r="AL303" s="8"/>
      <c r="AM303" s="7"/>
      <c r="AN303" s="7"/>
      <c r="AO303" s="8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8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8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8"/>
      <c r="AS309" s="8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8"/>
      <c r="AM310" s="8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8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7"/>
      <c r="AM312" s="8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8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8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8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8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8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8"/>
      <c r="AH332" s="7"/>
      <c r="AI332" s="7"/>
      <c r="AJ332" s="7"/>
      <c r="AK332" s="7"/>
      <c r="AL332" s="7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8"/>
      <c r="AH333" s="7"/>
      <c r="AI333" s="7"/>
      <c r="AJ333" s="7"/>
      <c r="AK333" s="7"/>
      <c r="AL333" s="7"/>
      <c r="AM333" s="8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8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8"/>
      <c r="AH349" s="7"/>
      <c r="AI349" s="7"/>
      <c r="AJ349" s="7"/>
      <c r="AK349" s="7"/>
      <c r="AL349" s="7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8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8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8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8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1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1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1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1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1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1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1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1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1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1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2022-09-02T07:42:51Z</dcterms:modified>
</cp:coreProperties>
</file>