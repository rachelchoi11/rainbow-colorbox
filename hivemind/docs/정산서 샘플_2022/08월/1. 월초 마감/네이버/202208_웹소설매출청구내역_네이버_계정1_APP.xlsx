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정산\8월 매출\1. 월초 마감\네이버\"/>
    </mc:Choice>
  </mc:AlternateContent>
  <bookViews>
    <workbookView xWindow="0" yWindow="0" windowWidth="23040" windowHeight="8952" tabRatio="766"/>
  </bookViews>
  <sheets>
    <sheet name="합계 (8)" sheetId="414" r:id="rId1"/>
  </sheets>
  <definedNames>
    <definedName name="_xlnm._FilterDatabase" localSheetId="0" hidden="1">'합계 (8)'!$A$1:$AM$1</definedName>
    <definedName name="_xlnm.Extract" localSheetId="0">'합계 (8)'!#REF!</definedName>
  </definedNames>
  <calcPr calcId="152511"/>
</workbook>
</file>

<file path=xl/calcChain.xml><?xml version="1.0" encoding="utf-8"?>
<calcChain xmlns="http://schemas.openxmlformats.org/spreadsheetml/2006/main">
  <c r="BO136" i="414" l="1"/>
  <c r="BN130" i="414"/>
  <c r="BO130" i="414" s="1"/>
  <c r="BN131" i="414"/>
  <c r="BO131" i="414" s="1"/>
  <c r="BN132" i="414"/>
  <c r="BO132" i="414"/>
  <c r="BN133" i="414"/>
  <c r="BO133" i="414"/>
  <c r="BN134" i="414"/>
  <c r="BO134" i="414"/>
  <c r="BN135" i="414"/>
  <c r="BO135" i="414"/>
  <c r="BN94" i="414" l="1"/>
  <c r="BO94" i="414" s="1"/>
  <c r="BN95" i="414"/>
  <c r="BO95" i="414" s="1"/>
  <c r="BN96" i="414"/>
  <c r="BO96" i="414" s="1"/>
  <c r="BN97" i="414"/>
  <c r="BO97" i="414" s="1"/>
  <c r="BN98" i="414"/>
  <c r="BO98" i="414" s="1"/>
  <c r="BN99" i="414"/>
  <c r="BO99" i="414" s="1"/>
  <c r="BN100" i="414"/>
  <c r="BO100" i="414" s="1"/>
  <c r="BN101" i="414"/>
  <c r="BO101" i="414"/>
  <c r="BN102" i="414"/>
  <c r="BO102" i="414" s="1"/>
  <c r="BN103" i="414"/>
  <c r="BO103" i="414" s="1"/>
  <c r="BN104" i="414"/>
  <c r="BO104" i="414" s="1"/>
  <c r="BN105" i="414"/>
  <c r="BO105" i="414" s="1"/>
  <c r="BN106" i="414"/>
  <c r="BO106" i="414" s="1"/>
  <c r="BN107" i="414"/>
  <c r="BO107" i="414" s="1"/>
  <c r="BN108" i="414"/>
  <c r="BO108" i="414" s="1"/>
  <c r="BN109" i="414"/>
  <c r="BO109" i="414" s="1"/>
  <c r="BN110" i="414"/>
  <c r="BO110" i="414" s="1"/>
  <c r="BN111" i="414"/>
  <c r="BO111" i="414" s="1"/>
  <c r="BN112" i="414"/>
  <c r="BO112" i="414" s="1"/>
  <c r="BN113" i="414"/>
  <c r="BO113" i="414" s="1"/>
  <c r="BN114" i="414"/>
  <c r="BO114" i="414" s="1"/>
  <c r="BN115" i="414"/>
  <c r="BO115" i="414" s="1"/>
  <c r="BN116" i="414"/>
  <c r="BO116" i="414" s="1"/>
  <c r="BN117" i="414"/>
  <c r="BO117" i="414"/>
  <c r="BN118" i="414"/>
  <c r="BO118" i="414" s="1"/>
  <c r="BN119" i="414"/>
  <c r="BO119" i="414" s="1"/>
  <c r="BN120" i="414"/>
  <c r="BO120" i="414" s="1"/>
  <c r="BN121" i="414"/>
  <c r="BO121" i="414" s="1"/>
  <c r="BN122" i="414"/>
  <c r="BO122" i="414" s="1"/>
  <c r="BN123" i="414"/>
  <c r="BO123" i="414" s="1"/>
  <c r="BN124" i="414"/>
  <c r="BO124" i="414" s="1"/>
  <c r="BN125" i="414"/>
  <c r="BO125" i="414" s="1"/>
  <c r="BN126" i="414"/>
  <c r="BO126" i="414" s="1"/>
  <c r="BN127" i="414"/>
  <c r="BO127" i="414" s="1"/>
  <c r="BN128" i="414"/>
  <c r="BO128" i="414" s="1"/>
  <c r="BN129" i="414"/>
  <c r="BO129" i="414"/>
  <c r="BN68" i="414" l="1"/>
  <c r="BO68" i="414" s="1"/>
  <c r="BN69" i="414"/>
  <c r="BO69" i="414" s="1"/>
  <c r="BN70" i="414"/>
  <c r="BO70" i="414"/>
  <c r="BN71" i="414"/>
  <c r="BO71" i="414" s="1"/>
  <c r="BN72" i="414"/>
  <c r="BO72" i="414"/>
  <c r="BN73" i="414"/>
  <c r="BO73" i="414" s="1"/>
  <c r="BN74" i="414"/>
  <c r="BO74" i="414" s="1"/>
  <c r="BN75" i="414"/>
  <c r="BO75" i="414" s="1"/>
  <c r="BN76" i="414"/>
  <c r="BO76" i="414" s="1"/>
  <c r="BN77" i="414"/>
  <c r="BO77" i="414"/>
  <c r="BN78" i="414"/>
  <c r="BO78" i="414" s="1"/>
  <c r="BN79" i="414"/>
  <c r="BO79" i="414" s="1"/>
  <c r="BN80" i="414"/>
  <c r="BO80" i="414" s="1"/>
  <c r="BN81" i="414"/>
  <c r="BO81" i="414" s="1"/>
  <c r="BN82" i="414"/>
  <c r="BO82" i="414" s="1"/>
  <c r="BN83" i="414"/>
  <c r="BO83" i="414"/>
  <c r="BN84" i="414"/>
  <c r="BO84" i="414" s="1"/>
  <c r="BN85" i="414"/>
  <c r="BO85" i="414" s="1"/>
  <c r="BN86" i="414"/>
  <c r="BO86" i="414" s="1"/>
  <c r="BN87" i="414"/>
  <c r="BO87" i="414" s="1"/>
  <c r="BN88" i="414"/>
  <c r="BO88" i="414" s="1"/>
  <c r="BN89" i="414"/>
  <c r="BO89" i="414" s="1"/>
  <c r="BN90" i="414"/>
  <c r="BO90" i="414" s="1"/>
  <c r="BN91" i="414"/>
  <c r="BO91" i="414"/>
  <c r="BN92" i="414"/>
  <c r="BO92" i="414" s="1"/>
  <c r="BN93" i="414"/>
  <c r="BO93" i="414" s="1"/>
  <c r="BN2" i="414" l="1"/>
  <c r="BO2" i="414" s="1"/>
  <c r="BN3" i="414"/>
  <c r="BO3" i="414" s="1"/>
  <c r="BN4" i="414"/>
  <c r="BO4" i="414" s="1"/>
  <c r="BN5" i="414"/>
  <c r="BO5" i="414" s="1"/>
  <c r="BN6" i="414"/>
  <c r="BO6" i="414" s="1"/>
  <c r="BN7" i="414"/>
  <c r="BO7" i="414" s="1"/>
  <c r="BN8" i="414"/>
  <c r="BO8" i="414" s="1"/>
  <c r="BN9" i="414"/>
  <c r="BO9" i="414" s="1"/>
  <c r="BN10" i="414"/>
  <c r="BO10" i="414" s="1"/>
  <c r="BN11" i="414"/>
  <c r="BO11" i="414" s="1"/>
  <c r="BN12" i="414"/>
  <c r="BO12" i="414" s="1"/>
  <c r="BN13" i="414"/>
  <c r="BO13" i="414" s="1"/>
  <c r="BN14" i="414"/>
  <c r="BO14" i="414" s="1"/>
  <c r="BN15" i="414"/>
  <c r="BO15" i="414" s="1"/>
  <c r="BN16" i="414"/>
  <c r="BO16" i="414" s="1"/>
  <c r="BN17" i="414"/>
  <c r="BO17" i="414" s="1"/>
  <c r="BN18" i="414"/>
  <c r="BO18" i="414" s="1"/>
  <c r="BN19" i="414"/>
  <c r="BO19" i="414" s="1"/>
  <c r="BN20" i="414"/>
  <c r="BO20" i="414" s="1"/>
  <c r="BN21" i="414"/>
  <c r="BO21" i="414" s="1"/>
  <c r="BN22" i="414"/>
  <c r="BO22" i="414" s="1"/>
  <c r="BN23" i="414"/>
  <c r="BO23" i="414" s="1"/>
  <c r="BN24" i="414"/>
  <c r="BO24" i="414" s="1"/>
  <c r="BN25" i="414"/>
  <c r="BO25" i="414" s="1"/>
  <c r="BN26" i="414"/>
  <c r="BO26" i="414" s="1"/>
  <c r="BN27" i="414"/>
  <c r="BO27" i="414" s="1"/>
  <c r="BN28" i="414"/>
  <c r="BO28" i="414" s="1"/>
  <c r="BN29" i="414"/>
  <c r="BO29" i="414" s="1"/>
  <c r="BN30" i="414"/>
  <c r="BO30" i="414" s="1"/>
  <c r="BN31" i="414"/>
  <c r="BO31" i="414" s="1"/>
  <c r="BN32" i="414"/>
  <c r="BO32" i="414" s="1"/>
  <c r="BN33" i="414"/>
  <c r="BO33" i="414" s="1"/>
  <c r="BN34" i="414"/>
  <c r="BO34" i="414" s="1"/>
  <c r="BN35" i="414"/>
  <c r="BO35" i="414" s="1"/>
  <c r="BN36" i="414"/>
  <c r="BO36" i="414" s="1"/>
  <c r="BN37" i="414"/>
  <c r="BO37" i="414" s="1"/>
  <c r="BN38" i="414"/>
  <c r="BO38" i="414" s="1"/>
  <c r="BN39" i="414"/>
  <c r="BO39" i="414" s="1"/>
  <c r="BN40" i="414"/>
  <c r="BO40" i="414" s="1"/>
  <c r="BN41" i="414"/>
  <c r="BO41" i="414" s="1"/>
  <c r="BN42" i="414"/>
  <c r="BO42" i="414" s="1"/>
  <c r="BN43" i="414"/>
  <c r="BO43" i="414" s="1"/>
  <c r="BN44" i="414"/>
  <c r="BO44" i="414" s="1"/>
  <c r="BN45" i="414"/>
  <c r="BO45" i="414" s="1"/>
  <c r="BN46" i="414"/>
  <c r="BO46" i="414" s="1"/>
  <c r="BN47" i="414"/>
  <c r="BO47" i="414" s="1"/>
  <c r="BN48" i="414"/>
  <c r="BO48" i="414" s="1"/>
  <c r="BN49" i="414"/>
  <c r="BO49" i="414" s="1"/>
  <c r="BN50" i="414"/>
  <c r="BO50" i="414" s="1"/>
  <c r="BN51" i="414"/>
  <c r="BO51" i="414" s="1"/>
  <c r="BN52" i="414"/>
  <c r="BO52" i="414" s="1"/>
  <c r="BN53" i="414"/>
  <c r="BO53" i="414" s="1"/>
  <c r="BN54" i="414"/>
  <c r="BO54" i="414" s="1"/>
  <c r="BN55" i="414"/>
  <c r="BO55" i="414" s="1"/>
  <c r="BN56" i="414"/>
  <c r="BO56" i="414" s="1"/>
  <c r="BN57" i="414"/>
  <c r="BO57" i="414" s="1"/>
  <c r="BN58" i="414"/>
  <c r="BO58" i="414" s="1"/>
  <c r="BN59" i="414"/>
  <c r="BO59" i="414" s="1"/>
  <c r="BN60" i="414"/>
  <c r="BO60" i="414" s="1"/>
  <c r="BN61" i="414"/>
  <c r="BO61" i="414" s="1"/>
  <c r="BN62" i="414"/>
  <c r="BO62" i="414" s="1"/>
  <c r="BN63" i="414"/>
  <c r="BO63" i="414" s="1"/>
  <c r="BN64" i="414"/>
  <c r="BO64" i="414" s="1"/>
  <c r="BN65" i="414"/>
  <c r="BO65" i="414" s="1"/>
  <c r="BN66" i="414"/>
  <c r="BO66" i="414" s="1"/>
  <c r="BN67" i="414"/>
  <c r="BO67" i="414" s="1"/>
</calcChain>
</file>

<file path=xl/sharedStrings.xml><?xml version="1.0" encoding="utf-8"?>
<sst xmlns="http://schemas.openxmlformats.org/spreadsheetml/2006/main" count="1007" uniqueCount="201">
  <si>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</si>
  <si>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</si>
  <si>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</si>
  <si>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</si>
  <si>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</si>
  <si>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</si>
  <si>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</si>
  <si>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</si>
  <si>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</si>
  <si>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구분</t>
    <phoneticPr fontId="20" type="noConversion"/>
  </si>
  <si>
    <t>2018.02.21</t>
  </si>
  <si>
    <t>12세 이상 이용가능</t>
  </si>
  <si>
    <t>스토리위즈</t>
  </si>
  <si>
    <t>권용찬</t>
  </si>
  <si>
    <t>김광수</t>
  </si>
  <si>
    <t>회귀의 전설</t>
  </si>
  <si>
    <t>다크메이지 [단행본]</t>
  </si>
  <si>
    <t>김정률</t>
  </si>
  <si>
    <t>2014.10.23</t>
  </si>
  <si>
    <t>소드엠페러 [단행본]</t>
  </si>
  <si>
    <t>2014.10.22</t>
  </si>
  <si>
    <t>트루베니아 연대기 [단행본]</t>
  </si>
  <si>
    <t>21세기 대마법사</t>
  </si>
  <si>
    <t>주식회사 스토리위즈</t>
  </si>
  <si>
    <t>2020.09.16</t>
  </si>
  <si>
    <t>마계대공 연대기 [단행본]</t>
  </si>
  <si>
    <t>2014.08.20</t>
  </si>
  <si>
    <t>21세기 대마법사 [단행본]</t>
  </si>
  <si>
    <t>2014.07.24</t>
  </si>
  <si>
    <t>하프블러드 [단행본]</t>
  </si>
  <si>
    <t>2014.10.21</t>
  </si>
  <si>
    <t>마왕 데이몬 [단행본]</t>
  </si>
  <si>
    <t>데이몬 [단행본]</t>
  </si>
  <si>
    <t>2014.10.20</t>
  </si>
  <si>
    <t>블레이드헌터 [단행본]</t>
  </si>
  <si>
    <t>아나크레온 [단행본]</t>
  </si>
  <si>
    <t>2014.11.18</t>
  </si>
  <si>
    <t>전혁</t>
  </si>
  <si>
    <t>2015.05.27</t>
  </si>
  <si>
    <t>스피릿 소드 [단행본]</t>
  </si>
  <si>
    <t>2017.03.23</t>
  </si>
  <si>
    <t>스트라이커</t>
  </si>
  <si>
    <t>독고진</t>
  </si>
  <si>
    <t>2016.05.25</t>
  </si>
  <si>
    <t>트루베니아 연대기</t>
  </si>
  <si>
    <t>2020.10.13</t>
  </si>
  <si>
    <t>신궁전설 [단행본]</t>
  </si>
  <si>
    <t>2015.05.28</t>
  </si>
  <si>
    <t>신마협도 [단행본]</t>
  </si>
  <si>
    <t>2017.08.22</t>
  </si>
  <si>
    <t>화산지애 [단행본]</t>
  </si>
  <si>
    <t>2015.03.05</t>
  </si>
  <si>
    <t>데이몬</t>
  </si>
  <si>
    <t>2020.10.27</t>
  </si>
  <si>
    <t>절대비만 [단행본]</t>
  </si>
  <si>
    <t>2020.08.07</t>
  </si>
  <si>
    <t>상계무적 [단행본]</t>
  </si>
  <si>
    <t>2015.07.03</t>
  </si>
  <si>
    <t>두경</t>
  </si>
  <si>
    <t>천조를 가진 남자 [단행본]</t>
  </si>
  <si>
    <t>스트라이커 [완전판] [단행본]</t>
  </si>
  <si>
    <t>2016.11.29</t>
  </si>
  <si>
    <t>절륜공자 [단행본]</t>
  </si>
  <si>
    <t>합계</t>
  </si>
  <si>
    <t>순매출(합계-수수료)</t>
    <phoneticPr fontId="20" type="noConversion"/>
  </si>
  <si>
    <t>절륜공자</t>
  </si>
  <si>
    <t>2021.08.12</t>
  </si>
  <si>
    <t>레이드 만물상점[완전판] [단행본]</t>
  </si>
  <si>
    <t>2016.06.16</t>
  </si>
  <si>
    <t>프리 나이트 [단행본]</t>
  </si>
  <si>
    <t>2014.10.01</t>
  </si>
  <si>
    <t>상왕 진우몽 [단행본]</t>
  </si>
  <si>
    <t>독종무쌍 [단행본]</t>
  </si>
  <si>
    <t>2015.04.17</t>
  </si>
  <si>
    <t>SW 매출</t>
    <phoneticPr fontId="20" type="noConversion"/>
  </si>
  <si>
    <t>파계 [단행본]</t>
  </si>
  <si>
    <t>2016.06.10</t>
  </si>
  <si>
    <t>앱마켓수수료</t>
  </si>
  <si>
    <t>나이제한</t>
    <phoneticPr fontId="20" type="noConversion"/>
  </si>
  <si>
    <t>소드엠페러</t>
  </si>
  <si>
    <t>2020.12.18</t>
  </si>
  <si>
    <t>만인지상 [단행본]</t>
  </si>
  <si>
    <t>마스터 K [단행본]</t>
  </si>
  <si>
    <t>2014.07.02</t>
  </si>
  <si>
    <t>소드마스터의 환생 [독점]</t>
  </si>
  <si>
    <t>파란영</t>
  </si>
  <si>
    <t>2019.05.22</t>
  </si>
  <si>
    <t>바람의 기사, 아르테온</t>
  </si>
  <si>
    <t>2020.09.08</t>
  </si>
  <si>
    <t>하프블러드</t>
  </si>
  <si>
    <t>아나크레온</t>
  </si>
  <si>
    <t>2014.10.29</t>
  </si>
  <si>
    <t>월풍 [단행본]</t>
  </si>
  <si>
    <t>검산도해</t>
  </si>
  <si>
    <t>2020.04.28</t>
  </si>
  <si>
    <t>천조를 가진 남자</t>
  </si>
  <si>
    <t>2017.11.15</t>
  </si>
  <si>
    <t>철중쟁쟁</t>
  </si>
  <si>
    <t>화산지애</t>
  </si>
  <si>
    <t>2020.09.07</t>
  </si>
  <si>
    <t>스포트라이트</t>
  </si>
  <si>
    <t>2018.03.29</t>
  </si>
  <si>
    <t>철중쟁쟁 [단행본]</t>
  </si>
  <si>
    <t>2016.03.17</t>
  </si>
  <si>
    <t>검령천하: 나의 검 너의 노래 [독점]</t>
  </si>
  <si>
    <t>금시조</t>
  </si>
  <si>
    <t>2020.08.10</t>
  </si>
  <si>
    <t>스피릿 소드</t>
  </si>
  <si>
    <t>2016.07.06</t>
  </si>
  <si>
    <t>바람의 기사, 아르테온 [단행본]</t>
  </si>
  <si>
    <t>2014.11.27</t>
  </si>
  <si>
    <t>영웅[개정판]</t>
  </si>
  <si>
    <t>2016.04.13</t>
  </si>
  <si>
    <t>칼 [단행본]</t>
  </si>
  <si>
    <t>용중신권 [단행본]</t>
  </si>
  <si>
    <t>신마협도</t>
  </si>
  <si>
    <t>2020.08.12</t>
  </si>
  <si>
    <t>소드마스터의 환생 [단행본]</t>
  </si>
  <si>
    <t>레이드 만물상점</t>
  </si>
  <si>
    <t>2016.01.22</t>
  </si>
  <si>
    <t>마신부활 [독점]</t>
  </si>
  <si>
    <t>만렙도끼</t>
  </si>
  <si>
    <t>2021.02.20</t>
  </si>
  <si>
    <t>신규무사</t>
  </si>
  <si>
    <t>2018.11.06</t>
  </si>
  <si>
    <t>절대비만</t>
  </si>
  <si>
    <t>2020.09.11</t>
  </si>
  <si>
    <t>신룡전설 [단행본]</t>
  </si>
  <si>
    <t>가람검</t>
  </si>
  <si>
    <t>2016.03.02</t>
  </si>
  <si>
    <t>독종무쌍</t>
  </si>
  <si>
    <t>출판사</t>
    <phoneticPr fontId="22" type="noConversion"/>
  </si>
  <si>
    <r>
      <rPr>
        <sz val="10"/>
        <color theme="1"/>
        <rFont val="맑은 고딕"/>
        <family val="3"/>
        <charset val="129"/>
        <scheme val="major"/>
      </rPr>
      <t>작가</t>
    </r>
    <r>
      <rPr>
        <sz val="11"/>
        <color theme="1"/>
        <rFont val="맑은 고딕"/>
        <family val="3"/>
        <charset val="129"/>
        <scheme val="major"/>
      </rPr>
      <t xml:space="preserve"> CP</t>
    </r>
    <phoneticPr fontId="22" type="noConversion"/>
  </si>
  <si>
    <t>포르트무스</t>
  </si>
  <si>
    <t>2019.10.01</t>
  </si>
  <si>
    <t>수적왕 [단행본]</t>
  </si>
  <si>
    <t>2016.03.15</t>
  </si>
  <si>
    <t>순백의 아가씨</t>
  </si>
  <si>
    <t>한례</t>
  </si>
  <si>
    <t>칼</t>
  </si>
  <si>
    <t>소장권_건수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</si>
  <si>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</si>
  <si>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</si>
  <si>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</si>
  <si>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</si>
  <si>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</si>
  <si>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</si>
  <si>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</si>
  <si>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</si>
  <si>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</si>
  <si>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</si>
  <si>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</si>
  <si>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</si>
  <si>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</si>
  <si>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</si>
  <si>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</si>
  <si>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</si>
  <si>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</si>
  <si>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</si>
  <si>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구매_무상</t>
    <phoneticPr fontId="20" type="noConversion"/>
  </si>
  <si>
    <t>쿠키로 구매_유상</t>
    <phoneticPr fontId="20" type="noConversion"/>
  </si>
  <si>
    <t>쿠키로 구매_건수</t>
    <phoneticPr fontId="20" type="noConversion"/>
  </si>
  <si>
    <t>쿠키로 대여_무상</t>
    <phoneticPr fontId="20" type="noConversion"/>
  </si>
  <si>
    <t>쿠키로 대여_유상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</si>
  <si>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</si>
  <si>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</si>
  <si>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</si>
  <si>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</si>
  <si>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</si>
  <si>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</si>
  <si>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</si>
  <si>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</si>
  <si>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</si>
  <si>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</si>
  <si>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</si>
  <si>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</si>
  <si>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</si>
  <si>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</si>
  <si>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</si>
  <si>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</si>
  <si>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</si>
  <si>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</si>
  <si>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</si>
  <si>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</si>
  <si>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</si>
  <si>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</si>
  <si>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</si>
  <si>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</si>
  <si>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</si>
  <si>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</si>
  <si>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</si>
  <si>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</si>
  <si>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</si>
  <si>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</si>
  <si>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포르트무스 [단행본]</t>
  </si>
  <si>
    <t>신을 죽이러 갑니다 [단행본]</t>
  </si>
  <si>
    <t>2019.01.07</t>
  </si>
  <si>
    <t>용중신권</t>
  </si>
  <si>
    <t>시리즈APP</t>
    <phoneticPr fontId="20" type="noConversion"/>
  </si>
  <si>
    <t>시리즈완전판(APP)</t>
    <phoneticPr fontId="20" type="noConversion"/>
  </si>
  <si>
    <t>시리즈(iOS)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</si>
</sst>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7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0" fontId="23" fillId="35" borderId="10" xfId="0" applyFont="1" applyFill="1" applyBorder="1" applyAlignment="1">
      <alignment vertical="center"/>
    </xf>
    <xf numFmtId="0" fontId="24" fillId="35" borderId="11" xfId="0" applyFont="1" applyFill="1" applyBorder="1" applyAlignment="1">
      <alignment vertical="center"/>
    </xf>
    <xf numFmtId="41" fontId="25" fillId="0" borderId="0" xfId="42" applyFont="1">
      <alignment vertical="center"/>
    </xf>
    <xf numFmtId="41" fontId="25" fillId="0" borderId="0" xfId="42" applyFont="1" applyFill="1">
      <alignment vertical="center"/>
    </xf>
    <xf numFmtId="41" fontId="26" fillId="34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36"/>
  <sheetViews>
    <sheetView tabSelected="1" zoomScaleNormal="100" workbookViewId="0">
      <pane xSplit="9" ySplit="1" topLeftCell="J2" activePane="bottomRight" state="frozen"/>
      <selection pane="topRight" activeCell="J1" sqref="J1"/>
      <selection pane="bottomLeft" activeCell="A2" sqref="A2"/>
      <selection pane="bottomRight"/>
    </sheetView>
  </sheetViews>
  <sheetFormatPr defaultRowHeight="17.399999999999999" x14ac:dyDescent="0.4"/>
  <cols>
    <col min="1" max="1" width="9.3984375" style="1" customWidth="1"/>
    <col min="2" max="2" width="20" bestFit="1" customWidth="1"/>
    <col min="3" max="3" width="7.69921875" customWidth="1"/>
    <col min="4" max="4" width="7.19921875" customWidth="1"/>
    <col min="5" max="5" width="10" customWidth="1"/>
    <col min="6" max="6" width="10.19921875" customWidth="1"/>
    <col min="7" max="7" width="10" bestFit="1" customWidth="1"/>
    <col min="8" max="8" width="13.59765625" customWidth="1"/>
    <col min="9" max="9" width="7.3984375" customWidth="1"/>
    <col min="10" max="64" width="3.59765625" customWidth="1"/>
    <col min="65" max="65" width="12.69921875" bestFit="1" customWidth="1"/>
    <col min="66" max="66" width="13.5" bestFit="1" customWidth="1"/>
    <col min="67" max="67" width="13.3984375" style="13" customWidth="1"/>
  </cols>
  <sheetData>
    <row r="1" spans="1:69" ht="27" customHeight="1" x14ac:dyDescent="0.4">
      <c r="A1" s="2" t="s">
        <v>9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78</v>
      </c>
      <c r="I1" s="14" t="s">
        <v>6</v>
      </c>
      <c r="J1" s="12" t="s">
        <v>141</v>
      </c>
      <c r="K1" s="12" t="s">
        <v>142</v>
      </c>
      <c r="L1" s="12" t="s">
        <v>143</v>
      </c>
      <c r="M1" s="12" t="s">
        <v>144</v>
      </c>
      <c r="N1" s="12" t="s">
        <v>145</v>
      </c>
      <c r="O1" s="12" t="s">
        <v>146</v>
      </c>
      <c r="P1" s="12" t="s">
        <v>147</v>
      </c>
      <c r="Q1" s="12" t="s">
        <v>148</v>
      </c>
      <c r="R1" s="12" t="s">
        <v>149</v>
      </c>
      <c r="S1" s="12" t="s">
        <v>140</v>
      </c>
      <c r="T1" s="12" t="s">
        <v>150</v>
      </c>
      <c r="U1" s="12" t="s">
        <v>151</v>
      </c>
      <c r="V1" s="12" t="s">
        <v>152</v>
      </c>
      <c r="W1" s="12" t="s">
        <v>153</v>
      </c>
      <c r="X1" s="12" t="s">
        <v>154</v>
      </c>
      <c r="Y1" s="12" t="s">
        <v>155</v>
      </c>
      <c r="Z1" s="12" t="s">
        <v>156</v>
      </c>
      <c r="AA1" s="12" t="s">
        <v>157</v>
      </c>
      <c r="AB1" s="12" t="s">
        <v>158</v>
      </c>
      <c r="AC1" s="12" t="s">
        <v>163</v>
      </c>
      <c r="AD1" s="12" t="s">
        <v>162</v>
      </c>
      <c r="AE1" s="12" t="s">
        <v>161</v>
      </c>
      <c r="AF1" s="12" t="s">
        <v>160</v>
      </c>
      <c r="AG1" s="12" t="s">
        <v>159</v>
      </c>
      <c r="AH1" s="12" t="s">
        <v>164</v>
      </c>
      <c r="AI1" s="12" t="s">
        <v>165</v>
      </c>
      <c r="AJ1" s="12" t="s">
        <v>166</v>
      </c>
      <c r="AK1" s="12" t="s">
        <v>167</v>
      </c>
      <c r="AL1" s="12" t="s">
        <v>168</v>
      </c>
      <c r="AM1" s="12" t="s">
        <v>169</v>
      </c>
      <c r="AN1" s="12" t="s">
        <v>170</v>
      </c>
      <c r="AO1" s="12" t="s">
        <v>171</v>
      </c>
      <c r="AP1" s="12" t="s">
        <v>172</v>
      </c>
      <c r="AQ1" s="12" t="s">
        <v>173</v>
      </c>
      <c r="AR1" s="12" t="s">
        <v>174</v>
      </c>
      <c r="AS1" s="12" t="s">
        <v>175</v>
      </c>
      <c r="AT1" s="12" t="s">
        <v>176</v>
      </c>
      <c r="AU1" s="12" t="s">
        <v>177</v>
      </c>
      <c r="AV1" s="12" t="s">
        <v>178</v>
      </c>
      <c r="AW1" s="12" t="s">
        <v>179</v>
      </c>
      <c r="AX1" s="12" t="s">
        <v>180</v>
      </c>
      <c r="AY1" s="12" t="s">
        <v>181</v>
      </c>
      <c r="AZ1" s="12" t="s">
        <v>182</v>
      </c>
      <c r="BA1" s="12" t="s">
        <v>183</v>
      </c>
      <c r="BB1" s="12" t="s">
        <v>184</v>
      </c>
      <c r="BC1" s="12" t="s">
        <v>185</v>
      </c>
      <c r="BD1" s="12" t="s">
        <v>186</v>
      </c>
      <c r="BE1" s="12" t="s">
        <v>187</v>
      </c>
      <c r="BF1" s="12" t="s">
        <v>188</v>
      </c>
      <c r="BG1" s="12" t="s">
        <v>189</v>
      </c>
      <c r="BH1" s="12" t="s">
        <v>190</v>
      </c>
      <c r="BI1" s="12" t="s">
        <v>191</v>
      </c>
      <c r="BJ1" s="12" t="s">
        <v>192</v>
      </c>
      <c r="BK1" s="12" t="s">
        <v>193</v>
      </c>
      <c r="BL1" s="12" t="s">
        <v>77</v>
      </c>
      <c r="BM1" s="12" t="s">
        <v>63</v>
      </c>
      <c r="BN1" s="12" t="s">
        <v>64</v>
      </c>
      <c r="BO1" s="12" t="s">
        <v>74</v>
      </c>
      <c r="BP1" s="15" t="s">
        <v>131</v>
      </c>
      <c r="BQ1" s="16" t="s">
        <v>132</v>
      </c>
    </row>
    <row r="2" spans="1:69" x14ac:dyDescent="0.4">
      <c r="A2" s="5" t="s">
        <v>198</v>
      </c>
      <c r="B2" s="5" t="s">
        <v>15</v>
      </c>
      <c r="C2" s="5">
        <v>355332</v>
      </c>
      <c r="D2" s="6"/>
      <c r="E2" s="5" t="s">
        <v>12</v>
      </c>
      <c r="F2" s="5" t="s">
        <v>14</v>
      </c>
      <c r="G2" s="5" t="s">
        <v>12</v>
      </c>
      <c r="H2" s="7" t="s">
        <v>8</v>
      </c>
      <c r="I2" s="7" t="s">
        <v>66</v>
      </c>
      <c r="J2" s="7">
        <v>0</v>
      </c>
      <c r="K2" s="7">
        <v>170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22</v>
      </c>
      <c r="T2" s="8">
        <v>3131</v>
      </c>
      <c r="U2" s="7">
        <v>0</v>
      </c>
      <c r="V2" s="8">
        <v>2200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8">
        <v>10801</v>
      </c>
      <c r="AF2" s="8">
        <v>579660</v>
      </c>
      <c r="AG2" s="8">
        <v>530300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8">
        <v>10752</v>
      </c>
      <c r="AR2" s="8">
        <v>1050400</v>
      </c>
      <c r="AS2" s="8">
        <v>24800</v>
      </c>
      <c r="AT2" s="7">
        <v>0</v>
      </c>
      <c r="AU2" s="7">
        <v>0</v>
      </c>
      <c r="AV2" s="7">
        <v>0</v>
      </c>
      <c r="AW2" s="8">
        <v>4366</v>
      </c>
      <c r="AX2" s="8">
        <v>521852</v>
      </c>
      <c r="AY2" s="8">
        <v>1500</v>
      </c>
      <c r="AZ2" s="7">
        <v>0</v>
      </c>
      <c r="BA2" s="7">
        <v>0</v>
      </c>
      <c r="BB2" s="7">
        <v>0</v>
      </c>
      <c r="BC2" s="8">
        <v>22599</v>
      </c>
      <c r="BD2" s="8">
        <v>2708880</v>
      </c>
      <c r="BE2" s="8">
        <v>2500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9">
        <v>214718</v>
      </c>
      <c r="BM2" s="10">
        <v>5422092</v>
      </c>
      <c r="BN2" s="17">
        <f>BM2-BL2</f>
        <v>5207374</v>
      </c>
      <c r="BO2" s="18">
        <f>BN2*70%</f>
        <v>3645161.8</v>
      </c>
    </row>
    <row r="3" spans="1:69" x14ac:dyDescent="0.4">
      <c r="A3" s="5" t="s">
        <v>198</v>
      </c>
      <c r="B3" s="5" t="s">
        <v>16</v>
      </c>
      <c r="C3" s="5">
        <v>159260</v>
      </c>
      <c r="D3" s="6"/>
      <c r="E3" s="5" t="s">
        <v>12</v>
      </c>
      <c r="F3" s="5" t="s">
        <v>17</v>
      </c>
      <c r="G3" s="5" t="s">
        <v>12</v>
      </c>
      <c r="H3" s="7" t="s">
        <v>7</v>
      </c>
      <c r="I3" s="7" t="s">
        <v>18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195</v>
      </c>
      <c r="AC3" s="8">
        <v>159580</v>
      </c>
      <c r="AD3" s="8">
        <v>31300</v>
      </c>
      <c r="AE3" s="7">
        <v>37</v>
      </c>
      <c r="AF3" s="8">
        <v>102340</v>
      </c>
      <c r="AG3" s="8">
        <v>9900</v>
      </c>
      <c r="AH3" s="7">
        <v>1</v>
      </c>
      <c r="AI3" s="7">
        <v>0</v>
      </c>
      <c r="AJ3" s="7">
        <v>900</v>
      </c>
      <c r="AK3" s="7">
        <v>0</v>
      </c>
      <c r="AL3" s="7">
        <v>0</v>
      </c>
      <c r="AM3" s="7">
        <v>0</v>
      </c>
      <c r="AN3" s="7">
        <v>44</v>
      </c>
      <c r="AO3" s="8">
        <v>37800</v>
      </c>
      <c r="AP3" s="8">
        <v>1400</v>
      </c>
      <c r="AQ3" s="7">
        <v>26</v>
      </c>
      <c r="AR3" s="8">
        <v>74100</v>
      </c>
      <c r="AS3" s="8">
        <v>1800</v>
      </c>
      <c r="AT3" s="7">
        <v>81</v>
      </c>
      <c r="AU3" s="8">
        <v>83934</v>
      </c>
      <c r="AV3" s="7">
        <v>0</v>
      </c>
      <c r="AW3" s="7">
        <v>3</v>
      </c>
      <c r="AX3" s="8">
        <v>9720</v>
      </c>
      <c r="AY3" s="7">
        <v>500</v>
      </c>
      <c r="AZ3" s="7">
        <v>236</v>
      </c>
      <c r="BA3" s="8">
        <v>251280</v>
      </c>
      <c r="BB3" s="8">
        <v>1000</v>
      </c>
      <c r="BC3" s="7">
        <v>98</v>
      </c>
      <c r="BD3" s="8">
        <v>371400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9">
        <v>46726.2</v>
      </c>
      <c r="BM3" s="10">
        <v>1136954</v>
      </c>
      <c r="BN3" s="17">
        <f t="shared" ref="BN3:BN66" si="0">BM3-BL3</f>
        <v>1090227.8</v>
      </c>
      <c r="BO3" s="18">
        <f t="shared" ref="BO3:BO66" si="1">BN3*70%</f>
        <v>763159.46</v>
      </c>
    </row>
    <row r="4" spans="1:69" x14ac:dyDescent="0.4">
      <c r="A4" s="5" t="s">
        <v>198</v>
      </c>
      <c r="B4" s="5" t="s">
        <v>19</v>
      </c>
      <c r="C4" s="5">
        <v>161539</v>
      </c>
      <c r="D4" s="6"/>
      <c r="E4" s="5" t="s">
        <v>12</v>
      </c>
      <c r="F4" s="5" t="s">
        <v>17</v>
      </c>
      <c r="G4" s="5" t="s">
        <v>12</v>
      </c>
      <c r="H4" s="7" t="s">
        <v>7</v>
      </c>
      <c r="I4" s="7" t="s">
        <v>20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100</v>
      </c>
      <c r="AC4" s="8">
        <v>73220</v>
      </c>
      <c r="AD4" s="8">
        <v>20900</v>
      </c>
      <c r="AE4" s="7">
        <v>5</v>
      </c>
      <c r="AF4" s="8">
        <v>9100</v>
      </c>
      <c r="AG4" s="8">
        <v>6900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10</v>
      </c>
      <c r="AO4" s="8">
        <v>9000</v>
      </c>
      <c r="AP4" s="7">
        <v>0</v>
      </c>
      <c r="AQ4" s="7">
        <v>40</v>
      </c>
      <c r="AR4" s="8">
        <v>122200</v>
      </c>
      <c r="AS4" s="7">
        <v>200</v>
      </c>
      <c r="AT4" s="7">
        <v>73</v>
      </c>
      <c r="AU4" s="8">
        <v>76800</v>
      </c>
      <c r="AV4" s="7">
        <v>0</v>
      </c>
      <c r="AW4" s="7">
        <v>11</v>
      </c>
      <c r="AX4" s="8">
        <v>41760</v>
      </c>
      <c r="AY4" s="7">
        <v>0</v>
      </c>
      <c r="AZ4" s="7">
        <v>154</v>
      </c>
      <c r="BA4" s="8">
        <v>162480</v>
      </c>
      <c r="BB4" s="7">
        <v>500</v>
      </c>
      <c r="BC4" s="7">
        <v>46</v>
      </c>
      <c r="BD4" s="8">
        <v>149280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9">
        <v>30561.599999999999</v>
      </c>
      <c r="BM4" s="10">
        <v>672340</v>
      </c>
      <c r="BN4" s="17">
        <f t="shared" si="0"/>
        <v>641778.4</v>
      </c>
      <c r="BO4" s="18">
        <f t="shared" si="1"/>
        <v>449244.88</v>
      </c>
    </row>
    <row r="5" spans="1:69" x14ac:dyDescent="0.4">
      <c r="A5" s="5" t="s">
        <v>198</v>
      </c>
      <c r="B5" s="5" t="s">
        <v>31</v>
      </c>
      <c r="C5" s="5">
        <v>159258</v>
      </c>
      <c r="D5" s="6"/>
      <c r="E5" s="5" t="s">
        <v>12</v>
      </c>
      <c r="F5" s="5" t="s">
        <v>17</v>
      </c>
      <c r="G5" s="5" t="s">
        <v>12</v>
      </c>
      <c r="H5" s="7" t="s">
        <v>7</v>
      </c>
      <c r="I5" s="7" t="s">
        <v>30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96</v>
      </c>
      <c r="AC5" s="8">
        <v>67400</v>
      </c>
      <c r="AD5" s="8">
        <v>20500</v>
      </c>
      <c r="AE5" s="7">
        <v>17</v>
      </c>
      <c r="AF5" s="8">
        <v>53120</v>
      </c>
      <c r="AG5" s="8">
        <v>3200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2</v>
      </c>
      <c r="AO5" s="8">
        <v>1800</v>
      </c>
      <c r="AP5" s="7">
        <v>0</v>
      </c>
      <c r="AQ5" s="7">
        <v>22</v>
      </c>
      <c r="AR5" s="8">
        <v>69500</v>
      </c>
      <c r="AS5" s="7">
        <v>900</v>
      </c>
      <c r="AT5" s="7">
        <v>30</v>
      </c>
      <c r="AU5" s="8">
        <v>32160</v>
      </c>
      <c r="AV5" s="7">
        <v>0</v>
      </c>
      <c r="AW5" s="7">
        <v>27</v>
      </c>
      <c r="AX5" s="8">
        <v>103680</v>
      </c>
      <c r="AY5" s="7">
        <v>0</v>
      </c>
      <c r="AZ5" s="7">
        <v>115</v>
      </c>
      <c r="BA5" s="8">
        <v>121800</v>
      </c>
      <c r="BB5" s="7">
        <v>0</v>
      </c>
      <c r="BC5" s="7">
        <v>27</v>
      </c>
      <c r="BD5" s="8">
        <v>103680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9">
        <v>27112.799999999999</v>
      </c>
      <c r="BM5" s="10">
        <v>577740</v>
      </c>
      <c r="BN5" s="17">
        <f t="shared" si="0"/>
        <v>550627.19999999995</v>
      </c>
      <c r="BO5" s="18">
        <f t="shared" si="1"/>
        <v>385439.03999999992</v>
      </c>
    </row>
    <row r="6" spans="1:69" x14ac:dyDescent="0.4">
      <c r="A6" s="5" t="s">
        <v>198</v>
      </c>
      <c r="B6" s="5" t="s">
        <v>21</v>
      </c>
      <c r="C6" s="5">
        <v>159270</v>
      </c>
      <c r="D6" s="6"/>
      <c r="E6" s="5" t="s">
        <v>12</v>
      </c>
      <c r="F6" s="5" t="s">
        <v>17</v>
      </c>
      <c r="G6" s="5" t="s">
        <v>12</v>
      </c>
      <c r="H6" s="7" t="s">
        <v>11</v>
      </c>
      <c r="I6" s="7" t="s">
        <v>20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61</v>
      </c>
      <c r="AC6" s="8">
        <v>39060</v>
      </c>
      <c r="AD6" s="8">
        <v>15800</v>
      </c>
      <c r="AE6" s="7">
        <v>11</v>
      </c>
      <c r="AF6" s="8">
        <v>27600</v>
      </c>
      <c r="AG6" s="7">
        <v>400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8</v>
      </c>
      <c r="AO6" s="8">
        <v>7200</v>
      </c>
      <c r="AP6" s="7">
        <v>0</v>
      </c>
      <c r="AQ6" s="7">
        <v>14</v>
      </c>
      <c r="AR6" s="8">
        <v>39700</v>
      </c>
      <c r="AS6" s="7">
        <v>0</v>
      </c>
      <c r="AT6" s="7">
        <v>64</v>
      </c>
      <c r="AU6" s="8">
        <v>69417</v>
      </c>
      <c r="AV6" s="7">
        <v>0</v>
      </c>
      <c r="AW6" s="7">
        <v>22</v>
      </c>
      <c r="AX6" s="8">
        <v>80520</v>
      </c>
      <c r="AY6" s="7">
        <v>0</v>
      </c>
      <c r="AZ6" s="7">
        <v>117</v>
      </c>
      <c r="BA6" s="8">
        <v>123720</v>
      </c>
      <c r="BB6" s="7">
        <v>500</v>
      </c>
      <c r="BC6" s="7">
        <v>29</v>
      </c>
      <c r="BD6" s="8">
        <v>95520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9">
        <v>28148.1</v>
      </c>
      <c r="BM6" s="10">
        <v>499437</v>
      </c>
      <c r="BN6" s="17">
        <f t="shared" si="0"/>
        <v>471288.9</v>
      </c>
      <c r="BO6" s="18">
        <f t="shared" si="1"/>
        <v>329902.23</v>
      </c>
    </row>
    <row r="7" spans="1:69" x14ac:dyDescent="0.4">
      <c r="A7" s="5" t="s">
        <v>198</v>
      </c>
      <c r="B7" s="5" t="s">
        <v>32</v>
      </c>
      <c r="C7" s="5">
        <v>159255</v>
      </c>
      <c r="D7" s="6"/>
      <c r="E7" s="5" t="s">
        <v>12</v>
      </c>
      <c r="F7" s="5" t="s">
        <v>17</v>
      </c>
      <c r="G7" s="5" t="s">
        <v>12</v>
      </c>
      <c r="H7" s="7" t="s">
        <v>8</v>
      </c>
      <c r="I7" s="7" t="s">
        <v>33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37</v>
      </c>
      <c r="AC7" s="8">
        <v>30480</v>
      </c>
      <c r="AD7" s="8">
        <v>4400</v>
      </c>
      <c r="AE7" s="7">
        <v>4</v>
      </c>
      <c r="AF7" s="8">
        <v>1000</v>
      </c>
      <c r="AG7" s="8">
        <v>6000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15</v>
      </c>
      <c r="AO7" s="8">
        <v>13500</v>
      </c>
      <c r="AP7" s="7">
        <v>0</v>
      </c>
      <c r="AQ7" s="7">
        <v>11</v>
      </c>
      <c r="AR7" s="8">
        <v>33200</v>
      </c>
      <c r="AS7" s="8">
        <v>2000</v>
      </c>
      <c r="AT7" s="7">
        <v>21</v>
      </c>
      <c r="AU7" s="8">
        <v>21000</v>
      </c>
      <c r="AV7" s="7">
        <v>0</v>
      </c>
      <c r="AW7" s="7">
        <v>17</v>
      </c>
      <c r="AX7" s="8">
        <v>60360</v>
      </c>
      <c r="AY7" s="7">
        <v>0</v>
      </c>
      <c r="AZ7" s="7">
        <v>62</v>
      </c>
      <c r="BA7" s="8">
        <v>65520</v>
      </c>
      <c r="BB7" s="7">
        <v>500</v>
      </c>
      <c r="BC7" s="7">
        <v>25</v>
      </c>
      <c r="BD7" s="8">
        <v>92520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9">
        <v>17618.400000000001</v>
      </c>
      <c r="BM7" s="10">
        <v>330480</v>
      </c>
      <c r="BN7" s="17">
        <f t="shared" si="0"/>
        <v>312861.59999999998</v>
      </c>
      <c r="BO7" s="18">
        <f t="shared" si="1"/>
        <v>219003.11999999997</v>
      </c>
    </row>
    <row r="8" spans="1:69" x14ac:dyDescent="0.4">
      <c r="A8" s="5" t="s">
        <v>198</v>
      </c>
      <c r="B8" s="5" t="s">
        <v>29</v>
      </c>
      <c r="C8" s="5">
        <v>159268</v>
      </c>
      <c r="D8" s="6"/>
      <c r="E8" s="5" t="s">
        <v>12</v>
      </c>
      <c r="F8" s="5" t="s">
        <v>17</v>
      </c>
      <c r="G8" s="5" t="s">
        <v>12</v>
      </c>
      <c r="H8" s="7" t="s">
        <v>7</v>
      </c>
      <c r="I8" s="7" t="s">
        <v>30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50</v>
      </c>
      <c r="AC8" s="8">
        <v>33600</v>
      </c>
      <c r="AD8" s="8">
        <v>11900</v>
      </c>
      <c r="AE8" s="7">
        <v>5</v>
      </c>
      <c r="AF8" s="8">
        <v>3200</v>
      </c>
      <c r="AG8" s="8">
        <v>10000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8</v>
      </c>
      <c r="AO8" s="8">
        <v>6800</v>
      </c>
      <c r="AP8" s="7">
        <v>400</v>
      </c>
      <c r="AQ8" s="7">
        <v>3</v>
      </c>
      <c r="AR8" s="8">
        <v>9600</v>
      </c>
      <c r="AS8" s="7">
        <v>0</v>
      </c>
      <c r="AT8" s="7">
        <v>35</v>
      </c>
      <c r="AU8" s="8">
        <v>36030</v>
      </c>
      <c r="AV8" s="7">
        <v>0</v>
      </c>
      <c r="AW8" s="7">
        <v>1</v>
      </c>
      <c r="AX8" s="8">
        <v>3840</v>
      </c>
      <c r="AY8" s="7">
        <v>0</v>
      </c>
      <c r="AZ8" s="7">
        <v>116</v>
      </c>
      <c r="BA8" s="8">
        <v>123600</v>
      </c>
      <c r="BB8" s="7">
        <v>500</v>
      </c>
      <c r="BC8" s="7">
        <v>18</v>
      </c>
      <c r="BD8" s="8">
        <v>68640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9">
        <v>15521.4</v>
      </c>
      <c r="BM8" s="10">
        <v>308110</v>
      </c>
      <c r="BN8" s="17">
        <f t="shared" si="0"/>
        <v>292588.59999999998</v>
      </c>
      <c r="BO8" s="18">
        <f t="shared" si="1"/>
        <v>204812.01999999996</v>
      </c>
    </row>
    <row r="9" spans="1:69" x14ac:dyDescent="0.4">
      <c r="A9" s="5" t="s">
        <v>198</v>
      </c>
      <c r="B9" s="5" t="s">
        <v>25</v>
      </c>
      <c r="C9" s="5">
        <v>165741</v>
      </c>
      <c r="D9" s="6"/>
      <c r="E9" s="5" t="s">
        <v>12</v>
      </c>
      <c r="F9" s="5" t="s">
        <v>14</v>
      </c>
      <c r="G9" s="5" t="s">
        <v>12</v>
      </c>
      <c r="H9" s="7" t="s">
        <v>7</v>
      </c>
      <c r="I9" s="7" t="s">
        <v>26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6</v>
      </c>
      <c r="AC9" s="8">
        <v>2000</v>
      </c>
      <c r="AD9" s="8">
        <v>1300</v>
      </c>
      <c r="AE9" s="7">
        <v>8</v>
      </c>
      <c r="AF9" s="7">
        <v>0</v>
      </c>
      <c r="AG9" s="8">
        <v>18200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29</v>
      </c>
      <c r="AO9" s="8">
        <v>25300</v>
      </c>
      <c r="AP9" s="7">
        <v>400</v>
      </c>
      <c r="AQ9" s="7">
        <v>0</v>
      </c>
      <c r="AR9" s="7">
        <v>0</v>
      </c>
      <c r="AS9" s="7">
        <v>0</v>
      </c>
      <c r="AT9" s="7">
        <v>1</v>
      </c>
      <c r="AU9" s="8">
        <v>1080</v>
      </c>
      <c r="AV9" s="7">
        <v>0</v>
      </c>
      <c r="AW9" s="7">
        <v>0</v>
      </c>
      <c r="AX9" s="7">
        <v>0</v>
      </c>
      <c r="AY9" s="7">
        <v>0</v>
      </c>
      <c r="AZ9" s="7">
        <v>112</v>
      </c>
      <c r="BA9" s="8">
        <v>120720</v>
      </c>
      <c r="BB9" s="7">
        <v>0</v>
      </c>
      <c r="BC9" s="7">
        <v>25</v>
      </c>
      <c r="BD9" s="8">
        <v>89520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9">
        <v>12722.4</v>
      </c>
      <c r="BM9" s="10">
        <v>258520</v>
      </c>
      <c r="BN9" s="17">
        <f t="shared" si="0"/>
        <v>245797.6</v>
      </c>
      <c r="BO9" s="18">
        <f t="shared" si="1"/>
        <v>172058.32</v>
      </c>
    </row>
    <row r="10" spans="1:69" x14ac:dyDescent="0.4">
      <c r="A10" s="5" t="s">
        <v>198</v>
      </c>
      <c r="B10" s="5" t="s">
        <v>27</v>
      </c>
      <c r="C10" s="5">
        <v>161447</v>
      </c>
      <c r="D10" s="6"/>
      <c r="E10" s="5" t="s">
        <v>12</v>
      </c>
      <c r="F10" s="5" t="s">
        <v>14</v>
      </c>
      <c r="G10" s="5" t="s">
        <v>12</v>
      </c>
      <c r="H10" s="7" t="s">
        <v>7</v>
      </c>
      <c r="I10" s="7" t="s">
        <v>28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54</v>
      </c>
      <c r="AC10" s="8">
        <v>52320</v>
      </c>
      <c r="AD10" s="8">
        <v>5000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41</v>
      </c>
      <c r="AO10" s="8">
        <v>36300</v>
      </c>
      <c r="AP10" s="7">
        <v>600</v>
      </c>
      <c r="AQ10" s="7">
        <v>9</v>
      </c>
      <c r="AR10" s="8">
        <v>24300</v>
      </c>
      <c r="AS10" s="7">
        <v>800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27</v>
      </c>
      <c r="BA10" s="8">
        <v>29160</v>
      </c>
      <c r="BB10" s="7">
        <v>0</v>
      </c>
      <c r="BC10" s="7">
        <v>13</v>
      </c>
      <c r="BD10" s="8">
        <v>46080</v>
      </c>
      <c r="BE10" s="7">
        <v>500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9">
        <v>4514.3999999999996</v>
      </c>
      <c r="BM10" s="10">
        <v>195060</v>
      </c>
      <c r="BN10" s="17">
        <f t="shared" si="0"/>
        <v>190545.6</v>
      </c>
      <c r="BO10" s="18">
        <f t="shared" si="1"/>
        <v>133381.91999999998</v>
      </c>
    </row>
    <row r="11" spans="1:69" ht="19.2" x14ac:dyDescent="0.4">
      <c r="A11" s="5" t="s">
        <v>198</v>
      </c>
      <c r="B11" s="5" t="s">
        <v>22</v>
      </c>
      <c r="C11" s="5">
        <v>409392</v>
      </c>
      <c r="D11" s="6"/>
      <c r="E11" s="5" t="s">
        <v>12</v>
      </c>
      <c r="F11" s="5" t="s">
        <v>14</v>
      </c>
      <c r="G11" s="5" t="s">
        <v>23</v>
      </c>
      <c r="H11" s="7" t="s">
        <v>7</v>
      </c>
      <c r="I11" s="7" t="s">
        <v>24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117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363</v>
      </c>
      <c r="AF11" s="8">
        <v>38320</v>
      </c>
      <c r="AG11" s="7">
        <v>800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167</v>
      </c>
      <c r="AR11" s="8">
        <v>16700</v>
      </c>
      <c r="AS11" s="7">
        <v>0</v>
      </c>
      <c r="AT11" s="7">
        <v>0</v>
      </c>
      <c r="AU11" s="7">
        <v>0</v>
      </c>
      <c r="AV11" s="7">
        <v>0</v>
      </c>
      <c r="AW11" s="7">
        <v>180</v>
      </c>
      <c r="AX11" s="8">
        <v>21600</v>
      </c>
      <c r="AY11" s="7">
        <v>0</v>
      </c>
      <c r="AZ11" s="7">
        <v>0</v>
      </c>
      <c r="BA11" s="7">
        <v>0</v>
      </c>
      <c r="BB11" s="7">
        <v>0</v>
      </c>
      <c r="BC11" s="7">
        <v>663</v>
      </c>
      <c r="BD11" s="8">
        <v>79560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9">
        <v>6933.6</v>
      </c>
      <c r="BM11" s="10">
        <v>156980</v>
      </c>
      <c r="BN11" s="17">
        <f t="shared" si="0"/>
        <v>150046.39999999999</v>
      </c>
      <c r="BO11" s="18">
        <f t="shared" si="1"/>
        <v>105032.48</v>
      </c>
    </row>
    <row r="12" spans="1:69" x14ac:dyDescent="0.4">
      <c r="A12" s="5" t="s">
        <v>198</v>
      </c>
      <c r="B12" s="5" t="s">
        <v>93</v>
      </c>
      <c r="C12" s="5">
        <v>395747</v>
      </c>
      <c r="D12" s="6"/>
      <c r="E12" s="5" t="s">
        <v>12</v>
      </c>
      <c r="F12" s="5" t="s">
        <v>13</v>
      </c>
      <c r="G12" s="5" t="s">
        <v>12</v>
      </c>
      <c r="H12" s="7" t="s">
        <v>7</v>
      </c>
      <c r="I12" s="7" t="s">
        <v>94</v>
      </c>
      <c r="J12" s="7">
        <v>0</v>
      </c>
      <c r="K12" s="7">
        <v>8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12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158</v>
      </c>
      <c r="AF12" s="8">
        <v>14100</v>
      </c>
      <c r="AG12" s="8">
        <v>1700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36</v>
      </c>
      <c r="AR12" s="8">
        <v>3600</v>
      </c>
      <c r="AS12" s="7">
        <v>0</v>
      </c>
      <c r="AT12" s="7">
        <v>0</v>
      </c>
      <c r="AU12" s="7">
        <v>0</v>
      </c>
      <c r="AV12" s="7">
        <v>0</v>
      </c>
      <c r="AW12" s="7">
        <v>71</v>
      </c>
      <c r="AX12" s="8">
        <v>8520</v>
      </c>
      <c r="AY12" s="7">
        <v>0</v>
      </c>
      <c r="AZ12" s="7">
        <v>0</v>
      </c>
      <c r="BA12" s="7">
        <v>0</v>
      </c>
      <c r="BB12" s="7">
        <v>0</v>
      </c>
      <c r="BC12" s="7">
        <v>909</v>
      </c>
      <c r="BD12" s="8">
        <v>109080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9">
        <v>7396.8</v>
      </c>
      <c r="BM12" s="10">
        <v>137000</v>
      </c>
      <c r="BN12" s="17">
        <f t="shared" si="0"/>
        <v>129603.2</v>
      </c>
      <c r="BO12" s="18">
        <f t="shared" si="1"/>
        <v>90722.239999999991</v>
      </c>
    </row>
    <row r="13" spans="1:69" x14ac:dyDescent="0.4">
      <c r="A13" s="5" t="s">
        <v>198</v>
      </c>
      <c r="B13" s="5" t="s">
        <v>35</v>
      </c>
      <c r="C13" s="5">
        <v>173863</v>
      </c>
      <c r="D13" s="6"/>
      <c r="E13" s="5" t="s">
        <v>12</v>
      </c>
      <c r="F13" s="5" t="s">
        <v>17</v>
      </c>
      <c r="G13" s="5" t="s">
        <v>12</v>
      </c>
      <c r="H13" s="7" t="s">
        <v>7</v>
      </c>
      <c r="I13" s="7" t="s">
        <v>36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28</v>
      </c>
      <c r="AC13" s="8">
        <v>16560</v>
      </c>
      <c r="AD13" s="8">
        <v>7000</v>
      </c>
      <c r="AE13" s="7">
        <v>4</v>
      </c>
      <c r="AF13" s="8">
        <v>12800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31</v>
      </c>
      <c r="AO13" s="8">
        <v>27500</v>
      </c>
      <c r="AP13" s="7">
        <v>400</v>
      </c>
      <c r="AQ13" s="7">
        <v>0</v>
      </c>
      <c r="AR13" s="7">
        <v>0</v>
      </c>
      <c r="AS13" s="7">
        <v>0</v>
      </c>
      <c r="AT13" s="7">
        <v>15</v>
      </c>
      <c r="AU13" s="8">
        <v>16200</v>
      </c>
      <c r="AV13" s="7">
        <v>0</v>
      </c>
      <c r="AW13" s="7">
        <v>0</v>
      </c>
      <c r="AX13" s="7">
        <v>0</v>
      </c>
      <c r="AY13" s="7">
        <v>0</v>
      </c>
      <c r="AZ13" s="7">
        <v>51</v>
      </c>
      <c r="BA13" s="8">
        <v>51480</v>
      </c>
      <c r="BB13" s="7">
        <v>500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9">
        <v>4708.8</v>
      </c>
      <c r="BM13" s="10">
        <v>132440</v>
      </c>
      <c r="BN13" s="17">
        <f t="shared" si="0"/>
        <v>127731.2</v>
      </c>
      <c r="BO13" s="18">
        <f t="shared" si="1"/>
        <v>89411.839999999997</v>
      </c>
    </row>
    <row r="14" spans="1:69" x14ac:dyDescent="0.4">
      <c r="A14" s="5" t="s">
        <v>198</v>
      </c>
      <c r="B14" s="5" t="s">
        <v>113</v>
      </c>
      <c r="C14" s="5">
        <v>285994</v>
      </c>
      <c r="D14" s="6"/>
      <c r="E14" s="5" t="s">
        <v>12</v>
      </c>
      <c r="F14" s="5" t="s">
        <v>13</v>
      </c>
      <c r="G14" s="5" t="s">
        <v>12</v>
      </c>
      <c r="H14" s="7" t="s">
        <v>7</v>
      </c>
      <c r="I14" s="7" t="s">
        <v>49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44</v>
      </c>
      <c r="AC14" s="8">
        <v>40800</v>
      </c>
      <c r="AD14" s="7">
        <v>900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6</v>
      </c>
      <c r="AO14" s="8">
        <v>5200</v>
      </c>
      <c r="AP14" s="7">
        <v>200</v>
      </c>
      <c r="AQ14" s="7">
        <v>0</v>
      </c>
      <c r="AR14" s="7">
        <v>0</v>
      </c>
      <c r="AS14" s="7">
        <v>0</v>
      </c>
      <c r="AT14" s="7">
        <v>5</v>
      </c>
      <c r="AU14" s="8">
        <v>5850</v>
      </c>
      <c r="AV14" s="7">
        <v>0</v>
      </c>
      <c r="AW14" s="7">
        <v>0</v>
      </c>
      <c r="AX14" s="7">
        <v>0</v>
      </c>
      <c r="AY14" s="7">
        <v>0</v>
      </c>
      <c r="AZ14" s="7">
        <v>50</v>
      </c>
      <c r="BA14" s="8">
        <v>53520</v>
      </c>
      <c r="BB14" s="7">
        <v>0</v>
      </c>
      <c r="BC14" s="7">
        <v>6</v>
      </c>
      <c r="BD14" s="8">
        <v>23040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9">
        <v>5178.6000000000004</v>
      </c>
      <c r="BM14" s="10">
        <v>129510</v>
      </c>
      <c r="BN14" s="17">
        <f t="shared" si="0"/>
        <v>124331.4</v>
      </c>
      <c r="BO14" s="18">
        <f t="shared" si="1"/>
        <v>87031.98</v>
      </c>
    </row>
    <row r="15" spans="1:69" ht="19.2" x14ac:dyDescent="0.4">
      <c r="A15" s="5" t="s">
        <v>198</v>
      </c>
      <c r="B15" s="5" t="s">
        <v>44</v>
      </c>
      <c r="C15" s="5">
        <v>408054</v>
      </c>
      <c r="D15" s="6"/>
      <c r="E15" s="5" t="s">
        <v>12</v>
      </c>
      <c r="F15" s="5" t="s">
        <v>17</v>
      </c>
      <c r="G15" s="5" t="s">
        <v>23</v>
      </c>
      <c r="H15" s="7" t="s">
        <v>11</v>
      </c>
      <c r="I15" s="7" t="s">
        <v>45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20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85</v>
      </c>
      <c r="AF15" s="8">
        <v>8920</v>
      </c>
      <c r="AG15" s="7">
        <v>800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275</v>
      </c>
      <c r="AR15" s="8">
        <v>26800</v>
      </c>
      <c r="AS15" s="7">
        <v>700</v>
      </c>
      <c r="AT15" s="7">
        <v>0</v>
      </c>
      <c r="AU15" s="7">
        <v>0</v>
      </c>
      <c r="AV15" s="7">
        <v>0</v>
      </c>
      <c r="AW15" s="7">
        <v>84</v>
      </c>
      <c r="AX15" s="8">
        <v>10080</v>
      </c>
      <c r="AY15" s="7">
        <v>0</v>
      </c>
      <c r="AZ15" s="7">
        <v>0</v>
      </c>
      <c r="BA15" s="7">
        <v>0</v>
      </c>
      <c r="BB15" s="7">
        <v>0</v>
      </c>
      <c r="BC15" s="7">
        <v>681</v>
      </c>
      <c r="BD15" s="8">
        <v>81720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9">
        <v>5911.2</v>
      </c>
      <c r="BM15" s="10">
        <v>129020</v>
      </c>
      <c r="BN15" s="17">
        <f t="shared" si="0"/>
        <v>123108.8</v>
      </c>
      <c r="BO15" s="18">
        <f t="shared" si="1"/>
        <v>86176.16</v>
      </c>
    </row>
    <row r="16" spans="1:69" x14ac:dyDescent="0.4">
      <c r="A16" s="5" t="s">
        <v>198</v>
      </c>
      <c r="B16" s="5" t="s">
        <v>115</v>
      </c>
      <c r="C16" s="5">
        <v>406732</v>
      </c>
      <c r="D16" s="6"/>
      <c r="E16" s="5" t="s">
        <v>12</v>
      </c>
      <c r="F16" s="5" t="s">
        <v>13</v>
      </c>
      <c r="G16" s="5" t="s">
        <v>12</v>
      </c>
      <c r="H16" s="7" t="s">
        <v>7</v>
      </c>
      <c r="I16" s="7" t="s">
        <v>116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38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363</v>
      </c>
      <c r="AF16" s="8">
        <v>28680</v>
      </c>
      <c r="AG16" s="8">
        <v>8300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42</v>
      </c>
      <c r="AR16" s="8">
        <v>3100</v>
      </c>
      <c r="AS16" s="8">
        <v>1100</v>
      </c>
      <c r="AT16" s="7">
        <v>0</v>
      </c>
      <c r="AU16" s="7">
        <v>0</v>
      </c>
      <c r="AV16" s="7">
        <v>0</v>
      </c>
      <c r="AW16" s="7">
        <v>48</v>
      </c>
      <c r="AX16" s="8">
        <v>5760</v>
      </c>
      <c r="AY16" s="7">
        <v>0</v>
      </c>
      <c r="AZ16" s="7">
        <v>0</v>
      </c>
      <c r="BA16" s="7">
        <v>0</v>
      </c>
      <c r="BB16" s="7">
        <v>0</v>
      </c>
      <c r="BC16" s="7">
        <v>511</v>
      </c>
      <c r="BD16" s="8">
        <v>61320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9">
        <v>4255.2</v>
      </c>
      <c r="BM16" s="10">
        <v>108260</v>
      </c>
      <c r="BN16" s="17">
        <f t="shared" si="0"/>
        <v>104004.8</v>
      </c>
      <c r="BO16" s="18">
        <f t="shared" si="1"/>
        <v>72803.360000000001</v>
      </c>
    </row>
    <row r="17" spans="1:67" x14ac:dyDescent="0.4">
      <c r="A17" s="5" t="s">
        <v>198</v>
      </c>
      <c r="B17" s="5" t="s">
        <v>34</v>
      </c>
      <c r="C17" s="5">
        <v>159266</v>
      </c>
      <c r="D17" s="6"/>
      <c r="E17" s="5" t="s">
        <v>12</v>
      </c>
      <c r="F17" s="5" t="s">
        <v>17</v>
      </c>
      <c r="G17" s="5" t="s">
        <v>12</v>
      </c>
      <c r="H17" s="7" t="s">
        <v>7</v>
      </c>
      <c r="I17" s="7" t="s">
        <v>30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8</v>
      </c>
      <c r="AC17" s="8">
        <v>6000</v>
      </c>
      <c r="AD17" s="7">
        <v>200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6</v>
      </c>
      <c r="AO17" s="8">
        <v>5200</v>
      </c>
      <c r="AP17" s="7">
        <v>200</v>
      </c>
      <c r="AQ17" s="7">
        <v>0</v>
      </c>
      <c r="AR17" s="7">
        <v>0</v>
      </c>
      <c r="AS17" s="7">
        <v>0</v>
      </c>
      <c r="AT17" s="7">
        <v>5</v>
      </c>
      <c r="AU17" s="8">
        <v>5400</v>
      </c>
      <c r="AV17" s="7">
        <v>0</v>
      </c>
      <c r="AW17" s="7">
        <v>0</v>
      </c>
      <c r="AX17" s="7">
        <v>0</v>
      </c>
      <c r="AY17" s="7">
        <v>0</v>
      </c>
      <c r="AZ17" s="7">
        <v>34</v>
      </c>
      <c r="BA17" s="8">
        <v>35760</v>
      </c>
      <c r="BB17" s="7">
        <v>0</v>
      </c>
      <c r="BC17" s="7">
        <v>10</v>
      </c>
      <c r="BD17" s="8">
        <v>38400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9">
        <v>4989.6000000000004</v>
      </c>
      <c r="BM17" s="10">
        <v>91160</v>
      </c>
      <c r="BN17" s="17">
        <f t="shared" si="0"/>
        <v>86170.4</v>
      </c>
      <c r="BO17" s="18">
        <f t="shared" si="1"/>
        <v>60319.279999999992</v>
      </c>
    </row>
    <row r="18" spans="1:67" x14ac:dyDescent="0.4">
      <c r="A18" s="5" t="s">
        <v>198</v>
      </c>
      <c r="B18" s="5" t="s">
        <v>46</v>
      </c>
      <c r="C18" s="5">
        <v>192729</v>
      </c>
      <c r="D18" s="6"/>
      <c r="E18" s="5" t="s">
        <v>12</v>
      </c>
      <c r="F18" s="5" t="s">
        <v>37</v>
      </c>
      <c r="G18" s="5" t="s">
        <v>12</v>
      </c>
      <c r="H18" s="7" t="s">
        <v>7</v>
      </c>
      <c r="I18" s="7" t="s">
        <v>47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11</v>
      </c>
      <c r="AC18" s="8">
        <v>8640</v>
      </c>
      <c r="AD18" s="8">
        <v>1900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11</v>
      </c>
      <c r="AO18" s="8">
        <v>9700</v>
      </c>
      <c r="AP18" s="7">
        <v>200</v>
      </c>
      <c r="AQ18" s="7">
        <v>0</v>
      </c>
      <c r="AR18" s="7">
        <v>0</v>
      </c>
      <c r="AS18" s="7">
        <v>0</v>
      </c>
      <c r="AT18" s="7">
        <v>13</v>
      </c>
      <c r="AU18" s="8">
        <v>13920</v>
      </c>
      <c r="AV18" s="7">
        <v>0</v>
      </c>
      <c r="AW18" s="7">
        <v>0</v>
      </c>
      <c r="AX18" s="7">
        <v>0</v>
      </c>
      <c r="AY18" s="7">
        <v>0</v>
      </c>
      <c r="AZ18" s="7">
        <v>39</v>
      </c>
      <c r="BA18" s="8">
        <v>41040</v>
      </c>
      <c r="BB18" s="7">
        <v>0</v>
      </c>
      <c r="BC18" s="7">
        <v>4</v>
      </c>
      <c r="BD18" s="8">
        <v>15360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9">
        <v>4776</v>
      </c>
      <c r="BM18" s="10">
        <v>90760</v>
      </c>
      <c r="BN18" s="17">
        <f t="shared" si="0"/>
        <v>85984</v>
      </c>
      <c r="BO18" s="18">
        <f t="shared" si="1"/>
        <v>60188.799999999996</v>
      </c>
    </row>
    <row r="19" spans="1:67" x14ac:dyDescent="0.4">
      <c r="A19" s="5" t="s">
        <v>198</v>
      </c>
      <c r="B19" s="5" t="s">
        <v>81</v>
      </c>
      <c r="C19" s="5">
        <v>192737</v>
      </c>
      <c r="D19" s="6"/>
      <c r="E19" s="5" t="s">
        <v>12</v>
      </c>
      <c r="F19" s="5" t="s">
        <v>37</v>
      </c>
      <c r="G19" s="5" t="s">
        <v>12</v>
      </c>
      <c r="H19" s="7" t="s">
        <v>7</v>
      </c>
      <c r="I19" s="7" t="s">
        <v>38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24</v>
      </c>
      <c r="AC19" s="8">
        <v>19440</v>
      </c>
      <c r="AD19" s="8">
        <v>4500</v>
      </c>
      <c r="AE19" s="7">
        <v>6</v>
      </c>
      <c r="AF19" s="8">
        <v>18500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4</v>
      </c>
      <c r="AU19" s="8">
        <v>3600</v>
      </c>
      <c r="AV19" s="7">
        <v>0</v>
      </c>
      <c r="AW19" s="7">
        <v>0</v>
      </c>
      <c r="AX19" s="7">
        <v>0</v>
      </c>
      <c r="AY19" s="7">
        <v>0</v>
      </c>
      <c r="AZ19" s="7">
        <v>41</v>
      </c>
      <c r="BA19" s="8">
        <v>43320</v>
      </c>
      <c r="BB19" s="7">
        <v>500</v>
      </c>
      <c r="BC19" s="7">
        <v>1</v>
      </c>
      <c r="BD19" s="7">
        <v>240</v>
      </c>
      <c r="BE19" s="7">
        <v>500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9">
        <v>2973.6</v>
      </c>
      <c r="BM19" s="10">
        <v>90600</v>
      </c>
      <c r="BN19" s="17">
        <f t="shared" si="0"/>
        <v>87626.4</v>
      </c>
      <c r="BO19" s="18">
        <f t="shared" si="1"/>
        <v>61338.479999999989</v>
      </c>
    </row>
    <row r="20" spans="1:67" x14ac:dyDescent="0.4">
      <c r="A20" s="5" t="s">
        <v>198</v>
      </c>
      <c r="B20" s="5" t="s">
        <v>92</v>
      </c>
      <c r="C20" s="5">
        <v>192732</v>
      </c>
      <c r="D20" s="6"/>
      <c r="E20" s="5" t="s">
        <v>12</v>
      </c>
      <c r="F20" s="5" t="s">
        <v>37</v>
      </c>
      <c r="G20" s="5" t="s">
        <v>12</v>
      </c>
      <c r="H20" s="7" t="s">
        <v>7</v>
      </c>
      <c r="I20" s="7" t="s">
        <v>38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15</v>
      </c>
      <c r="AC20" s="8">
        <v>9000</v>
      </c>
      <c r="AD20" s="8">
        <v>3400</v>
      </c>
      <c r="AE20" s="7">
        <v>3</v>
      </c>
      <c r="AF20" s="8">
        <v>9600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3</v>
      </c>
      <c r="AO20" s="8">
        <v>2700</v>
      </c>
      <c r="AP20" s="7">
        <v>0</v>
      </c>
      <c r="AQ20" s="7">
        <v>0</v>
      </c>
      <c r="AR20" s="7">
        <v>0</v>
      </c>
      <c r="AS20" s="7">
        <v>0</v>
      </c>
      <c r="AT20" s="7">
        <v>27</v>
      </c>
      <c r="AU20" s="8">
        <v>27840</v>
      </c>
      <c r="AV20" s="7">
        <v>0</v>
      </c>
      <c r="AW20" s="7">
        <v>0</v>
      </c>
      <c r="AX20" s="7">
        <v>0</v>
      </c>
      <c r="AY20" s="7">
        <v>0</v>
      </c>
      <c r="AZ20" s="7">
        <v>7</v>
      </c>
      <c r="BA20" s="8">
        <v>6360</v>
      </c>
      <c r="BB20" s="7">
        <v>500</v>
      </c>
      <c r="BC20" s="7">
        <v>7</v>
      </c>
      <c r="BD20" s="8">
        <v>26880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9">
        <v>4778.3999999999996</v>
      </c>
      <c r="BM20" s="10">
        <v>86280</v>
      </c>
      <c r="BN20" s="17">
        <f t="shared" si="0"/>
        <v>81501.600000000006</v>
      </c>
      <c r="BO20" s="18">
        <f t="shared" si="1"/>
        <v>57051.12</v>
      </c>
    </row>
    <row r="21" spans="1:67" x14ac:dyDescent="0.4">
      <c r="A21" s="5" t="s">
        <v>198</v>
      </c>
      <c r="B21" s="5" t="s">
        <v>102</v>
      </c>
      <c r="C21" s="5">
        <v>229857</v>
      </c>
      <c r="D21" s="6"/>
      <c r="E21" s="5" t="s">
        <v>12</v>
      </c>
      <c r="F21" s="5" t="s">
        <v>13</v>
      </c>
      <c r="G21" s="5" t="s">
        <v>12</v>
      </c>
      <c r="H21" s="7" t="s">
        <v>11</v>
      </c>
      <c r="I21" s="7" t="s">
        <v>103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6</v>
      </c>
      <c r="AC21" s="8">
        <v>5760</v>
      </c>
      <c r="AD21" s="7">
        <v>0</v>
      </c>
      <c r="AE21" s="7">
        <v>0</v>
      </c>
      <c r="AF21" s="7">
        <v>0</v>
      </c>
      <c r="AG21" s="7">
        <v>0</v>
      </c>
      <c r="AH21" s="7">
        <v>1</v>
      </c>
      <c r="AI21" s="7">
        <v>0</v>
      </c>
      <c r="AJ21" s="7">
        <v>900</v>
      </c>
      <c r="AK21" s="7">
        <v>0</v>
      </c>
      <c r="AL21" s="7">
        <v>0</v>
      </c>
      <c r="AM21" s="7">
        <v>0</v>
      </c>
      <c r="AN21" s="7">
        <v>8</v>
      </c>
      <c r="AO21" s="8">
        <v>7200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12</v>
      </c>
      <c r="BA21" s="8">
        <v>12960</v>
      </c>
      <c r="BB21" s="7">
        <v>0</v>
      </c>
      <c r="BC21" s="7">
        <v>14</v>
      </c>
      <c r="BD21" s="8">
        <v>53760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9">
        <v>4003.2</v>
      </c>
      <c r="BM21" s="10">
        <v>80580</v>
      </c>
      <c r="BN21" s="17">
        <f t="shared" si="0"/>
        <v>76576.800000000003</v>
      </c>
      <c r="BO21" s="18">
        <f t="shared" si="1"/>
        <v>53603.76</v>
      </c>
    </row>
    <row r="22" spans="1:67" x14ac:dyDescent="0.4">
      <c r="A22" s="5" t="s">
        <v>198</v>
      </c>
      <c r="B22" s="5" t="s">
        <v>41</v>
      </c>
      <c r="C22" s="5">
        <v>215737</v>
      </c>
      <c r="D22" s="6"/>
      <c r="E22" s="5" t="s">
        <v>12</v>
      </c>
      <c r="F22" s="5" t="s">
        <v>42</v>
      </c>
      <c r="G22" s="5" t="s">
        <v>12</v>
      </c>
      <c r="H22" s="7" t="s">
        <v>7</v>
      </c>
      <c r="I22" s="7" t="s">
        <v>43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54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304</v>
      </c>
      <c r="AF22" s="8">
        <v>28920</v>
      </c>
      <c r="AG22" s="8">
        <v>2300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357</v>
      </c>
      <c r="AR22" s="8">
        <v>34500</v>
      </c>
      <c r="AS22" s="8">
        <v>1200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89</v>
      </c>
      <c r="BD22" s="8">
        <v>10680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640.79999999999995</v>
      </c>
      <c r="BM22" s="10">
        <v>77600</v>
      </c>
      <c r="BN22" s="17">
        <f t="shared" si="0"/>
        <v>76959.199999999997</v>
      </c>
      <c r="BO22" s="18">
        <f t="shared" si="1"/>
        <v>53871.439999999995</v>
      </c>
    </row>
    <row r="23" spans="1:67" ht="19.2" x14ac:dyDescent="0.4">
      <c r="A23" s="5" t="s">
        <v>198</v>
      </c>
      <c r="B23" s="5" t="s">
        <v>52</v>
      </c>
      <c r="C23" s="5">
        <v>413545</v>
      </c>
      <c r="D23" s="6"/>
      <c r="E23" s="5" t="s">
        <v>12</v>
      </c>
      <c r="F23" s="5" t="s">
        <v>17</v>
      </c>
      <c r="G23" s="5" t="s">
        <v>23</v>
      </c>
      <c r="H23" s="7" t="s">
        <v>8</v>
      </c>
      <c r="I23" s="7" t="s">
        <v>53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29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224</v>
      </c>
      <c r="AF23" s="7">
        <v>0</v>
      </c>
      <c r="AG23" s="8">
        <v>22400</v>
      </c>
      <c r="AH23" s="7">
        <v>0</v>
      </c>
      <c r="AI23" s="7">
        <v>0</v>
      </c>
      <c r="AJ23" s="7">
        <v>0</v>
      </c>
      <c r="AK23" s="7">
        <v>50</v>
      </c>
      <c r="AL23" s="8">
        <v>2400</v>
      </c>
      <c r="AM23" s="8">
        <v>3000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317</v>
      </c>
      <c r="BD23" s="8">
        <v>38040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9">
        <v>3002.4</v>
      </c>
      <c r="BM23" s="10">
        <v>65840</v>
      </c>
      <c r="BN23" s="17">
        <f t="shared" si="0"/>
        <v>62837.599999999999</v>
      </c>
      <c r="BO23" s="18">
        <f t="shared" si="1"/>
        <v>43986.32</v>
      </c>
    </row>
    <row r="24" spans="1:67" x14ac:dyDescent="0.4">
      <c r="A24" s="5" t="s">
        <v>198</v>
      </c>
      <c r="B24" s="5" t="s">
        <v>84</v>
      </c>
      <c r="C24" s="5">
        <v>326544</v>
      </c>
      <c r="D24" s="6"/>
      <c r="E24" s="5" t="s">
        <v>12</v>
      </c>
      <c r="F24" s="5" t="s">
        <v>85</v>
      </c>
      <c r="G24" s="5" t="s">
        <v>12</v>
      </c>
      <c r="H24" s="7" t="s">
        <v>7</v>
      </c>
      <c r="I24" s="7" t="s">
        <v>86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6</v>
      </c>
      <c r="T24" s="7">
        <v>42</v>
      </c>
      <c r="U24" s="7">
        <v>0</v>
      </c>
      <c r="V24" s="7">
        <v>600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208</v>
      </c>
      <c r="AF24" s="8">
        <v>16200</v>
      </c>
      <c r="AG24" s="8">
        <v>4600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5</v>
      </c>
      <c r="AR24" s="7">
        <v>500</v>
      </c>
      <c r="AS24" s="7">
        <v>0</v>
      </c>
      <c r="AT24" s="7">
        <v>0</v>
      </c>
      <c r="AU24" s="7">
        <v>0</v>
      </c>
      <c r="AV24" s="7">
        <v>0</v>
      </c>
      <c r="AW24" s="7">
        <v>88</v>
      </c>
      <c r="AX24" s="8">
        <v>10560</v>
      </c>
      <c r="AY24" s="7">
        <v>0</v>
      </c>
      <c r="AZ24" s="7">
        <v>0</v>
      </c>
      <c r="BA24" s="7">
        <v>0</v>
      </c>
      <c r="BB24" s="7">
        <v>0</v>
      </c>
      <c r="BC24" s="7">
        <v>276</v>
      </c>
      <c r="BD24" s="8">
        <v>33120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9">
        <v>3043.2</v>
      </c>
      <c r="BM24" s="10">
        <v>65580</v>
      </c>
      <c r="BN24" s="17">
        <f t="shared" si="0"/>
        <v>62536.800000000003</v>
      </c>
      <c r="BO24" s="18">
        <f t="shared" si="1"/>
        <v>43775.76</v>
      </c>
    </row>
    <row r="25" spans="1:67" ht="19.2" x14ac:dyDescent="0.4">
      <c r="A25" s="5" t="s">
        <v>198</v>
      </c>
      <c r="B25" s="5" t="s">
        <v>130</v>
      </c>
      <c r="C25" s="5">
        <v>409409</v>
      </c>
      <c r="D25" s="6"/>
      <c r="E25" s="5" t="s">
        <v>12</v>
      </c>
      <c r="F25" s="5" t="s">
        <v>37</v>
      </c>
      <c r="G25" s="5" t="s">
        <v>23</v>
      </c>
      <c r="H25" s="7" t="s">
        <v>7</v>
      </c>
      <c r="I25" s="7" t="s">
        <v>24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7</v>
      </c>
      <c r="AF25" s="7">
        <v>0</v>
      </c>
      <c r="AG25" s="7">
        <v>700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513</v>
      </c>
      <c r="BD25" s="8">
        <v>61560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9">
        <v>3693.6</v>
      </c>
      <c r="BM25" s="10">
        <v>62260</v>
      </c>
      <c r="BN25" s="17">
        <f t="shared" si="0"/>
        <v>58566.400000000001</v>
      </c>
      <c r="BO25" s="18">
        <f t="shared" si="1"/>
        <v>40996.479999999996</v>
      </c>
    </row>
    <row r="26" spans="1:67" x14ac:dyDescent="0.4">
      <c r="A26" s="5" t="s">
        <v>198</v>
      </c>
      <c r="B26" s="5" t="s">
        <v>79</v>
      </c>
      <c r="C26" s="5">
        <v>418829</v>
      </c>
      <c r="D26" s="6"/>
      <c r="E26" s="5" t="s">
        <v>12</v>
      </c>
      <c r="F26" s="5" t="s">
        <v>17</v>
      </c>
      <c r="G26" s="5" t="s">
        <v>12</v>
      </c>
      <c r="H26" s="7" t="s">
        <v>7</v>
      </c>
      <c r="I26" s="7" t="s">
        <v>80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24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138</v>
      </c>
      <c r="AF26" s="8">
        <v>3000</v>
      </c>
      <c r="AG26" s="8">
        <v>10800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3</v>
      </c>
      <c r="AR26" s="7">
        <v>300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401</v>
      </c>
      <c r="BD26" s="8">
        <v>47520</v>
      </c>
      <c r="BE26" s="7">
        <v>500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9">
        <v>2851.2</v>
      </c>
      <c r="BM26" s="10">
        <v>62120</v>
      </c>
      <c r="BN26" s="17">
        <f t="shared" si="0"/>
        <v>59268.800000000003</v>
      </c>
      <c r="BO26" s="18">
        <f t="shared" si="1"/>
        <v>41488.159999999996</v>
      </c>
    </row>
    <row r="27" spans="1:67" x14ac:dyDescent="0.4">
      <c r="A27" s="5" t="s">
        <v>198</v>
      </c>
      <c r="B27" s="5" t="s">
        <v>95</v>
      </c>
      <c r="C27" s="5">
        <v>287064</v>
      </c>
      <c r="D27" s="6"/>
      <c r="E27" s="5" t="s">
        <v>12</v>
      </c>
      <c r="F27" s="5" t="s">
        <v>58</v>
      </c>
      <c r="G27" s="5" t="s">
        <v>12</v>
      </c>
      <c r="H27" s="7" t="s">
        <v>7</v>
      </c>
      <c r="I27" s="7" t="s">
        <v>96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14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215</v>
      </c>
      <c r="AF27" s="8">
        <v>25620</v>
      </c>
      <c r="AG27" s="7">
        <v>100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24</v>
      </c>
      <c r="AR27" s="8">
        <v>2400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275</v>
      </c>
      <c r="BD27" s="8">
        <v>33000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9">
        <v>1980</v>
      </c>
      <c r="BM27" s="10">
        <v>61120</v>
      </c>
      <c r="BN27" s="17">
        <f t="shared" si="0"/>
        <v>59140</v>
      </c>
      <c r="BO27" s="18">
        <f t="shared" si="1"/>
        <v>41398</v>
      </c>
    </row>
    <row r="28" spans="1:67" x14ac:dyDescent="0.4">
      <c r="A28" s="5" t="s">
        <v>198</v>
      </c>
      <c r="B28" s="5" t="s">
        <v>39</v>
      </c>
      <c r="C28" s="5">
        <v>268655</v>
      </c>
      <c r="D28" s="6"/>
      <c r="E28" s="5" t="s">
        <v>12</v>
      </c>
      <c r="F28" s="5" t="s">
        <v>17</v>
      </c>
      <c r="G28" s="5" t="s">
        <v>12</v>
      </c>
      <c r="H28" s="7" t="s">
        <v>7</v>
      </c>
      <c r="I28" s="7" t="s">
        <v>40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7</v>
      </c>
      <c r="AC28" s="8">
        <v>4300</v>
      </c>
      <c r="AD28" s="7">
        <v>400</v>
      </c>
      <c r="AE28" s="7">
        <v>7</v>
      </c>
      <c r="AF28" s="8">
        <v>22400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5</v>
      </c>
      <c r="AO28" s="8">
        <v>4300</v>
      </c>
      <c r="AP28" s="7">
        <v>200</v>
      </c>
      <c r="AQ28" s="7">
        <v>0</v>
      </c>
      <c r="AR28" s="7">
        <v>0</v>
      </c>
      <c r="AS28" s="7">
        <v>0</v>
      </c>
      <c r="AT28" s="7">
        <v>6</v>
      </c>
      <c r="AU28" s="8">
        <v>6000</v>
      </c>
      <c r="AV28" s="7">
        <v>0</v>
      </c>
      <c r="AW28" s="7">
        <v>0</v>
      </c>
      <c r="AX28" s="7">
        <v>0</v>
      </c>
      <c r="AY28" s="7">
        <v>0</v>
      </c>
      <c r="AZ28" s="7">
        <v>15</v>
      </c>
      <c r="BA28" s="8">
        <v>15360</v>
      </c>
      <c r="BB28" s="7">
        <v>0</v>
      </c>
      <c r="BC28" s="7">
        <v>2</v>
      </c>
      <c r="BD28" s="8">
        <v>7680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9">
        <v>1982.4</v>
      </c>
      <c r="BM28" s="10">
        <v>60640</v>
      </c>
      <c r="BN28" s="17">
        <f t="shared" si="0"/>
        <v>58657.599999999999</v>
      </c>
      <c r="BO28" s="18">
        <f t="shared" si="1"/>
        <v>41060.32</v>
      </c>
    </row>
    <row r="29" spans="1:67" x14ac:dyDescent="0.4">
      <c r="A29" s="5" t="s">
        <v>198</v>
      </c>
      <c r="B29" s="5" t="s">
        <v>195</v>
      </c>
      <c r="C29" s="5">
        <v>339554</v>
      </c>
      <c r="D29" s="6"/>
      <c r="E29" s="5" t="s">
        <v>12</v>
      </c>
      <c r="F29" s="5" t="s">
        <v>42</v>
      </c>
      <c r="G29" s="5" t="s">
        <v>12</v>
      </c>
      <c r="H29" s="7" t="s">
        <v>7</v>
      </c>
      <c r="I29" s="7" t="s">
        <v>196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15</v>
      </c>
      <c r="AF29" s="8">
        <v>57600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10">
        <v>57600</v>
      </c>
      <c r="BN29" s="17">
        <f t="shared" si="0"/>
        <v>57600</v>
      </c>
      <c r="BO29" s="18">
        <f t="shared" si="1"/>
        <v>40320</v>
      </c>
    </row>
    <row r="30" spans="1:67" x14ac:dyDescent="0.4">
      <c r="A30" s="5" t="s">
        <v>198</v>
      </c>
      <c r="B30" s="5" t="s">
        <v>89</v>
      </c>
      <c r="C30" s="5">
        <v>418830</v>
      </c>
      <c r="D30" s="6"/>
      <c r="E30" s="5" t="s">
        <v>12</v>
      </c>
      <c r="F30" s="5" t="s">
        <v>17</v>
      </c>
      <c r="G30" s="5" t="s">
        <v>12</v>
      </c>
      <c r="H30" s="7" t="s">
        <v>7</v>
      </c>
      <c r="I30" s="7" t="s">
        <v>80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20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18</v>
      </c>
      <c r="AF30" s="7">
        <v>0</v>
      </c>
      <c r="AG30" s="8">
        <v>1800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222</v>
      </c>
      <c r="AR30" s="8">
        <v>22200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277</v>
      </c>
      <c r="BD30" s="8">
        <v>33240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9">
        <v>1994.4</v>
      </c>
      <c r="BM30" s="10">
        <v>57240</v>
      </c>
      <c r="BN30" s="17">
        <f t="shared" si="0"/>
        <v>55245.599999999999</v>
      </c>
      <c r="BO30" s="18">
        <f t="shared" si="1"/>
        <v>38671.919999999998</v>
      </c>
    </row>
    <row r="31" spans="1:67" x14ac:dyDescent="0.4">
      <c r="A31" s="5" t="s">
        <v>198</v>
      </c>
      <c r="B31" s="5" t="s">
        <v>69</v>
      </c>
      <c r="C31" s="5">
        <v>169151</v>
      </c>
      <c r="D31" s="6"/>
      <c r="E31" s="5" t="s">
        <v>12</v>
      </c>
      <c r="F31" s="5" t="s">
        <v>14</v>
      </c>
      <c r="G31" s="5" t="s">
        <v>12</v>
      </c>
      <c r="H31" s="7" t="s">
        <v>7</v>
      </c>
      <c r="I31" s="7" t="s">
        <v>70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8</v>
      </c>
      <c r="AC31" s="8">
        <v>4500</v>
      </c>
      <c r="AD31" s="8">
        <v>2200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8</v>
      </c>
      <c r="AO31" s="8">
        <v>7000</v>
      </c>
      <c r="AP31" s="7">
        <v>200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12</v>
      </c>
      <c r="BA31" s="8">
        <v>12480</v>
      </c>
      <c r="BB31" s="7">
        <v>0</v>
      </c>
      <c r="BC31" s="7">
        <v>8</v>
      </c>
      <c r="BD31" s="8">
        <v>30720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9">
        <v>2592</v>
      </c>
      <c r="BM31" s="10">
        <v>57100</v>
      </c>
      <c r="BN31" s="17">
        <f t="shared" si="0"/>
        <v>54508</v>
      </c>
      <c r="BO31" s="18">
        <f t="shared" si="1"/>
        <v>38155.599999999999</v>
      </c>
    </row>
    <row r="32" spans="1:67" x14ac:dyDescent="0.4">
      <c r="A32" s="5" t="s">
        <v>198</v>
      </c>
      <c r="B32" s="5" t="s">
        <v>60</v>
      </c>
      <c r="C32" s="5">
        <v>258201</v>
      </c>
      <c r="D32" s="6"/>
      <c r="E32" s="5" t="s">
        <v>12</v>
      </c>
      <c r="F32" s="5" t="s">
        <v>42</v>
      </c>
      <c r="G32" s="5" t="s">
        <v>12</v>
      </c>
      <c r="H32" s="7" t="s">
        <v>7</v>
      </c>
      <c r="I32" s="7" t="s">
        <v>61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16</v>
      </c>
      <c r="AC32" s="8">
        <v>9000</v>
      </c>
      <c r="AD32" s="8">
        <v>3800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16</v>
      </c>
      <c r="AO32" s="8">
        <v>14400</v>
      </c>
      <c r="AP32" s="7">
        <v>0</v>
      </c>
      <c r="AQ32" s="7">
        <v>0</v>
      </c>
      <c r="AR32" s="7">
        <v>0</v>
      </c>
      <c r="AS32" s="7">
        <v>0</v>
      </c>
      <c r="AT32" s="7">
        <v>5</v>
      </c>
      <c r="AU32" s="8">
        <v>5400</v>
      </c>
      <c r="AV32" s="7">
        <v>0</v>
      </c>
      <c r="AW32" s="7">
        <v>0</v>
      </c>
      <c r="AX32" s="7">
        <v>0</v>
      </c>
      <c r="AY32" s="7">
        <v>0</v>
      </c>
      <c r="AZ32" s="7">
        <v>19</v>
      </c>
      <c r="BA32" s="8">
        <v>20280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9">
        <v>1756.8</v>
      </c>
      <c r="BM32" s="10">
        <v>52880</v>
      </c>
      <c r="BN32" s="17">
        <f t="shared" si="0"/>
        <v>51123.199999999997</v>
      </c>
      <c r="BO32" s="18">
        <f t="shared" si="1"/>
        <v>35786.239999999998</v>
      </c>
    </row>
    <row r="33" spans="1:67" x14ac:dyDescent="0.4">
      <c r="A33" s="5" t="s">
        <v>198</v>
      </c>
      <c r="B33" s="5" t="s">
        <v>82</v>
      </c>
      <c r="C33" s="5">
        <v>159483</v>
      </c>
      <c r="D33" s="6"/>
      <c r="E33" s="5" t="s">
        <v>12</v>
      </c>
      <c r="F33" s="5" t="s">
        <v>14</v>
      </c>
      <c r="G33" s="5" t="s">
        <v>12</v>
      </c>
      <c r="H33" s="7" t="s">
        <v>7</v>
      </c>
      <c r="I33" s="7" t="s">
        <v>83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2</v>
      </c>
      <c r="AC33" s="7">
        <v>0</v>
      </c>
      <c r="AD33" s="8">
        <v>1700</v>
      </c>
      <c r="AE33" s="7">
        <v>1</v>
      </c>
      <c r="AF33" s="8">
        <v>3200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3</v>
      </c>
      <c r="AO33" s="8">
        <v>2700</v>
      </c>
      <c r="AP33" s="7">
        <v>0</v>
      </c>
      <c r="AQ33" s="7">
        <v>0</v>
      </c>
      <c r="AR33" s="7">
        <v>0</v>
      </c>
      <c r="AS33" s="7">
        <v>0</v>
      </c>
      <c r="AT33" s="7">
        <v>4</v>
      </c>
      <c r="AU33" s="8">
        <v>3360</v>
      </c>
      <c r="AV33" s="7">
        <v>0</v>
      </c>
      <c r="AW33" s="7">
        <v>0</v>
      </c>
      <c r="AX33" s="7">
        <v>0</v>
      </c>
      <c r="AY33" s="7">
        <v>0</v>
      </c>
      <c r="AZ33" s="7">
        <v>38</v>
      </c>
      <c r="BA33" s="8">
        <v>41040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9">
        <v>2798.4</v>
      </c>
      <c r="BM33" s="10">
        <v>52000</v>
      </c>
      <c r="BN33" s="17">
        <f t="shared" si="0"/>
        <v>49201.599999999999</v>
      </c>
      <c r="BO33" s="18">
        <f t="shared" si="1"/>
        <v>34441.119999999995</v>
      </c>
    </row>
    <row r="34" spans="1:67" x14ac:dyDescent="0.4">
      <c r="A34" s="5" t="s">
        <v>198</v>
      </c>
      <c r="B34" s="5" t="s">
        <v>120</v>
      </c>
      <c r="C34" s="5">
        <v>404358</v>
      </c>
      <c r="D34" s="6"/>
      <c r="E34" s="5" t="s">
        <v>12</v>
      </c>
      <c r="F34" s="5" t="s">
        <v>121</v>
      </c>
      <c r="G34" s="5" t="s">
        <v>12</v>
      </c>
      <c r="H34" s="7" t="s">
        <v>7</v>
      </c>
      <c r="I34" s="7" t="s">
        <v>122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24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74</v>
      </c>
      <c r="AF34" s="8">
        <v>7580</v>
      </c>
      <c r="AG34" s="7">
        <v>0</v>
      </c>
      <c r="AH34" s="7">
        <v>0</v>
      </c>
      <c r="AI34" s="7">
        <v>0</v>
      </c>
      <c r="AJ34" s="7">
        <v>0</v>
      </c>
      <c r="AK34" s="7">
        <v>26</v>
      </c>
      <c r="AL34" s="8">
        <v>3120</v>
      </c>
      <c r="AM34" s="7">
        <v>0</v>
      </c>
      <c r="AN34" s="7">
        <v>0</v>
      </c>
      <c r="AO34" s="7">
        <v>0</v>
      </c>
      <c r="AP34" s="7">
        <v>0</v>
      </c>
      <c r="AQ34" s="7">
        <v>179</v>
      </c>
      <c r="AR34" s="8">
        <v>17900</v>
      </c>
      <c r="AS34" s="7">
        <v>0</v>
      </c>
      <c r="AT34" s="7">
        <v>0</v>
      </c>
      <c r="AU34" s="7">
        <v>0</v>
      </c>
      <c r="AV34" s="7">
        <v>0</v>
      </c>
      <c r="AW34" s="7">
        <v>119</v>
      </c>
      <c r="AX34" s="8">
        <v>14280</v>
      </c>
      <c r="AY34" s="7">
        <v>0</v>
      </c>
      <c r="AZ34" s="7">
        <v>0</v>
      </c>
      <c r="BA34" s="7">
        <v>0</v>
      </c>
      <c r="BB34" s="7">
        <v>0</v>
      </c>
      <c r="BC34" s="7">
        <v>23</v>
      </c>
      <c r="BD34" s="8">
        <v>2760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9">
        <v>2529.6</v>
      </c>
      <c r="BM34" s="10">
        <v>45640</v>
      </c>
      <c r="BN34" s="17">
        <f t="shared" si="0"/>
        <v>43110.400000000001</v>
      </c>
      <c r="BO34" s="18">
        <f t="shared" si="1"/>
        <v>30177.279999999999</v>
      </c>
    </row>
    <row r="35" spans="1:67" x14ac:dyDescent="0.4">
      <c r="A35" s="5" t="s">
        <v>198</v>
      </c>
      <c r="B35" s="5" t="s">
        <v>71</v>
      </c>
      <c r="C35" s="5">
        <v>285988</v>
      </c>
      <c r="D35" s="6"/>
      <c r="E35" s="5" t="s">
        <v>12</v>
      </c>
      <c r="F35" s="5" t="s">
        <v>13</v>
      </c>
      <c r="G35" s="5" t="s">
        <v>12</v>
      </c>
      <c r="H35" s="7" t="s">
        <v>7</v>
      </c>
      <c r="I35" s="7" t="s">
        <v>49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14</v>
      </c>
      <c r="AC35" s="8">
        <v>14040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15</v>
      </c>
      <c r="AO35" s="8">
        <v>13300</v>
      </c>
      <c r="AP35" s="7">
        <v>200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12</v>
      </c>
      <c r="BA35" s="8">
        <v>12960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777.6</v>
      </c>
      <c r="BM35" s="10">
        <v>40500</v>
      </c>
      <c r="BN35" s="17">
        <f t="shared" si="0"/>
        <v>39722.400000000001</v>
      </c>
      <c r="BO35" s="18">
        <f t="shared" si="1"/>
        <v>27805.68</v>
      </c>
    </row>
    <row r="36" spans="1:67" ht="19.2" x14ac:dyDescent="0.4">
      <c r="A36" s="5" t="s">
        <v>198</v>
      </c>
      <c r="B36" s="5" t="s">
        <v>98</v>
      </c>
      <c r="C36" s="5">
        <v>408050</v>
      </c>
      <c r="D36" s="6"/>
      <c r="E36" s="5" t="s">
        <v>12</v>
      </c>
      <c r="F36" s="5" t="s">
        <v>14</v>
      </c>
      <c r="G36" s="5" t="s">
        <v>23</v>
      </c>
      <c r="H36" s="7" t="s">
        <v>7</v>
      </c>
      <c r="I36" s="7" t="s">
        <v>99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307</v>
      </c>
      <c r="BD36" s="8">
        <v>36840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9">
        <v>2210.4</v>
      </c>
      <c r="BM36" s="10">
        <v>36840</v>
      </c>
      <c r="BN36" s="17">
        <f t="shared" si="0"/>
        <v>34629.599999999999</v>
      </c>
      <c r="BO36" s="18">
        <f t="shared" si="1"/>
        <v>24240.719999999998</v>
      </c>
    </row>
    <row r="37" spans="1:67" x14ac:dyDescent="0.4">
      <c r="A37" s="5" t="s">
        <v>198</v>
      </c>
      <c r="B37" s="5" t="s">
        <v>48</v>
      </c>
      <c r="C37" s="5">
        <v>285993</v>
      </c>
      <c r="D37" s="6"/>
      <c r="E37" s="5" t="s">
        <v>12</v>
      </c>
      <c r="F37" s="5" t="s">
        <v>13</v>
      </c>
      <c r="G37" s="5" t="s">
        <v>12</v>
      </c>
      <c r="H37" s="7" t="s">
        <v>7</v>
      </c>
      <c r="I37" s="7" t="s">
        <v>49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7</v>
      </c>
      <c r="AC37" s="8">
        <v>7560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6</v>
      </c>
      <c r="AO37" s="8">
        <v>5400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17</v>
      </c>
      <c r="BA37" s="8">
        <v>18360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9">
        <v>1101.5999999999999</v>
      </c>
      <c r="BM37" s="10">
        <v>31320</v>
      </c>
      <c r="BN37" s="17">
        <f t="shared" si="0"/>
        <v>30218.400000000001</v>
      </c>
      <c r="BO37" s="18">
        <f t="shared" si="1"/>
        <v>21152.880000000001</v>
      </c>
    </row>
    <row r="38" spans="1:67" x14ac:dyDescent="0.4">
      <c r="A38" s="5" t="s">
        <v>198</v>
      </c>
      <c r="B38" s="5" t="s">
        <v>56</v>
      </c>
      <c r="C38" s="5">
        <v>196917</v>
      </c>
      <c r="D38" s="6"/>
      <c r="E38" s="5" t="s">
        <v>12</v>
      </c>
      <c r="F38" s="5" t="s">
        <v>37</v>
      </c>
      <c r="G38" s="5" t="s">
        <v>12</v>
      </c>
      <c r="H38" s="7" t="s">
        <v>7</v>
      </c>
      <c r="I38" s="7" t="s">
        <v>57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8</v>
      </c>
      <c r="AC38" s="7">
        <v>200</v>
      </c>
      <c r="AD38" s="8">
        <v>7000</v>
      </c>
      <c r="AE38" s="7">
        <v>3</v>
      </c>
      <c r="AF38" s="7">
        <v>0</v>
      </c>
      <c r="AG38" s="8">
        <v>9600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6</v>
      </c>
      <c r="AO38" s="8">
        <v>5400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8</v>
      </c>
      <c r="BA38" s="8">
        <v>8640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518.4</v>
      </c>
      <c r="BM38" s="10">
        <v>30840</v>
      </c>
      <c r="BN38" s="17">
        <f t="shared" si="0"/>
        <v>30321.599999999999</v>
      </c>
      <c r="BO38" s="18">
        <f t="shared" si="1"/>
        <v>21225.119999999999</v>
      </c>
    </row>
    <row r="39" spans="1:67" ht="19.2" x14ac:dyDescent="0.4">
      <c r="A39" s="5" t="s">
        <v>198</v>
      </c>
      <c r="B39" s="5" t="s">
        <v>65</v>
      </c>
      <c r="C39" s="5">
        <v>408317</v>
      </c>
      <c r="D39" s="6"/>
      <c r="E39" s="5" t="s">
        <v>12</v>
      </c>
      <c r="F39" s="5" t="s">
        <v>37</v>
      </c>
      <c r="G39" s="5" t="s">
        <v>23</v>
      </c>
      <c r="H39" s="7" t="s">
        <v>8</v>
      </c>
      <c r="I39" s="7" t="s">
        <v>45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10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23</v>
      </c>
      <c r="AF39" s="7">
        <v>0</v>
      </c>
      <c r="AG39" s="8">
        <v>2300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190</v>
      </c>
      <c r="AX39" s="8">
        <v>22800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9">
        <v>2280</v>
      </c>
      <c r="BM39" s="10">
        <v>25100</v>
      </c>
      <c r="BN39" s="17">
        <f t="shared" si="0"/>
        <v>22820</v>
      </c>
      <c r="BO39" s="18">
        <f t="shared" si="1"/>
        <v>15973.999999999998</v>
      </c>
    </row>
    <row r="40" spans="1:67" x14ac:dyDescent="0.4">
      <c r="A40" s="5" t="s">
        <v>198</v>
      </c>
      <c r="B40" s="5" t="s">
        <v>111</v>
      </c>
      <c r="C40" s="5">
        <v>227013</v>
      </c>
      <c r="D40" s="6"/>
      <c r="E40" s="5" t="s">
        <v>12</v>
      </c>
      <c r="F40" s="5" t="s">
        <v>14</v>
      </c>
      <c r="G40" s="5" t="s">
        <v>12</v>
      </c>
      <c r="H40" s="7" t="s">
        <v>7</v>
      </c>
      <c r="I40" s="7" t="s">
        <v>112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22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161</v>
      </c>
      <c r="AF40" s="8">
        <v>19320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10">
        <v>19320</v>
      </c>
      <c r="BN40" s="17">
        <f t="shared" si="0"/>
        <v>19320</v>
      </c>
      <c r="BO40" s="18">
        <f t="shared" si="1"/>
        <v>13524</v>
      </c>
    </row>
    <row r="41" spans="1:67" x14ac:dyDescent="0.4">
      <c r="A41" s="5" t="s">
        <v>198</v>
      </c>
      <c r="B41" s="5" t="s">
        <v>59</v>
      </c>
      <c r="C41" s="5">
        <v>305089</v>
      </c>
      <c r="D41" s="6"/>
      <c r="E41" s="5" t="s">
        <v>12</v>
      </c>
      <c r="F41" s="5" t="s">
        <v>58</v>
      </c>
      <c r="G41" s="5" t="s">
        <v>12</v>
      </c>
      <c r="H41" s="7" t="s">
        <v>7</v>
      </c>
      <c r="I41" s="7" t="s">
        <v>10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9</v>
      </c>
      <c r="AO41" s="8">
        <v>8100</v>
      </c>
      <c r="AP41" s="7">
        <v>0</v>
      </c>
      <c r="AQ41" s="7">
        <v>0</v>
      </c>
      <c r="AR41" s="7">
        <v>0</v>
      </c>
      <c r="AS41" s="7">
        <v>0</v>
      </c>
      <c r="AT41" s="7">
        <v>9</v>
      </c>
      <c r="AU41" s="8">
        <v>9720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972</v>
      </c>
      <c r="BM41" s="10">
        <v>17820</v>
      </c>
      <c r="BN41" s="17">
        <f t="shared" si="0"/>
        <v>16848</v>
      </c>
      <c r="BO41" s="18">
        <f t="shared" si="1"/>
        <v>11793.599999999999</v>
      </c>
    </row>
    <row r="42" spans="1:67" ht="19.2" x14ac:dyDescent="0.4">
      <c r="A42" s="5" t="s">
        <v>198</v>
      </c>
      <c r="B42" s="5" t="s">
        <v>197</v>
      </c>
      <c r="C42" s="5">
        <v>408450</v>
      </c>
      <c r="D42" s="6"/>
      <c r="E42" s="5" t="s">
        <v>12</v>
      </c>
      <c r="F42" s="5" t="s">
        <v>13</v>
      </c>
      <c r="G42" s="5" t="s">
        <v>23</v>
      </c>
      <c r="H42" s="7" t="s">
        <v>7</v>
      </c>
      <c r="I42" s="7" t="s">
        <v>126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6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7</v>
      </c>
      <c r="AF42" s="7">
        <v>840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73</v>
      </c>
      <c r="AX42" s="8">
        <v>8760</v>
      </c>
      <c r="AY42" s="7">
        <v>0</v>
      </c>
      <c r="AZ42" s="7">
        <v>0</v>
      </c>
      <c r="BA42" s="7">
        <v>0</v>
      </c>
      <c r="BB42" s="7">
        <v>0</v>
      </c>
      <c r="BC42" s="7">
        <v>63</v>
      </c>
      <c r="BD42" s="8">
        <v>7560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9">
        <v>1329.6</v>
      </c>
      <c r="BM42" s="10">
        <v>17160</v>
      </c>
      <c r="BN42" s="17">
        <f t="shared" si="0"/>
        <v>15830.4</v>
      </c>
      <c r="BO42" s="18">
        <f t="shared" si="1"/>
        <v>11081.279999999999</v>
      </c>
    </row>
    <row r="43" spans="1:67" x14ac:dyDescent="0.4">
      <c r="A43" s="5" t="s">
        <v>198</v>
      </c>
      <c r="B43" s="5" t="s">
        <v>107</v>
      </c>
      <c r="C43" s="5">
        <v>194565</v>
      </c>
      <c r="D43" s="6"/>
      <c r="E43" s="5" t="s">
        <v>12</v>
      </c>
      <c r="F43" s="5" t="s">
        <v>17</v>
      </c>
      <c r="G43" s="5" t="s">
        <v>12</v>
      </c>
      <c r="H43" s="7" t="s">
        <v>7</v>
      </c>
      <c r="I43" s="7" t="s">
        <v>108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10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151</v>
      </c>
      <c r="AF43" s="7">
        <v>0</v>
      </c>
      <c r="AG43" s="8">
        <v>15100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17</v>
      </c>
      <c r="AR43" s="8">
        <v>1700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10">
        <v>16800</v>
      </c>
      <c r="BN43" s="17">
        <f t="shared" si="0"/>
        <v>16800</v>
      </c>
      <c r="BO43" s="18">
        <f t="shared" si="1"/>
        <v>11760</v>
      </c>
    </row>
    <row r="44" spans="1:67" ht="19.2" x14ac:dyDescent="0.4">
      <c r="A44" s="5" t="s">
        <v>198</v>
      </c>
      <c r="B44" s="5" t="s">
        <v>97</v>
      </c>
      <c r="C44" s="5">
        <v>408617</v>
      </c>
      <c r="D44" s="6"/>
      <c r="E44" s="5" t="s">
        <v>12</v>
      </c>
      <c r="F44" s="5" t="s">
        <v>13</v>
      </c>
      <c r="G44" s="5" t="s">
        <v>23</v>
      </c>
      <c r="H44" s="7" t="s">
        <v>11</v>
      </c>
      <c r="I44" s="7" t="s">
        <v>45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45</v>
      </c>
      <c r="AF44" s="7">
        <v>600</v>
      </c>
      <c r="AG44" s="8">
        <v>3900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3</v>
      </c>
      <c r="AX44" s="7">
        <v>360</v>
      </c>
      <c r="AY44" s="7">
        <v>0</v>
      </c>
      <c r="AZ44" s="7">
        <v>0</v>
      </c>
      <c r="BA44" s="7">
        <v>0</v>
      </c>
      <c r="BB44" s="7">
        <v>0</v>
      </c>
      <c r="BC44" s="7">
        <v>94</v>
      </c>
      <c r="BD44" s="8">
        <v>11280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712.8</v>
      </c>
      <c r="BM44" s="10">
        <v>16140</v>
      </c>
      <c r="BN44" s="17">
        <f t="shared" si="0"/>
        <v>15427.2</v>
      </c>
      <c r="BO44" s="18">
        <f t="shared" si="1"/>
        <v>10799.039999999999</v>
      </c>
    </row>
    <row r="45" spans="1:67" x14ac:dyDescent="0.4">
      <c r="A45" s="5" t="s">
        <v>198</v>
      </c>
      <c r="B45" s="5" t="s">
        <v>72</v>
      </c>
      <c r="C45" s="5">
        <v>189476</v>
      </c>
      <c r="D45" s="6"/>
      <c r="E45" s="5" t="s">
        <v>12</v>
      </c>
      <c r="F45" s="5" t="s">
        <v>37</v>
      </c>
      <c r="G45" s="5" t="s">
        <v>12</v>
      </c>
      <c r="H45" s="7" t="s">
        <v>7</v>
      </c>
      <c r="I45" s="7" t="s">
        <v>73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2</v>
      </c>
      <c r="AC45" s="7">
        <v>0</v>
      </c>
      <c r="AD45" s="8">
        <v>1800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3</v>
      </c>
      <c r="AO45" s="8">
        <v>2700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10</v>
      </c>
      <c r="BA45" s="8">
        <v>10800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648</v>
      </c>
      <c r="BM45" s="10">
        <v>15300</v>
      </c>
      <c r="BN45" s="17">
        <f t="shared" si="0"/>
        <v>14652</v>
      </c>
      <c r="BO45" s="18">
        <f t="shared" si="1"/>
        <v>10256.4</v>
      </c>
    </row>
    <row r="46" spans="1:67" x14ac:dyDescent="0.4">
      <c r="A46" s="5" t="s">
        <v>198</v>
      </c>
      <c r="B46" s="5" t="s">
        <v>118</v>
      </c>
      <c r="C46" s="5">
        <v>210381</v>
      </c>
      <c r="D46" s="6"/>
      <c r="E46" s="5" t="s">
        <v>12</v>
      </c>
      <c r="F46" s="5" t="s">
        <v>37</v>
      </c>
      <c r="G46" s="5" t="s">
        <v>12</v>
      </c>
      <c r="H46" s="7" t="s">
        <v>7</v>
      </c>
      <c r="I46" s="7" t="s">
        <v>119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15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24</v>
      </c>
      <c r="AF46" s="8">
        <v>2000</v>
      </c>
      <c r="AG46" s="7">
        <v>400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127</v>
      </c>
      <c r="AR46" s="8">
        <v>12700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10">
        <v>15100</v>
      </c>
      <c r="BN46" s="17">
        <f t="shared" si="0"/>
        <v>15100</v>
      </c>
      <c r="BO46" s="18">
        <f t="shared" si="1"/>
        <v>10570</v>
      </c>
    </row>
    <row r="47" spans="1:67" x14ac:dyDescent="0.4">
      <c r="A47" s="5" t="s">
        <v>198</v>
      </c>
      <c r="B47" s="5" t="s">
        <v>75</v>
      </c>
      <c r="C47" s="5">
        <v>239858</v>
      </c>
      <c r="D47" s="6"/>
      <c r="E47" s="5" t="s">
        <v>12</v>
      </c>
      <c r="F47" s="5" t="s">
        <v>13</v>
      </c>
      <c r="G47" s="5" t="s">
        <v>12</v>
      </c>
      <c r="H47" s="7" t="s">
        <v>7</v>
      </c>
      <c r="I47" s="7" t="s">
        <v>76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4</v>
      </c>
      <c r="AC47" s="8">
        <v>3240</v>
      </c>
      <c r="AD47" s="7">
        <v>900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10</v>
      </c>
      <c r="BA47" s="8">
        <v>10800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648</v>
      </c>
      <c r="BM47" s="10">
        <v>14940</v>
      </c>
      <c r="BN47" s="17">
        <f t="shared" si="0"/>
        <v>14292</v>
      </c>
      <c r="BO47" s="18">
        <f t="shared" si="1"/>
        <v>10004.4</v>
      </c>
    </row>
    <row r="48" spans="1:67" x14ac:dyDescent="0.4">
      <c r="A48" s="5" t="s">
        <v>198</v>
      </c>
      <c r="B48" s="5" t="s">
        <v>67</v>
      </c>
      <c r="C48" s="5">
        <v>238494</v>
      </c>
      <c r="D48" s="6"/>
      <c r="E48" s="5" t="s">
        <v>12</v>
      </c>
      <c r="F48" s="5" t="s">
        <v>37</v>
      </c>
      <c r="G48" s="5" t="s">
        <v>12</v>
      </c>
      <c r="H48" s="7" t="s">
        <v>7</v>
      </c>
      <c r="I48" s="7" t="s">
        <v>68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5</v>
      </c>
      <c r="AC48" s="8">
        <v>4680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1</v>
      </c>
      <c r="AO48" s="7">
        <v>900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8</v>
      </c>
      <c r="BA48" s="8">
        <v>8640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518.4</v>
      </c>
      <c r="BM48" s="10">
        <v>14220</v>
      </c>
      <c r="BN48" s="17">
        <f t="shared" si="0"/>
        <v>13701.6</v>
      </c>
      <c r="BO48" s="18">
        <f t="shared" si="1"/>
        <v>9591.119999999999</v>
      </c>
    </row>
    <row r="49" spans="1:67" x14ac:dyDescent="0.4">
      <c r="A49" s="5" t="s">
        <v>198</v>
      </c>
      <c r="B49" s="5" t="s">
        <v>54</v>
      </c>
      <c r="C49" s="5">
        <v>192728</v>
      </c>
      <c r="D49" s="6"/>
      <c r="E49" s="5" t="s">
        <v>12</v>
      </c>
      <c r="F49" s="5" t="s">
        <v>37</v>
      </c>
      <c r="G49" s="5" t="s">
        <v>12</v>
      </c>
      <c r="H49" s="7" t="s">
        <v>7</v>
      </c>
      <c r="I49" s="7" t="s">
        <v>38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3</v>
      </c>
      <c r="AC49" s="8">
        <v>2400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7</v>
      </c>
      <c r="AU49" s="8">
        <v>7560</v>
      </c>
      <c r="AV49" s="7">
        <v>0</v>
      </c>
      <c r="AW49" s="7">
        <v>0</v>
      </c>
      <c r="AX49" s="7">
        <v>0</v>
      </c>
      <c r="AY49" s="7">
        <v>0</v>
      </c>
      <c r="AZ49" s="7">
        <v>4</v>
      </c>
      <c r="BA49" s="8">
        <v>3600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972</v>
      </c>
      <c r="BM49" s="10">
        <v>13560</v>
      </c>
      <c r="BN49" s="17">
        <f t="shared" si="0"/>
        <v>12588</v>
      </c>
      <c r="BO49" s="18">
        <f t="shared" si="1"/>
        <v>8811.5999999999985</v>
      </c>
    </row>
    <row r="50" spans="1:67" x14ac:dyDescent="0.4">
      <c r="A50" s="5" t="s">
        <v>198</v>
      </c>
      <c r="B50" s="5" t="s">
        <v>50</v>
      </c>
      <c r="C50" s="5">
        <v>183137</v>
      </c>
      <c r="D50" s="6"/>
      <c r="E50" s="5" t="s">
        <v>12</v>
      </c>
      <c r="F50" s="5" t="s">
        <v>14</v>
      </c>
      <c r="G50" s="5" t="s">
        <v>12</v>
      </c>
      <c r="H50" s="7" t="s">
        <v>7</v>
      </c>
      <c r="I50" s="7" t="s">
        <v>51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5</v>
      </c>
      <c r="AC50" s="8">
        <v>5400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7</v>
      </c>
      <c r="BA50" s="8">
        <v>7560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453.6</v>
      </c>
      <c r="BM50" s="10">
        <v>12960</v>
      </c>
      <c r="BN50" s="17">
        <f t="shared" si="0"/>
        <v>12506.4</v>
      </c>
      <c r="BO50" s="18">
        <f t="shared" si="1"/>
        <v>8754.48</v>
      </c>
    </row>
    <row r="51" spans="1:67" ht="19.2" x14ac:dyDescent="0.4">
      <c r="A51" s="5" t="s">
        <v>198</v>
      </c>
      <c r="B51" s="5" t="s">
        <v>87</v>
      </c>
      <c r="C51" s="5">
        <v>408056</v>
      </c>
      <c r="D51" s="6"/>
      <c r="E51" s="5" t="s">
        <v>12</v>
      </c>
      <c r="F51" s="5" t="s">
        <v>14</v>
      </c>
      <c r="G51" s="5" t="s">
        <v>23</v>
      </c>
      <c r="H51" s="7" t="s">
        <v>7</v>
      </c>
      <c r="I51" s="7" t="s">
        <v>88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64</v>
      </c>
      <c r="AF51" s="7">
        <v>0</v>
      </c>
      <c r="AG51" s="8">
        <v>6400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43</v>
      </c>
      <c r="BD51" s="8">
        <v>5160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309.60000000000002</v>
      </c>
      <c r="BM51" s="10">
        <v>11560</v>
      </c>
      <c r="BN51" s="17">
        <f t="shared" si="0"/>
        <v>11250.4</v>
      </c>
      <c r="BO51" s="18">
        <f t="shared" si="1"/>
        <v>7875.2799999999988</v>
      </c>
    </row>
    <row r="52" spans="1:67" ht="19.2" x14ac:dyDescent="0.4">
      <c r="A52" s="5" t="s">
        <v>198</v>
      </c>
      <c r="B52" s="5" t="s">
        <v>125</v>
      </c>
      <c r="C52" s="5">
        <v>409391</v>
      </c>
      <c r="D52" s="6"/>
      <c r="E52" s="5" t="s">
        <v>12</v>
      </c>
      <c r="F52" s="5" t="s">
        <v>37</v>
      </c>
      <c r="G52" s="5" t="s">
        <v>23</v>
      </c>
      <c r="H52" s="7" t="s">
        <v>7</v>
      </c>
      <c r="I52" s="7" t="s">
        <v>24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10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8</v>
      </c>
      <c r="AF52" s="7">
        <v>0</v>
      </c>
      <c r="AG52" s="7">
        <v>800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90</v>
      </c>
      <c r="AR52" s="8">
        <v>8800</v>
      </c>
      <c r="AS52" s="7">
        <v>200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10">
        <v>9800</v>
      </c>
      <c r="BN52" s="17">
        <f t="shared" si="0"/>
        <v>9800</v>
      </c>
      <c r="BO52" s="18">
        <f t="shared" si="1"/>
        <v>6860</v>
      </c>
    </row>
    <row r="53" spans="1:67" x14ac:dyDescent="0.4">
      <c r="A53" s="5" t="s">
        <v>198</v>
      </c>
      <c r="B53" s="5" t="s">
        <v>90</v>
      </c>
      <c r="C53" s="5">
        <v>99966</v>
      </c>
      <c r="D53" s="6"/>
      <c r="E53" s="5" t="s">
        <v>12</v>
      </c>
      <c r="F53" s="5" t="s">
        <v>17</v>
      </c>
      <c r="G53" s="5" t="s">
        <v>12</v>
      </c>
      <c r="H53" s="7" t="s">
        <v>11</v>
      </c>
      <c r="I53" s="7" t="s">
        <v>91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3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86</v>
      </c>
      <c r="AF53" s="7">
        <v>0</v>
      </c>
      <c r="AG53" s="8">
        <v>8600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10">
        <v>8600</v>
      </c>
      <c r="BN53" s="17">
        <f t="shared" si="0"/>
        <v>8600</v>
      </c>
      <c r="BO53" s="18">
        <f t="shared" si="1"/>
        <v>6020</v>
      </c>
    </row>
    <row r="54" spans="1:67" x14ac:dyDescent="0.4">
      <c r="A54" s="5" t="s">
        <v>198</v>
      </c>
      <c r="B54" s="5" t="s">
        <v>109</v>
      </c>
      <c r="C54" s="5">
        <v>174583</v>
      </c>
      <c r="D54" s="6"/>
      <c r="E54" s="5" t="s">
        <v>12</v>
      </c>
      <c r="F54" s="5" t="s">
        <v>14</v>
      </c>
      <c r="G54" s="5" t="s">
        <v>12</v>
      </c>
      <c r="H54" s="7" t="s">
        <v>7</v>
      </c>
      <c r="I54" s="7" t="s">
        <v>110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9</v>
      </c>
      <c r="AO54" s="8">
        <v>8100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10">
        <v>8100</v>
      </c>
      <c r="BN54" s="17">
        <f t="shared" si="0"/>
        <v>8100</v>
      </c>
      <c r="BO54" s="18">
        <f t="shared" si="1"/>
        <v>5670</v>
      </c>
    </row>
    <row r="55" spans="1:67" x14ac:dyDescent="0.4">
      <c r="A55" s="5" t="s">
        <v>198</v>
      </c>
      <c r="B55" s="5" t="s">
        <v>133</v>
      </c>
      <c r="C55" s="5">
        <v>376036</v>
      </c>
      <c r="D55" s="6"/>
      <c r="E55" s="5" t="s">
        <v>12</v>
      </c>
      <c r="F55" s="5" t="s">
        <v>14</v>
      </c>
      <c r="G55" s="5" t="s">
        <v>12</v>
      </c>
      <c r="H55" s="7" t="s">
        <v>7</v>
      </c>
      <c r="I55" s="7" t="s">
        <v>134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5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1</v>
      </c>
      <c r="AF55" s="7">
        <v>100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45</v>
      </c>
      <c r="AX55" s="8">
        <v>5400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540</v>
      </c>
      <c r="BM55" s="10">
        <v>5500</v>
      </c>
      <c r="BN55" s="17">
        <f t="shared" si="0"/>
        <v>4960</v>
      </c>
      <c r="BO55" s="18">
        <f t="shared" si="1"/>
        <v>3472</v>
      </c>
    </row>
    <row r="56" spans="1:67" x14ac:dyDescent="0.4">
      <c r="A56" s="5" t="s">
        <v>198</v>
      </c>
      <c r="B56" s="5" t="s">
        <v>114</v>
      </c>
      <c r="C56" s="5">
        <v>285990</v>
      </c>
      <c r="D56" s="6"/>
      <c r="E56" s="5" t="s">
        <v>12</v>
      </c>
      <c r="F56" s="5" t="s">
        <v>13</v>
      </c>
      <c r="G56" s="5" t="s">
        <v>12</v>
      </c>
      <c r="H56" s="7" t="s">
        <v>7</v>
      </c>
      <c r="I56" s="7" t="s">
        <v>49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2</v>
      </c>
      <c r="AC56" s="8">
        <v>2160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1</v>
      </c>
      <c r="BA56" s="8">
        <v>1080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64.8</v>
      </c>
      <c r="BM56" s="10">
        <v>3240</v>
      </c>
      <c r="BN56" s="17">
        <f t="shared" si="0"/>
        <v>3175.2</v>
      </c>
      <c r="BO56" s="18">
        <f t="shared" si="1"/>
        <v>2222.64</v>
      </c>
    </row>
    <row r="57" spans="1:67" ht="19.2" x14ac:dyDescent="0.4">
      <c r="A57" s="5" t="s">
        <v>198</v>
      </c>
      <c r="B57" s="5" t="s">
        <v>117</v>
      </c>
      <c r="C57" s="5">
        <v>406368</v>
      </c>
      <c r="D57" s="6"/>
      <c r="E57" s="5" t="s">
        <v>12</v>
      </c>
      <c r="F57" s="5" t="s">
        <v>85</v>
      </c>
      <c r="G57" s="5" t="s">
        <v>23</v>
      </c>
      <c r="H57" s="7" t="s">
        <v>7</v>
      </c>
      <c r="I57" s="7" t="s">
        <v>55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1</v>
      </c>
      <c r="AF57" s="8">
        <v>3200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10">
        <v>3200</v>
      </c>
      <c r="BN57" s="17">
        <f t="shared" si="0"/>
        <v>3200</v>
      </c>
      <c r="BO57" s="18">
        <f t="shared" si="1"/>
        <v>2240</v>
      </c>
    </row>
    <row r="58" spans="1:67" x14ac:dyDescent="0.4">
      <c r="A58" s="5" t="s">
        <v>198</v>
      </c>
      <c r="B58" s="5" t="s">
        <v>127</v>
      </c>
      <c r="C58" s="5">
        <v>227856</v>
      </c>
      <c r="D58" s="6"/>
      <c r="E58" s="5" t="s">
        <v>12</v>
      </c>
      <c r="F58" s="5" t="s">
        <v>128</v>
      </c>
      <c r="G58" s="5" t="s">
        <v>12</v>
      </c>
      <c r="H58" s="7" t="s">
        <v>7</v>
      </c>
      <c r="I58" s="7" t="s">
        <v>129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2</v>
      </c>
      <c r="BA58" s="8">
        <v>2160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129.6</v>
      </c>
      <c r="BM58" s="10">
        <v>2160</v>
      </c>
      <c r="BN58" s="17">
        <f t="shared" si="0"/>
        <v>2030.4</v>
      </c>
      <c r="BO58" s="18">
        <f t="shared" si="1"/>
        <v>1421.28</v>
      </c>
    </row>
    <row r="59" spans="1:67" x14ac:dyDescent="0.4">
      <c r="A59" s="5" t="s">
        <v>198</v>
      </c>
      <c r="B59" s="5" t="s">
        <v>123</v>
      </c>
      <c r="C59" s="5">
        <v>332843</v>
      </c>
      <c r="D59" s="6"/>
      <c r="E59" s="5" t="s">
        <v>12</v>
      </c>
      <c r="F59" s="5" t="s">
        <v>13</v>
      </c>
      <c r="G59" s="5" t="s">
        <v>12</v>
      </c>
      <c r="H59" s="7" t="s">
        <v>7</v>
      </c>
      <c r="I59" s="7" t="s">
        <v>124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16</v>
      </c>
      <c r="BD59" s="8">
        <v>1920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115.2</v>
      </c>
      <c r="BM59" s="10">
        <v>1920</v>
      </c>
      <c r="BN59" s="17">
        <f t="shared" si="0"/>
        <v>1804.8</v>
      </c>
      <c r="BO59" s="18">
        <f t="shared" si="1"/>
        <v>1263.3599999999999</v>
      </c>
    </row>
    <row r="60" spans="1:67" x14ac:dyDescent="0.4">
      <c r="A60" s="5" t="s">
        <v>198</v>
      </c>
      <c r="B60" s="5" t="s">
        <v>100</v>
      </c>
      <c r="C60" s="5">
        <v>308470</v>
      </c>
      <c r="D60" s="6"/>
      <c r="E60" s="5" t="s">
        <v>12</v>
      </c>
      <c r="F60" s="5" t="s">
        <v>37</v>
      </c>
      <c r="G60" s="5" t="s">
        <v>12</v>
      </c>
      <c r="H60" s="7" t="s">
        <v>7</v>
      </c>
      <c r="I60" s="7" t="s">
        <v>101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12</v>
      </c>
      <c r="AF60" s="7">
        <v>0</v>
      </c>
      <c r="AG60" s="8">
        <v>1200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1</v>
      </c>
      <c r="BD60" s="7">
        <v>120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7.2</v>
      </c>
      <c r="BM60" s="10">
        <v>1320</v>
      </c>
      <c r="BN60" s="17">
        <f t="shared" si="0"/>
        <v>1312.8</v>
      </c>
      <c r="BO60" s="18">
        <f t="shared" si="1"/>
        <v>918.95999999999992</v>
      </c>
    </row>
    <row r="61" spans="1:67" x14ac:dyDescent="0.4">
      <c r="A61" s="5" t="s">
        <v>198</v>
      </c>
      <c r="B61" s="5" t="s">
        <v>135</v>
      </c>
      <c r="C61" s="5">
        <v>229599</v>
      </c>
      <c r="D61" s="6"/>
      <c r="E61" s="5" t="s">
        <v>12</v>
      </c>
      <c r="F61" s="5" t="s">
        <v>13</v>
      </c>
      <c r="G61" s="5" t="s">
        <v>12</v>
      </c>
      <c r="H61" s="7" t="s">
        <v>7</v>
      </c>
      <c r="I61" s="7" t="s">
        <v>136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1</v>
      </c>
      <c r="AU61" s="8">
        <v>1080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108</v>
      </c>
      <c r="BM61" s="10">
        <v>1080</v>
      </c>
      <c r="BN61" s="17">
        <f t="shared" si="0"/>
        <v>972</v>
      </c>
      <c r="BO61" s="18">
        <f t="shared" si="1"/>
        <v>680.4</v>
      </c>
    </row>
    <row r="62" spans="1:67" ht="19.2" x14ac:dyDescent="0.4">
      <c r="A62" s="5" t="s">
        <v>198</v>
      </c>
      <c r="B62" s="5" t="s">
        <v>62</v>
      </c>
      <c r="C62" s="5">
        <v>406370</v>
      </c>
      <c r="D62" s="6"/>
      <c r="E62" s="5" t="s">
        <v>12</v>
      </c>
      <c r="F62" s="5" t="s">
        <v>37</v>
      </c>
      <c r="G62" s="5" t="s">
        <v>23</v>
      </c>
      <c r="H62" s="7" t="s">
        <v>8</v>
      </c>
      <c r="I62" s="7" t="s">
        <v>55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1</v>
      </c>
      <c r="AC62" s="7">
        <v>900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11">
        <v>900</v>
      </c>
      <c r="BN62" s="17">
        <f t="shared" si="0"/>
        <v>900</v>
      </c>
      <c r="BO62" s="18">
        <f t="shared" si="1"/>
        <v>630</v>
      </c>
    </row>
    <row r="63" spans="1:67" x14ac:dyDescent="0.4">
      <c r="A63" s="5" t="s">
        <v>198</v>
      </c>
      <c r="B63" s="5" t="s">
        <v>104</v>
      </c>
      <c r="C63" s="5">
        <v>388417</v>
      </c>
      <c r="D63" s="6"/>
      <c r="E63" s="5" t="s">
        <v>12</v>
      </c>
      <c r="F63" s="5" t="s">
        <v>105</v>
      </c>
      <c r="G63" s="5" t="s">
        <v>12</v>
      </c>
      <c r="H63" s="7" t="s">
        <v>7</v>
      </c>
      <c r="I63" s="7" t="s">
        <v>106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2</v>
      </c>
      <c r="AF63" s="7">
        <v>0</v>
      </c>
      <c r="AG63" s="7">
        <v>200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7</v>
      </c>
      <c r="AR63" s="7">
        <v>700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11">
        <v>900</v>
      </c>
      <c r="BN63" s="17">
        <f t="shared" si="0"/>
        <v>900</v>
      </c>
      <c r="BO63" s="18">
        <f t="shared" si="1"/>
        <v>630</v>
      </c>
    </row>
    <row r="64" spans="1:67" ht="19.2" x14ac:dyDescent="0.4">
      <c r="A64" s="5" t="s">
        <v>198</v>
      </c>
      <c r="B64" s="5" t="s">
        <v>137</v>
      </c>
      <c r="C64" s="5">
        <v>408463</v>
      </c>
      <c r="D64" s="6"/>
      <c r="E64" s="5" t="s">
        <v>12</v>
      </c>
      <c r="F64" s="5" t="s">
        <v>138</v>
      </c>
      <c r="G64" s="5" t="s">
        <v>23</v>
      </c>
      <c r="H64" s="7" t="s">
        <v>7</v>
      </c>
      <c r="I64" s="7" t="s">
        <v>126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7</v>
      </c>
      <c r="BD64" s="7">
        <v>840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50.4</v>
      </c>
      <c r="BM64" s="11">
        <v>840</v>
      </c>
      <c r="BN64" s="17">
        <f t="shared" si="0"/>
        <v>789.6</v>
      </c>
      <c r="BO64" s="18">
        <f t="shared" si="1"/>
        <v>552.72</v>
      </c>
    </row>
    <row r="65" spans="1:67" ht="19.2" x14ac:dyDescent="0.4">
      <c r="A65" s="5" t="s">
        <v>198</v>
      </c>
      <c r="B65" s="5" t="s">
        <v>139</v>
      </c>
      <c r="C65" s="5">
        <v>408332</v>
      </c>
      <c r="D65" s="6"/>
      <c r="E65" s="5" t="s">
        <v>12</v>
      </c>
      <c r="F65" s="5" t="s">
        <v>13</v>
      </c>
      <c r="G65" s="5" t="s">
        <v>23</v>
      </c>
      <c r="H65" s="7" t="s">
        <v>7</v>
      </c>
      <c r="I65" s="7" t="s">
        <v>99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1</v>
      </c>
      <c r="AF65" s="7">
        <v>0</v>
      </c>
      <c r="AG65" s="7">
        <v>100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6</v>
      </c>
      <c r="BD65" s="7">
        <v>720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43.2</v>
      </c>
      <c r="BM65" s="11">
        <v>820</v>
      </c>
      <c r="BN65" s="17">
        <f t="shared" si="0"/>
        <v>776.8</v>
      </c>
      <c r="BO65" s="18">
        <f t="shared" si="1"/>
        <v>543.75999999999988</v>
      </c>
    </row>
    <row r="66" spans="1:67" ht="19.2" x14ac:dyDescent="0.4">
      <c r="A66" s="5" t="s">
        <v>199</v>
      </c>
      <c r="B66" s="5" t="s">
        <v>15</v>
      </c>
      <c r="C66" s="5">
        <v>355332</v>
      </c>
      <c r="D66" s="6"/>
      <c r="E66" s="5" t="s">
        <v>12</v>
      </c>
      <c r="F66" s="5" t="s">
        <v>14</v>
      </c>
      <c r="G66" s="5" t="s">
        <v>12</v>
      </c>
      <c r="H66" s="7" t="s">
        <v>8</v>
      </c>
      <c r="I66" s="7" t="s">
        <v>66</v>
      </c>
      <c r="J66" s="7">
        <v>1</v>
      </c>
      <c r="K66" s="7">
        <v>9</v>
      </c>
      <c r="L66" s="7">
        <v>100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272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8">
        <v>2991</v>
      </c>
      <c r="AF66" s="8">
        <v>239620</v>
      </c>
      <c r="AG66" s="8">
        <v>83500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288</v>
      </c>
      <c r="AR66" s="8">
        <v>26800</v>
      </c>
      <c r="AS66" s="8">
        <v>2000</v>
      </c>
      <c r="AT66" s="7">
        <v>0</v>
      </c>
      <c r="AU66" s="7">
        <v>0</v>
      </c>
      <c r="AV66" s="7">
        <v>0</v>
      </c>
      <c r="AW66" s="7">
        <v>585</v>
      </c>
      <c r="AX66" s="8">
        <v>70200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8">
        <v>1748</v>
      </c>
      <c r="BJ66" s="8">
        <v>209760</v>
      </c>
      <c r="BK66" s="7">
        <v>0</v>
      </c>
      <c r="BL66" s="9">
        <v>17508</v>
      </c>
      <c r="BM66" s="10">
        <v>631980</v>
      </c>
      <c r="BN66" s="17">
        <f t="shared" si="0"/>
        <v>614472</v>
      </c>
      <c r="BO66" s="18">
        <f t="shared" si="1"/>
        <v>430130.39999999997</v>
      </c>
    </row>
    <row r="67" spans="1:67" ht="19.2" x14ac:dyDescent="0.4">
      <c r="A67" s="5" t="s">
        <v>199</v>
      </c>
      <c r="B67" s="5" t="s">
        <v>22</v>
      </c>
      <c r="C67" s="5">
        <v>409392</v>
      </c>
      <c r="D67" s="6"/>
      <c r="E67" s="5" t="s">
        <v>12</v>
      </c>
      <c r="F67" s="5" t="s">
        <v>14</v>
      </c>
      <c r="G67" s="5" t="s">
        <v>23</v>
      </c>
      <c r="H67" s="7" t="s">
        <v>7</v>
      </c>
      <c r="I67" s="7" t="s">
        <v>24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288</v>
      </c>
      <c r="AF67" s="8">
        <v>34560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340</v>
      </c>
      <c r="BJ67" s="8">
        <v>40800</v>
      </c>
      <c r="BK67" s="7">
        <v>0</v>
      </c>
      <c r="BL67" s="9">
        <v>2040</v>
      </c>
      <c r="BM67" s="10">
        <v>75360</v>
      </c>
      <c r="BN67" s="17">
        <f t="shared" ref="BN67" si="2">BM67-BL67</f>
        <v>73320</v>
      </c>
      <c r="BO67" s="18">
        <f t="shared" ref="BO67" si="3">BN67*70%</f>
        <v>51324</v>
      </c>
    </row>
    <row r="68" spans="1:67" ht="19.2" x14ac:dyDescent="0.4">
      <c r="A68" s="5" t="s">
        <v>199</v>
      </c>
      <c r="B68" s="5" t="s">
        <v>25</v>
      </c>
      <c r="C68" s="5">
        <v>165741</v>
      </c>
      <c r="D68" s="6"/>
      <c r="E68" s="5" t="s">
        <v>12</v>
      </c>
      <c r="F68" s="5" t="s">
        <v>14</v>
      </c>
      <c r="G68" s="5" t="s">
        <v>12</v>
      </c>
      <c r="H68" s="7" t="s">
        <v>7</v>
      </c>
      <c r="I68" s="7" t="s">
        <v>26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37</v>
      </c>
      <c r="AC68" s="8">
        <v>39960</v>
      </c>
      <c r="AD68" s="7">
        <v>0</v>
      </c>
      <c r="AE68" s="7">
        <v>1</v>
      </c>
      <c r="AF68" s="8">
        <v>3840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9</v>
      </c>
      <c r="AO68" s="8">
        <v>8100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10">
        <v>51900</v>
      </c>
      <c r="BN68" s="17">
        <f>BM68-BL68</f>
        <v>51900</v>
      </c>
      <c r="BO68" s="18">
        <f t="shared" ref="BO68:BO93" si="4">BN68*70%</f>
        <v>36330</v>
      </c>
    </row>
    <row r="69" spans="1:67" ht="19.2" x14ac:dyDescent="0.4">
      <c r="A69" s="5" t="s">
        <v>199</v>
      </c>
      <c r="B69" s="5" t="s">
        <v>79</v>
      </c>
      <c r="C69" s="5">
        <v>418829</v>
      </c>
      <c r="D69" s="6"/>
      <c r="E69" s="5" t="s">
        <v>12</v>
      </c>
      <c r="F69" s="5" t="s">
        <v>17</v>
      </c>
      <c r="G69" s="5" t="s">
        <v>12</v>
      </c>
      <c r="H69" s="7" t="s">
        <v>7</v>
      </c>
      <c r="I69" s="7" t="s">
        <v>80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30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49</v>
      </c>
      <c r="AF69" s="7">
        <v>0</v>
      </c>
      <c r="AG69" s="8">
        <v>4900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261</v>
      </c>
      <c r="AR69" s="8">
        <v>25200</v>
      </c>
      <c r="AS69" s="7">
        <v>900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10">
        <v>31000</v>
      </c>
      <c r="BN69" s="17">
        <f t="shared" ref="BN69:BN93" si="5">BM69-BL69</f>
        <v>31000</v>
      </c>
      <c r="BO69" s="18">
        <f t="shared" si="4"/>
        <v>21700</v>
      </c>
    </row>
    <row r="70" spans="1:67" ht="19.2" x14ac:dyDescent="0.4">
      <c r="A70" s="5" t="s">
        <v>199</v>
      </c>
      <c r="B70" s="5" t="s">
        <v>87</v>
      </c>
      <c r="C70" s="5">
        <v>408056</v>
      </c>
      <c r="D70" s="6"/>
      <c r="E70" s="5" t="s">
        <v>12</v>
      </c>
      <c r="F70" s="5" t="s">
        <v>14</v>
      </c>
      <c r="G70" s="5" t="s">
        <v>23</v>
      </c>
      <c r="H70" s="7" t="s">
        <v>7</v>
      </c>
      <c r="I70" s="7" t="s">
        <v>88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215</v>
      </c>
      <c r="BJ70" s="8">
        <v>25800</v>
      </c>
      <c r="BK70" s="7">
        <v>0</v>
      </c>
      <c r="BL70" s="9">
        <v>1290</v>
      </c>
      <c r="BM70" s="10">
        <v>25800</v>
      </c>
      <c r="BN70" s="17">
        <f t="shared" si="5"/>
        <v>24510</v>
      </c>
      <c r="BO70" s="18">
        <f t="shared" si="4"/>
        <v>17157</v>
      </c>
    </row>
    <row r="71" spans="1:67" ht="19.2" x14ac:dyDescent="0.4">
      <c r="A71" s="5" t="s">
        <v>199</v>
      </c>
      <c r="B71" s="5" t="s">
        <v>16</v>
      </c>
      <c r="C71" s="5">
        <v>159260</v>
      </c>
      <c r="D71" s="6"/>
      <c r="E71" s="5" t="s">
        <v>12</v>
      </c>
      <c r="F71" s="5" t="s">
        <v>17</v>
      </c>
      <c r="G71" s="5" t="s">
        <v>12</v>
      </c>
      <c r="H71" s="7" t="s">
        <v>7</v>
      </c>
      <c r="I71" s="7" t="s">
        <v>18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12</v>
      </c>
      <c r="AC71" s="8">
        <v>12960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4</v>
      </c>
      <c r="AR71" s="8">
        <v>12600</v>
      </c>
      <c r="AS71" s="7">
        <v>200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10">
        <v>25760</v>
      </c>
      <c r="BN71" s="17">
        <f t="shared" si="5"/>
        <v>25760</v>
      </c>
      <c r="BO71" s="18">
        <f t="shared" si="4"/>
        <v>18032</v>
      </c>
    </row>
    <row r="72" spans="1:67" ht="19.2" x14ac:dyDescent="0.4">
      <c r="A72" s="5" t="s">
        <v>199</v>
      </c>
      <c r="B72" s="5" t="s">
        <v>65</v>
      </c>
      <c r="C72" s="5">
        <v>408317</v>
      </c>
      <c r="D72" s="6"/>
      <c r="E72" s="5" t="s">
        <v>12</v>
      </c>
      <c r="F72" s="5" t="s">
        <v>37</v>
      </c>
      <c r="G72" s="5" t="s">
        <v>23</v>
      </c>
      <c r="H72" s="7" t="s">
        <v>8</v>
      </c>
      <c r="I72" s="7" t="s">
        <v>45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207</v>
      </c>
      <c r="AF72" s="8">
        <v>24380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10">
        <v>24380</v>
      </c>
      <c r="BN72" s="17">
        <f t="shared" si="5"/>
        <v>24380</v>
      </c>
      <c r="BO72" s="18">
        <f t="shared" si="4"/>
        <v>17066</v>
      </c>
    </row>
    <row r="73" spans="1:67" ht="19.2" x14ac:dyDescent="0.4">
      <c r="A73" s="5" t="s">
        <v>199</v>
      </c>
      <c r="B73" s="5" t="s">
        <v>34</v>
      </c>
      <c r="C73" s="5">
        <v>159266</v>
      </c>
      <c r="D73" s="6"/>
      <c r="E73" s="5" t="s">
        <v>12</v>
      </c>
      <c r="F73" s="5" t="s">
        <v>17</v>
      </c>
      <c r="G73" s="5" t="s">
        <v>12</v>
      </c>
      <c r="H73" s="7" t="s">
        <v>7</v>
      </c>
      <c r="I73" s="7" t="s">
        <v>30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23</v>
      </c>
      <c r="AC73" s="8">
        <v>23040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10">
        <v>23040</v>
      </c>
      <c r="BN73" s="17">
        <f t="shared" si="5"/>
        <v>23040</v>
      </c>
      <c r="BO73" s="18">
        <f t="shared" si="4"/>
        <v>16127.999999999998</v>
      </c>
    </row>
    <row r="74" spans="1:67" ht="19.2" x14ac:dyDescent="0.4">
      <c r="A74" s="5" t="s">
        <v>199</v>
      </c>
      <c r="B74" s="5" t="s">
        <v>31</v>
      </c>
      <c r="C74" s="5">
        <v>159258</v>
      </c>
      <c r="D74" s="6"/>
      <c r="E74" s="5" t="s">
        <v>12</v>
      </c>
      <c r="F74" s="5" t="s">
        <v>17</v>
      </c>
      <c r="G74" s="5" t="s">
        <v>12</v>
      </c>
      <c r="H74" s="7" t="s">
        <v>7</v>
      </c>
      <c r="I74" s="7" t="s">
        <v>30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23</v>
      </c>
      <c r="AC74" s="8">
        <v>21220</v>
      </c>
      <c r="AD74" s="7">
        <v>200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10">
        <v>21420</v>
      </c>
      <c r="BN74" s="17">
        <f t="shared" si="5"/>
        <v>21420</v>
      </c>
      <c r="BO74" s="18">
        <f t="shared" si="4"/>
        <v>14993.999999999998</v>
      </c>
    </row>
    <row r="75" spans="1:67" ht="19.2" x14ac:dyDescent="0.4">
      <c r="A75" s="5" t="s">
        <v>199</v>
      </c>
      <c r="B75" s="5" t="s">
        <v>93</v>
      </c>
      <c r="C75" s="5">
        <v>395747</v>
      </c>
      <c r="D75" s="6"/>
      <c r="E75" s="5" t="s">
        <v>12</v>
      </c>
      <c r="F75" s="5" t="s">
        <v>13</v>
      </c>
      <c r="G75" s="5" t="s">
        <v>12</v>
      </c>
      <c r="H75" s="7" t="s">
        <v>7</v>
      </c>
      <c r="I75" s="7" t="s">
        <v>94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162</v>
      </c>
      <c r="AF75" s="8">
        <v>19440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10">
        <v>19440</v>
      </c>
      <c r="BN75" s="17">
        <f t="shared" si="5"/>
        <v>19440</v>
      </c>
      <c r="BO75" s="18">
        <f t="shared" si="4"/>
        <v>13608</v>
      </c>
    </row>
    <row r="76" spans="1:67" ht="19.2" x14ac:dyDescent="0.4">
      <c r="A76" s="5" t="s">
        <v>199</v>
      </c>
      <c r="B76" s="5" t="s">
        <v>19</v>
      </c>
      <c r="C76" s="5">
        <v>161539</v>
      </c>
      <c r="D76" s="6"/>
      <c r="E76" s="5" t="s">
        <v>12</v>
      </c>
      <c r="F76" s="5" t="s">
        <v>17</v>
      </c>
      <c r="G76" s="5" t="s">
        <v>12</v>
      </c>
      <c r="H76" s="7" t="s">
        <v>7</v>
      </c>
      <c r="I76" s="7" t="s">
        <v>20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16</v>
      </c>
      <c r="AC76" s="8">
        <v>17280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10">
        <v>17280</v>
      </c>
      <c r="BN76" s="17">
        <f t="shared" si="5"/>
        <v>17280</v>
      </c>
      <c r="BO76" s="18">
        <f t="shared" si="4"/>
        <v>12096</v>
      </c>
    </row>
    <row r="77" spans="1:67" ht="19.2" x14ac:dyDescent="0.4">
      <c r="A77" s="5" t="s">
        <v>199</v>
      </c>
      <c r="B77" s="5" t="s">
        <v>52</v>
      </c>
      <c r="C77" s="5">
        <v>413545</v>
      </c>
      <c r="D77" s="6"/>
      <c r="E77" s="5" t="s">
        <v>12</v>
      </c>
      <c r="F77" s="5" t="s">
        <v>17</v>
      </c>
      <c r="G77" s="5" t="s">
        <v>23</v>
      </c>
      <c r="H77" s="7" t="s">
        <v>8</v>
      </c>
      <c r="I77" s="7" t="s">
        <v>53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125</v>
      </c>
      <c r="AF77" s="8">
        <v>15000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10">
        <v>15000</v>
      </c>
      <c r="BN77" s="17">
        <f t="shared" si="5"/>
        <v>15000</v>
      </c>
      <c r="BO77" s="18">
        <f t="shared" si="4"/>
        <v>10500</v>
      </c>
    </row>
    <row r="78" spans="1:67" ht="19.2" x14ac:dyDescent="0.4">
      <c r="A78" s="5" t="s">
        <v>199</v>
      </c>
      <c r="B78" s="5" t="s">
        <v>95</v>
      </c>
      <c r="C78" s="5">
        <v>287064</v>
      </c>
      <c r="D78" s="6"/>
      <c r="E78" s="5" t="s">
        <v>12</v>
      </c>
      <c r="F78" s="5" t="s">
        <v>58</v>
      </c>
      <c r="G78" s="5" t="s">
        <v>12</v>
      </c>
      <c r="H78" s="7" t="s">
        <v>7</v>
      </c>
      <c r="I78" s="7" t="s">
        <v>96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108</v>
      </c>
      <c r="BJ78" s="8">
        <v>12960</v>
      </c>
      <c r="BK78" s="7">
        <v>0</v>
      </c>
      <c r="BL78" s="7">
        <v>648</v>
      </c>
      <c r="BM78" s="10">
        <v>12960</v>
      </c>
      <c r="BN78" s="17">
        <f t="shared" si="5"/>
        <v>12312</v>
      </c>
      <c r="BO78" s="18">
        <f t="shared" si="4"/>
        <v>8618.4</v>
      </c>
    </row>
    <row r="79" spans="1:67" ht="19.2" x14ac:dyDescent="0.4">
      <c r="A79" s="5" t="s">
        <v>199</v>
      </c>
      <c r="B79" s="5" t="s">
        <v>81</v>
      </c>
      <c r="C79" s="5">
        <v>192737</v>
      </c>
      <c r="D79" s="6"/>
      <c r="E79" s="5" t="s">
        <v>12</v>
      </c>
      <c r="F79" s="5" t="s">
        <v>37</v>
      </c>
      <c r="G79" s="5" t="s">
        <v>12</v>
      </c>
      <c r="H79" s="7" t="s">
        <v>7</v>
      </c>
      <c r="I79" s="7" t="s">
        <v>38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5</v>
      </c>
      <c r="AC79" s="8">
        <v>5400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7</v>
      </c>
      <c r="AO79" s="8">
        <v>6300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10">
        <v>11700</v>
      </c>
      <c r="BN79" s="17">
        <f t="shared" si="5"/>
        <v>11700</v>
      </c>
      <c r="BO79" s="18">
        <f t="shared" si="4"/>
        <v>8189.9999999999991</v>
      </c>
    </row>
    <row r="80" spans="1:67" ht="19.2" x14ac:dyDescent="0.4">
      <c r="A80" s="5" t="s">
        <v>199</v>
      </c>
      <c r="B80" s="5" t="s">
        <v>21</v>
      </c>
      <c r="C80" s="5">
        <v>159270</v>
      </c>
      <c r="D80" s="6"/>
      <c r="E80" s="5" t="s">
        <v>12</v>
      </c>
      <c r="F80" s="5" t="s">
        <v>17</v>
      </c>
      <c r="G80" s="5" t="s">
        <v>12</v>
      </c>
      <c r="H80" s="7" t="s">
        <v>11</v>
      </c>
      <c r="I80" s="7" t="s">
        <v>20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1</v>
      </c>
      <c r="AF80" s="7">
        <v>600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1</v>
      </c>
      <c r="BG80" s="8">
        <v>1080</v>
      </c>
      <c r="BH80" s="7">
        <v>0</v>
      </c>
      <c r="BI80" s="7">
        <v>2</v>
      </c>
      <c r="BJ80" s="8">
        <v>6960</v>
      </c>
      <c r="BK80" s="7">
        <v>0</v>
      </c>
      <c r="BL80" s="7">
        <v>402</v>
      </c>
      <c r="BM80" s="10">
        <v>8640</v>
      </c>
      <c r="BN80" s="17">
        <f t="shared" si="5"/>
        <v>8238</v>
      </c>
      <c r="BO80" s="18">
        <f t="shared" si="4"/>
        <v>5766.5999999999995</v>
      </c>
    </row>
    <row r="81" spans="1:67" ht="19.2" x14ac:dyDescent="0.4">
      <c r="A81" s="5" t="s">
        <v>199</v>
      </c>
      <c r="B81" s="5" t="s">
        <v>39</v>
      </c>
      <c r="C81" s="5">
        <v>268655</v>
      </c>
      <c r="D81" s="6"/>
      <c r="E81" s="5" t="s">
        <v>12</v>
      </c>
      <c r="F81" s="5" t="s">
        <v>17</v>
      </c>
      <c r="G81" s="5" t="s">
        <v>12</v>
      </c>
      <c r="H81" s="7" t="s">
        <v>7</v>
      </c>
      <c r="I81" s="7" t="s">
        <v>40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7</v>
      </c>
      <c r="AC81" s="8">
        <v>7560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10">
        <v>7560</v>
      </c>
      <c r="BN81" s="17">
        <f t="shared" si="5"/>
        <v>7560</v>
      </c>
      <c r="BO81" s="18">
        <f t="shared" si="4"/>
        <v>5292</v>
      </c>
    </row>
    <row r="82" spans="1:67" ht="19.2" x14ac:dyDescent="0.4">
      <c r="A82" s="5" t="s">
        <v>199</v>
      </c>
      <c r="B82" s="5" t="s">
        <v>125</v>
      </c>
      <c r="C82" s="5">
        <v>409391</v>
      </c>
      <c r="D82" s="6"/>
      <c r="E82" s="5" t="s">
        <v>12</v>
      </c>
      <c r="F82" s="5" t="s">
        <v>37</v>
      </c>
      <c r="G82" s="5" t="s">
        <v>23</v>
      </c>
      <c r="H82" s="7" t="s">
        <v>7</v>
      </c>
      <c r="I82" s="7" t="s">
        <v>24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2</v>
      </c>
      <c r="AF82" s="7">
        <v>0</v>
      </c>
      <c r="AG82" s="7">
        <v>200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47</v>
      </c>
      <c r="BJ82" s="8">
        <v>5640</v>
      </c>
      <c r="BK82" s="7">
        <v>0</v>
      </c>
      <c r="BL82" s="7">
        <v>282</v>
      </c>
      <c r="BM82" s="10">
        <v>5840</v>
      </c>
      <c r="BN82" s="17">
        <f t="shared" si="5"/>
        <v>5558</v>
      </c>
      <c r="BO82" s="18">
        <f t="shared" si="4"/>
        <v>3890.6</v>
      </c>
    </row>
    <row r="83" spans="1:67" ht="19.2" x14ac:dyDescent="0.4">
      <c r="A83" s="5" t="s">
        <v>199</v>
      </c>
      <c r="B83" s="5" t="s">
        <v>35</v>
      </c>
      <c r="C83" s="5">
        <v>173863</v>
      </c>
      <c r="D83" s="6"/>
      <c r="E83" s="5" t="s">
        <v>12</v>
      </c>
      <c r="F83" s="5" t="s">
        <v>17</v>
      </c>
      <c r="G83" s="5" t="s">
        <v>12</v>
      </c>
      <c r="H83" s="7" t="s">
        <v>7</v>
      </c>
      <c r="I83" s="7" t="s">
        <v>36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5</v>
      </c>
      <c r="AC83" s="8">
        <v>4500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10">
        <v>4500</v>
      </c>
      <c r="BN83" s="17">
        <f t="shared" si="5"/>
        <v>4500</v>
      </c>
      <c r="BO83" s="18">
        <f t="shared" si="4"/>
        <v>3150</v>
      </c>
    </row>
    <row r="84" spans="1:67" ht="19.2" x14ac:dyDescent="0.4">
      <c r="A84" s="5" t="s">
        <v>199</v>
      </c>
      <c r="B84" s="5" t="s">
        <v>41</v>
      </c>
      <c r="C84" s="5">
        <v>215737</v>
      </c>
      <c r="D84" s="6"/>
      <c r="E84" s="5" t="s">
        <v>12</v>
      </c>
      <c r="F84" s="5" t="s">
        <v>42</v>
      </c>
      <c r="G84" s="5" t="s">
        <v>12</v>
      </c>
      <c r="H84" s="7" t="s">
        <v>7</v>
      </c>
      <c r="I84" s="7" t="s">
        <v>43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3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39</v>
      </c>
      <c r="AF84" s="8">
        <v>3900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10">
        <v>3900</v>
      </c>
      <c r="BN84" s="17">
        <f t="shared" si="5"/>
        <v>3900</v>
      </c>
      <c r="BO84" s="18">
        <f t="shared" si="4"/>
        <v>2730</v>
      </c>
    </row>
    <row r="85" spans="1:67" ht="19.2" x14ac:dyDescent="0.4">
      <c r="A85" s="5" t="s">
        <v>199</v>
      </c>
      <c r="B85" s="5" t="s">
        <v>135</v>
      </c>
      <c r="C85" s="5">
        <v>229599</v>
      </c>
      <c r="D85" s="6"/>
      <c r="E85" s="5" t="s">
        <v>12</v>
      </c>
      <c r="F85" s="5" t="s">
        <v>13</v>
      </c>
      <c r="G85" s="5" t="s">
        <v>12</v>
      </c>
      <c r="H85" s="7" t="s">
        <v>7</v>
      </c>
      <c r="I85" s="7" t="s">
        <v>136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3</v>
      </c>
      <c r="AC85" s="8">
        <v>3240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10">
        <v>3240</v>
      </c>
      <c r="BN85" s="17">
        <f t="shared" si="5"/>
        <v>3240</v>
      </c>
      <c r="BO85" s="18">
        <f t="shared" si="4"/>
        <v>2268</v>
      </c>
    </row>
    <row r="86" spans="1:67" ht="19.2" x14ac:dyDescent="0.4">
      <c r="A86" s="5" t="s">
        <v>199</v>
      </c>
      <c r="B86" s="5" t="s">
        <v>92</v>
      </c>
      <c r="C86" s="5">
        <v>192732</v>
      </c>
      <c r="D86" s="6"/>
      <c r="E86" s="5" t="s">
        <v>12</v>
      </c>
      <c r="F86" s="5" t="s">
        <v>37</v>
      </c>
      <c r="G86" s="5" t="s">
        <v>12</v>
      </c>
      <c r="H86" s="7" t="s">
        <v>7</v>
      </c>
      <c r="I86" s="7" t="s">
        <v>38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1</v>
      </c>
      <c r="AF86" s="7">
        <v>0</v>
      </c>
      <c r="AG86" s="8">
        <v>3200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10">
        <v>3200</v>
      </c>
      <c r="BN86" s="17">
        <f t="shared" si="5"/>
        <v>3200</v>
      </c>
      <c r="BO86" s="18">
        <f t="shared" si="4"/>
        <v>2240</v>
      </c>
    </row>
    <row r="87" spans="1:67" ht="19.2" x14ac:dyDescent="0.4">
      <c r="A87" s="5" t="s">
        <v>199</v>
      </c>
      <c r="B87" s="5" t="s">
        <v>120</v>
      </c>
      <c r="C87" s="5">
        <v>404358</v>
      </c>
      <c r="D87" s="6"/>
      <c r="E87" s="5" t="s">
        <v>12</v>
      </c>
      <c r="F87" s="5" t="s">
        <v>121</v>
      </c>
      <c r="G87" s="5" t="s">
        <v>12</v>
      </c>
      <c r="H87" s="7" t="s">
        <v>7</v>
      </c>
      <c r="I87" s="7" t="s">
        <v>122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22</v>
      </c>
      <c r="AR87" s="8">
        <v>2200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10">
        <v>2200</v>
      </c>
      <c r="BN87" s="17">
        <f t="shared" si="5"/>
        <v>2200</v>
      </c>
      <c r="BO87" s="18">
        <f t="shared" si="4"/>
        <v>1540</v>
      </c>
    </row>
    <row r="88" spans="1:67" ht="19.2" x14ac:dyDescent="0.4">
      <c r="A88" s="5" t="s">
        <v>199</v>
      </c>
      <c r="B88" s="5" t="s">
        <v>115</v>
      </c>
      <c r="C88" s="5">
        <v>406732</v>
      </c>
      <c r="D88" s="6"/>
      <c r="E88" s="5" t="s">
        <v>12</v>
      </c>
      <c r="F88" s="5" t="s">
        <v>13</v>
      </c>
      <c r="G88" s="5" t="s">
        <v>12</v>
      </c>
      <c r="H88" s="7" t="s">
        <v>7</v>
      </c>
      <c r="I88" s="7" t="s">
        <v>116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20</v>
      </c>
      <c r="AF88" s="7">
        <v>240</v>
      </c>
      <c r="AG88" s="8">
        <v>1800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10">
        <v>2040</v>
      </c>
      <c r="BN88" s="17">
        <f t="shared" si="5"/>
        <v>2040</v>
      </c>
      <c r="BO88" s="18">
        <f t="shared" si="4"/>
        <v>1428</v>
      </c>
    </row>
    <row r="89" spans="1:67" ht="19.2" x14ac:dyDescent="0.4">
      <c r="A89" s="5" t="s">
        <v>199</v>
      </c>
      <c r="B89" s="5" t="s">
        <v>113</v>
      </c>
      <c r="C89" s="5">
        <v>285994</v>
      </c>
      <c r="D89" s="6"/>
      <c r="E89" s="5" t="s">
        <v>12</v>
      </c>
      <c r="F89" s="5" t="s">
        <v>13</v>
      </c>
      <c r="G89" s="5" t="s">
        <v>12</v>
      </c>
      <c r="H89" s="7" t="s">
        <v>7</v>
      </c>
      <c r="I89" s="7" t="s">
        <v>49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1</v>
      </c>
      <c r="AC89" s="7">
        <v>0</v>
      </c>
      <c r="AD89" s="7">
        <v>900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1</v>
      </c>
      <c r="BG89" s="8">
        <v>1080</v>
      </c>
      <c r="BH89" s="7">
        <v>0</v>
      </c>
      <c r="BI89" s="7">
        <v>0</v>
      </c>
      <c r="BJ89" s="7">
        <v>0</v>
      </c>
      <c r="BK89" s="7">
        <v>0</v>
      </c>
      <c r="BL89" s="7">
        <v>54</v>
      </c>
      <c r="BM89" s="10">
        <v>1980</v>
      </c>
      <c r="BN89" s="17">
        <f t="shared" si="5"/>
        <v>1926</v>
      </c>
      <c r="BO89" s="18">
        <f t="shared" si="4"/>
        <v>1348.1999999999998</v>
      </c>
    </row>
    <row r="90" spans="1:67" ht="19.2" x14ac:dyDescent="0.4">
      <c r="A90" s="5" t="s">
        <v>199</v>
      </c>
      <c r="B90" s="5" t="s">
        <v>60</v>
      </c>
      <c r="C90" s="5">
        <v>258201</v>
      </c>
      <c r="D90" s="6"/>
      <c r="E90" s="5" t="s">
        <v>12</v>
      </c>
      <c r="F90" s="5" t="s">
        <v>42</v>
      </c>
      <c r="G90" s="5" t="s">
        <v>12</v>
      </c>
      <c r="H90" s="7" t="s">
        <v>7</v>
      </c>
      <c r="I90" s="7" t="s">
        <v>61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2</v>
      </c>
      <c r="AC90" s="8">
        <v>1800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10">
        <v>1800</v>
      </c>
      <c r="BN90" s="17">
        <f t="shared" si="5"/>
        <v>1800</v>
      </c>
      <c r="BO90" s="18">
        <f t="shared" si="4"/>
        <v>1260</v>
      </c>
    </row>
    <row r="91" spans="1:67" ht="19.2" x14ac:dyDescent="0.4">
      <c r="A91" s="5" t="s">
        <v>199</v>
      </c>
      <c r="B91" s="5" t="s">
        <v>46</v>
      </c>
      <c r="C91" s="5">
        <v>192729</v>
      </c>
      <c r="D91" s="6"/>
      <c r="E91" s="5" t="s">
        <v>12</v>
      </c>
      <c r="F91" s="5" t="s">
        <v>37</v>
      </c>
      <c r="G91" s="5" t="s">
        <v>12</v>
      </c>
      <c r="H91" s="7" t="s">
        <v>7</v>
      </c>
      <c r="I91" s="7" t="s">
        <v>47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1</v>
      </c>
      <c r="AO91" s="7">
        <v>900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11">
        <v>900</v>
      </c>
      <c r="BN91" s="17">
        <f t="shared" si="5"/>
        <v>900</v>
      </c>
      <c r="BO91" s="18">
        <f t="shared" si="4"/>
        <v>630</v>
      </c>
    </row>
    <row r="92" spans="1:67" ht="19.2" x14ac:dyDescent="0.4">
      <c r="A92" s="5" t="s">
        <v>199</v>
      </c>
      <c r="B92" s="5" t="s">
        <v>111</v>
      </c>
      <c r="C92" s="5">
        <v>227013</v>
      </c>
      <c r="D92" s="6"/>
      <c r="E92" s="5" t="s">
        <v>12</v>
      </c>
      <c r="F92" s="5" t="s">
        <v>14</v>
      </c>
      <c r="G92" s="5" t="s">
        <v>12</v>
      </c>
      <c r="H92" s="7" t="s">
        <v>7</v>
      </c>
      <c r="I92" s="7" t="s">
        <v>112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5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7</v>
      </c>
      <c r="AF92" s="7">
        <v>840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11">
        <v>840</v>
      </c>
      <c r="BN92" s="17">
        <f t="shared" si="5"/>
        <v>840</v>
      </c>
      <c r="BO92" s="18">
        <f t="shared" si="4"/>
        <v>588</v>
      </c>
    </row>
    <row r="93" spans="1:67" x14ac:dyDescent="0.4">
      <c r="A93" s="5" t="s">
        <v>200</v>
      </c>
      <c r="B93" s="5" t="s">
        <v>15</v>
      </c>
      <c r="C93" s="5">
        <v>355332</v>
      </c>
      <c r="D93" s="6"/>
      <c r="E93" s="5" t="s">
        <v>12</v>
      </c>
      <c r="F93" s="5" t="s">
        <v>14</v>
      </c>
      <c r="G93" s="5" t="s">
        <v>12</v>
      </c>
      <c r="H93" s="7" t="s">
        <v>8</v>
      </c>
      <c r="I93" s="7" t="s">
        <v>66</v>
      </c>
      <c r="J93" s="7">
        <v>0</v>
      </c>
      <c r="K93" s="7">
        <v>31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26</v>
      </c>
      <c r="T93" s="7">
        <v>474</v>
      </c>
      <c r="U93" s="7">
        <v>0</v>
      </c>
      <c r="V93" s="8">
        <v>2600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8">
        <v>2956</v>
      </c>
      <c r="AF93" s="8">
        <v>286140</v>
      </c>
      <c r="AG93" s="8">
        <v>10800</v>
      </c>
      <c r="AH93" s="7">
        <v>0</v>
      </c>
      <c r="AI93" s="7">
        <v>0</v>
      </c>
      <c r="AJ93" s="7">
        <v>0</v>
      </c>
      <c r="AK93" s="8">
        <v>4335</v>
      </c>
      <c r="AL93" s="8">
        <v>422280</v>
      </c>
      <c r="AM93" s="8">
        <v>81600</v>
      </c>
      <c r="AN93" s="7">
        <v>0</v>
      </c>
      <c r="AO93" s="7">
        <v>0</v>
      </c>
      <c r="AP93" s="7">
        <v>0</v>
      </c>
      <c r="AQ93" s="8">
        <v>1151</v>
      </c>
      <c r="AR93" s="8">
        <v>104700</v>
      </c>
      <c r="AS93" s="8">
        <v>10400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2</v>
      </c>
      <c r="BD93" s="7">
        <v>240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9">
        <v>126698.4</v>
      </c>
      <c r="BM93" s="10">
        <v>918760</v>
      </c>
      <c r="BN93" s="17">
        <f t="shared" si="5"/>
        <v>792061.6</v>
      </c>
      <c r="BO93" s="18">
        <f t="shared" si="4"/>
        <v>554443.12</v>
      </c>
    </row>
    <row r="94" spans="1:67" x14ac:dyDescent="0.4">
      <c r="A94" s="5" t="s">
        <v>200</v>
      </c>
      <c r="B94" s="5" t="s">
        <v>16</v>
      </c>
      <c r="C94" s="5">
        <v>159260</v>
      </c>
      <c r="D94" s="6"/>
      <c r="E94" s="5" t="s">
        <v>12</v>
      </c>
      <c r="F94" s="5" t="s">
        <v>17</v>
      </c>
      <c r="G94" s="5" t="s">
        <v>12</v>
      </c>
      <c r="H94" s="7" t="s">
        <v>7</v>
      </c>
      <c r="I94" s="7" t="s">
        <v>18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49</v>
      </c>
      <c r="AC94" s="8">
        <v>42800</v>
      </c>
      <c r="AD94" s="7">
        <v>0</v>
      </c>
      <c r="AE94" s="7">
        <v>27</v>
      </c>
      <c r="AF94" s="8">
        <v>79200</v>
      </c>
      <c r="AG94" s="8">
        <v>5700</v>
      </c>
      <c r="AH94" s="7">
        <v>123</v>
      </c>
      <c r="AI94" s="8">
        <v>123419</v>
      </c>
      <c r="AJ94" s="8">
        <v>8400</v>
      </c>
      <c r="AK94" s="7">
        <v>50</v>
      </c>
      <c r="AL94" s="8">
        <v>184680</v>
      </c>
      <c r="AM94" s="7">
        <v>0</v>
      </c>
      <c r="AN94" s="7">
        <v>23</v>
      </c>
      <c r="AO94" s="8">
        <v>20700</v>
      </c>
      <c r="AP94" s="7">
        <v>0</v>
      </c>
      <c r="AQ94" s="7">
        <v>16</v>
      </c>
      <c r="AR94" s="8">
        <v>46600</v>
      </c>
      <c r="AS94" s="8">
        <v>2600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4</v>
      </c>
      <c r="BA94" s="8">
        <v>4320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9">
        <v>92688.9</v>
      </c>
      <c r="BM94" s="10">
        <v>518419</v>
      </c>
      <c r="BN94" s="17">
        <f t="shared" ref="BN94:BN129" si="6">BM94-BL94</f>
        <v>425730.1</v>
      </c>
      <c r="BO94" s="18">
        <f t="shared" ref="BO94:BO129" si="7">BN94*70%</f>
        <v>298011.06999999995</v>
      </c>
    </row>
    <row r="95" spans="1:67" x14ac:dyDescent="0.4">
      <c r="A95" s="5" t="s">
        <v>200</v>
      </c>
      <c r="B95" s="5" t="s">
        <v>19</v>
      </c>
      <c r="C95" s="5">
        <v>161539</v>
      </c>
      <c r="D95" s="6"/>
      <c r="E95" s="5" t="s">
        <v>12</v>
      </c>
      <c r="F95" s="5" t="s">
        <v>17</v>
      </c>
      <c r="G95" s="5" t="s">
        <v>12</v>
      </c>
      <c r="H95" s="7" t="s">
        <v>7</v>
      </c>
      <c r="I95" s="7" t="s">
        <v>20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10</v>
      </c>
      <c r="AC95" s="8">
        <v>9000</v>
      </c>
      <c r="AD95" s="7">
        <v>0</v>
      </c>
      <c r="AE95" s="7">
        <v>1</v>
      </c>
      <c r="AF95" s="7">
        <v>400</v>
      </c>
      <c r="AG95" s="7">
        <v>0</v>
      </c>
      <c r="AH95" s="7">
        <v>73</v>
      </c>
      <c r="AI95" s="8">
        <v>79245</v>
      </c>
      <c r="AJ95" s="7">
        <v>0</v>
      </c>
      <c r="AK95" s="7">
        <v>17</v>
      </c>
      <c r="AL95" s="8">
        <v>64960</v>
      </c>
      <c r="AM95" s="7">
        <v>0</v>
      </c>
      <c r="AN95" s="7">
        <v>17</v>
      </c>
      <c r="AO95" s="8">
        <v>13300</v>
      </c>
      <c r="AP95" s="8">
        <v>2000</v>
      </c>
      <c r="AQ95" s="7">
        <v>1</v>
      </c>
      <c r="AR95" s="8">
        <v>3200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9">
        <v>43261.5</v>
      </c>
      <c r="BM95" s="10">
        <v>172105</v>
      </c>
      <c r="BN95" s="17">
        <f t="shared" si="6"/>
        <v>128843.5</v>
      </c>
      <c r="BO95" s="18">
        <f t="shared" si="7"/>
        <v>90190.45</v>
      </c>
    </row>
    <row r="96" spans="1:67" x14ac:dyDescent="0.4">
      <c r="A96" s="5" t="s">
        <v>200</v>
      </c>
      <c r="B96" s="5" t="s">
        <v>25</v>
      </c>
      <c r="C96" s="5">
        <v>165741</v>
      </c>
      <c r="D96" s="6"/>
      <c r="E96" s="5" t="s">
        <v>12</v>
      </c>
      <c r="F96" s="5" t="s">
        <v>14</v>
      </c>
      <c r="G96" s="5" t="s">
        <v>12</v>
      </c>
      <c r="H96" s="7" t="s">
        <v>7</v>
      </c>
      <c r="I96" s="7" t="s">
        <v>26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41</v>
      </c>
      <c r="AC96" s="8">
        <v>35500</v>
      </c>
      <c r="AD96" s="8">
        <v>1400</v>
      </c>
      <c r="AE96" s="7">
        <v>1</v>
      </c>
      <c r="AF96" s="7">
        <v>0</v>
      </c>
      <c r="AG96" s="8">
        <v>3200</v>
      </c>
      <c r="AH96" s="7">
        <v>0</v>
      </c>
      <c r="AI96" s="7">
        <v>0</v>
      </c>
      <c r="AJ96" s="7">
        <v>0</v>
      </c>
      <c r="AK96" s="7">
        <v>29</v>
      </c>
      <c r="AL96" s="8">
        <v>116823</v>
      </c>
      <c r="AM96" s="7">
        <v>0</v>
      </c>
      <c r="AN96" s="7">
        <v>16</v>
      </c>
      <c r="AO96" s="8">
        <v>14400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9">
        <v>35046.9</v>
      </c>
      <c r="BM96" s="10">
        <v>171323</v>
      </c>
      <c r="BN96" s="17">
        <f t="shared" si="6"/>
        <v>136276.1</v>
      </c>
      <c r="BO96" s="18">
        <f t="shared" si="7"/>
        <v>95393.27</v>
      </c>
    </row>
    <row r="97" spans="1:67" ht="19.2" x14ac:dyDescent="0.4">
      <c r="A97" s="5" t="s">
        <v>200</v>
      </c>
      <c r="B97" s="5" t="s">
        <v>22</v>
      </c>
      <c r="C97" s="5">
        <v>409392</v>
      </c>
      <c r="D97" s="6"/>
      <c r="E97" s="5" t="s">
        <v>12</v>
      </c>
      <c r="F97" s="5" t="s">
        <v>14</v>
      </c>
      <c r="G97" s="5" t="s">
        <v>23</v>
      </c>
      <c r="H97" s="7" t="s">
        <v>7</v>
      </c>
      <c r="I97" s="7" t="s">
        <v>24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83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627</v>
      </c>
      <c r="AL97" s="8">
        <v>80947</v>
      </c>
      <c r="AM97" s="7">
        <v>0</v>
      </c>
      <c r="AN97" s="7">
        <v>0</v>
      </c>
      <c r="AO97" s="7">
        <v>0</v>
      </c>
      <c r="AP97" s="7">
        <v>0</v>
      </c>
      <c r="AQ97" s="7">
        <v>310</v>
      </c>
      <c r="AR97" s="8">
        <v>30600</v>
      </c>
      <c r="AS97" s="7">
        <v>400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9">
        <v>24284.1</v>
      </c>
      <c r="BM97" s="10">
        <v>111947</v>
      </c>
      <c r="BN97" s="17">
        <f t="shared" si="6"/>
        <v>87662.9</v>
      </c>
      <c r="BO97" s="18">
        <f t="shared" si="7"/>
        <v>61364.029999999992</v>
      </c>
    </row>
    <row r="98" spans="1:67" x14ac:dyDescent="0.4">
      <c r="A98" s="5" t="s">
        <v>200</v>
      </c>
      <c r="B98" s="5" t="s">
        <v>29</v>
      </c>
      <c r="C98" s="5">
        <v>159268</v>
      </c>
      <c r="D98" s="6"/>
      <c r="E98" s="5" t="s">
        <v>12</v>
      </c>
      <c r="F98" s="5" t="s">
        <v>17</v>
      </c>
      <c r="G98" s="5" t="s">
        <v>12</v>
      </c>
      <c r="H98" s="7" t="s">
        <v>7</v>
      </c>
      <c r="I98" s="7" t="s">
        <v>30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6</v>
      </c>
      <c r="AC98" s="8">
        <v>3600</v>
      </c>
      <c r="AD98" s="8">
        <v>1400</v>
      </c>
      <c r="AE98" s="7">
        <v>11</v>
      </c>
      <c r="AF98" s="8">
        <v>35200</v>
      </c>
      <c r="AG98" s="7">
        <v>0</v>
      </c>
      <c r="AH98" s="7">
        <v>21</v>
      </c>
      <c r="AI98" s="8">
        <v>21738</v>
      </c>
      <c r="AJ98" s="7">
        <v>0</v>
      </c>
      <c r="AK98" s="7">
        <v>11</v>
      </c>
      <c r="AL98" s="8">
        <v>42240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9">
        <v>19193.400000000001</v>
      </c>
      <c r="BM98" s="10">
        <v>104178</v>
      </c>
      <c r="BN98" s="17">
        <f t="shared" si="6"/>
        <v>84984.6</v>
      </c>
      <c r="BO98" s="18">
        <f t="shared" si="7"/>
        <v>59489.22</v>
      </c>
    </row>
    <row r="99" spans="1:67" x14ac:dyDescent="0.4">
      <c r="A99" s="5" t="s">
        <v>200</v>
      </c>
      <c r="B99" s="5" t="s">
        <v>32</v>
      </c>
      <c r="C99" s="5">
        <v>159255</v>
      </c>
      <c r="D99" s="6"/>
      <c r="E99" s="5" t="s">
        <v>12</v>
      </c>
      <c r="F99" s="5" t="s">
        <v>17</v>
      </c>
      <c r="G99" s="5" t="s">
        <v>12</v>
      </c>
      <c r="H99" s="7" t="s">
        <v>8</v>
      </c>
      <c r="I99" s="7" t="s">
        <v>33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24</v>
      </c>
      <c r="AC99" s="8">
        <v>21600</v>
      </c>
      <c r="AD99" s="7">
        <v>0</v>
      </c>
      <c r="AE99" s="7">
        <v>4</v>
      </c>
      <c r="AF99" s="8">
        <v>12800</v>
      </c>
      <c r="AG99" s="7">
        <v>0</v>
      </c>
      <c r="AH99" s="7">
        <v>15</v>
      </c>
      <c r="AI99" s="8">
        <v>16110</v>
      </c>
      <c r="AJ99" s="7">
        <v>0</v>
      </c>
      <c r="AK99" s="7">
        <v>10</v>
      </c>
      <c r="AL99" s="8">
        <v>38400</v>
      </c>
      <c r="AM99" s="7">
        <v>0</v>
      </c>
      <c r="AN99" s="7">
        <v>6</v>
      </c>
      <c r="AO99" s="8">
        <v>4900</v>
      </c>
      <c r="AP99" s="7">
        <v>500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9">
        <v>16353</v>
      </c>
      <c r="BM99" s="10">
        <v>94310</v>
      </c>
      <c r="BN99" s="17">
        <f t="shared" si="6"/>
        <v>77957</v>
      </c>
      <c r="BO99" s="18">
        <f t="shared" si="7"/>
        <v>54569.899999999994</v>
      </c>
    </row>
    <row r="100" spans="1:67" x14ac:dyDescent="0.4">
      <c r="A100" s="5" t="s">
        <v>200</v>
      </c>
      <c r="B100" s="5" t="s">
        <v>79</v>
      </c>
      <c r="C100" s="5">
        <v>418829</v>
      </c>
      <c r="D100" s="6"/>
      <c r="E100" s="5" t="s">
        <v>12</v>
      </c>
      <c r="F100" s="5" t="s">
        <v>17</v>
      </c>
      <c r="G100" s="5" t="s">
        <v>12</v>
      </c>
      <c r="H100" s="7" t="s">
        <v>7</v>
      </c>
      <c r="I100" s="7" t="s">
        <v>80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70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93</v>
      </c>
      <c r="AF100" s="8">
        <v>9300</v>
      </c>
      <c r="AG100" s="7">
        <v>0</v>
      </c>
      <c r="AH100" s="7">
        <v>0</v>
      </c>
      <c r="AI100" s="7">
        <v>0</v>
      </c>
      <c r="AJ100" s="7">
        <v>0</v>
      </c>
      <c r="AK100" s="7">
        <v>637</v>
      </c>
      <c r="AL100" s="8">
        <v>76440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9">
        <v>22932</v>
      </c>
      <c r="BM100" s="10">
        <v>85740</v>
      </c>
      <c r="BN100" s="17">
        <f t="shared" si="6"/>
        <v>62808</v>
      </c>
      <c r="BO100" s="18">
        <f t="shared" si="7"/>
        <v>43965.599999999999</v>
      </c>
    </row>
    <row r="101" spans="1:67" x14ac:dyDescent="0.4">
      <c r="A101" s="5" t="s">
        <v>200</v>
      </c>
      <c r="B101" s="5" t="s">
        <v>21</v>
      </c>
      <c r="C101" s="5">
        <v>159270</v>
      </c>
      <c r="D101" s="6"/>
      <c r="E101" s="5" t="s">
        <v>12</v>
      </c>
      <c r="F101" s="5" t="s">
        <v>17</v>
      </c>
      <c r="G101" s="5" t="s">
        <v>12</v>
      </c>
      <c r="H101" s="7" t="s">
        <v>11</v>
      </c>
      <c r="I101" s="7" t="s">
        <v>20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9</v>
      </c>
      <c r="AC101" s="8">
        <v>8100</v>
      </c>
      <c r="AD101" s="7">
        <v>0</v>
      </c>
      <c r="AE101" s="7">
        <v>9</v>
      </c>
      <c r="AF101" s="8">
        <v>25100</v>
      </c>
      <c r="AG101" s="7">
        <v>0</v>
      </c>
      <c r="AH101" s="7">
        <v>12</v>
      </c>
      <c r="AI101" s="8">
        <v>12960</v>
      </c>
      <c r="AJ101" s="7">
        <v>0</v>
      </c>
      <c r="AK101" s="7">
        <v>0</v>
      </c>
      <c r="AL101" s="7">
        <v>0</v>
      </c>
      <c r="AM101" s="7">
        <v>0</v>
      </c>
      <c r="AN101" s="7">
        <v>13</v>
      </c>
      <c r="AO101" s="8">
        <v>11500</v>
      </c>
      <c r="AP101" s="7">
        <v>200</v>
      </c>
      <c r="AQ101" s="7">
        <v>5</v>
      </c>
      <c r="AR101" s="8">
        <v>9300</v>
      </c>
      <c r="AS101" s="8">
        <v>4000</v>
      </c>
      <c r="AT101" s="7">
        <v>5</v>
      </c>
      <c r="AU101" s="8">
        <v>5400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9">
        <v>4428</v>
      </c>
      <c r="BM101" s="10">
        <v>76560</v>
      </c>
      <c r="BN101" s="17">
        <f t="shared" si="6"/>
        <v>72132</v>
      </c>
      <c r="BO101" s="18">
        <f t="shared" si="7"/>
        <v>50492.399999999994</v>
      </c>
    </row>
    <row r="102" spans="1:67" x14ac:dyDescent="0.4">
      <c r="A102" s="5" t="s">
        <v>200</v>
      </c>
      <c r="B102" s="5" t="s">
        <v>109</v>
      </c>
      <c r="C102" s="5">
        <v>174583</v>
      </c>
      <c r="D102" s="6"/>
      <c r="E102" s="5" t="s">
        <v>12</v>
      </c>
      <c r="F102" s="5" t="s">
        <v>14</v>
      </c>
      <c r="G102" s="5" t="s">
        <v>12</v>
      </c>
      <c r="H102" s="7" t="s">
        <v>7</v>
      </c>
      <c r="I102" s="7" t="s">
        <v>110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15</v>
      </c>
      <c r="AL102" s="8">
        <v>57600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9">
        <v>17280</v>
      </c>
      <c r="BM102" s="10">
        <v>57600</v>
      </c>
      <c r="BN102" s="17">
        <f t="shared" si="6"/>
        <v>40320</v>
      </c>
      <c r="BO102" s="18">
        <f t="shared" si="7"/>
        <v>28224</v>
      </c>
    </row>
    <row r="103" spans="1:67" x14ac:dyDescent="0.4">
      <c r="A103" s="5" t="s">
        <v>200</v>
      </c>
      <c r="B103" s="5" t="s">
        <v>31</v>
      </c>
      <c r="C103" s="5">
        <v>159258</v>
      </c>
      <c r="D103" s="6"/>
      <c r="E103" s="5" t="s">
        <v>12</v>
      </c>
      <c r="F103" s="5" t="s">
        <v>17</v>
      </c>
      <c r="G103" s="5" t="s">
        <v>12</v>
      </c>
      <c r="H103" s="7" t="s">
        <v>7</v>
      </c>
      <c r="I103" s="7" t="s">
        <v>30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6</v>
      </c>
      <c r="AC103" s="8">
        <v>5400</v>
      </c>
      <c r="AD103" s="7">
        <v>0</v>
      </c>
      <c r="AE103" s="7">
        <v>3</v>
      </c>
      <c r="AF103" s="8">
        <v>9600</v>
      </c>
      <c r="AG103" s="7">
        <v>0</v>
      </c>
      <c r="AH103" s="7">
        <v>20</v>
      </c>
      <c r="AI103" s="8">
        <v>21489</v>
      </c>
      <c r="AJ103" s="7">
        <v>0</v>
      </c>
      <c r="AK103" s="7">
        <v>1</v>
      </c>
      <c r="AL103" s="7">
        <v>0</v>
      </c>
      <c r="AM103" s="8">
        <v>3200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1</v>
      </c>
      <c r="AU103" s="8">
        <v>1080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9">
        <v>6554.7</v>
      </c>
      <c r="BM103" s="10">
        <v>40769</v>
      </c>
      <c r="BN103" s="17">
        <f t="shared" si="6"/>
        <v>34214.300000000003</v>
      </c>
      <c r="BO103" s="18">
        <f t="shared" si="7"/>
        <v>23950.010000000002</v>
      </c>
    </row>
    <row r="104" spans="1:67" x14ac:dyDescent="0.4">
      <c r="A104" s="5" t="s">
        <v>200</v>
      </c>
      <c r="B104" s="5" t="s">
        <v>120</v>
      </c>
      <c r="C104" s="5">
        <v>404358</v>
      </c>
      <c r="D104" s="6"/>
      <c r="E104" s="5" t="s">
        <v>12</v>
      </c>
      <c r="F104" s="5" t="s">
        <v>121</v>
      </c>
      <c r="G104" s="5" t="s">
        <v>12</v>
      </c>
      <c r="H104" s="7" t="s">
        <v>7</v>
      </c>
      <c r="I104" s="7" t="s">
        <v>122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12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370</v>
      </c>
      <c r="AR104" s="8">
        <v>37000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10">
        <v>37000</v>
      </c>
      <c r="BN104" s="17">
        <f t="shared" si="6"/>
        <v>37000</v>
      </c>
      <c r="BO104" s="18">
        <f t="shared" si="7"/>
        <v>25900</v>
      </c>
    </row>
    <row r="105" spans="1:67" x14ac:dyDescent="0.4">
      <c r="A105" s="5" t="s">
        <v>200</v>
      </c>
      <c r="B105" s="5" t="s">
        <v>84</v>
      </c>
      <c r="C105" s="5">
        <v>326544</v>
      </c>
      <c r="D105" s="6"/>
      <c r="E105" s="5" t="s">
        <v>12</v>
      </c>
      <c r="F105" s="5" t="s">
        <v>85</v>
      </c>
      <c r="G105" s="5" t="s">
        <v>12</v>
      </c>
      <c r="H105" s="7" t="s">
        <v>7</v>
      </c>
      <c r="I105" s="7" t="s">
        <v>86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17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217</v>
      </c>
      <c r="AF105" s="8">
        <v>18300</v>
      </c>
      <c r="AG105" s="8">
        <v>3400</v>
      </c>
      <c r="AH105" s="7">
        <v>0</v>
      </c>
      <c r="AI105" s="7">
        <v>0</v>
      </c>
      <c r="AJ105" s="7">
        <v>0</v>
      </c>
      <c r="AK105" s="7">
        <v>91</v>
      </c>
      <c r="AL105" s="8">
        <v>10920</v>
      </c>
      <c r="AM105" s="7">
        <v>0</v>
      </c>
      <c r="AN105" s="7">
        <v>0</v>
      </c>
      <c r="AO105" s="7">
        <v>0</v>
      </c>
      <c r="AP105" s="7">
        <v>0</v>
      </c>
      <c r="AQ105" s="7">
        <v>7</v>
      </c>
      <c r="AR105" s="7">
        <v>700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9">
        <v>3276</v>
      </c>
      <c r="BM105" s="10">
        <v>33320</v>
      </c>
      <c r="BN105" s="17">
        <f t="shared" si="6"/>
        <v>30044</v>
      </c>
      <c r="BO105" s="18">
        <f t="shared" si="7"/>
        <v>21030.799999999999</v>
      </c>
    </row>
    <row r="106" spans="1:67" x14ac:dyDescent="0.4">
      <c r="A106" s="5" t="s">
        <v>200</v>
      </c>
      <c r="B106" s="5" t="s">
        <v>34</v>
      </c>
      <c r="C106" s="5">
        <v>159266</v>
      </c>
      <c r="D106" s="6"/>
      <c r="E106" s="5" t="s">
        <v>12</v>
      </c>
      <c r="F106" s="5" t="s">
        <v>17</v>
      </c>
      <c r="G106" s="5" t="s">
        <v>12</v>
      </c>
      <c r="H106" s="7" t="s">
        <v>7</v>
      </c>
      <c r="I106" s="7" t="s">
        <v>30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1</v>
      </c>
      <c r="AF106" s="8">
        <v>2000</v>
      </c>
      <c r="AG106" s="7">
        <v>0</v>
      </c>
      <c r="AH106" s="7">
        <v>18</v>
      </c>
      <c r="AI106" s="8">
        <v>19317</v>
      </c>
      <c r="AJ106" s="7">
        <v>0</v>
      </c>
      <c r="AK106" s="7">
        <v>1</v>
      </c>
      <c r="AL106" s="7">
        <v>0</v>
      </c>
      <c r="AM106" s="8">
        <v>1200</v>
      </c>
      <c r="AN106" s="7">
        <v>0</v>
      </c>
      <c r="AO106" s="7">
        <v>0</v>
      </c>
      <c r="AP106" s="7">
        <v>0</v>
      </c>
      <c r="AQ106" s="7">
        <v>2</v>
      </c>
      <c r="AR106" s="8">
        <v>6200</v>
      </c>
      <c r="AS106" s="7">
        <v>200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9">
        <v>5795.1</v>
      </c>
      <c r="BM106" s="10">
        <v>28917</v>
      </c>
      <c r="BN106" s="17">
        <f t="shared" si="6"/>
        <v>23121.9</v>
      </c>
      <c r="BO106" s="18">
        <f t="shared" si="7"/>
        <v>16185.33</v>
      </c>
    </row>
    <row r="107" spans="1:67" x14ac:dyDescent="0.4">
      <c r="A107" s="5" t="s">
        <v>200</v>
      </c>
      <c r="B107" s="5" t="s">
        <v>41</v>
      </c>
      <c r="C107" s="5">
        <v>215737</v>
      </c>
      <c r="D107" s="6"/>
      <c r="E107" s="5" t="s">
        <v>12</v>
      </c>
      <c r="F107" s="5" t="s">
        <v>42</v>
      </c>
      <c r="G107" s="5" t="s">
        <v>12</v>
      </c>
      <c r="H107" s="7" t="s">
        <v>7</v>
      </c>
      <c r="I107" s="7" t="s">
        <v>43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249</v>
      </c>
      <c r="AR107" s="8">
        <v>24500</v>
      </c>
      <c r="AS107" s="7">
        <v>400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10">
        <v>24900</v>
      </c>
      <c r="BN107" s="17">
        <f t="shared" si="6"/>
        <v>24900</v>
      </c>
      <c r="BO107" s="18">
        <f t="shared" si="7"/>
        <v>17430</v>
      </c>
    </row>
    <row r="108" spans="1:67" x14ac:dyDescent="0.4">
      <c r="A108" s="5" t="s">
        <v>200</v>
      </c>
      <c r="B108" s="5" t="s">
        <v>39</v>
      </c>
      <c r="C108" s="5">
        <v>268655</v>
      </c>
      <c r="D108" s="6"/>
      <c r="E108" s="5" t="s">
        <v>12</v>
      </c>
      <c r="F108" s="5" t="s">
        <v>17</v>
      </c>
      <c r="G108" s="5" t="s">
        <v>12</v>
      </c>
      <c r="H108" s="7" t="s">
        <v>7</v>
      </c>
      <c r="I108" s="7" t="s">
        <v>40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14</v>
      </c>
      <c r="AC108" s="8">
        <v>12200</v>
      </c>
      <c r="AD108" s="7">
        <v>400</v>
      </c>
      <c r="AE108" s="7">
        <v>0</v>
      </c>
      <c r="AF108" s="7">
        <v>0</v>
      </c>
      <c r="AG108" s="7">
        <v>0</v>
      </c>
      <c r="AH108" s="7">
        <v>7</v>
      </c>
      <c r="AI108" s="8">
        <v>7560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9">
        <v>2268</v>
      </c>
      <c r="BM108" s="10">
        <v>20160</v>
      </c>
      <c r="BN108" s="17">
        <f t="shared" si="6"/>
        <v>17892</v>
      </c>
      <c r="BO108" s="18">
        <f t="shared" si="7"/>
        <v>12524.4</v>
      </c>
    </row>
    <row r="109" spans="1:67" x14ac:dyDescent="0.4">
      <c r="A109" s="5" t="s">
        <v>200</v>
      </c>
      <c r="B109" s="5" t="s">
        <v>81</v>
      </c>
      <c r="C109" s="5">
        <v>192737</v>
      </c>
      <c r="D109" s="6"/>
      <c r="E109" s="5" t="s">
        <v>12</v>
      </c>
      <c r="F109" s="5" t="s">
        <v>37</v>
      </c>
      <c r="G109" s="5" t="s">
        <v>12</v>
      </c>
      <c r="H109" s="7" t="s">
        <v>7</v>
      </c>
      <c r="I109" s="7" t="s">
        <v>38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4</v>
      </c>
      <c r="AC109" s="8">
        <v>3000</v>
      </c>
      <c r="AD109" s="7">
        <v>0</v>
      </c>
      <c r="AE109" s="7">
        <v>0</v>
      </c>
      <c r="AF109" s="7">
        <v>0</v>
      </c>
      <c r="AG109" s="7">
        <v>0</v>
      </c>
      <c r="AH109" s="7">
        <v>5</v>
      </c>
      <c r="AI109" s="7">
        <v>0</v>
      </c>
      <c r="AJ109" s="8">
        <v>3300</v>
      </c>
      <c r="AK109" s="7">
        <v>2</v>
      </c>
      <c r="AL109" s="7">
        <v>0</v>
      </c>
      <c r="AM109" s="8">
        <v>6400</v>
      </c>
      <c r="AN109" s="7">
        <v>3</v>
      </c>
      <c r="AO109" s="8">
        <v>2700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10">
        <v>15400</v>
      </c>
      <c r="BN109" s="17">
        <f t="shared" si="6"/>
        <v>15400</v>
      </c>
      <c r="BO109" s="18">
        <f t="shared" si="7"/>
        <v>10780</v>
      </c>
    </row>
    <row r="110" spans="1:67" ht="19.2" x14ac:dyDescent="0.4">
      <c r="A110" s="5" t="s">
        <v>200</v>
      </c>
      <c r="B110" s="5" t="s">
        <v>52</v>
      </c>
      <c r="C110" s="5">
        <v>413545</v>
      </c>
      <c r="D110" s="6"/>
      <c r="E110" s="5" t="s">
        <v>12</v>
      </c>
      <c r="F110" s="5" t="s">
        <v>17</v>
      </c>
      <c r="G110" s="5" t="s">
        <v>23</v>
      </c>
      <c r="H110" s="7" t="s">
        <v>8</v>
      </c>
      <c r="I110" s="7" t="s">
        <v>53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10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115</v>
      </c>
      <c r="AL110" s="8">
        <v>13800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9">
        <v>4140</v>
      </c>
      <c r="BM110" s="10">
        <v>13800</v>
      </c>
      <c r="BN110" s="17">
        <f t="shared" si="6"/>
        <v>9660</v>
      </c>
      <c r="BO110" s="18">
        <f t="shared" si="7"/>
        <v>6762</v>
      </c>
    </row>
    <row r="111" spans="1:67" x14ac:dyDescent="0.4">
      <c r="A111" s="5" t="s">
        <v>200</v>
      </c>
      <c r="B111" s="5" t="s">
        <v>35</v>
      </c>
      <c r="C111" s="5">
        <v>173863</v>
      </c>
      <c r="D111" s="6"/>
      <c r="E111" s="5" t="s">
        <v>12</v>
      </c>
      <c r="F111" s="5" t="s">
        <v>17</v>
      </c>
      <c r="G111" s="5" t="s">
        <v>12</v>
      </c>
      <c r="H111" s="7" t="s">
        <v>7</v>
      </c>
      <c r="I111" s="7" t="s">
        <v>36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11</v>
      </c>
      <c r="AI111" s="8">
        <v>11880</v>
      </c>
      <c r="AJ111" s="7">
        <v>0</v>
      </c>
      <c r="AK111" s="7">
        <v>0</v>
      </c>
      <c r="AL111" s="7">
        <v>0</v>
      </c>
      <c r="AM111" s="7">
        <v>0</v>
      </c>
      <c r="AN111" s="7">
        <v>1</v>
      </c>
      <c r="AO111" s="7">
        <v>700</v>
      </c>
      <c r="AP111" s="7">
        <v>200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9">
        <v>3564</v>
      </c>
      <c r="BM111" s="10">
        <v>12780</v>
      </c>
      <c r="BN111" s="17">
        <f t="shared" si="6"/>
        <v>9216</v>
      </c>
      <c r="BO111" s="18">
        <f t="shared" si="7"/>
        <v>6451.2</v>
      </c>
    </row>
    <row r="112" spans="1:67" x14ac:dyDescent="0.4">
      <c r="A112" s="5" t="s">
        <v>200</v>
      </c>
      <c r="B112" s="5" t="s">
        <v>60</v>
      </c>
      <c r="C112" s="5">
        <v>258201</v>
      </c>
      <c r="D112" s="6"/>
      <c r="E112" s="5" t="s">
        <v>12</v>
      </c>
      <c r="F112" s="5" t="s">
        <v>42</v>
      </c>
      <c r="G112" s="5" t="s">
        <v>12</v>
      </c>
      <c r="H112" s="7" t="s">
        <v>7</v>
      </c>
      <c r="I112" s="7" t="s">
        <v>61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1</v>
      </c>
      <c r="AC112" s="7">
        <v>200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12</v>
      </c>
      <c r="AO112" s="8">
        <v>10600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10">
        <v>10800</v>
      </c>
      <c r="BN112" s="17">
        <f t="shared" si="6"/>
        <v>10800</v>
      </c>
      <c r="BO112" s="18">
        <f t="shared" si="7"/>
        <v>7559.9999999999991</v>
      </c>
    </row>
    <row r="113" spans="1:67" x14ac:dyDescent="0.4">
      <c r="A113" s="5" t="s">
        <v>200</v>
      </c>
      <c r="B113" s="5" t="s">
        <v>113</v>
      </c>
      <c r="C113" s="5">
        <v>285994</v>
      </c>
      <c r="D113" s="6"/>
      <c r="E113" s="5" t="s">
        <v>12</v>
      </c>
      <c r="F113" s="5" t="s">
        <v>13</v>
      </c>
      <c r="G113" s="5" t="s">
        <v>12</v>
      </c>
      <c r="H113" s="7" t="s">
        <v>7</v>
      </c>
      <c r="I113" s="7" t="s">
        <v>49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1</v>
      </c>
      <c r="AI113" s="8">
        <v>1080</v>
      </c>
      <c r="AJ113" s="7">
        <v>0</v>
      </c>
      <c r="AK113" s="7">
        <v>0</v>
      </c>
      <c r="AL113" s="7">
        <v>0</v>
      </c>
      <c r="AM113" s="7">
        <v>0</v>
      </c>
      <c r="AN113" s="7">
        <v>7</v>
      </c>
      <c r="AO113" s="8">
        <v>6300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3</v>
      </c>
      <c r="BA113" s="8">
        <v>3240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518.4</v>
      </c>
      <c r="BM113" s="10">
        <v>10620</v>
      </c>
      <c r="BN113" s="17">
        <f t="shared" si="6"/>
        <v>10101.6</v>
      </c>
      <c r="BO113" s="18">
        <f t="shared" si="7"/>
        <v>7071.12</v>
      </c>
    </row>
    <row r="114" spans="1:67" ht="19.2" x14ac:dyDescent="0.4">
      <c r="A114" s="5" t="s">
        <v>200</v>
      </c>
      <c r="B114" s="5" t="s">
        <v>62</v>
      </c>
      <c r="C114" s="5">
        <v>406370</v>
      </c>
      <c r="D114" s="6"/>
      <c r="E114" s="5" t="s">
        <v>12</v>
      </c>
      <c r="F114" s="5" t="s">
        <v>37</v>
      </c>
      <c r="G114" s="5" t="s">
        <v>23</v>
      </c>
      <c r="H114" s="7" t="s">
        <v>8</v>
      </c>
      <c r="I114" s="7" t="s">
        <v>55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9</v>
      </c>
      <c r="AI114" s="8">
        <v>9720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9">
        <v>2916</v>
      </c>
      <c r="BM114" s="10">
        <v>9720</v>
      </c>
      <c r="BN114" s="17">
        <f t="shared" si="6"/>
        <v>6804</v>
      </c>
      <c r="BO114" s="18">
        <f t="shared" si="7"/>
        <v>4762.7999999999993</v>
      </c>
    </row>
    <row r="115" spans="1:67" ht="19.2" x14ac:dyDescent="0.4">
      <c r="A115" s="5" t="s">
        <v>200</v>
      </c>
      <c r="B115" s="5" t="s">
        <v>194</v>
      </c>
      <c r="C115" s="5">
        <v>406365</v>
      </c>
      <c r="D115" s="6"/>
      <c r="E115" s="5" t="s">
        <v>12</v>
      </c>
      <c r="F115" s="5" t="s">
        <v>14</v>
      </c>
      <c r="G115" s="5" t="s">
        <v>23</v>
      </c>
      <c r="H115" s="7" t="s">
        <v>7</v>
      </c>
      <c r="I115" s="7" t="s">
        <v>55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3</v>
      </c>
      <c r="AR115" s="8">
        <v>9400</v>
      </c>
      <c r="AS115" s="7">
        <v>200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10">
        <v>9600</v>
      </c>
      <c r="BN115" s="17">
        <f t="shared" si="6"/>
        <v>9600</v>
      </c>
      <c r="BO115" s="18">
        <f t="shared" si="7"/>
        <v>6720</v>
      </c>
    </row>
    <row r="116" spans="1:67" x14ac:dyDescent="0.4">
      <c r="A116" s="5" t="s">
        <v>200</v>
      </c>
      <c r="B116" s="5" t="s">
        <v>69</v>
      </c>
      <c r="C116" s="5">
        <v>169151</v>
      </c>
      <c r="D116" s="6"/>
      <c r="E116" s="5" t="s">
        <v>12</v>
      </c>
      <c r="F116" s="5" t="s">
        <v>14</v>
      </c>
      <c r="G116" s="5" t="s">
        <v>12</v>
      </c>
      <c r="H116" s="7" t="s">
        <v>7</v>
      </c>
      <c r="I116" s="7" t="s">
        <v>70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2</v>
      </c>
      <c r="AL116" s="8">
        <v>7080</v>
      </c>
      <c r="AM116" s="7">
        <v>500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9">
        <v>2124</v>
      </c>
      <c r="BM116" s="10">
        <v>7580</v>
      </c>
      <c r="BN116" s="17">
        <f t="shared" si="6"/>
        <v>5456</v>
      </c>
      <c r="BO116" s="18">
        <f t="shared" si="7"/>
        <v>3819.2</v>
      </c>
    </row>
    <row r="117" spans="1:67" x14ac:dyDescent="0.4">
      <c r="A117" s="5" t="s">
        <v>200</v>
      </c>
      <c r="B117" s="5" t="s">
        <v>71</v>
      </c>
      <c r="C117" s="5">
        <v>285988</v>
      </c>
      <c r="D117" s="6"/>
      <c r="E117" s="5" t="s">
        <v>12</v>
      </c>
      <c r="F117" s="5" t="s">
        <v>13</v>
      </c>
      <c r="G117" s="5" t="s">
        <v>12</v>
      </c>
      <c r="H117" s="7" t="s">
        <v>7</v>
      </c>
      <c r="I117" s="7" t="s">
        <v>49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8</v>
      </c>
      <c r="AC117" s="8">
        <v>7200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10">
        <v>7200</v>
      </c>
      <c r="BN117" s="17">
        <f t="shared" si="6"/>
        <v>7200</v>
      </c>
      <c r="BO117" s="18">
        <f t="shared" si="7"/>
        <v>5040</v>
      </c>
    </row>
    <row r="118" spans="1:67" x14ac:dyDescent="0.4">
      <c r="A118" s="5" t="s">
        <v>200</v>
      </c>
      <c r="B118" s="5" t="s">
        <v>115</v>
      </c>
      <c r="C118" s="5">
        <v>406732</v>
      </c>
      <c r="D118" s="6"/>
      <c r="E118" s="5" t="s">
        <v>12</v>
      </c>
      <c r="F118" s="5" t="s">
        <v>13</v>
      </c>
      <c r="G118" s="5" t="s">
        <v>12</v>
      </c>
      <c r="H118" s="7" t="s">
        <v>7</v>
      </c>
      <c r="I118" s="7" t="s">
        <v>116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71</v>
      </c>
      <c r="AF118" s="8">
        <v>7100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10">
        <v>7100</v>
      </c>
      <c r="BN118" s="17">
        <f t="shared" si="6"/>
        <v>7100</v>
      </c>
      <c r="BO118" s="18">
        <f t="shared" si="7"/>
        <v>4970</v>
      </c>
    </row>
    <row r="119" spans="1:67" x14ac:dyDescent="0.4">
      <c r="A119" s="5" t="s">
        <v>200</v>
      </c>
      <c r="B119" s="5" t="s">
        <v>54</v>
      </c>
      <c r="C119" s="5">
        <v>192728</v>
      </c>
      <c r="D119" s="6"/>
      <c r="E119" s="5" t="s">
        <v>12</v>
      </c>
      <c r="F119" s="5" t="s">
        <v>37</v>
      </c>
      <c r="G119" s="5" t="s">
        <v>12</v>
      </c>
      <c r="H119" s="7" t="s">
        <v>7</v>
      </c>
      <c r="I119" s="7" t="s">
        <v>38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6</v>
      </c>
      <c r="AI119" s="7">
        <v>0</v>
      </c>
      <c r="AJ119" s="8">
        <v>5400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10">
        <v>5400</v>
      </c>
      <c r="BN119" s="17">
        <f t="shared" si="6"/>
        <v>5400</v>
      </c>
      <c r="BO119" s="18">
        <f t="shared" si="7"/>
        <v>3779.9999999999995</v>
      </c>
    </row>
    <row r="120" spans="1:67" ht="19.2" x14ac:dyDescent="0.4">
      <c r="A120" s="5" t="s">
        <v>200</v>
      </c>
      <c r="B120" s="5" t="s">
        <v>44</v>
      </c>
      <c r="C120" s="5">
        <v>408054</v>
      </c>
      <c r="D120" s="6"/>
      <c r="E120" s="5" t="s">
        <v>12</v>
      </c>
      <c r="F120" s="5" t="s">
        <v>17</v>
      </c>
      <c r="G120" s="5" t="s">
        <v>23</v>
      </c>
      <c r="H120" s="7" t="s">
        <v>11</v>
      </c>
      <c r="I120" s="7" t="s">
        <v>45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51</v>
      </c>
      <c r="AF120" s="8">
        <v>5100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10">
        <v>5100</v>
      </c>
      <c r="BN120" s="17">
        <f t="shared" si="6"/>
        <v>5100</v>
      </c>
      <c r="BO120" s="18">
        <f t="shared" si="7"/>
        <v>3570</v>
      </c>
    </row>
    <row r="121" spans="1:67" x14ac:dyDescent="0.4">
      <c r="A121" s="5" t="s">
        <v>200</v>
      </c>
      <c r="B121" s="5" t="s">
        <v>127</v>
      </c>
      <c r="C121" s="5">
        <v>227856</v>
      </c>
      <c r="D121" s="6"/>
      <c r="E121" s="5" t="s">
        <v>12</v>
      </c>
      <c r="F121" s="5" t="s">
        <v>128</v>
      </c>
      <c r="G121" s="5" t="s">
        <v>12</v>
      </c>
      <c r="H121" s="7" t="s">
        <v>7</v>
      </c>
      <c r="I121" s="7" t="s">
        <v>129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5</v>
      </c>
      <c r="AC121" s="8">
        <v>4500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10">
        <v>4500</v>
      </c>
      <c r="BN121" s="17">
        <f t="shared" si="6"/>
        <v>4500</v>
      </c>
      <c r="BO121" s="18">
        <f t="shared" si="7"/>
        <v>3150</v>
      </c>
    </row>
    <row r="122" spans="1:67" ht="19.2" x14ac:dyDescent="0.4">
      <c r="A122" s="5" t="s">
        <v>200</v>
      </c>
      <c r="B122" s="5" t="s">
        <v>98</v>
      </c>
      <c r="C122" s="5">
        <v>408050</v>
      </c>
      <c r="D122" s="6"/>
      <c r="E122" s="5" t="s">
        <v>12</v>
      </c>
      <c r="F122" s="5" t="s">
        <v>14</v>
      </c>
      <c r="G122" s="5" t="s">
        <v>23</v>
      </c>
      <c r="H122" s="7" t="s">
        <v>7</v>
      </c>
      <c r="I122" s="7" t="s">
        <v>99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36</v>
      </c>
      <c r="AL122" s="7">
        <v>0</v>
      </c>
      <c r="AM122" s="8">
        <v>3600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10">
        <v>3600</v>
      </c>
      <c r="BN122" s="17">
        <f t="shared" si="6"/>
        <v>3600</v>
      </c>
      <c r="BO122" s="18">
        <f t="shared" si="7"/>
        <v>2520</v>
      </c>
    </row>
    <row r="123" spans="1:67" x14ac:dyDescent="0.4">
      <c r="A123" s="5" t="s">
        <v>200</v>
      </c>
      <c r="B123" s="5" t="s">
        <v>59</v>
      </c>
      <c r="C123" s="5">
        <v>305089</v>
      </c>
      <c r="D123" s="6"/>
      <c r="E123" s="5" t="s">
        <v>12</v>
      </c>
      <c r="F123" s="5" t="s">
        <v>58</v>
      </c>
      <c r="G123" s="5" t="s">
        <v>12</v>
      </c>
      <c r="H123" s="7" t="s">
        <v>7</v>
      </c>
      <c r="I123" s="7" t="s">
        <v>10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4</v>
      </c>
      <c r="AO123" s="8">
        <v>3600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10">
        <v>3600</v>
      </c>
      <c r="BN123" s="17">
        <f t="shared" si="6"/>
        <v>3600</v>
      </c>
      <c r="BO123" s="18">
        <f t="shared" si="7"/>
        <v>2520</v>
      </c>
    </row>
    <row r="124" spans="1:67" x14ac:dyDescent="0.4">
      <c r="A124" s="5" t="s">
        <v>200</v>
      </c>
      <c r="B124" s="5" t="s">
        <v>67</v>
      </c>
      <c r="C124" s="5">
        <v>238494</v>
      </c>
      <c r="D124" s="6"/>
      <c r="E124" s="5" t="s">
        <v>12</v>
      </c>
      <c r="F124" s="5" t="s">
        <v>37</v>
      </c>
      <c r="G124" s="5" t="s">
        <v>12</v>
      </c>
      <c r="H124" s="7" t="s">
        <v>7</v>
      </c>
      <c r="I124" s="7" t="s">
        <v>68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1</v>
      </c>
      <c r="AR124" s="8">
        <v>3200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10">
        <v>3200</v>
      </c>
      <c r="BN124" s="17">
        <f t="shared" si="6"/>
        <v>3200</v>
      </c>
      <c r="BO124" s="18">
        <f t="shared" si="7"/>
        <v>2240</v>
      </c>
    </row>
    <row r="125" spans="1:67" x14ac:dyDescent="0.4">
      <c r="A125" s="5" t="s">
        <v>200</v>
      </c>
      <c r="B125" s="5" t="s">
        <v>111</v>
      </c>
      <c r="C125" s="5">
        <v>227013</v>
      </c>
      <c r="D125" s="6"/>
      <c r="E125" s="5" t="s">
        <v>12</v>
      </c>
      <c r="F125" s="5" t="s">
        <v>14</v>
      </c>
      <c r="G125" s="5" t="s">
        <v>12</v>
      </c>
      <c r="H125" s="7" t="s">
        <v>7</v>
      </c>
      <c r="I125" s="7" t="s">
        <v>112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24</v>
      </c>
      <c r="AL125" s="8">
        <v>2880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864</v>
      </c>
      <c r="BM125" s="10">
        <v>2880</v>
      </c>
      <c r="BN125" s="17">
        <f t="shared" si="6"/>
        <v>2016</v>
      </c>
      <c r="BO125" s="18">
        <f t="shared" si="7"/>
        <v>1411.1999999999998</v>
      </c>
    </row>
    <row r="126" spans="1:67" x14ac:dyDescent="0.4">
      <c r="A126" s="5" t="s">
        <v>200</v>
      </c>
      <c r="B126" s="5" t="s">
        <v>102</v>
      </c>
      <c r="C126" s="5">
        <v>229857</v>
      </c>
      <c r="D126" s="6"/>
      <c r="E126" s="5" t="s">
        <v>12</v>
      </c>
      <c r="F126" s="5" t="s">
        <v>13</v>
      </c>
      <c r="G126" s="5" t="s">
        <v>12</v>
      </c>
      <c r="H126" s="7" t="s">
        <v>11</v>
      </c>
      <c r="I126" s="7" t="s">
        <v>103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3</v>
      </c>
      <c r="AC126" s="8">
        <v>1800</v>
      </c>
      <c r="AD126" s="7">
        <v>900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10">
        <v>2700</v>
      </c>
      <c r="BN126" s="17">
        <f t="shared" si="6"/>
        <v>2700</v>
      </c>
      <c r="BO126" s="18">
        <f t="shared" si="7"/>
        <v>1889.9999999999998</v>
      </c>
    </row>
    <row r="127" spans="1:67" x14ac:dyDescent="0.4">
      <c r="A127" s="5" t="s">
        <v>200</v>
      </c>
      <c r="B127" s="5" t="s">
        <v>114</v>
      </c>
      <c r="C127" s="5">
        <v>285990</v>
      </c>
      <c r="D127" s="6"/>
      <c r="E127" s="5" t="s">
        <v>12</v>
      </c>
      <c r="F127" s="5" t="s">
        <v>13</v>
      </c>
      <c r="G127" s="5" t="s">
        <v>12</v>
      </c>
      <c r="H127" s="7" t="s">
        <v>7</v>
      </c>
      <c r="I127" s="7" t="s">
        <v>49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2</v>
      </c>
      <c r="AI127" s="7">
        <v>0</v>
      </c>
      <c r="AJ127" s="8">
        <v>1800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10">
        <v>1800</v>
      </c>
      <c r="BN127" s="17">
        <f t="shared" si="6"/>
        <v>1800</v>
      </c>
      <c r="BO127" s="18">
        <f t="shared" si="7"/>
        <v>1260</v>
      </c>
    </row>
    <row r="128" spans="1:67" x14ac:dyDescent="0.4">
      <c r="A128" s="5" t="s">
        <v>200</v>
      </c>
      <c r="B128" s="5" t="s">
        <v>46</v>
      </c>
      <c r="C128" s="5">
        <v>192729</v>
      </c>
      <c r="D128" s="6"/>
      <c r="E128" s="5" t="s">
        <v>12</v>
      </c>
      <c r="F128" s="5" t="s">
        <v>37</v>
      </c>
      <c r="G128" s="5" t="s">
        <v>12</v>
      </c>
      <c r="H128" s="7" t="s">
        <v>7</v>
      </c>
      <c r="I128" s="7" t="s">
        <v>47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1</v>
      </c>
      <c r="BA128" s="8">
        <v>1080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64.8</v>
      </c>
      <c r="BM128" s="10">
        <v>1080</v>
      </c>
      <c r="BN128" s="17">
        <f t="shared" si="6"/>
        <v>1015.2</v>
      </c>
      <c r="BO128" s="18">
        <f t="shared" si="7"/>
        <v>710.64</v>
      </c>
    </row>
    <row r="129" spans="1:67" x14ac:dyDescent="0.4">
      <c r="A129" s="5" t="s">
        <v>200</v>
      </c>
      <c r="B129" s="5" t="s">
        <v>48</v>
      </c>
      <c r="C129" s="5">
        <v>285993</v>
      </c>
      <c r="D129" s="6"/>
      <c r="E129" s="5" t="s">
        <v>12</v>
      </c>
      <c r="F129" s="5" t="s">
        <v>13</v>
      </c>
      <c r="G129" s="5" t="s">
        <v>12</v>
      </c>
      <c r="H129" s="7" t="s">
        <v>7</v>
      </c>
      <c r="I129" s="7" t="s">
        <v>49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1</v>
      </c>
      <c r="BA129" s="8">
        <v>1080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64.8</v>
      </c>
      <c r="BM129" s="10">
        <v>1080</v>
      </c>
      <c r="BN129" s="17">
        <f t="shared" si="6"/>
        <v>1015.2</v>
      </c>
      <c r="BO129" s="18">
        <f t="shared" si="7"/>
        <v>710.64</v>
      </c>
    </row>
    <row r="130" spans="1:67" x14ac:dyDescent="0.4">
      <c r="A130" s="5" t="s">
        <v>200</v>
      </c>
      <c r="B130" s="5" t="s">
        <v>27</v>
      </c>
      <c r="C130" s="5">
        <v>161447</v>
      </c>
      <c r="D130" s="6"/>
      <c r="E130" s="5" t="s">
        <v>12</v>
      </c>
      <c r="F130" s="5" t="s">
        <v>14</v>
      </c>
      <c r="G130" s="5" t="s">
        <v>12</v>
      </c>
      <c r="H130" s="7" t="s">
        <v>7</v>
      </c>
      <c r="I130" s="7" t="s">
        <v>28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1</v>
      </c>
      <c r="AO130" s="7">
        <v>900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11">
        <v>900</v>
      </c>
      <c r="BN130" s="17">
        <f t="shared" ref="BN130:BN135" si="8">BM130-BL130</f>
        <v>900</v>
      </c>
      <c r="BO130" s="18">
        <f t="shared" ref="BO130:BO135" si="9">BN130*70%</f>
        <v>630</v>
      </c>
    </row>
    <row r="131" spans="1:67" x14ac:dyDescent="0.4">
      <c r="A131" s="5" t="s">
        <v>200</v>
      </c>
      <c r="B131" s="5" t="s">
        <v>72</v>
      </c>
      <c r="C131" s="5">
        <v>189476</v>
      </c>
      <c r="D131" s="6"/>
      <c r="E131" s="5" t="s">
        <v>12</v>
      </c>
      <c r="F131" s="5" t="s">
        <v>37</v>
      </c>
      <c r="G131" s="5" t="s">
        <v>12</v>
      </c>
      <c r="H131" s="7" t="s">
        <v>7</v>
      </c>
      <c r="I131" s="7" t="s">
        <v>73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1</v>
      </c>
      <c r="AI131" s="7">
        <v>0</v>
      </c>
      <c r="AJ131" s="7">
        <v>900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11">
        <v>900</v>
      </c>
      <c r="BN131" s="17">
        <f t="shared" si="8"/>
        <v>900</v>
      </c>
      <c r="BO131" s="18">
        <f t="shared" si="9"/>
        <v>630</v>
      </c>
    </row>
    <row r="132" spans="1:67" x14ac:dyDescent="0.4">
      <c r="A132" s="5" t="s">
        <v>200</v>
      </c>
      <c r="B132" s="5" t="s">
        <v>100</v>
      </c>
      <c r="C132" s="5">
        <v>308470</v>
      </c>
      <c r="D132" s="6"/>
      <c r="E132" s="5" t="s">
        <v>12</v>
      </c>
      <c r="F132" s="5" t="s">
        <v>37</v>
      </c>
      <c r="G132" s="5" t="s">
        <v>12</v>
      </c>
      <c r="H132" s="7" t="s">
        <v>7</v>
      </c>
      <c r="I132" s="7" t="s">
        <v>101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4</v>
      </c>
      <c r="AL132" s="7">
        <v>0</v>
      </c>
      <c r="AM132" s="7">
        <v>400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11">
        <v>400</v>
      </c>
      <c r="BN132" s="17">
        <f t="shared" si="8"/>
        <v>400</v>
      </c>
      <c r="BO132" s="18">
        <f t="shared" si="9"/>
        <v>280</v>
      </c>
    </row>
    <row r="133" spans="1:67" ht="19.2" x14ac:dyDescent="0.4">
      <c r="A133" s="5" t="s">
        <v>200</v>
      </c>
      <c r="B133" s="5" t="s">
        <v>130</v>
      </c>
      <c r="C133" s="5">
        <v>409409</v>
      </c>
      <c r="D133" s="6"/>
      <c r="E133" s="5" t="s">
        <v>12</v>
      </c>
      <c r="F133" s="5" t="s">
        <v>37</v>
      </c>
      <c r="G133" s="5" t="s">
        <v>23</v>
      </c>
      <c r="H133" s="7" t="s">
        <v>7</v>
      </c>
      <c r="I133" s="7" t="s">
        <v>24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2</v>
      </c>
      <c r="BD133" s="7">
        <v>240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14.4</v>
      </c>
      <c r="BM133" s="11">
        <v>240</v>
      </c>
      <c r="BN133" s="17">
        <f t="shared" si="8"/>
        <v>225.6</v>
      </c>
      <c r="BO133" s="18">
        <f t="shared" si="9"/>
        <v>157.91999999999999</v>
      </c>
    </row>
    <row r="134" spans="1:67" x14ac:dyDescent="0.4">
      <c r="A134" s="5" t="s">
        <v>200</v>
      </c>
      <c r="B134" s="5" t="s">
        <v>107</v>
      </c>
      <c r="C134" s="5">
        <v>194565</v>
      </c>
      <c r="D134" s="6"/>
      <c r="E134" s="5" t="s">
        <v>12</v>
      </c>
      <c r="F134" s="5" t="s">
        <v>17</v>
      </c>
      <c r="G134" s="5" t="s">
        <v>12</v>
      </c>
      <c r="H134" s="7" t="s">
        <v>7</v>
      </c>
      <c r="I134" s="7" t="s">
        <v>108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2</v>
      </c>
      <c r="AF134" s="7">
        <v>0</v>
      </c>
      <c r="AG134" s="7">
        <v>200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11">
        <v>200</v>
      </c>
      <c r="BN134" s="17">
        <f t="shared" si="8"/>
        <v>200</v>
      </c>
      <c r="BO134" s="18">
        <f t="shared" si="9"/>
        <v>140</v>
      </c>
    </row>
    <row r="135" spans="1:67" x14ac:dyDescent="0.4">
      <c r="A135" s="5" t="s">
        <v>200</v>
      </c>
      <c r="B135" s="5" t="s">
        <v>123</v>
      </c>
      <c r="C135" s="5">
        <v>332843</v>
      </c>
      <c r="D135" s="6"/>
      <c r="E135" s="5" t="s">
        <v>12</v>
      </c>
      <c r="F135" s="5" t="s">
        <v>13</v>
      </c>
      <c r="G135" s="5" t="s">
        <v>12</v>
      </c>
      <c r="H135" s="7" t="s">
        <v>7</v>
      </c>
      <c r="I135" s="7" t="s">
        <v>124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1</v>
      </c>
      <c r="AL135" s="7">
        <v>0</v>
      </c>
      <c r="AM135" s="7">
        <v>100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11">
        <v>100</v>
      </c>
      <c r="BN135" s="17">
        <f t="shared" si="8"/>
        <v>100</v>
      </c>
      <c r="BO135" s="18">
        <f t="shared" si="9"/>
        <v>70</v>
      </c>
    </row>
    <row r="136" spans="1:67" x14ac:dyDescent="0.4">
      <c r="BO136" s="19">
        <f>SUM(BO2:BO135)</f>
        <v>10169091.170000002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2022-09-02T05:58:26Z</dcterms:modified>
</cp:coreProperties>
</file>