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정산\8월 매출\1. 월초 마감\네이버\"/>
    </mc:Choice>
  </mc:AlternateContent>
  <bookViews>
    <workbookView xWindow="0" yWindow="0" windowWidth="23040" windowHeight="8952" tabRatio="766"/>
  </bookViews>
  <sheets>
    <sheet name="합계 (8)" sheetId="412" r:id="rId1"/>
  </sheets>
  <definedNames>
    <definedName name="_xlnm._FilterDatabase" localSheetId="0" hidden="1">'합계 (8)'!$A$1:$AM$1</definedName>
    <definedName name="_xlnm.Extract" localSheetId="0">'합계 (8)'!#REF!</definedName>
  </definedNames>
  <calcPr calcId="152511"/>
</workbook>
</file>

<file path=xl/calcChain.xml><?xml version="1.0" encoding="utf-8"?>
<calcChain xmlns="http://schemas.openxmlformats.org/spreadsheetml/2006/main">
  <c r="BN29" i="412" l="1"/>
  <c r="BO29" i="412" s="1"/>
  <c r="BN30" i="412"/>
  <c r="BO30" i="412" s="1"/>
  <c r="BN31" i="412"/>
  <c r="BO31" i="412" s="1"/>
  <c r="BN32" i="412"/>
  <c r="BO32" i="412" s="1"/>
  <c r="BN33" i="412"/>
  <c r="BO33" i="412" s="1"/>
  <c r="BN34" i="412"/>
  <c r="BO34" i="412" s="1"/>
  <c r="BN35" i="412"/>
  <c r="BO35" i="412" s="1"/>
  <c r="BN36" i="412"/>
  <c r="BO36" i="412" s="1"/>
  <c r="BN37" i="412"/>
  <c r="BO37" i="412" s="1"/>
  <c r="BN38" i="412"/>
  <c r="BO38" i="412" s="1"/>
  <c r="BN39" i="412"/>
  <c r="BO39" i="412" s="1"/>
  <c r="BN40" i="412"/>
  <c r="BO40" i="412" s="1"/>
  <c r="BN41" i="412"/>
  <c r="BO41" i="412" s="1"/>
  <c r="BN42" i="412"/>
  <c r="BO42" i="412" s="1"/>
  <c r="BN43" i="412"/>
  <c r="BO43" i="412" s="1"/>
  <c r="BN44" i="412"/>
  <c r="BO44" i="412" s="1"/>
  <c r="BN45" i="412"/>
  <c r="BO45" i="412" s="1"/>
  <c r="BN46" i="412"/>
  <c r="BO46" i="412" s="1"/>
  <c r="BN47" i="412"/>
  <c r="BO47" i="412" s="1"/>
  <c r="BN48" i="412"/>
  <c r="BO48" i="412" s="1"/>
  <c r="BN49" i="412"/>
  <c r="BO49" i="412" s="1"/>
  <c r="BN50" i="412"/>
  <c r="BO50" i="412" s="1"/>
  <c r="BN51" i="412"/>
  <c r="BO51" i="412" s="1"/>
  <c r="BN52" i="412"/>
  <c r="BO52" i="412" s="1"/>
  <c r="BN53" i="412"/>
  <c r="BO53" i="412" s="1"/>
  <c r="BN54" i="412"/>
  <c r="BO54" i="412" s="1"/>
  <c r="BN55" i="412"/>
  <c r="BO55" i="412" s="1"/>
  <c r="BN56" i="412"/>
  <c r="BO56" i="412" s="1"/>
  <c r="BN57" i="412"/>
  <c r="BO57" i="412" s="1"/>
  <c r="BN58" i="412"/>
  <c r="BO58" i="412" s="1"/>
  <c r="BN59" i="412"/>
  <c r="BO59" i="412" s="1"/>
  <c r="BN60" i="412"/>
  <c r="BO60" i="412" s="1"/>
  <c r="BN61" i="412"/>
  <c r="BO61" i="412" s="1"/>
  <c r="BN62" i="412"/>
  <c r="BO62" i="412" s="1"/>
  <c r="BN63" i="412"/>
  <c r="BO63" i="412" s="1"/>
  <c r="BN64" i="412"/>
  <c r="BO64" i="412" s="1"/>
  <c r="BN65" i="412"/>
  <c r="BO65" i="412" s="1"/>
  <c r="BM66" i="412"/>
  <c r="BN3" i="412" l="1"/>
  <c r="BO3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 s="1"/>
  <c r="BN26" i="412"/>
  <c r="BO26" i="412" s="1"/>
  <c r="BN27" i="412"/>
  <c r="BO27" i="412" s="1"/>
  <c r="BN28" i="412"/>
  <c r="BO28" i="412" s="1"/>
  <c r="BN2" i="412" l="1"/>
  <c r="BO2" i="412" l="1"/>
  <c r="BO66" i="412" s="1"/>
</calcChain>
</file>

<file path=xl/sharedStrings.xml><?xml version="1.0" encoding="utf-8"?>
<sst xmlns="http://schemas.openxmlformats.org/spreadsheetml/2006/main" count="518" uniqueCount="203">
  <si>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</si>
  <si>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</si>
  <si>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</si>
  <si>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</si>
  <si>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</si>
  <si>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</si>
  <si>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</si>
  <si>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</si>
  <si>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</si>
  <si>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12세 이상 이용가능</t>
  </si>
  <si>
    <t>합계</t>
  </si>
  <si>
    <t>앱마켓수수료</t>
  </si>
  <si>
    <t>2022.03.16</t>
  </si>
  <si>
    <t>법보다 주먹 [단행본]</t>
  </si>
  <si>
    <t>스토리위즈_2</t>
  </si>
  <si>
    <t>백범(白帆)</t>
  </si>
  <si>
    <t>에필로그</t>
  </si>
  <si>
    <t>2022.04.13</t>
  </si>
  <si>
    <t>법보다 주먹</t>
  </si>
  <si>
    <t>일교차 [단행본]</t>
  </si>
  <si>
    <t>해화</t>
  </si>
  <si>
    <t>밀리오리지널</t>
  </si>
  <si>
    <t>2022.04.08</t>
  </si>
  <si>
    <t>19세 이상 이용가능</t>
  </si>
  <si>
    <t>용가리맛쿠키</t>
  </si>
  <si>
    <t>블러쉬</t>
  </si>
  <si>
    <t>서혜은</t>
  </si>
  <si>
    <t>최재봉</t>
  </si>
  <si>
    <t>협행마</t>
  </si>
  <si>
    <t>쉬라즈</t>
  </si>
  <si>
    <t>진짜 사나이 [단행본]</t>
  </si>
  <si>
    <t>2021.12.15</t>
  </si>
  <si>
    <t>이차적 일탈 [단행본]</t>
  </si>
  <si>
    <t>2022.03.04</t>
  </si>
  <si>
    <t>너만 보면 두근두근 [단행본]</t>
  </si>
  <si>
    <t>정경하</t>
  </si>
  <si>
    <t>2022.01.14</t>
  </si>
  <si>
    <t>더티독 [BL][단행본]</t>
  </si>
  <si>
    <t>2020.04.09</t>
  </si>
  <si>
    <t>설국연가 [단행본]</t>
  </si>
  <si>
    <t>마뇽</t>
  </si>
  <si>
    <t>2022.01.17</t>
  </si>
  <si>
    <t>대공의 아내 [단행본]</t>
  </si>
  <si>
    <t>문시티</t>
  </si>
  <si>
    <t>2020.01.16</t>
  </si>
  <si>
    <t>2021.12.10</t>
  </si>
  <si>
    <t>더티독 외전 [BL][단행본]</t>
  </si>
  <si>
    <t>무심코 [단행본]</t>
  </si>
  <si>
    <t>달로</t>
  </si>
  <si>
    <t>2022.06.03</t>
  </si>
  <si>
    <t>한 번은 이별하자 [단행본]</t>
  </si>
  <si>
    <t>서연</t>
  </si>
  <si>
    <t>2022.06.20</t>
  </si>
  <si>
    <t>짝사랑 중입니다 [단행본]</t>
  </si>
  <si>
    <t>진양</t>
  </si>
  <si>
    <t>2022.06.27</t>
  </si>
  <si>
    <t>위사무적 [단행본]</t>
  </si>
  <si>
    <t>2020.09.11</t>
  </si>
  <si>
    <t>출판사</t>
    <phoneticPr fontId="22" type="noConversion"/>
  </si>
  <si>
    <t>하일군재래(何日君再來) [단행본]</t>
  </si>
  <si>
    <t>신윤희(에드가)</t>
  </si>
  <si>
    <t>2022.07.14</t>
  </si>
  <si>
    <t>봄볕이 아른아른 [단행본]</t>
  </si>
  <si>
    <t>송여희</t>
  </si>
  <si>
    <t>2022.07.07</t>
  </si>
  <si>
    <t>탈각 [단행본]</t>
  </si>
  <si>
    <t>공호</t>
  </si>
  <si>
    <t>2022.06.29</t>
  </si>
  <si>
    <t>남창목가 [단행본]</t>
  </si>
  <si>
    <t>2020.05.18</t>
  </si>
  <si>
    <t>빠져들다 [단행본]</t>
  </si>
  <si>
    <t>알리시아</t>
  </si>
  <si>
    <t>2022.07.21</t>
  </si>
  <si>
    <t>용병수칙 [단행본]</t>
  </si>
  <si>
    <t>2020.09.10</t>
  </si>
  <si>
    <t>근수저 오크는 근손실이 싫다 [독점]</t>
  </si>
  <si>
    <t>ARC곽도우</t>
  </si>
  <si>
    <t>스토리아크</t>
  </si>
  <si>
    <t>N스토어(PC)</t>
    <phoneticPr fontId="20" type="noConversion"/>
  </si>
  <si>
    <t>N스토어(MW)</t>
    <phoneticPr fontId="20" type="noConversion"/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</si>
  <si>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</si>
  <si>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</si>
  <si>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</si>
  <si>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</si>
  <si>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</si>
  <si>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</si>
  <si>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</si>
  <si>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</si>
  <si>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</si>
  <si>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</si>
  <si>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</si>
  <si>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</si>
  <si>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</si>
  <si>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</si>
  <si>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</si>
  <si>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</si>
  <si>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</si>
  <si>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</si>
  <si>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</si>
  <si>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</si>
  <si>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</si>
  <si>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</si>
  <si>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</si>
  <si>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</si>
  <si>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</si>
  <si>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</si>
  <si>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</si>
  <si>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</si>
  <si>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</si>
  <si>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</si>
  <si>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</si>
  <si>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</si>
  <si>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</si>
  <si>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</si>
  <si>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</si>
  <si>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</si>
  <si>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</si>
  <si>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</si>
  <si>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</si>
  <si>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</si>
  <si>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</si>
  <si>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</si>
  <si>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</si>
  <si>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</si>
  <si>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</si>
  <si>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</si>
  <si>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</si>
  <si>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</si>
  <si>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</si>
  <si>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</si>
  <si>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</si>
  <si>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</si>
  <si>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</si>
  <si>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</si>
  <si>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</si>
  <si>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</si>
  <si>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</si>
  <si>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</si>
  <si>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r>
      <rPr>
        <sz val="10"/>
        <color theme="1"/>
        <rFont val="맑은 고딕"/>
        <family val="3"/>
        <charset val="129"/>
        <scheme val="major"/>
      </rPr>
      <t>작가</t>
    </r>
    <r>
      <rPr>
        <sz val="11"/>
        <color theme="1"/>
        <rFont val="맑은 고딕"/>
        <family val="3"/>
        <charset val="129"/>
        <scheme val="major"/>
      </rPr>
      <t xml:space="preserve"> CP</t>
    </r>
    <phoneticPr fontId="22" type="noConversion"/>
  </si>
  <si>
    <t>티끌모아 대박 [단행본]</t>
  </si>
  <si>
    <t>2022.07.29</t>
  </si>
  <si>
    <t>너는 천사 [단행본]</t>
  </si>
  <si>
    <t>2022.08.25</t>
  </si>
  <si>
    <t>이리 와 봐 [단행본]</t>
  </si>
  <si>
    <t>최강주</t>
  </si>
  <si>
    <t>2018.08.30</t>
  </si>
  <si>
    <t>연애의 끝 [단행본]</t>
  </si>
  <si>
    <t>차크</t>
  </si>
  <si>
    <t>2022.07.28</t>
  </si>
  <si>
    <t>동대륙의 낭인무사 [단행본]</t>
  </si>
  <si>
    <t>2020.09.08</t>
  </si>
  <si>
    <t>이리 와 봐 외전 [단행본]</t>
  </si>
  <si>
    <t>2018.10.19</t>
  </si>
  <si>
    <t>2022.09.02</t>
  </si>
  <si>
    <t>이세계 최강 군바리</t>
  </si>
  <si>
    <t>2019.07.31</t>
  </si>
  <si>
    <t>벗어 주세요</t>
  </si>
  <si>
    <t>주해나</t>
  </si>
  <si>
    <t>쉬즈노블</t>
  </si>
  <si>
    <t>2019.03.07</t>
  </si>
  <si>
    <t>흠뻑 적셔줄게 [BL]</t>
  </si>
  <si>
    <t>묜수</t>
  </si>
  <si>
    <t>2021.08.27</t>
  </si>
  <si>
    <t>악당의 리턴!</t>
  </si>
  <si>
    <t>354950</t>
  </si>
  <si>
    <t>2019.06.20</t>
  </si>
  <si>
    <t>PC 뷰어(PC)</t>
    <phoneticPr fontId="20" type="noConversion"/>
  </si>
  <si>
    <t>티끌모아 대박</t>
  </si>
  <si>
    <t>2022.08.11</t>
  </si>
  <si>
    <t>이세계 최강 군바리 [단행본]</t>
  </si>
  <si>
    <t>2019.11.04</t>
  </si>
  <si>
    <t>남궁세가 건달공자 [단행본]</t>
  </si>
  <si>
    <t>2019.06.18</t>
  </si>
  <si>
    <t>강호, 미치다</t>
  </si>
  <si>
    <t>2019.09.18</t>
  </si>
  <si>
    <t>헌터 킹</t>
  </si>
  <si>
    <t>바보가 만드는 멋진 세상 [개정판]</t>
  </si>
  <si>
    <t>2021.09.14</t>
  </si>
  <si>
    <t>작열감 [단행본]</t>
  </si>
  <si>
    <t>리밀</t>
  </si>
  <si>
    <t>연애의 시작 [단행본]</t>
  </si>
  <si>
    <t>2022.02.18</t>
  </si>
  <si>
    <t>불순한 재회 [단행본]</t>
  </si>
  <si>
    <t>장현미</t>
  </si>
  <si>
    <t>2022.08.04</t>
  </si>
  <si>
    <t>미세한 매력 [외전증보판][단행본]</t>
  </si>
  <si>
    <t>지니</t>
  </si>
  <si>
    <t>2020.02.13</t>
  </si>
  <si>
    <t>벗어 주세요 [단행본]</t>
  </si>
  <si>
    <t>2019.02.15</t>
  </si>
  <si>
    <t>정략결혼 [단행본]</t>
  </si>
  <si>
    <t>수련</t>
  </si>
  <si>
    <t>우리의 봄, 나의 개나리 [BL] [단행본]</t>
  </si>
  <si>
    <t>마연(연필깎이)</t>
  </si>
  <si>
    <t>비엘스토리</t>
  </si>
  <si>
    <t>2018.06.12</t>
  </si>
  <si>
    <t>우기에는 비가 와요 [단행본]</t>
  </si>
  <si>
    <t>이리</t>
  </si>
  <si>
    <t>2022.06.17</t>
  </si>
  <si>
    <t>N스토어(PC)</t>
    <phoneticPr fontId="20" type="noConversion"/>
  </si>
  <si>
    <t>PC 뷰어(PC)</t>
    <phoneticPr fontId="20" type="noConversion"/>
  </si>
  <si>
    <t>PC 뷰어(PC)</t>
    <phoneticPr fontId="20" type="noConversion"/>
  </si>
  <si>
    <t>N스토어(MW)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</si>
</sst>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vertical="center" wrapText="1"/>
    </xf>
    <xf numFmtId="41" fontId="23" fillId="0" borderId="0" xfId="42" applyFont="1">
      <alignment vertical="center"/>
    </xf>
    <xf numFmtId="41" fontId="23" fillId="0" borderId="0" xfId="42" applyFont="1" applyFill="1">
      <alignment vertical="center"/>
    </xf>
    <xf numFmtId="0" fontId="23" fillId="0" borderId="0" xfId="0" applyFont="1">
      <alignment vertical="center"/>
    </xf>
    <xf numFmtId="41" fontId="23" fillId="34" borderId="0" xfId="42" applyFont="1" applyFill="1">
      <alignment vertical="center"/>
    </xf>
    <xf numFmtId="0" fontId="24" fillId="35" borderId="10" xfId="0" applyFont="1" applyFill="1" applyBorder="1" applyAlignment="1">
      <alignment vertical="center"/>
    </xf>
    <xf numFmtId="0" fontId="25" fillId="35" borderId="11" xfId="0" applyFont="1" applyFill="1" applyBorder="1" applyAlignme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375"/>
  <sheetViews>
    <sheetView tabSelected="1" zoomScaleNormal="100" workbookViewId="0"/>
  </sheetViews>
  <sheetFormatPr defaultRowHeight="17.399999999999999" x14ac:dyDescent="0.4"/>
  <cols>
    <col min="1" max="1" width="9.39843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10" width="4.19921875" customWidth="1"/>
    <col min="11" max="11" width="4.69921875" customWidth="1"/>
    <col min="12" max="12" width="7.19921875" customWidth="1"/>
    <col min="13" max="13" width="6.69921875" customWidth="1"/>
    <col min="14" max="14" width="6" customWidth="1"/>
    <col min="15" max="16" width="6.19921875" customWidth="1"/>
    <col min="17" max="17" width="5" customWidth="1"/>
    <col min="18" max="18" width="4.69921875" customWidth="1"/>
    <col min="19" max="19" width="7.19921875" customWidth="1"/>
    <col min="20" max="20" width="6.69921875" customWidth="1"/>
    <col min="21" max="21" width="6" customWidth="1"/>
    <col min="22" max="23" width="6.19921875" customWidth="1"/>
    <col min="24" max="24" width="3.59765625" customWidth="1"/>
    <col min="25" max="25" width="5" customWidth="1"/>
    <col min="26" max="27" width="3.59765625" customWidth="1"/>
    <col min="28" max="28" width="4.19921875" bestFit="1" customWidth="1"/>
    <col min="29" max="29" width="6.69921875" bestFit="1" customWidth="1"/>
    <col min="30" max="30" width="5.69921875" bestFit="1" customWidth="1"/>
    <col min="31" max="31" width="5" bestFit="1" customWidth="1"/>
    <col min="32" max="33" width="6.69921875" bestFit="1" customWidth="1"/>
    <col min="34" max="35" width="3.59765625" customWidth="1"/>
    <col min="36" max="36" width="12.69921875" bestFit="1" customWidth="1"/>
    <col min="37" max="38" width="12.8984375" bestFit="1" customWidth="1"/>
    <col min="39" max="39" width="15.69921875" bestFit="1" customWidth="1"/>
    <col min="48" max="48" width="13.8984375" bestFit="1" customWidth="1"/>
    <col min="65" max="65" width="12.69921875" bestFit="1" customWidth="1"/>
    <col min="66" max="66" width="13.5" style="16" bestFit="1" customWidth="1"/>
    <col min="67" max="67" width="13.3984375" style="14" customWidth="1"/>
  </cols>
  <sheetData>
    <row r="1" spans="1:69" ht="27" customHeight="1" x14ac:dyDescent="0.4">
      <c r="A1" s="2" t="s">
        <v>80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81</v>
      </c>
      <c r="I1" s="13" t="s">
        <v>6</v>
      </c>
      <c r="J1" s="12" t="s">
        <v>82</v>
      </c>
      <c r="K1" s="12" t="s">
        <v>83</v>
      </c>
      <c r="L1" s="12" t="s">
        <v>84</v>
      </c>
      <c r="M1" s="12" t="s">
        <v>85</v>
      </c>
      <c r="N1" s="12" t="s">
        <v>86</v>
      </c>
      <c r="O1" s="12" t="s">
        <v>87</v>
      </c>
      <c r="P1" s="12" t="s">
        <v>88</v>
      </c>
      <c r="Q1" s="12" t="s">
        <v>89</v>
      </c>
      <c r="R1" s="12" t="s">
        <v>90</v>
      </c>
      <c r="S1" s="12" t="s">
        <v>91</v>
      </c>
      <c r="T1" s="12" t="s">
        <v>92</v>
      </c>
      <c r="U1" s="12" t="s">
        <v>93</v>
      </c>
      <c r="V1" s="12" t="s">
        <v>94</v>
      </c>
      <c r="W1" s="12" t="s">
        <v>95</v>
      </c>
      <c r="X1" s="12" t="s">
        <v>96</v>
      </c>
      <c r="Y1" s="12" t="s">
        <v>97</v>
      </c>
      <c r="Z1" s="12" t="s">
        <v>98</v>
      </c>
      <c r="AA1" s="12" t="s">
        <v>99</v>
      </c>
      <c r="AB1" s="12" t="s">
        <v>100</v>
      </c>
      <c r="AC1" s="12" t="s">
        <v>101</v>
      </c>
      <c r="AD1" s="12" t="s">
        <v>102</v>
      </c>
      <c r="AE1" s="12" t="s">
        <v>103</v>
      </c>
      <c r="AF1" s="12" t="s">
        <v>104</v>
      </c>
      <c r="AG1" s="12" t="s">
        <v>105</v>
      </c>
      <c r="AH1" s="12" t="s">
        <v>106</v>
      </c>
      <c r="AI1" s="12" t="s">
        <v>107</v>
      </c>
      <c r="AJ1" s="12" t="s">
        <v>108</v>
      </c>
      <c r="AK1" s="12" t="s">
        <v>109</v>
      </c>
      <c r="AL1" s="12" t="s">
        <v>110</v>
      </c>
      <c r="AM1" s="12" t="s">
        <v>111</v>
      </c>
      <c r="AN1" s="12" t="s">
        <v>112</v>
      </c>
      <c r="AO1" s="12" t="s">
        <v>113</v>
      </c>
      <c r="AP1" s="12" t="s">
        <v>114</v>
      </c>
      <c r="AQ1" s="12" t="s">
        <v>115</v>
      </c>
      <c r="AR1" s="12" t="s">
        <v>116</v>
      </c>
      <c r="AS1" s="12" t="s">
        <v>117</v>
      </c>
      <c r="AT1" s="12" t="s">
        <v>118</v>
      </c>
      <c r="AU1" s="12" t="s">
        <v>119</v>
      </c>
      <c r="AV1" s="12" t="s">
        <v>120</v>
      </c>
      <c r="AW1" s="12" t="s">
        <v>121</v>
      </c>
      <c r="AX1" s="12" t="s">
        <v>122</v>
      </c>
      <c r="AY1" s="12" t="s">
        <v>123</v>
      </c>
      <c r="AZ1" s="12" t="s">
        <v>124</v>
      </c>
      <c r="BA1" s="12" t="s">
        <v>125</v>
      </c>
      <c r="BB1" s="12" t="s">
        <v>126</v>
      </c>
      <c r="BC1" s="12" t="s">
        <v>127</v>
      </c>
      <c r="BD1" s="12" t="s">
        <v>128</v>
      </c>
      <c r="BE1" s="12" t="s">
        <v>129</v>
      </c>
      <c r="BF1" s="12" t="s">
        <v>130</v>
      </c>
      <c r="BG1" s="12" t="s">
        <v>131</v>
      </c>
      <c r="BH1" s="12" t="s">
        <v>132</v>
      </c>
      <c r="BI1" s="12" t="s">
        <v>133</v>
      </c>
      <c r="BJ1" s="12" t="s">
        <v>134</v>
      </c>
      <c r="BK1" s="12" t="s">
        <v>135</v>
      </c>
      <c r="BL1" s="12" t="s">
        <v>11</v>
      </c>
      <c r="BM1" s="12" t="s">
        <v>10</v>
      </c>
      <c r="BN1" s="12" t="s">
        <v>136</v>
      </c>
      <c r="BO1" s="12" t="s">
        <v>137</v>
      </c>
      <c r="BP1" s="18" t="s">
        <v>58</v>
      </c>
      <c r="BQ1" s="19" t="s">
        <v>138</v>
      </c>
    </row>
    <row r="2" spans="1:69" x14ac:dyDescent="0.4">
      <c r="A2" s="5" t="s">
        <v>78</v>
      </c>
      <c r="B2" s="5" t="s">
        <v>139</v>
      </c>
      <c r="C2" s="5">
        <v>453656</v>
      </c>
      <c r="D2" s="6"/>
      <c r="E2" s="5" t="s">
        <v>14</v>
      </c>
      <c r="F2" s="5" t="s">
        <v>15</v>
      </c>
      <c r="G2" s="5" t="s">
        <v>16</v>
      </c>
      <c r="H2" s="7" t="s">
        <v>7</v>
      </c>
      <c r="I2" s="7" t="s">
        <v>140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7</v>
      </c>
      <c r="AC2" s="8">
        <v>6300</v>
      </c>
      <c r="AD2" s="7">
        <v>0</v>
      </c>
      <c r="AE2" s="7">
        <v>1</v>
      </c>
      <c r="AF2" s="8">
        <v>2400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3</v>
      </c>
      <c r="AO2" s="8">
        <v>2700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10">
        <v>11400</v>
      </c>
      <c r="BN2" s="14">
        <f>BM2-BL2</f>
        <v>11400</v>
      </c>
      <c r="BO2" s="15">
        <f>BN2*70%</f>
        <v>7979.9999999999991</v>
      </c>
    </row>
    <row r="3" spans="1:69" x14ac:dyDescent="0.4">
      <c r="A3" s="5" t="s">
        <v>78</v>
      </c>
      <c r="B3" s="5" t="s">
        <v>141</v>
      </c>
      <c r="C3" s="5">
        <v>477493</v>
      </c>
      <c r="D3" s="6"/>
      <c r="E3" s="5" t="s">
        <v>14</v>
      </c>
      <c r="F3" s="5" t="s">
        <v>35</v>
      </c>
      <c r="G3" s="5" t="s">
        <v>21</v>
      </c>
      <c r="H3" s="7" t="s">
        <v>7</v>
      </c>
      <c r="I3" s="7" t="s">
        <v>142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4</v>
      </c>
      <c r="AF3" s="8">
        <v>6500</v>
      </c>
      <c r="AG3" s="8">
        <v>1200</v>
      </c>
      <c r="AH3" s="7">
        <v>0</v>
      </c>
      <c r="AI3" s="7">
        <v>0</v>
      </c>
      <c r="AJ3" s="7">
        <v>0</v>
      </c>
      <c r="AK3" s="7">
        <v>1</v>
      </c>
      <c r="AL3" s="7">
        <v>0</v>
      </c>
      <c r="AM3" s="7">
        <v>300</v>
      </c>
      <c r="AN3" s="7">
        <v>0</v>
      </c>
      <c r="AO3" s="7">
        <v>0</v>
      </c>
      <c r="AP3" s="7">
        <v>0</v>
      </c>
      <c r="AQ3" s="7">
        <v>1</v>
      </c>
      <c r="AR3" s="8">
        <v>2000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10">
        <v>10000</v>
      </c>
      <c r="BN3" s="14">
        <f t="shared" ref="BN3:BN28" si="0">BM3-BL3</f>
        <v>10000</v>
      </c>
      <c r="BO3" s="15">
        <f t="shared" ref="BO3:BO28" si="1">BN3*70%</f>
        <v>7000</v>
      </c>
    </row>
    <row r="4" spans="1:69" x14ac:dyDescent="0.4">
      <c r="A4" s="5" t="s">
        <v>78</v>
      </c>
      <c r="B4" s="5" t="s">
        <v>30</v>
      </c>
      <c r="C4" s="5">
        <v>453445</v>
      </c>
      <c r="D4" s="6"/>
      <c r="E4" s="5" t="s">
        <v>14</v>
      </c>
      <c r="F4" s="5" t="s">
        <v>15</v>
      </c>
      <c r="G4" s="5" t="s">
        <v>16</v>
      </c>
      <c r="H4" s="7" t="s">
        <v>8</v>
      </c>
      <c r="I4" s="7" t="s">
        <v>31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8</v>
      </c>
      <c r="AC4" s="8">
        <v>7200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10">
        <v>7200</v>
      </c>
      <c r="BN4" s="14">
        <f t="shared" si="0"/>
        <v>7200</v>
      </c>
      <c r="BO4" s="15">
        <f t="shared" si="1"/>
        <v>5040</v>
      </c>
    </row>
    <row r="5" spans="1:69" x14ac:dyDescent="0.4">
      <c r="A5" s="5" t="s">
        <v>78</v>
      </c>
      <c r="B5" s="5" t="s">
        <v>73</v>
      </c>
      <c r="C5" s="5">
        <v>408834</v>
      </c>
      <c r="D5" s="6"/>
      <c r="E5" s="5" t="s">
        <v>14</v>
      </c>
      <c r="F5" s="5" t="s">
        <v>28</v>
      </c>
      <c r="G5" s="5" t="s">
        <v>16</v>
      </c>
      <c r="H5" s="7" t="s">
        <v>7</v>
      </c>
      <c r="I5" s="7" t="s">
        <v>74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2</v>
      </c>
      <c r="AF5" s="8">
        <v>5000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10">
        <v>5000</v>
      </c>
      <c r="BN5" s="14">
        <f t="shared" si="0"/>
        <v>5000</v>
      </c>
      <c r="BO5" s="15">
        <f t="shared" si="1"/>
        <v>3500</v>
      </c>
    </row>
    <row r="6" spans="1:69" x14ac:dyDescent="0.4">
      <c r="A6" s="5" t="s">
        <v>78</v>
      </c>
      <c r="B6" s="5" t="s">
        <v>68</v>
      </c>
      <c r="C6" s="5">
        <v>380954</v>
      </c>
      <c r="D6" s="6"/>
      <c r="E6" s="5" t="s">
        <v>14</v>
      </c>
      <c r="F6" s="5" t="s">
        <v>27</v>
      </c>
      <c r="G6" s="5" t="s">
        <v>16</v>
      </c>
      <c r="H6" s="7" t="s">
        <v>7</v>
      </c>
      <c r="I6" s="7" t="s">
        <v>69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2</v>
      </c>
      <c r="AF6" s="8">
        <v>3000</v>
      </c>
      <c r="AG6" s="8">
        <v>2000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10">
        <v>5000</v>
      </c>
      <c r="BN6" s="14">
        <f t="shared" si="0"/>
        <v>5000</v>
      </c>
      <c r="BO6" s="15">
        <f t="shared" si="1"/>
        <v>3500</v>
      </c>
    </row>
    <row r="7" spans="1:69" x14ac:dyDescent="0.4">
      <c r="A7" s="5" t="s">
        <v>199</v>
      </c>
      <c r="B7" s="5" t="s">
        <v>47</v>
      </c>
      <c r="C7" s="5">
        <v>470383</v>
      </c>
      <c r="D7" s="6"/>
      <c r="E7" s="5" t="s">
        <v>14</v>
      </c>
      <c r="F7" s="5" t="s">
        <v>48</v>
      </c>
      <c r="G7" s="5" t="s">
        <v>21</v>
      </c>
      <c r="H7" s="7" t="s">
        <v>23</v>
      </c>
      <c r="I7" s="7" t="s">
        <v>49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2</v>
      </c>
      <c r="AF7" s="8">
        <v>4000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10">
        <v>4000</v>
      </c>
      <c r="BN7" s="14">
        <f t="shared" si="0"/>
        <v>4000</v>
      </c>
      <c r="BO7" s="15">
        <f t="shared" si="1"/>
        <v>2800</v>
      </c>
    </row>
    <row r="8" spans="1:69" x14ac:dyDescent="0.4">
      <c r="A8" s="5" t="s">
        <v>78</v>
      </c>
      <c r="B8" s="5" t="s">
        <v>143</v>
      </c>
      <c r="C8" s="5">
        <v>326776</v>
      </c>
      <c r="D8" s="6"/>
      <c r="E8" s="5" t="s">
        <v>14</v>
      </c>
      <c r="F8" s="5" t="s">
        <v>144</v>
      </c>
      <c r="G8" s="5" t="s">
        <v>29</v>
      </c>
      <c r="H8" s="7" t="s">
        <v>23</v>
      </c>
      <c r="I8" s="7" t="s">
        <v>145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1</v>
      </c>
      <c r="AF8" s="8">
        <v>3800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10">
        <v>3800</v>
      </c>
      <c r="BN8" s="14">
        <f t="shared" si="0"/>
        <v>3800</v>
      </c>
      <c r="BO8" s="15">
        <f t="shared" si="1"/>
        <v>2660</v>
      </c>
    </row>
    <row r="9" spans="1:69" x14ac:dyDescent="0.4">
      <c r="A9" s="5" t="s">
        <v>199</v>
      </c>
      <c r="B9" s="5" t="s">
        <v>53</v>
      </c>
      <c r="C9" s="5">
        <v>472519</v>
      </c>
      <c r="D9" s="6"/>
      <c r="E9" s="5" t="s">
        <v>14</v>
      </c>
      <c r="F9" s="5" t="s">
        <v>54</v>
      </c>
      <c r="G9" s="5" t="s">
        <v>21</v>
      </c>
      <c r="H9" s="7" t="s">
        <v>7</v>
      </c>
      <c r="I9" s="7" t="s">
        <v>55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1</v>
      </c>
      <c r="AL9" s="7">
        <v>0</v>
      </c>
      <c r="AM9" s="8">
        <v>3600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10">
        <v>3600</v>
      </c>
      <c r="BN9" s="14">
        <f t="shared" si="0"/>
        <v>3600</v>
      </c>
      <c r="BO9" s="15">
        <f t="shared" si="1"/>
        <v>2520</v>
      </c>
    </row>
    <row r="10" spans="1:69" x14ac:dyDescent="0.4">
      <c r="A10" s="5" t="s">
        <v>199</v>
      </c>
      <c r="B10" s="5" t="s">
        <v>146</v>
      </c>
      <c r="C10" s="5">
        <v>474768</v>
      </c>
      <c r="D10" s="6"/>
      <c r="E10" s="5" t="s">
        <v>14</v>
      </c>
      <c r="F10" s="5" t="s">
        <v>147</v>
      </c>
      <c r="G10" s="5" t="s">
        <v>21</v>
      </c>
      <c r="H10" s="7" t="s">
        <v>23</v>
      </c>
      <c r="I10" s="7" t="s">
        <v>148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1</v>
      </c>
      <c r="AF10" s="8">
        <v>3500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10">
        <v>3500</v>
      </c>
      <c r="BN10" s="14">
        <f t="shared" si="0"/>
        <v>3500</v>
      </c>
      <c r="BO10" s="15">
        <f t="shared" si="1"/>
        <v>2450</v>
      </c>
    </row>
    <row r="11" spans="1:69" x14ac:dyDescent="0.4">
      <c r="A11" s="5" t="s">
        <v>199</v>
      </c>
      <c r="B11" s="5" t="s">
        <v>42</v>
      </c>
      <c r="C11" s="5">
        <v>387161</v>
      </c>
      <c r="D11" s="6"/>
      <c r="E11" s="5" t="s">
        <v>14</v>
      </c>
      <c r="F11" s="5" t="s">
        <v>43</v>
      </c>
      <c r="G11" s="5" t="s">
        <v>29</v>
      </c>
      <c r="H11" s="7" t="s">
        <v>23</v>
      </c>
      <c r="I11" s="7" t="s">
        <v>44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1</v>
      </c>
      <c r="AF11" s="8">
        <v>3200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10">
        <v>3200</v>
      </c>
      <c r="BN11" s="14">
        <f t="shared" si="0"/>
        <v>3200</v>
      </c>
      <c r="BO11" s="15">
        <f t="shared" si="1"/>
        <v>2240</v>
      </c>
    </row>
    <row r="12" spans="1:69" x14ac:dyDescent="0.4">
      <c r="A12" s="5" t="s">
        <v>78</v>
      </c>
      <c r="B12" s="5" t="s">
        <v>19</v>
      </c>
      <c r="C12" s="5">
        <v>464786</v>
      </c>
      <c r="D12" s="6"/>
      <c r="E12" s="5" t="s">
        <v>14</v>
      </c>
      <c r="F12" s="5" t="s">
        <v>20</v>
      </c>
      <c r="G12" s="5" t="s">
        <v>21</v>
      </c>
      <c r="H12" s="7" t="s">
        <v>9</v>
      </c>
      <c r="I12" s="7" t="s">
        <v>22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1</v>
      </c>
      <c r="AF12" s="8">
        <v>2500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10">
        <v>2500</v>
      </c>
      <c r="BN12" s="14">
        <f t="shared" si="0"/>
        <v>2500</v>
      </c>
      <c r="BO12" s="15">
        <f t="shared" si="1"/>
        <v>1750</v>
      </c>
    </row>
    <row r="13" spans="1:69" x14ac:dyDescent="0.4">
      <c r="A13" s="5" t="s">
        <v>78</v>
      </c>
      <c r="B13" s="5" t="s">
        <v>70</v>
      </c>
      <c r="C13" s="5">
        <v>474767</v>
      </c>
      <c r="D13" s="6"/>
      <c r="E13" s="5" t="s">
        <v>14</v>
      </c>
      <c r="F13" s="5" t="s">
        <v>71</v>
      </c>
      <c r="G13" s="5" t="s">
        <v>21</v>
      </c>
      <c r="H13" s="7" t="s">
        <v>23</v>
      </c>
      <c r="I13" s="7" t="s">
        <v>72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1</v>
      </c>
      <c r="AF13" s="8">
        <v>2500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10">
        <v>2500</v>
      </c>
      <c r="BN13" s="14">
        <f t="shared" si="0"/>
        <v>2500</v>
      </c>
      <c r="BO13" s="15">
        <f t="shared" si="1"/>
        <v>1750</v>
      </c>
    </row>
    <row r="14" spans="1:69" x14ac:dyDescent="0.4">
      <c r="A14" s="5" t="s">
        <v>78</v>
      </c>
      <c r="B14" s="5" t="s">
        <v>39</v>
      </c>
      <c r="C14" s="5">
        <v>457534</v>
      </c>
      <c r="D14" s="6"/>
      <c r="E14" s="5" t="s">
        <v>14</v>
      </c>
      <c r="F14" s="5" t="s">
        <v>40</v>
      </c>
      <c r="G14" s="5" t="s">
        <v>21</v>
      </c>
      <c r="H14" s="7" t="s">
        <v>23</v>
      </c>
      <c r="I14" s="7" t="s">
        <v>41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1</v>
      </c>
      <c r="AF14" s="8">
        <v>2000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10">
        <v>2000</v>
      </c>
      <c r="BN14" s="14">
        <f t="shared" si="0"/>
        <v>2000</v>
      </c>
      <c r="BO14" s="15">
        <f t="shared" si="1"/>
        <v>1400</v>
      </c>
    </row>
    <row r="15" spans="1:69" x14ac:dyDescent="0.4">
      <c r="A15" s="5" t="s">
        <v>199</v>
      </c>
      <c r="B15" s="5" t="s">
        <v>149</v>
      </c>
      <c r="C15" s="5">
        <v>408303</v>
      </c>
      <c r="D15" s="6"/>
      <c r="E15" s="5" t="s">
        <v>14</v>
      </c>
      <c r="F15" s="5" t="s">
        <v>28</v>
      </c>
      <c r="G15" s="5" t="s">
        <v>16</v>
      </c>
      <c r="H15" s="7" t="s">
        <v>7</v>
      </c>
      <c r="I15" s="7" t="s">
        <v>150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1</v>
      </c>
      <c r="AC15" s="7">
        <v>900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11">
        <v>900</v>
      </c>
      <c r="BN15" s="14">
        <f t="shared" si="0"/>
        <v>900</v>
      </c>
      <c r="BO15" s="15">
        <f t="shared" si="1"/>
        <v>630</v>
      </c>
    </row>
    <row r="16" spans="1:69" x14ac:dyDescent="0.4">
      <c r="A16" s="5" t="s">
        <v>199</v>
      </c>
      <c r="B16" s="5" t="s">
        <v>13</v>
      </c>
      <c r="C16" s="5">
        <v>465998</v>
      </c>
      <c r="D16" s="6"/>
      <c r="E16" s="5" t="s">
        <v>14</v>
      </c>
      <c r="F16" s="5" t="s">
        <v>15</v>
      </c>
      <c r="G16" s="5" t="s">
        <v>16</v>
      </c>
      <c r="H16" s="7" t="s">
        <v>9</v>
      </c>
      <c r="I16" s="7" t="s">
        <v>17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1</v>
      </c>
      <c r="AC16" s="7">
        <v>900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11">
        <v>900</v>
      </c>
      <c r="BN16" s="14">
        <f t="shared" si="0"/>
        <v>900</v>
      </c>
      <c r="BO16" s="15">
        <f t="shared" si="1"/>
        <v>630</v>
      </c>
    </row>
    <row r="17" spans="1:67" x14ac:dyDescent="0.4">
      <c r="A17" s="5" t="s">
        <v>199</v>
      </c>
      <c r="B17" s="5" t="s">
        <v>56</v>
      </c>
      <c r="C17" s="5">
        <v>408836</v>
      </c>
      <c r="D17" s="6"/>
      <c r="E17" s="5" t="s">
        <v>14</v>
      </c>
      <c r="F17" s="5" t="s">
        <v>28</v>
      </c>
      <c r="G17" s="5" t="s">
        <v>16</v>
      </c>
      <c r="H17" s="7" t="s">
        <v>7</v>
      </c>
      <c r="I17" s="7" t="s">
        <v>57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1</v>
      </c>
      <c r="BA17" s="7">
        <v>840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50.4</v>
      </c>
      <c r="BM17" s="11">
        <v>840</v>
      </c>
      <c r="BN17" s="14">
        <f t="shared" si="0"/>
        <v>789.6</v>
      </c>
      <c r="BO17" s="15">
        <f t="shared" si="1"/>
        <v>552.72</v>
      </c>
    </row>
    <row r="18" spans="1:67" x14ac:dyDescent="0.4">
      <c r="A18" s="5" t="s">
        <v>199</v>
      </c>
      <c r="B18" s="5" t="s">
        <v>151</v>
      </c>
      <c r="C18" s="5">
        <v>331754</v>
      </c>
      <c r="D18" s="6"/>
      <c r="E18" s="5" t="s">
        <v>14</v>
      </c>
      <c r="F18" s="5" t="s">
        <v>144</v>
      </c>
      <c r="G18" s="5" t="s">
        <v>29</v>
      </c>
      <c r="H18" s="7" t="s">
        <v>23</v>
      </c>
      <c r="I18" s="7" t="s">
        <v>152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1</v>
      </c>
      <c r="AF18" s="7">
        <v>600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11">
        <v>600</v>
      </c>
      <c r="BN18" s="14">
        <f t="shared" si="0"/>
        <v>600</v>
      </c>
      <c r="BO18" s="15">
        <f t="shared" si="1"/>
        <v>420</v>
      </c>
    </row>
    <row r="19" spans="1:67" x14ac:dyDescent="0.4">
      <c r="A19" s="5" t="s">
        <v>199</v>
      </c>
      <c r="B19" s="5" t="s">
        <v>75</v>
      </c>
      <c r="C19" s="5">
        <v>469971</v>
      </c>
      <c r="D19" s="6"/>
      <c r="E19" s="5" t="s">
        <v>14</v>
      </c>
      <c r="F19" s="5" t="s">
        <v>76</v>
      </c>
      <c r="G19" s="5" t="s">
        <v>77</v>
      </c>
      <c r="H19" s="7" t="s">
        <v>7</v>
      </c>
      <c r="I19" s="7" t="s">
        <v>153</v>
      </c>
      <c r="J19" s="7">
        <v>0</v>
      </c>
      <c r="K19" s="7">
        <v>17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4</v>
      </c>
      <c r="AF19" s="7">
        <v>100</v>
      </c>
      <c r="AG19" s="7">
        <v>300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1</v>
      </c>
      <c r="AR19" s="7">
        <v>100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11">
        <v>500</v>
      </c>
      <c r="BN19" s="14">
        <f t="shared" si="0"/>
        <v>500</v>
      </c>
      <c r="BO19" s="15">
        <f t="shared" si="1"/>
        <v>350</v>
      </c>
    </row>
    <row r="20" spans="1:67" x14ac:dyDescent="0.4">
      <c r="A20" s="5" t="s">
        <v>199</v>
      </c>
      <c r="B20" s="5" t="s">
        <v>154</v>
      </c>
      <c r="C20" s="5">
        <v>361185</v>
      </c>
      <c r="D20" s="6"/>
      <c r="E20" s="5" t="s">
        <v>14</v>
      </c>
      <c r="F20" s="5" t="s">
        <v>28</v>
      </c>
      <c r="G20" s="5" t="s">
        <v>16</v>
      </c>
      <c r="H20" s="7" t="s">
        <v>7</v>
      </c>
      <c r="I20" s="7" t="s">
        <v>155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1</v>
      </c>
      <c r="AF20" s="7">
        <v>100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1</v>
      </c>
      <c r="AR20" s="7">
        <v>100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11">
        <v>200</v>
      </c>
      <c r="BN20" s="14">
        <f t="shared" si="0"/>
        <v>200</v>
      </c>
      <c r="BO20" s="15">
        <f t="shared" si="1"/>
        <v>140</v>
      </c>
    </row>
    <row r="21" spans="1:67" x14ac:dyDescent="0.4">
      <c r="A21" s="5" t="s">
        <v>199</v>
      </c>
      <c r="B21" s="5" t="s">
        <v>156</v>
      </c>
      <c r="C21" s="5">
        <v>354768</v>
      </c>
      <c r="D21" s="6"/>
      <c r="E21" s="5" t="s">
        <v>14</v>
      </c>
      <c r="F21" s="5" t="s">
        <v>157</v>
      </c>
      <c r="G21" s="5" t="s">
        <v>158</v>
      </c>
      <c r="H21" s="7" t="s">
        <v>8</v>
      </c>
      <c r="I21" s="7" t="s">
        <v>159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2</v>
      </c>
      <c r="AF21" s="7">
        <v>200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11">
        <v>200</v>
      </c>
      <c r="BN21" s="14">
        <f t="shared" si="0"/>
        <v>200</v>
      </c>
      <c r="BO21" s="15">
        <f t="shared" si="1"/>
        <v>140</v>
      </c>
    </row>
    <row r="22" spans="1:67" x14ac:dyDescent="0.4">
      <c r="A22" s="5" t="s">
        <v>199</v>
      </c>
      <c r="B22" s="5" t="s">
        <v>160</v>
      </c>
      <c r="C22" s="5">
        <v>443833</v>
      </c>
      <c r="D22" s="6"/>
      <c r="E22" s="5" t="s">
        <v>14</v>
      </c>
      <c r="F22" s="5" t="s">
        <v>161</v>
      </c>
      <c r="G22" s="5" t="s">
        <v>25</v>
      </c>
      <c r="H22" s="7" t="s">
        <v>8</v>
      </c>
      <c r="I22" s="7" t="s">
        <v>162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2</v>
      </c>
      <c r="AF22" s="7">
        <v>100</v>
      </c>
      <c r="AG22" s="7">
        <v>100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11">
        <v>200</v>
      </c>
      <c r="BN22" s="14">
        <f t="shared" si="0"/>
        <v>200</v>
      </c>
      <c r="BO22" s="15">
        <f t="shared" si="1"/>
        <v>140</v>
      </c>
    </row>
    <row r="23" spans="1:67" x14ac:dyDescent="0.4">
      <c r="A23" s="5" t="s">
        <v>199</v>
      </c>
      <c r="B23" s="5" t="s">
        <v>163</v>
      </c>
      <c r="C23" s="5">
        <v>354950</v>
      </c>
      <c r="D23" s="6" t="s">
        <v>164</v>
      </c>
      <c r="E23" s="5" t="s">
        <v>14</v>
      </c>
      <c r="F23" s="5" t="s">
        <v>15</v>
      </c>
      <c r="G23" s="5" t="s">
        <v>16</v>
      </c>
      <c r="H23" s="7" t="s">
        <v>7</v>
      </c>
      <c r="I23" s="7" t="s">
        <v>165</v>
      </c>
      <c r="J23" s="7">
        <v>0</v>
      </c>
      <c r="K23" s="7">
        <v>1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11">
        <v>0</v>
      </c>
      <c r="BN23" s="14">
        <f t="shared" si="0"/>
        <v>0</v>
      </c>
      <c r="BO23" s="15">
        <f t="shared" si="1"/>
        <v>0</v>
      </c>
    </row>
    <row r="24" spans="1:67" x14ac:dyDescent="0.4">
      <c r="A24" s="5" t="s">
        <v>200</v>
      </c>
      <c r="B24" s="5" t="s">
        <v>139</v>
      </c>
      <c r="C24" s="5">
        <v>453656</v>
      </c>
      <c r="D24" s="6"/>
      <c r="E24" s="5" t="s">
        <v>14</v>
      </c>
      <c r="F24" s="5" t="s">
        <v>15</v>
      </c>
      <c r="G24" s="5" t="s">
        <v>16</v>
      </c>
      <c r="H24" s="7" t="s">
        <v>7</v>
      </c>
      <c r="I24" s="7" t="s">
        <v>140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15</v>
      </c>
      <c r="AC24" s="8">
        <v>13680</v>
      </c>
      <c r="AD24" s="7">
        <v>0</v>
      </c>
      <c r="AE24" s="7">
        <v>3</v>
      </c>
      <c r="AF24" s="8">
        <v>6800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4</v>
      </c>
      <c r="AO24" s="8">
        <v>3400</v>
      </c>
      <c r="AP24" s="7">
        <v>200</v>
      </c>
      <c r="AQ24" s="7">
        <v>2</v>
      </c>
      <c r="AR24" s="8">
        <v>4000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4</v>
      </c>
      <c r="BA24" s="8">
        <v>4320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259.2</v>
      </c>
      <c r="BM24" s="10">
        <v>32400</v>
      </c>
      <c r="BN24" s="14">
        <f t="shared" si="0"/>
        <v>32140.799999999999</v>
      </c>
      <c r="BO24" s="15">
        <f t="shared" si="1"/>
        <v>22498.559999999998</v>
      </c>
    </row>
    <row r="25" spans="1:67" x14ac:dyDescent="0.4">
      <c r="A25" s="5" t="s">
        <v>201</v>
      </c>
      <c r="B25" s="5" t="s">
        <v>13</v>
      </c>
      <c r="C25" s="5">
        <v>465998</v>
      </c>
      <c r="D25" s="6"/>
      <c r="E25" s="5" t="s">
        <v>14</v>
      </c>
      <c r="F25" s="5" t="s">
        <v>15</v>
      </c>
      <c r="G25" s="5" t="s">
        <v>16</v>
      </c>
      <c r="H25" s="7" t="s">
        <v>9</v>
      </c>
      <c r="I25" s="7" t="s">
        <v>17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16</v>
      </c>
      <c r="AC25" s="8">
        <v>14400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6</v>
      </c>
      <c r="BA25" s="8">
        <v>6480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388.8</v>
      </c>
      <c r="BM25" s="10">
        <v>20880</v>
      </c>
      <c r="BN25" s="14">
        <f t="shared" si="0"/>
        <v>20491.2</v>
      </c>
      <c r="BO25" s="15">
        <f t="shared" si="1"/>
        <v>14343.84</v>
      </c>
    </row>
    <row r="26" spans="1:67" x14ac:dyDescent="0.4">
      <c r="A26" s="5" t="s">
        <v>201</v>
      </c>
      <c r="B26" s="5" t="s">
        <v>167</v>
      </c>
      <c r="C26" s="5">
        <v>453478</v>
      </c>
      <c r="D26" s="6"/>
      <c r="E26" s="5" t="s">
        <v>14</v>
      </c>
      <c r="F26" s="5" t="s">
        <v>15</v>
      </c>
      <c r="G26" s="5" t="s">
        <v>16</v>
      </c>
      <c r="H26" s="7" t="s">
        <v>7</v>
      </c>
      <c r="I26" s="7" t="s">
        <v>168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176</v>
      </c>
      <c r="AR26" s="8">
        <v>12600</v>
      </c>
      <c r="AS26" s="8">
        <v>5000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10">
        <v>17600</v>
      </c>
      <c r="BN26" s="14">
        <f t="shared" si="0"/>
        <v>17600</v>
      </c>
      <c r="BO26" s="15">
        <f t="shared" si="1"/>
        <v>12320</v>
      </c>
    </row>
    <row r="27" spans="1:67" x14ac:dyDescent="0.4">
      <c r="A27" s="5" t="s">
        <v>201</v>
      </c>
      <c r="B27" s="5" t="s">
        <v>75</v>
      </c>
      <c r="C27" s="5">
        <v>469971</v>
      </c>
      <c r="D27" s="6"/>
      <c r="E27" s="5" t="s">
        <v>14</v>
      </c>
      <c r="F27" s="5" t="s">
        <v>76</v>
      </c>
      <c r="G27" s="5" t="s">
        <v>77</v>
      </c>
      <c r="H27" s="7" t="s">
        <v>7</v>
      </c>
      <c r="I27" s="7" t="s">
        <v>153</v>
      </c>
      <c r="J27" s="7">
        <v>3</v>
      </c>
      <c r="K27" s="7">
        <v>0</v>
      </c>
      <c r="L27" s="7">
        <v>300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81</v>
      </c>
      <c r="AF27" s="8">
        <v>7600</v>
      </c>
      <c r="AG27" s="7">
        <v>500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22</v>
      </c>
      <c r="AR27" s="8">
        <v>2200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2</v>
      </c>
      <c r="BD27" s="7">
        <v>240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14.4</v>
      </c>
      <c r="BM27" s="10">
        <v>10840</v>
      </c>
      <c r="BN27" s="14">
        <f t="shared" si="0"/>
        <v>10825.6</v>
      </c>
      <c r="BO27" s="15">
        <f t="shared" si="1"/>
        <v>7577.92</v>
      </c>
    </row>
    <row r="28" spans="1:67" x14ac:dyDescent="0.4">
      <c r="A28" s="5" t="s">
        <v>166</v>
      </c>
      <c r="B28" s="5" t="s">
        <v>169</v>
      </c>
      <c r="C28" s="5">
        <v>379289</v>
      </c>
      <c r="D28" s="6"/>
      <c r="E28" s="5" t="s">
        <v>14</v>
      </c>
      <c r="F28" s="5" t="s">
        <v>28</v>
      </c>
      <c r="G28" s="5" t="s">
        <v>16</v>
      </c>
      <c r="H28" s="7" t="s">
        <v>7</v>
      </c>
      <c r="I28" s="7" t="s">
        <v>170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5</v>
      </c>
      <c r="AC28" s="8">
        <v>5400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2</v>
      </c>
      <c r="AO28" s="8">
        <v>1800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10">
        <v>7200</v>
      </c>
      <c r="BN28" s="14">
        <f t="shared" si="0"/>
        <v>7200</v>
      </c>
      <c r="BO28" s="15">
        <f t="shared" si="1"/>
        <v>5040</v>
      </c>
    </row>
    <row r="29" spans="1:67" x14ac:dyDescent="0.4">
      <c r="A29" s="5" t="s">
        <v>201</v>
      </c>
      <c r="B29" s="5" t="s">
        <v>171</v>
      </c>
      <c r="C29" s="5">
        <v>365225</v>
      </c>
      <c r="D29" s="6"/>
      <c r="E29" s="5" t="s">
        <v>14</v>
      </c>
      <c r="F29" s="5" t="s">
        <v>28</v>
      </c>
      <c r="G29" s="5" t="s">
        <v>16</v>
      </c>
      <c r="H29" s="7" t="s">
        <v>7</v>
      </c>
      <c r="I29" s="7" t="s">
        <v>172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6</v>
      </c>
      <c r="AC29" s="8">
        <v>5400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1</v>
      </c>
      <c r="AO29" s="7">
        <v>900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10">
        <v>6300</v>
      </c>
      <c r="BN29" s="14">
        <f t="shared" ref="BN29:BN65" si="2">BM29-BL29</f>
        <v>6300</v>
      </c>
      <c r="BO29" s="15">
        <f t="shared" ref="BO29:BO65" si="3">BN29*70%</f>
        <v>4410</v>
      </c>
    </row>
    <row r="30" spans="1:67" x14ac:dyDescent="0.4">
      <c r="A30" s="5" t="s">
        <v>201</v>
      </c>
      <c r="B30" s="5" t="s">
        <v>154</v>
      </c>
      <c r="C30" s="5">
        <v>361185</v>
      </c>
      <c r="D30" s="6"/>
      <c r="E30" s="5" t="s">
        <v>14</v>
      </c>
      <c r="F30" s="5" t="s">
        <v>28</v>
      </c>
      <c r="G30" s="5" t="s">
        <v>16</v>
      </c>
      <c r="H30" s="7" t="s">
        <v>7</v>
      </c>
      <c r="I30" s="7" t="s">
        <v>155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45</v>
      </c>
      <c r="AF30" s="8">
        <v>4500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15</v>
      </c>
      <c r="AR30" s="8">
        <v>1500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10">
        <v>6000</v>
      </c>
      <c r="BN30" s="14">
        <f t="shared" si="2"/>
        <v>6000</v>
      </c>
      <c r="BO30" s="15">
        <f t="shared" si="3"/>
        <v>4200</v>
      </c>
    </row>
    <row r="31" spans="1:67" x14ac:dyDescent="0.4">
      <c r="A31" s="5" t="s">
        <v>201</v>
      </c>
      <c r="B31" s="5" t="s">
        <v>173</v>
      </c>
      <c r="C31" s="5">
        <v>367415</v>
      </c>
      <c r="D31" s="6"/>
      <c r="E31" s="5" t="s">
        <v>14</v>
      </c>
      <c r="F31" s="5" t="s">
        <v>27</v>
      </c>
      <c r="G31" s="5" t="s">
        <v>16</v>
      </c>
      <c r="H31" s="7" t="s">
        <v>7</v>
      </c>
      <c r="I31" s="7" t="s">
        <v>174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42</v>
      </c>
      <c r="BD31" s="8">
        <v>5040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302.39999999999998</v>
      </c>
      <c r="BM31" s="10">
        <v>5040</v>
      </c>
      <c r="BN31" s="14">
        <f t="shared" si="2"/>
        <v>4737.6000000000004</v>
      </c>
      <c r="BO31" s="15">
        <f t="shared" si="3"/>
        <v>3316.32</v>
      </c>
    </row>
    <row r="32" spans="1:67" x14ac:dyDescent="0.4">
      <c r="A32" s="5" t="s">
        <v>166</v>
      </c>
      <c r="B32" s="5" t="s">
        <v>175</v>
      </c>
      <c r="C32" s="5">
        <v>454224</v>
      </c>
      <c r="D32" s="6"/>
      <c r="E32" s="5" t="s">
        <v>14</v>
      </c>
      <c r="F32" s="5" t="s">
        <v>15</v>
      </c>
      <c r="G32" s="5" t="s">
        <v>16</v>
      </c>
      <c r="H32" s="7" t="s">
        <v>7</v>
      </c>
      <c r="I32" s="7" t="s">
        <v>45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37</v>
      </c>
      <c r="AF32" s="8">
        <v>3700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10">
        <v>3700</v>
      </c>
      <c r="BN32" s="14">
        <f t="shared" si="2"/>
        <v>3700</v>
      </c>
      <c r="BO32" s="15">
        <f t="shared" si="3"/>
        <v>2590</v>
      </c>
    </row>
    <row r="33" spans="1:67" x14ac:dyDescent="0.4">
      <c r="A33" s="5" t="s">
        <v>166</v>
      </c>
      <c r="B33" s="5" t="s">
        <v>73</v>
      </c>
      <c r="C33" s="5">
        <v>408834</v>
      </c>
      <c r="D33" s="6"/>
      <c r="E33" s="5" t="s">
        <v>14</v>
      </c>
      <c r="F33" s="5" t="s">
        <v>28</v>
      </c>
      <c r="G33" s="5" t="s">
        <v>16</v>
      </c>
      <c r="H33" s="7" t="s">
        <v>7</v>
      </c>
      <c r="I33" s="7" t="s">
        <v>74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1</v>
      </c>
      <c r="AF33" s="8">
        <v>2500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10">
        <v>2500</v>
      </c>
      <c r="BN33" s="14">
        <f t="shared" si="2"/>
        <v>2500</v>
      </c>
      <c r="BO33" s="15">
        <f t="shared" si="3"/>
        <v>1750</v>
      </c>
    </row>
    <row r="34" spans="1:67" x14ac:dyDescent="0.4">
      <c r="A34" s="5" t="s">
        <v>201</v>
      </c>
      <c r="B34" s="5" t="s">
        <v>30</v>
      </c>
      <c r="C34" s="5">
        <v>453445</v>
      </c>
      <c r="D34" s="6"/>
      <c r="E34" s="5" t="s">
        <v>14</v>
      </c>
      <c r="F34" s="5" t="s">
        <v>15</v>
      </c>
      <c r="G34" s="5" t="s">
        <v>16</v>
      </c>
      <c r="H34" s="7" t="s">
        <v>8</v>
      </c>
      <c r="I34" s="7" t="s">
        <v>31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2</v>
      </c>
      <c r="BA34" s="8">
        <v>2160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129.6</v>
      </c>
      <c r="BM34" s="10">
        <v>2160</v>
      </c>
      <c r="BN34" s="14">
        <f t="shared" si="2"/>
        <v>2030.4</v>
      </c>
      <c r="BO34" s="15">
        <f t="shared" si="3"/>
        <v>1421.28</v>
      </c>
    </row>
    <row r="35" spans="1:67" x14ac:dyDescent="0.4">
      <c r="A35" s="5" t="s">
        <v>201</v>
      </c>
      <c r="B35" s="5" t="s">
        <v>160</v>
      </c>
      <c r="C35" s="5">
        <v>443833</v>
      </c>
      <c r="D35" s="6"/>
      <c r="E35" s="5" t="s">
        <v>14</v>
      </c>
      <c r="F35" s="5" t="s">
        <v>161</v>
      </c>
      <c r="G35" s="5" t="s">
        <v>25</v>
      </c>
      <c r="H35" s="7" t="s">
        <v>8</v>
      </c>
      <c r="I35" s="7" t="s">
        <v>162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13</v>
      </c>
      <c r="AF35" s="7">
        <v>900</v>
      </c>
      <c r="AG35" s="7">
        <v>400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10">
        <v>1300</v>
      </c>
      <c r="BN35" s="14">
        <f t="shared" si="2"/>
        <v>1300</v>
      </c>
      <c r="BO35" s="15">
        <f t="shared" si="3"/>
        <v>909.99999999999989</v>
      </c>
    </row>
    <row r="36" spans="1:67" x14ac:dyDescent="0.4">
      <c r="A36" s="5" t="s">
        <v>166</v>
      </c>
      <c r="B36" s="5" t="s">
        <v>156</v>
      </c>
      <c r="C36" s="5">
        <v>354768</v>
      </c>
      <c r="D36" s="6"/>
      <c r="E36" s="5" t="s">
        <v>14</v>
      </c>
      <c r="F36" s="5" t="s">
        <v>157</v>
      </c>
      <c r="G36" s="5" t="s">
        <v>158</v>
      </c>
      <c r="H36" s="7" t="s">
        <v>8</v>
      </c>
      <c r="I36" s="7" t="s">
        <v>159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7</v>
      </c>
      <c r="AF36" s="7">
        <v>700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11">
        <v>700</v>
      </c>
      <c r="BN36" s="14">
        <f t="shared" si="2"/>
        <v>700</v>
      </c>
      <c r="BO36" s="15">
        <f t="shared" si="3"/>
        <v>489.99999999999994</v>
      </c>
    </row>
    <row r="37" spans="1:67" x14ac:dyDescent="0.4">
      <c r="A37" s="5" t="s">
        <v>166</v>
      </c>
      <c r="B37" s="5" t="s">
        <v>18</v>
      </c>
      <c r="C37" s="5">
        <v>451051</v>
      </c>
      <c r="D37" s="6"/>
      <c r="E37" s="5" t="s">
        <v>14</v>
      </c>
      <c r="F37" s="5" t="s">
        <v>15</v>
      </c>
      <c r="G37" s="5" t="s">
        <v>16</v>
      </c>
      <c r="H37" s="7" t="s">
        <v>9</v>
      </c>
      <c r="I37" s="7" t="s">
        <v>12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2</v>
      </c>
      <c r="AF37" s="7">
        <v>200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11">
        <v>200</v>
      </c>
      <c r="BN37" s="14">
        <f t="shared" si="2"/>
        <v>200</v>
      </c>
      <c r="BO37" s="15">
        <f t="shared" si="3"/>
        <v>140</v>
      </c>
    </row>
    <row r="38" spans="1:67" x14ac:dyDescent="0.4">
      <c r="A38" s="5" t="s">
        <v>166</v>
      </c>
      <c r="B38" s="5" t="s">
        <v>176</v>
      </c>
      <c r="C38" s="5">
        <v>445598</v>
      </c>
      <c r="D38" s="6"/>
      <c r="E38" s="5" t="s">
        <v>14</v>
      </c>
      <c r="F38" s="5" t="s">
        <v>15</v>
      </c>
      <c r="G38" s="5" t="s">
        <v>16</v>
      </c>
      <c r="H38" s="7" t="s">
        <v>7</v>
      </c>
      <c r="I38" s="7" t="s">
        <v>177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1</v>
      </c>
      <c r="AF38" s="7">
        <v>100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11">
        <v>100</v>
      </c>
      <c r="BN38" s="14">
        <f t="shared" si="2"/>
        <v>100</v>
      </c>
      <c r="BO38" s="15">
        <f t="shared" si="3"/>
        <v>70</v>
      </c>
    </row>
    <row r="39" spans="1:67" x14ac:dyDescent="0.4">
      <c r="A39" s="5" t="s">
        <v>79</v>
      </c>
      <c r="B39" s="5" t="s">
        <v>146</v>
      </c>
      <c r="C39" s="5">
        <v>474768</v>
      </c>
      <c r="D39" s="6"/>
      <c r="E39" s="5" t="s">
        <v>14</v>
      </c>
      <c r="F39" s="5" t="s">
        <v>147</v>
      </c>
      <c r="G39" s="5" t="s">
        <v>21</v>
      </c>
      <c r="H39" s="7" t="s">
        <v>23</v>
      </c>
      <c r="I39" s="7" t="s">
        <v>148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21</v>
      </c>
      <c r="AF39" s="8">
        <v>61400</v>
      </c>
      <c r="AG39" s="8">
        <v>7700</v>
      </c>
      <c r="AH39" s="7">
        <v>0</v>
      </c>
      <c r="AI39" s="7">
        <v>0</v>
      </c>
      <c r="AJ39" s="7">
        <v>0</v>
      </c>
      <c r="AK39" s="7">
        <v>4</v>
      </c>
      <c r="AL39" s="7">
        <v>0</v>
      </c>
      <c r="AM39" s="8">
        <v>11500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4</v>
      </c>
      <c r="BD39" s="8">
        <v>13320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799.2</v>
      </c>
      <c r="BM39" s="10">
        <v>93920</v>
      </c>
      <c r="BN39" s="14">
        <f t="shared" si="2"/>
        <v>93120.8</v>
      </c>
      <c r="BO39" s="15">
        <f t="shared" si="3"/>
        <v>65184.56</v>
      </c>
    </row>
    <row r="40" spans="1:67" x14ac:dyDescent="0.4">
      <c r="A40" s="5" t="s">
        <v>79</v>
      </c>
      <c r="B40" s="5" t="s">
        <v>178</v>
      </c>
      <c r="C40" s="5">
        <v>477489</v>
      </c>
      <c r="D40" s="6"/>
      <c r="E40" s="5" t="s">
        <v>14</v>
      </c>
      <c r="F40" s="5" t="s">
        <v>179</v>
      </c>
      <c r="G40" s="5" t="s">
        <v>21</v>
      </c>
      <c r="H40" s="7" t="s">
        <v>23</v>
      </c>
      <c r="I40" s="7" t="s">
        <v>168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11</v>
      </c>
      <c r="AF40" s="8">
        <v>18000</v>
      </c>
      <c r="AG40" s="8">
        <v>3400</v>
      </c>
      <c r="AH40" s="7">
        <v>0</v>
      </c>
      <c r="AI40" s="7">
        <v>0</v>
      </c>
      <c r="AJ40" s="7">
        <v>0</v>
      </c>
      <c r="AK40" s="7">
        <v>1</v>
      </c>
      <c r="AL40" s="7">
        <v>0</v>
      </c>
      <c r="AM40" s="7">
        <v>600</v>
      </c>
      <c r="AN40" s="7">
        <v>0</v>
      </c>
      <c r="AO40" s="7">
        <v>0</v>
      </c>
      <c r="AP40" s="7">
        <v>0</v>
      </c>
      <c r="AQ40" s="7">
        <v>1</v>
      </c>
      <c r="AR40" s="8">
        <v>2000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1</v>
      </c>
      <c r="BD40" s="8">
        <v>2400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144</v>
      </c>
      <c r="BM40" s="10">
        <v>26400</v>
      </c>
      <c r="BN40" s="14">
        <f t="shared" si="2"/>
        <v>26256</v>
      </c>
      <c r="BO40" s="15">
        <f t="shared" si="3"/>
        <v>18379.199999999997</v>
      </c>
    </row>
    <row r="41" spans="1:67" x14ac:dyDescent="0.4">
      <c r="A41" s="5" t="s">
        <v>202</v>
      </c>
      <c r="B41" s="5" t="s">
        <v>47</v>
      </c>
      <c r="C41" s="5">
        <v>470383</v>
      </c>
      <c r="D41" s="6"/>
      <c r="E41" s="5" t="s">
        <v>14</v>
      </c>
      <c r="F41" s="5" t="s">
        <v>48</v>
      </c>
      <c r="G41" s="5" t="s">
        <v>21</v>
      </c>
      <c r="H41" s="7" t="s">
        <v>23</v>
      </c>
      <c r="I41" s="7" t="s">
        <v>49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5</v>
      </c>
      <c r="AF41" s="8">
        <v>8800</v>
      </c>
      <c r="AG41" s="7">
        <v>0</v>
      </c>
      <c r="AH41" s="7">
        <v>0</v>
      </c>
      <c r="AI41" s="7">
        <v>0</v>
      </c>
      <c r="AJ41" s="7">
        <v>0</v>
      </c>
      <c r="AK41" s="7">
        <v>4</v>
      </c>
      <c r="AL41" s="8">
        <v>2400</v>
      </c>
      <c r="AM41" s="8">
        <v>6000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1</v>
      </c>
      <c r="BD41" s="8">
        <v>1440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806.4</v>
      </c>
      <c r="BM41" s="10">
        <v>18640</v>
      </c>
      <c r="BN41" s="14">
        <f t="shared" si="2"/>
        <v>17833.599999999999</v>
      </c>
      <c r="BO41" s="15">
        <f t="shared" si="3"/>
        <v>12483.519999999999</v>
      </c>
    </row>
    <row r="42" spans="1:67" x14ac:dyDescent="0.4">
      <c r="A42" s="5" t="s">
        <v>79</v>
      </c>
      <c r="B42" s="5" t="s">
        <v>180</v>
      </c>
      <c r="C42" s="5">
        <v>459229</v>
      </c>
      <c r="D42" s="6"/>
      <c r="E42" s="5" t="s">
        <v>14</v>
      </c>
      <c r="F42" s="5" t="s">
        <v>147</v>
      </c>
      <c r="G42" s="5" t="s">
        <v>21</v>
      </c>
      <c r="H42" s="7" t="s">
        <v>23</v>
      </c>
      <c r="I42" s="7" t="s">
        <v>181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6</v>
      </c>
      <c r="AF42" s="8">
        <v>15600</v>
      </c>
      <c r="AG42" s="7">
        <v>0</v>
      </c>
      <c r="AH42" s="7">
        <v>0</v>
      </c>
      <c r="AI42" s="7">
        <v>0</v>
      </c>
      <c r="AJ42" s="7">
        <v>0</v>
      </c>
      <c r="AK42" s="7">
        <v>1</v>
      </c>
      <c r="AL42" s="7">
        <v>0</v>
      </c>
      <c r="AM42" s="8">
        <v>2400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10">
        <v>18000</v>
      </c>
      <c r="BN42" s="14">
        <f t="shared" si="2"/>
        <v>18000</v>
      </c>
      <c r="BO42" s="15">
        <f t="shared" si="3"/>
        <v>12600</v>
      </c>
    </row>
    <row r="43" spans="1:67" x14ac:dyDescent="0.4">
      <c r="A43" s="5" t="s">
        <v>202</v>
      </c>
      <c r="B43" s="5" t="s">
        <v>53</v>
      </c>
      <c r="C43" s="5">
        <v>472519</v>
      </c>
      <c r="D43" s="6"/>
      <c r="E43" s="5" t="s">
        <v>14</v>
      </c>
      <c r="F43" s="5" t="s">
        <v>54</v>
      </c>
      <c r="G43" s="5" t="s">
        <v>21</v>
      </c>
      <c r="H43" s="7" t="s">
        <v>7</v>
      </c>
      <c r="I43" s="7" t="s">
        <v>55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4</v>
      </c>
      <c r="AF43" s="8">
        <v>13900</v>
      </c>
      <c r="AG43" s="7">
        <v>0</v>
      </c>
      <c r="AH43" s="7">
        <v>0</v>
      </c>
      <c r="AI43" s="7">
        <v>0</v>
      </c>
      <c r="AJ43" s="7">
        <v>0</v>
      </c>
      <c r="AK43" s="7">
        <v>1</v>
      </c>
      <c r="AL43" s="7">
        <v>0</v>
      </c>
      <c r="AM43" s="7">
        <v>500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10">
        <v>14400</v>
      </c>
      <c r="BN43" s="14">
        <f t="shared" si="2"/>
        <v>14400</v>
      </c>
      <c r="BO43" s="15">
        <f t="shared" si="3"/>
        <v>10080</v>
      </c>
    </row>
    <row r="44" spans="1:67" x14ac:dyDescent="0.4">
      <c r="A44" s="5" t="s">
        <v>202</v>
      </c>
      <c r="B44" s="5" t="s">
        <v>65</v>
      </c>
      <c r="C44" s="5">
        <v>472520</v>
      </c>
      <c r="D44" s="6"/>
      <c r="E44" s="5" t="s">
        <v>14</v>
      </c>
      <c r="F44" s="5" t="s">
        <v>66</v>
      </c>
      <c r="G44" s="5" t="s">
        <v>21</v>
      </c>
      <c r="H44" s="7" t="s">
        <v>23</v>
      </c>
      <c r="I44" s="7" t="s">
        <v>67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2</v>
      </c>
      <c r="AF44" s="8">
        <v>6000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2</v>
      </c>
      <c r="AR44" s="8">
        <v>6000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10">
        <v>12000</v>
      </c>
      <c r="BN44" s="14">
        <f t="shared" si="2"/>
        <v>12000</v>
      </c>
      <c r="BO44" s="15">
        <f t="shared" si="3"/>
        <v>8400</v>
      </c>
    </row>
    <row r="45" spans="1:67" x14ac:dyDescent="0.4">
      <c r="A45" s="5" t="s">
        <v>79</v>
      </c>
      <c r="B45" s="5" t="s">
        <v>19</v>
      </c>
      <c r="C45" s="5">
        <v>464786</v>
      </c>
      <c r="D45" s="6"/>
      <c r="E45" s="5" t="s">
        <v>14</v>
      </c>
      <c r="F45" s="5" t="s">
        <v>20</v>
      </c>
      <c r="G45" s="5" t="s">
        <v>21</v>
      </c>
      <c r="H45" s="7" t="s">
        <v>9</v>
      </c>
      <c r="I45" s="7" t="s">
        <v>22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1</v>
      </c>
      <c r="AF45" s="8">
        <v>2500</v>
      </c>
      <c r="AG45" s="7">
        <v>0</v>
      </c>
      <c r="AH45" s="7">
        <v>0</v>
      </c>
      <c r="AI45" s="7">
        <v>0</v>
      </c>
      <c r="AJ45" s="7">
        <v>0</v>
      </c>
      <c r="AK45" s="7">
        <v>1</v>
      </c>
      <c r="AL45" s="8">
        <v>3000</v>
      </c>
      <c r="AM45" s="7">
        <v>0</v>
      </c>
      <c r="AN45" s="7">
        <v>0</v>
      </c>
      <c r="AO45" s="7">
        <v>0</v>
      </c>
      <c r="AP45" s="7">
        <v>0</v>
      </c>
      <c r="AQ45" s="7">
        <v>1</v>
      </c>
      <c r="AR45" s="8">
        <v>2500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1</v>
      </c>
      <c r="BD45" s="8">
        <v>3000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9">
        <v>1080</v>
      </c>
      <c r="BM45" s="10">
        <v>11000</v>
      </c>
      <c r="BN45" s="14">
        <f t="shared" si="2"/>
        <v>9920</v>
      </c>
      <c r="BO45" s="15">
        <f t="shared" si="3"/>
        <v>6944</v>
      </c>
    </row>
    <row r="46" spans="1:67" x14ac:dyDescent="0.4">
      <c r="A46" s="5" t="s">
        <v>79</v>
      </c>
      <c r="B46" s="5" t="s">
        <v>39</v>
      </c>
      <c r="C46" s="5">
        <v>457534</v>
      </c>
      <c r="D46" s="6"/>
      <c r="E46" s="5" t="s">
        <v>14</v>
      </c>
      <c r="F46" s="5" t="s">
        <v>40</v>
      </c>
      <c r="G46" s="5" t="s">
        <v>21</v>
      </c>
      <c r="H46" s="7" t="s">
        <v>23</v>
      </c>
      <c r="I46" s="7" t="s">
        <v>41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2</v>
      </c>
      <c r="AF46" s="8">
        <v>4000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2</v>
      </c>
      <c r="BD46" s="8">
        <v>4800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288</v>
      </c>
      <c r="BM46" s="10">
        <v>8800</v>
      </c>
      <c r="BN46" s="14">
        <f t="shared" si="2"/>
        <v>8512</v>
      </c>
      <c r="BO46" s="15">
        <f t="shared" si="3"/>
        <v>5958.4</v>
      </c>
    </row>
    <row r="47" spans="1:67" x14ac:dyDescent="0.4">
      <c r="A47" s="5" t="s">
        <v>202</v>
      </c>
      <c r="B47" s="5" t="s">
        <v>182</v>
      </c>
      <c r="C47" s="5">
        <v>477487</v>
      </c>
      <c r="D47" s="6"/>
      <c r="E47" s="5" t="s">
        <v>14</v>
      </c>
      <c r="F47" s="5" t="s">
        <v>183</v>
      </c>
      <c r="G47" s="5" t="s">
        <v>21</v>
      </c>
      <c r="H47" s="7" t="s">
        <v>23</v>
      </c>
      <c r="I47" s="7" t="s">
        <v>184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2</v>
      </c>
      <c r="AF47" s="8">
        <v>5000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1</v>
      </c>
      <c r="BD47" s="8">
        <v>3000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180</v>
      </c>
      <c r="BM47" s="10">
        <v>8000</v>
      </c>
      <c r="BN47" s="14">
        <f t="shared" si="2"/>
        <v>7820</v>
      </c>
      <c r="BO47" s="15">
        <f t="shared" si="3"/>
        <v>5474</v>
      </c>
    </row>
    <row r="48" spans="1:67" x14ac:dyDescent="0.4">
      <c r="A48" s="5" t="s">
        <v>79</v>
      </c>
      <c r="B48" s="5" t="s">
        <v>42</v>
      </c>
      <c r="C48" s="5">
        <v>387161</v>
      </c>
      <c r="D48" s="6"/>
      <c r="E48" s="5" t="s">
        <v>14</v>
      </c>
      <c r="F48" s="5" t="s">
        <v>43</v>
      </c>
      <c r="G48" s="5" t="s">
        <v>29</v>
      </c>
      <c r="H48" s="7" t="s">
        <v>23</v>
      </c>
      <c r="I48" s="7" t="s">
        <v>44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1</v>
      </c>
      <c r="AL48" s="8">
        <v>3840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1</v>
      </c>
      <c r="BD48" s="8">
        <v>3840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9">
        <v>1382.4</v>
      </c>
      <c r="BM48" s="10">
        <v>7680</v>
      </c>
      <c r="BN48" s="14">
        <f t="shared" si="2"/>
        <v>6297.6</v>
      </c>
      <c r="BO48" s="15">
        <f t="shared" si="3"/>
        <v>4408.32</v>
      </c>
    </row>
    <row r="49" spans="1:67" x14ac:dyDescent="0.4">
      <c r="A49" s="5" t="s">
        <v>79</v>
      </c>
      <c r="B49" s="5" t="s">
        <v>141</v>
      </c>
      <c r="C49" s="5">
        <v>477493</v>
      </c>
      <c r="D49" s="6"/>
      <c r="E49" s="5" t="s">
        <v>14</v>
      </c>
      <c r="F49" s="5" t="s">
        <v>35</v>
      </c>
      <c r="G49" s="5" t="s">
        <v>21</v>
      </c>
      <c r="H49" s="7" t="s">
        <v>7</v>
      </c>
      <c r="I49" s="7" t="s">
        <v>142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2</v>
      </c>
      <c r="AF49" s="8">
        <v>3500</v>
      </c>
      <c r="AG49" s="7">
        <v>500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1</v>
      </c>
      <c r="BD49" s="8">
        <v>1800</v>
      </c>
      <c r="BE49" s="7">
        <v>500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108</v>
      </c>
      <c r="BM49" s="10">
        <v>6300</v>
      </c>
      <c r="BN49" s="14">
        <f t="shared" si="2"/>
        <v>6192</v>
      </c>
      <c r="BO49" s="15">
        <f t="shared" si="3"/>
        <v>4334.3999999999996</v>
      </c>
    </row>
    <row r="50" spans="1:67" x14ac:dyDescent="0.4">
      <c r="A50" s="5" t="s">
        <v>79</v>
      </c>
      <c r="B50" s="5" t="s">
        <v>32</v>
      </c>
      <c r="C50" s="5">
        <v>461347</v>
      </c>
      <c r="D50" s="6"/>
      <c r="E50" s="5" t="s">
        <v>14</v>
      </c>
      <c r="F50" s="5" t="s">
        <v>26</v>
      </c>
      <c r="G50" s="5" t="s">
        <v>21</v>
      </c>
      <c r="H50" s="7" t="s">
        <v>23</v>
      </c>
      <c r="I50" s="7" t="s">
        <v>33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2</v>
      </c>
      <c r="AF50" s="8">
        <v>2000</v>
      </c>
      <c r="AG50" s="8">
        <v>2000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10">
        <v>4000</v>
      </c>
      <c r="BN50" s="14">
        <f t="shared" si="2"/>
        <v>4000</v>
      </c>
      <c r="BO50" s="15">
        <f t="shared" si="3"/>
        <v>2800</v>
      </c>
    </row>
    <row r="51" spans="1:67" x14ac:dyDescent="0.4">
      <c r="A51" s="5" t="s">
        <v>79</v>
      </c>
      <c r="B51" s="5" t="s">
        <v>185</v>
      </c>
      <c r="C51" s="5">
        <v>389201</v>
      </c>
      <c r="D51" s="6"/>
      <c r="E51" s="5" t="s">
        <v>14</v>
      </c>
      <c r="F51" s="5" t="s">
        <v>186</v>
      </c>
      <c r="G51" s="5" t="s">
        <v>158</v>
      </c>
      <c r="H51" s="7" t="s">
        <v>23</v>
      </c>
      <c r="I51" s="7" t="s">
        <v>187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1</v>
      </c>
      <c r="AF51" s="8">
        <v>3900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10">
        <v>3900</v>
      </c>
      <c r="BN51" s="14">
        <f t="shared" si="2"/>
        <v>3900</v>
      </c>
      <c r="BO51" s="15">
        <f t="shared" si="3"/>
        <v>2730</v>
      </c>
    </row>
    <row r="52" spans="1:67" x14ac:dyDescent="0.4">
      <c r="A52" s="5" t="s">
        <v>202</v>
      </c>
      <c r="B52" s="5" t="s">
        <v>188</v>
      </c>
      <c r="C52" s="5">
        <v>352812</v>
      </c>
      <c r="D52" s="6"/>
      <c r="E52" s="5" t="s">
        <v>14</v>
      </c>
      <c r="F52" s="5" t="s">
        <v>157</v>
      </c>
      <c r="G52" s="5" t="s">
        <v>158</v>
      </c>
      <c r="H52" s="7" t="s">
        <v>23</v>
      </c>
      <c r="I52" s="7" t="s">
        <v>189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1</v>
      </c>
      <c r="AF52" s="8">
        <v>3800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10">
        <v>3800</v>
      </c>
      <c r="BN52" s="14">
        <f t="shared" si="2"/>
        <v>3800</v>
      </c>
      <c r="BO52" s="15">
        <f t="shared" si="3"/>
        <v>2660</v>
      </c>
    </row>
    <row r="53" spans="1:67" x14ac:dyDescent="0.4">
      <c r="A53" s="5" t="s">
        <v>202</v>
      </c>
      <c r="B53" s="5" t="s">
        <v>37</v>
      </c>
      <c r="C53" s="5">
        <v>395231</v>
      </c>
      <c r="D53" s="6"/>
      <c r="E53" s="5" t="s">
        <v>14</v>
      </c>
      <c r="F53" s="5" t="s">
        <v>24</v>
      </c>
      <c r="G53" s="5" t="s">
        <v>25</v>
      </c>
      <c r="H53" s="7" t="s">
        <v>23</v>
      </c>
      <c r="I53" s="7" t="s">
        <v>38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1</v>
      </c>
      <c r="AL53" s="7">
        <v>0</v>
      </c>
      <c r="AM53" s="8">
        <v>3500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10">
        <v>3500</v>
      </c>
      <c r="BN53" s="14">
        <f t="shared" si="2"/>
        <v>3500</v>
      </c>
      <c r="BO53" s="15">
        <f t="shared" si="3"/>
        <v>2450</v>
      </c>
    </row>
    <row r="54" spans="1:67" x14ac:dyDescent="0.4">
      <c r="A54" s="5" t="s">
        <v>79</v>
      </c>
      <c r="B54" s="5" t="s">
        <v>190</v>
      </c>
      <c r="C54" s="5">
        <v>464787</v>
      </c>
      <c r="D54" s="6"/>
      <c r="E54" s="5" t="s">
        <v>14</v>
      </c>
      <c r="F54" s="5" t="s">
        <v>191</v>
      </c>
      <c r="G54" s="5" t="s">
        <v>21</v>
      </c>
      <c r="H54" s="7" t="s">
        <v>23</v>
      </c>
      <c r="I54" s="7" t="s">
        <v>17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1</v>
      </c>
      <c r="AF54" s="7">
        <v>0</v>
      </c>
      <c r="AG54" s="7">
        <v>900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1</v>
      </c>
      <c r="BD54" s="8">
        <v>1920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115.2</v>
      </c>
      <c r="BM54" s="10">
        <v>2820</v>
      </c>
      <c r="BN54" s="14">
        <f t="shared" si="2"/>
        <v>2704.8</v>
      </c>
      <c r="BO54" s="15">
        <f t="shared" si="3"/>
        <v>1893.36</v>
      </c>
    </row>
    <row r="55" spans="1:67" ht="19.2" x14ac:dyDescent="0.4">
      <c r="A55" s="5" t="s">
        <v>202</v>
      </c>
      <c r="B55" s="5" t="s">
        <v>192</v>
      </c>
      <c r="C55" s="5">
        <v>317395</v>
      </c>
      <c r="D55" s="6"/>
      <c r="E55" s="5" t="s">
        <v>14</v>
      </c>
      <c r="F55" s="5" t="s">
        <v>193</v>
      </c>
      <c r="G55" s="5" t="s">
        <v>194</v>
      </c>
      <c r="H55" s="7" t="s">
        <v>23</v>
      </c>
      <c r="I55" s="7" t="s">
        <v>195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1</v>
      </c>
      <c r="AF55" s="8">
        <v>2800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10">
        <v>2800</v>
      </c>
      <c r="BN55" s="14">
        <f t="shared" si="2"/>
        <v>2800</v>
      </c>
      <c r="BO55" s="15">
        <f t="shared" si="3"/>
        <v>1959.9999999999998</v>
      </c>
    </row>
    <row r="56" spans="1:67" x14ac:dyDescent="0.4">
      <c r="A56" s="5" t="s">
        <v>79</v>
      </c>
      <c r="B56" s="5" t="s">
        <v>34</v>
      </c>
      <c r="C56" s="5">
        <v>457533</v>
      </c>
      <c r="D56" s="6"/>
      <c r="E56" s="5" t="s">
        <v>14</v>
      </c>
      <c r="F56" s="5" t="s">
        <v>35</v>
      </c>
      <c r="G56" s="5" t="s">
        <v>21</v>
      </c>
      <c r="H56" s="7" t="s">
        <v>23</v>
      </c>
      <c r="I56" s="7" t="s">
        <v>36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1</v>
      </c>
      <c r="AF56" s="8">
        <v>2500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10">
        <v>2500</v>
      </c>
      <c r="BN56" s="14">
        <f t="shared" si="2"/>
        <v>2500</v>
      </c>
      <c r="BO56" s="15">
        <f t="shared" si="3"/>
        <v>1750</v>
      </c>
    </row>
    <row r="57" spans="1:67" x14ac:dyDescent="0.4">
      <c r="A57" s="5" t="s">
        <v>202</v>
      </c>
      <c r="B57" s="5" t="s">
        <v>59</v>
      </c>
      <c r="C57" s="5">
        <v>474766</v>
      </c>
      <c r="D57" s="6"/>
      <c r="E57" s="5" t="s">
        <v>14</v>
      </c>
      <c r="F57" s="5" t="s">
        <v>60</v>
      </c>
      <c r="G57" s="5" t="s">
        <v>21</v>
      </c>
      <c r="H57" s="7" t="s">
        <v>23</v>
      </c>
      <c r="I57" s="7" t="s">
        <v>61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1</v>
      </c>
      <c r="AF57" s="8">
        <v>2500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10">
        <v>2500</v>
      </c>
      <c r="BN57" s="14">
        <f t="shared" si="2"/>
        <v>2500</v>
      </c>
      <c r="BO57" s="15">
        <f t="shared" si="3"/>
        <v>1750</v>
      </c>
    </row>
    <row r="58" spans="1:67" x14ac:dyDescent="0.4">
      <c r="A58" s="5" t="s">
        <v>79</v>
      </c>
      <c r="B58" s="5" t="s">
        <v>50</v>
      </c>
      <c r="C58" s="5">
        <v>472516</v>
      </c>
      <c r="D58" s="6"/>
      <c r="E58" s="5" t="s">
        <v>14</v>
      </c>
      <c r="F58" s="5" t="s">
        <v>51</v>
      </c>
      <c r="G58" s="5" t="s">
        <v>21</v>
      </c>
      <c r="H58" s="7" t="s">
        <v>23</v>
      </c>
      <c r="I58" s="7" t="s">
        <v>52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1</v>
      </c>
      <c r="AL58" s="8">
        <v>2400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720</v>
      </c>
      <c r="BM58" s="10">
        <v>2400</v>
      </c>
      <c r="BN58" s="14">
        <f t="shared" si="2"/>
        <v>1680</v>
      </c>
      <c r="BO58" s="15">
        <f t="shared" si="3"/>
        <v>1176</v>
      </c>
    </row>
    <row r="59" spans="1:67" x14ac:dyDescent="0.4">
      <c r="A59" s="5" t="s">
        <v>202</v>
      </c>
      <c r="B59" s="5" t="s">
        <v>196</v>
      </c>
      <c r="C59" s="5">
        <v>472515</v>
      </c>
      <c r="D59" s="6"/>
      <c r="E59" s="5" t="s">
        <v>14</v>
      </c>
      <c r="F59" s="5" t="s">
        <v>197</v>
      </c>
      <c r="G59" s="5" t="s">
        <v>21</v>
      </c>
      <c r="H59" s="7" t="s">
        <v>23</v>
      </c>
      <c r="I59" s="7" t="s">
        <v>198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1</v>
      </c>
      <c r="AF59" s="8">
        <v>2000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10">
        <v>2000</v>
      </c>
      <c r="BN59" s="14">
        <f t="shared" si="2"/>
        <v>2000</v>
      </c>
      <c r="BO59" s="15">
        <f t="shared" si="3"/>
        <v>1400</v>
      </c>
    </row>
    <row r="60" spans="1:67" x14ac:dyDescent="0.4">
      <c r="A60" s="5" t="s">
        <v>202</v>
      </c>
      <c r="B60" s="5" t="s">
        <v>62</v>
      </c>
      <c r="C60" s="5">
        <v>474765</v>
      </c>
      <c r="D60" s="6"/>
      <c r="E60" s="5" t="s">
        <v>14</v>
      </c>
      <c r="F60" s="5" t="s">
        <v>63</v>
      </c>
      <c r="G60" s="5" t="s">
        <v>21</v>
      </c>
      <c r="H60" s="7" t="s">
        <v>23</v>
      </c>
      <c r="I60" s="7" t="s">
        <v>64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1</v>
      </c>
      <c r="AF60" s="8">
        <v>2000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10">
        <v>2000</v>
      </c>
      <c r="BN60" s="14">
        <f t="shared" si="2"/>
        <v>2000</v>
      </c>
      <c r="BO60" s="15">
        <f t="shared" si="3"/>
        <v>1400</v>
      </c>
    </row>
    <row r="61" spans="1:67" x14ac:dyDescent="0.4">
      <c r="A61" s="5" t="s">
        <v>79</v>
      </c>
      <c r="B61" s="5" t="s">
        <v>68</v>
      </c>
      <c r="C61" s="5">
        <v>380954</v>
      </c>
      <c r="D61" s="6"/>
      <c r="E61" s="5" t="s">
        <v>14</v>
      </c>
      <c r="F61" s="5" t="s">
        <v>27</v>
      </c>
      <c r="G61" s="5" t="s">
        <v>16</v>
      </c>
      <c r="H61" s="7" t="s">
        <v>7</v>
      </c>
      <c r="I61" s="7" t="s">
        <v>69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1</v>
      </c>
      <c r="AC61" s="7">
        <v>0</v>
      </c>
      <c r="AD61" s="7">
        <v>900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11">
        <v>900</v>
      </c>
      <c r="BN61" s="14">
        <f t="shared" si="2"/>
        <v>900</v>
      </c>
      <c r="BO61" s="15">
        <f t="shared" si="3"/>
        <v>630</v>
      </c>
    </row>
    <row r="62" spans="1:67" x14ac:dyDescent="0.4">
      <c r="A62" s="5" t="s">
        <v>79</v>
      </c>
      <c r="B62" s="5" t="s">
        <v>46</v>
      </c>
      <c r="C62" s="5">
        <v>395237</v>
      </c>
      <c r="D62" s="6"/>
      <c r="E62" s="5" t="s">
        <v>14</v>
      </c>
      <c r="F62" s="5" t="s">
        <v>24</v>
      </c>
      <c r="G62" s="5" t="s">
        <v>25</v>
      </c>
      <c r="H62" s="7" t="s">
        <v>23</v>
      </c>
      <c r="I62" s="7" t="s">
        <v>38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1</v>
      </c>
      <c r="AL62" s="7">
        <v>0</v>
      </c>
      <c r="AM62" s="7">
        <v>200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11">
        <v>200</v>
      </c>
      <c r="BN62" s="14">
        <f t="shared" si="2"/>
        <v>200</v>
      </c>
      <c r="BO62" s="15">
        <f t="shared" si="3"/>
        <v>140</v>
      </c>
    </row>
    <row r="63" spans="1:67" x14ac:dyDescent="0.4">
      <c r="A63" s="5" t="s">
        <v>79</v>
      </c>
      <c r="B63" s="5" t="s">
        <v>173</v>
      </c>
      <c r="C63" s="5">
        <v>367415</v>
      </c>
      <c r="D63" s="6"/>
      <c r="E63" s="5" t="s">
        <v>14</v>
      </c>
      <c r="F63" s="5" t="s">
        <v>27</v>
      </c>
      <c r="G63" s="5" t="s">
        <v>16</v>
      </c>
      <c r="H63" s="7" t="s">
        <v>7</v>
      </c>
      <c r="I63" s="7" t="s">
        <v>174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1</v>
      </c>
      <c r="AF63" s="7">
        <v>100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11">
        <v>100</v>
      </c>
      <c r="BN63" s="14">
        <f t="shared" si="2"/>
        <v>100</v>
      </c>
      <c r="BO63" s="15">
        <f t="shared" si="3"/>
        <v>70</v>
      </c>
    </row>
    <row r="64" spans="1:67" x14ac:dyDescent="0.4">
      <c r="A64" s="5" t="s">
        <v>79</v>
      </c>
      <c r="B64" s="5" t="s">
        <v>18</v>
      </c>
      <c r="C64" s="5">
        <v>451051</v>
      </c>
      <c r="D64" s="6"/>
      <c r="E64" s="5" t="s">
        <v>14</v>
      </c>
      <c r="F64" s="5" t="s">
        <v>15</v>
      </c>
      <c r="G64" s="5" t="s">
        <v>16</v>
      </c>
      <c r="H64" s="7" t="s">
        <v>9</v>
      </c>
      <c r="I64" s="7" t="s">
        <v>12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1</v>
      </c>
      <c r="AF64" s="7">
        <v>100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11">
        <v>100</v>
      </c>
      <c r="BN64" s="14">
        <f t="shared" si="2"/>
        <v>100</v>
      </c>
      <c r="BO64" s="15">
        <f t="shared" si="3"/>
        <v>70</v>
      </c>
    </row>
    <row r="65" spans="1:67" x14ac:dyDescent="0.4">
      <c r="A65" s="5" t="s">
        <v>79</v>
      </c>
      <c r="B65" s="5" t="s">
        <v>75</v>
      </c>
      <c r="C65" s="5">
        <v>469971</v>
      </c>
      <c r="D65" s="6"/>
      <c r="E65" s="5" t="s">
        <v>14</v>
      </c>
      <c r="F65" s="5" t="s">
        <v>76</v>
      </c>
      <c r="G65" s="5" t="s">
        <v>77</v>
      </c>
      <c r="H65" s="7" t="s">
        <v>7</v>
      </c>
      <c r="I65" s="7" t="s">
        <v>153</v>
      </c>
      <c r="J65" s="7">
        <v>0</v>
      </c>
      <c r="K65" s="7">
        <v>36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11">
        <v>0</v>
      </c>
      <c r="BN65" s="14">
        <f t="shared" si="2"/>
        <v>0</v>
      </c>
      <c r="BO65" s="15">
        <f t="shared" si="3"/>
        <v>0</v>
      </c>
    </row>
    <row r="66" spans="1:67" x14ac:dyDescent="0.4">
      <c r="A66" s="5"/>
      <c r="B66" s="5"/>
      <c r="C66" s="5"/>
      <c r="D66" s="6"/>
      <c r="E66" s="5"/>
      <c r="F66" s="5"/>
      <c r="G66" s="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8"/>
      <c r="AG66" s="8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8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10">
        <f>SUM(BM2:BM65)</f>
        <v>443620</v>
      </c>
      <c r="BO66" s="17">
        <f>SUM(BO2:BO65)</f>
        <v>305796.40000000008</v>
      </c>
    </row>
    <row r="67" spans="1:67" x14ac:dyDescent="0.4">
      <c r="A67" s="5"/>
      <c r="B67" s="5"/>
      <c r="C67" s="5"/>
      <c r="D67" s="6"/>
      <c r="E67" s="5"/>
      <c r="F67" s="5"/>
      <c r="G67" s="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  <c r="AG67" s="8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8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10"/>
    </row>
    <row r="68" spans="1:67" x14ac:dyDescent="0.4">
      <c r="A68" s="5"/>
      <c r="B68" s="5"/>
      <c r="C68" s="5"/>
      <c r="D68" s="6"/>
      <c r="E68" s="5"/>
      <c r="F68" s="5"/>
      <c r="G68" s="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8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8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10"/>
    </row>
    <row r="69" spans="1:67" x14ac:dyDescent="0.4">
      <c r="A69" s="5"/>
      <c r="B69" s="5"/>
      <c r="C69" s="5"/>
      <c r="D69" s="6"/>
      <c r="E69" s="5"/>
      <c r="F69" s="5"/>
      <c r="G69" s="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8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8"/>
      <c r="AP69" s="7"/>
      <c r="AQ69" s="7"/>
      <c r="AR69" s="8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10"/>
    </row>
    <row r="70" spans="1:67" x14ac:dyDescent="0.4">
      <c r="A70" s="5"/>
      <c r="B70" s="5"/>
      <c r="C70" s="5"/>
      <c r="D70" s="6"/>
      <c r="E70" s="5"/>
      <c r="F70" s="5"/>
      <c r="G70" s="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8"/>
      <c r="AG70" s="8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8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10"/>
    </row>
    <row r="71" spans="1:67" x14ac:dyDescent="0.4">
      <c r="A71" s="5"/>
      <c r="B71" s="5"/>
      <c r="C71" s="5"/>
      <c r="D71" s="6"/>
      <c r="E71" s="5"/>
      <c r="F71" s="5"/>
      <c r="G71" s="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8"/>
      <c r="AG71" s="8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8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10"/>
    </row>
    <row r="72" spans="1:67" x14ac:dyDescent="0.4">
      <c r="A72" s="5"/>
      <c r="B72" s="5"/>
      <c r="C72" s="5"/>
      <c r="D72" s="6"/>
      <c r="E72" s="5"/>
      <c r="F72" s="5"/>
      <c r="G72" s="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8"/>
      <c r="AG72" s="8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8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10"/>
    </row>
    <row r="73" spans="1:67" x14ac:dyDescent="0.4">
      <c r="A73" s="5"/>
      <c r="B73" s="5"/>
      <c r="C73" s="5"/>
      <c r="D73" s="6"/>
      <c r="E73" s="5"/>
      <c r="F73" s="5"/>
      <c r="G73" s="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8"/>
      <c r="AG73" s="8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8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10"/>
    </row>
    <row r="74" spans="1:67" x14ac:dyDescent="0.4">
      <c r="A74" s="5"/>
      <c r="B74" s="5"/>
      <c r="C74" s="5"/>
      <c r="D74" s="6"/>
      <c r="E74" s="5"/>
      <c r="F74" s="5"/>
      <c r="G74" s="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8"/>
      <c r="AG74" s="8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10"/>
    </row>
    <row r="75" spans="1:67" x14ac:dyDescent="0.4">
      <c r="A75" s="5"/>
      <c r="B75" s="5"/>
      <c r="C75" s="5"/>
      <c r="D75" s="6"/>
      <c r="E75" s="5"/>
      <c r="F75" s="5"/>
      <c r="G75" s="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8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10"/>
    </row>
    <row r="76" spans="1:67" x14ac:dyDescent="0.4">
      <c r="A76" s="5"/>
      <c r="B76" s="5"/>
      <c r="C76" s="5"/>
      <c r="D76" s="6"/>
      <c r="E76" s="5"/>
      <c r="F76" s="5"/>
      <c r="G76" s="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8"/>
      <c r="AG76" s="8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10"/>
    </row>
    <row r="77" spans="1:67" x14ac:dyDescent="0.4">
      <c r="A77" s="5"/>
      <c r="B77" s="5"/>
      <c r="C77" s="5"/>
      <c r="D77" s="6"/>
      <c r="E77" s="5"/>
      <c r="F77" s="5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8"/>
      <c r="AG77" s="8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10"/>
    </row>
    <row r="78" spans="1:67" x14ac:dyDescent="0.4">
      <c r="A78" s="5"/>
      <c r="B78" s="5"/>
      <c r="C78" s="5"/>
      <c r="D78" s="6"/>
      <c r="E78" s="5"/>
      <c r="F78" s="5"/>
      <c r="G78" s="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8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10"/>
    </row>
    <row r="79" spans="1:67" x14ac:dyDescent="0.4">
      <c r="A79" s="5"/>
      <c r="B79" s="5"/>
      <c r="C79" s="5"/>
      <c r="D79" s="6"/>
      <c r="E79" s="5"/>
      <c r="F79" s="5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8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8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10"/>
    </row>
    <row r="80" spans="1:67" x14ac:dyDescent="0.4">
      <c r="A80" s="5"/>
      <c r="B80" s="5"/>
      <c r="C80" s="5"/>
      <c r="D80" s="6"/>
      <c r="E80" s="5"/>
      <c r="F80" s="5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8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10"/>
    </row>
    <row r="81" spans="1:65" x14ac:dyDescent="0.4">
      <c r="A81" s="5"/>
      <c r="B81" s="5"/>
      <c r="C81" s="5"/>
      <c r="D81" s="6"/>
      <c r="E81" s="5"/>
      <c r="F81" s="5"/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8"/>
      <c r="AG81" s="8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8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10"/>
    </row>
    <row r="82" spans="1:65" x14ac:dyDescent="0.4">
      <c r="A82" s="5"/>
      <c r="B82" s="5"/>
      <c r="C82" s="5"/>
      <c r="D82" s="6"/>
      <c r="E82" s="5"/>
      <c r="F82" s="5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10"/>
    </row>
    <row r="83" spans="1:65" x14ac:dyDescent="0.4">
      <c r="A83" s="5"/>
      <c r="B83" s="5"/>
      <c r="C83" s="5"/>
      <c r="D83" s="6"/>
      <c r="E83" s="5"/>
      <c r="F83" s="5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8"/>
      <c r="AG83" s="8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10"/>
    </row>
    <row r="84" spans="1:65" x14ac:dyDescent="0.4">
      <c r="A84" s="5"/>
      <c r="B84" s="5"/>
      <c r="C84" s="5"/>
      <c r="D84" s="6"/>
      <c r="E84" s="5"/>
      <c r="F84" s="5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8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10"/>
    </row>
    <row r="85" spans="1:65" x14ac:dyDescent="0.4">
      <c r="A85" s="5"/>
      <c r="B85" s="5"/>
      <c r="C85" s="5"/>
      <c r="D85" s="6"/>
      <c r="E85" s="5"/>
      <c r="F85" s="5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8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10"/>
    </row>
    <row r="86" spans="1:65" x14ac:dyDescent="0.4">
      <c r="A86" s="5"/>
      <c r="B86" s="5"/>
      <c r="C86" s="5"/>
      <c r="D86" s="6"/>
      <c r="E86" s="5"/>
      <c r="F86" s="5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8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10"/>
    </row>
    <row r="87" spans="1:65" x14ac:dyDescent="0.4">
      <c r="A87" s="5"/>
      <c r="B87" s="5"/>
      <c r="C87" s="5"/>
      <c r="D87" s="6"/>
      <c r="E87" s="5"/>
      <c r="F87" s="5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8"/>
      <c r="AG87" s="8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10"/>
    </row>
    <row r="88" spans="1:65" x14ac:dyDescent="0.4">
      <c r="A88" s="5"/>
      <c r="B88" s="5"/>
      <c r="C88" s="5"/>
      <c r="D88" s="6"/>
      <c r="E88" s="5"/>
      <c r="F88" s="5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8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8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10"/>
    </row>
    <row r="89" spans="1:65" x14ac:dyDescent="0.4">
      <c r="A89" s="5"/>
      <c r="B89" s="5"/>
      <c r="C89" s="5"/>
      <c r="D89" s="6"/>
      <c r="E89" s="5"/>
      <c r="F89" s="5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8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10"/>
    </row>
    <row r="90" spans="1:65" x14ac:dyDescent="0.4">
      <c r="A90" s="5"/>
      <c r="B90" s="5"/>
      <c r="C90" s="5"/>
      <c r="D90" s="6"/>
      <c r="E90" s="5"/>
      <c r="F90" s="5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8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10"/>
    </row>
    <row r="91" spans="1:65" x14ac:dyDescent="0.4">
      <c r="A91" s="5"/>
      <c r="B91" s="5"/>
      <c r="C91" s="5"/>
      <c r="D91" s="6"/>
      <c r="E91" s="5"/>
      <c r="F91" s="5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10"/>
    </row>
    <row r="92" spans="1:65" x14ac:dyDescent="0.4">
      <c r="A92" s="5"/>
      <c r="B92" s="5"/>
      <c r="C92" s="5"/>
      <c r="D92" s="6"/>
      <c r="E92" s="5"/>
      <c r="F92" s="5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8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10"/>
    </row>
    <row r="93" spans="1:65" x14ac:dyDescent="0.4">
      <c r="A93" s="5"/>
      <c r="B93" s="5"/>
      <c r="C93" s="5"/>
      <c r="D93" s="6"/>
      <c r="E93" s="5"/>
      <c r="F93" s="5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8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10"/>
    </row>
    <row r="94" spans="1:65" x14ac:dyDescent="0.4">
      <c r="A94" s="5"/>
      <c r="B94" s="5"/>
      <c r="C94" s="5"/>
      <c r="D94" s="6"/>
      <c r="E94" s="5"/>
      <c r="F94" s="5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8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10"/>
    </row>
    <row r="95" spans="1:65" x14ac:dyDescent="0.4">
      <c r="A95" s="5"/>
      <c r="B95" s="5"/>
      <c r="C95" s="5"/>
      <c r="D95" s="6"/>
      <c r="E95" s="5"/>
      <c r="F95" s="5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8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10"/>
    </row>
    <row r="96" spans="1:65" x14ac:dyDescent="0.4">
      <c r="A96" s="5"/>
      <c r="B96" s="5"/>
      <c r="C96" s="5"/>
      <c r="D96" s="6"/>
      <c r="E96" s="5"/>
      <c r="F96" s="5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8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10"/>
    </row>
    <row r="97" spans="1:65" x14ac:dyDescent="0.4">
      <c r="A97" s="5"/>
      <c r="B97" s="5"/>
      <c r="C97" s="5"/>
      <c r="D97" s="6"/>
      <c r="E97" s="5"/>
      <c r="F97" s="5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8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10"/>
    </row>
    <row r="98" spans="1:65" x14ac:dyDescent="0.4">
      <c r="A98" s="5"/>
      <c r="B98" s="5"/>
      <c r="C98" s="5"/>
      <c r="D98" s="6"/>
      <c r="E98" s="5"/>
      <c r="F98" s="5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8"/>
      <c r="AG98" s="8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10"/>
    </row>
    <row r="99" spans="1:65" x14ac:dyDescent="0.4">
      <c r="A99" s="5"/>
      <c r="B99" s="5"/>
      <c r="C99" s="5"/>
      <c r="D99" s="6"/>
      <c r="E99" s="5"/>
      <c r="F99" s="5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8"/>
      <c r="AG99" s="8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10"/>
    </row>
    <row r="100" spans="1:65" x14ac:dyDescent="0.4">
      <c r="A100" s="5"/>
      <c r="B100" s="5"/>
      <c r="C100" s="5"/>
      <c r="D100" s="6"/>
      <c r="E100" s="5"/>
      <c r="F100" s="5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8"/>
      <c r="AG100" s="8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10"/>
    </row>
    <row r="101" spans="1:65" x14ac:dyDescent="0.4">
      <c r="A101" s="5"/>
      <c r="B101" s="5"/>
      <c r="C101" s="5"/>
      <c r="D101" s="6"/>
      <c r="E101" s="5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8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10"/>
    </row>
    <row r="102" spans="1:65" x14ac:dyDescent="0.4">
      <c r="A102" s="5"/>
      <c r="B102" s="5"/>
      <c r="C102" s="5"/>
      <c r="D102" s="6"/>
      <c r="E102" s="5"/>
      <c r="F102" s="5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8"/>
      <c r="AG102" s="8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10"/>
    </row>
    <row r="103" spans="1:65" x14ac:dyDescent="0.4">
      <c r="A103" s="5"/>
      <c r="B103" s="5"/>
      <c r="C103" s="5"/>
      <c r="D103" s="6"/>
      <c r="E103" s="5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8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10"/>
    </row>
    <row r="104" spans="1:65" x14ac:dyDescent="0.4">
      <c r="A104" s="5"/>
      <c r="B104" s="5"/>
      <c r="C104" s="5"/>
      <c r="D104" s="6"/>
      <c r="E104" s="5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8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10"/>
    </row>
    <row r="105" spans="1:65" x14ac:dyDescent="0.4">
      <c r="A105" s="5"/>
      <c r="B105" s="5"/>
      <c r="C105" s="5"/>
      <c r="D105" s="6"/>
      <c r="E105" s="5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8"/>
      <c r="AG105" s="8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10"/>
    </row>
    <row r="106" spans="1:65" x14ac:dyDescent="0.4">
      <c r="A106" s="5"/>
      <c r="B106" s="5"/>
      <c r="C106" s="5"/>
      <c r="D106" s="6"/>
      <c r="E106" s="5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8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10"/>
    </row>
    <row r="107" spans="1:65" x14ac:dyDescent="0.4">
      <c r="A107" s="5"/>
      <c r="B107" s="5"/>
      <c r="C107" s="5"/>
      <c r="D107" s="6"/>
      <c r="E107" s="5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8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10"/>
    </row>
    <row r="108" spans="1:65" x14ac:dyDescent="0.4">
      <c r="A108" s="5"/>
      <c r="B108" s="5"/>
      <c r="C108" s="5"/>
      <c r="D108" s="6"/>
      <c r="E108" s="5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8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10"/>
    </row>
    <row r="109" spans="1:65" x14ac:dyDescent="0.4">
      <c r="A109" s="5"/>
      <c r="B109" s="5"/>
      <c r="C109" s="5"/>
      <c r="D109" s="6"/>
      <c r="E109" s="5"/>
      <c r="F109" s="5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8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10"/>
    </row>
    <row r="110" spans="1:65" x14ac:dyDescent="0.4">
      <c r="A110" s="5"/>
      <c r="B110" s="5"/>
      <c r="C110" s="5"/>
      <c r="D110" s="6"/>
      <c r="E110" s="5"/>
      <c r="F110" s="5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8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10"/>
    </row>
    <row r="111" spans="1:65" x14ac:dyDescent="0.4">
      <c r="A111" s="5"/>
      <c r="B111" s="5"/>
      <c r="C111" s="5"/>
      <c r="D111" s="6"/>
      <c r="E111" s="5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8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10"/>
    </row>
    <row r="112" spans="1:65" x14ac:dyDescent="0.4">
      <c r="A112" s="5"/>
      <c r="B112" s="5"/>
      <c r="C112" s="5"/>
      <c r="D112" s="6"/>
      <c r="E112" s="5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8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10"/>
    </row>
    <row r="113" spans="1:65" x14ac:dyDescent="0.4">
      <c r="A113" s="5"/>
      <c r="B113" s="5"/>
      <c r="C113" s="5"/>
      <c r="D113" s="6"/>
      <c r="E113" s="5"/>
      <c r="F113" s="5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8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10"/>
    </row>
    <row r="114" spans="1:65" x14ac:dyDescent="0.4">
      <c r="A114" s="5"/>
      <c r="B114" s="5"/>
      <c r="C114" s="5"/>
      <c r="D114" s="6"/>
      <c r="E114" s="5"/>
      <c r="F114" s="5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8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10"/>
    </row>
    <row r="115" spans="1:65" x14ac:dyDescent="0.4">
      <c r="A115" s="5"/>
      <c r="B115" s="5"/>
      <c r="C115" s="5"/>
      <c r="D115" s="6"/>
      <c r="E115" s="5"/>
      <c r="F115" s="5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8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10"/>
    </row>
    <row r="116" spans="1:65" x14ac:dyDescent="0.4">
      <c r="A116" s="5"/>
      <c r="B116" s="5"/>
      <c r="C116" s="5"/>
      <c r="D116" s="6"/>
      <c r="E116" s="5"/>
      <c r="F116" s="5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8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10"/>
    </row>
    <row r="117" spans="1:65" x14ac:dyDescent="0.4">
      <c r="A117" s="5"/>
      <c r="B117" s="5"/>
      <c r="C117" s="5"/>
      <c r="D117" s="6"/>
      <c r="E117" s="5"/>
      <c r="F117" s="5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8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10"/>
    </row>
    <row r="118" spans="1:65" x14ac:dyDescent="0.4">
      <c r="A118" s="5"/>
      <c r="B118" s="5"/>
      <c r="C118" s="5"/>
      <c r="D118" s="6"/>
      <c r="E118" s="5"/>
      <c r="F118" s="5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10"/>
    </row>
    <row r="119" spans="1:65" x14ac:dyDescent="0.4">
      <c r="A119" s="5"/>
      <c r="B119" s="5"/>
      <c r="C119" s="5"/>
      <c r="D119" s="6"/>
      <c r="E119" s="5"/>
      <c r="F119" s="5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8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10"/>
    </row>
    <row r="120" spans="1:65" x14ac:dyDescent="0.4">
      <c r="A120" s="5"/>
      <c r="B120" s="5"/>
      <c r="C120" s="5"/>
      <c r="D120" s="6"/>
      <c r="E120" s="5"/>
      <c r="F120" s="5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10"/>
    </row>
    <row r="121" spans="1:65" x14ac:dyDescent="0.4">
      <c r="A121" s="5"/>
      <c r="B121" s="5"/>
      <c r="C121" s="5"/>
      <c r="D121" s="6"/>
      <c r="E121" s="5"/>
      <c r="F121" s="5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10"/>
    </row>
    <row r="122" spans="1:65" x14ac:dyDescent="0.4">
      <c r="A122" s="5"/>
      <c r="B122" s="5"/>
      <c r="C122" s="5"/>
      <c r="D122" s="6"/>
      <c r="E122" s="5"/>
      <c r="F122" s="5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10"/>
    </row>
    <row r="123" spans="1:65" x14ac:dyDescent="0.4">
      <c r="A123" s="5"/>
      <c r="B123" s="5"/>
      <c r="C123" s="5"/>
      <c r="D123" s="6"/>
      <c r="E123" s="5"/>
      <c r="F123" s="5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11"/>
    </row>
    <row r="124" spans="1:65" x14ac:dyDescent="0.4">
      <c r="A124" s="5"/>
      <c r="B124" s="5"/>
      <c r="C124" s="5"/>
      <c r="D124" s="6"/>
      <c r="E124" s="5"/>
      <c r="F124" s="5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11"/>
    </row>
    <row r="125" spans="1:65" x14ac:dyDescent="0.4">
      <c r="A125" s="5"/>
      <c r="B125" s="5"/>
      <c r="C125" s="5"/>
      <c r="D125" s="6"/>
      <c r="E125" s="5"/>
      <c r="F125" s="5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11"/>
    </row>
    <row r="126" spans="1:65" x14ac:dyDescent="0.4">
      <c r="A126" s="5"/>
      <c r="B126" s="5"/>
      <c r="C126" s="5"/>
      <c r="D126" s="6"/>
      <c r="E126" s="5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11"/>
    </row>
    <row r="127" spans="1:65" x14ac:dyDescent="0.4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11"/>
    </row>
    <row r="128" spans="1:65" x14ac:dyDescent="0.4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11"/>
    </row>
    <row r="129" spans="1:65" x14ac:dyDescent="0.4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11"/>
    </row>
    <row r="130" spans="1:65" x14ac:dyDescent="0.4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11"/>
    </row>
    <row r="131" spans="1:65" x14ac:dyDescent="0.4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11"/>
    </row>
    <row r="132" spans="1:65" x14ac:dyDescent="0.4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11"/>
    </row>
    <row r="133" spans="1:65" x14ac:dyDescent="0.4">
      <c r="A133" s="5"/>
      <c r="B133" s="5"/>
      <c r="C133" s="5"/>
      <c r="D133" s="6"/>
      <c r="E133" s="5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11"/>
    </row>
    <row r="134" spans="1:65" x14ac:dyDescent="0.4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11"/>
    </row>
    <row r="135" spans="1:65" x14ac:dyDescent="0.4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11"/>
    </row>
    <row r="136" spans="1:65" x14ac:dyDescent="0.4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11"/>
    </row>
    <row r="137" spans="1:65" x14ac:dyDescent="0.4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8"/>
      <c r="AG137" s="8"/>
      <c r="AH137" s="7"/>
      <c r="AI137" s="7"/>
      <c r="AJ137" s="7"/>
      <c r="AK137" s="7"/>
      <c r="AL137" s="8"/>
      <c r="AM137" s="8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9"/>
      <c r="BM137" s="10"/>
    </row>
    <row r="138" spans="1:65" x14ac:dyDescent="0.4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8"/>
      <c r="AD138" s="7"/>
      <c r="AE138" s="7"/>
      <c r="AF138" s="7"/>
      <c r="AG138" s="7"/>
      <c r="AH138" s="7"/>
      <c r="AI138" s="8"/>
      <c r="AJ138" s="7"/>
      <c r="AK138" s="7"/>
      <c r="AL138" s="7"/>
      <c r="AM138" s="7"/>
      <c r="AN138" s="7"/>
      <c r="AO138" s="8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10"/>
    </row>
    <row r="139" spans="1:65" x14ac:dyDescent="0.4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8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9"/>
      <c r="BM139" s="10"/>
    </row>
    <row r="140" spans="1:65" x14ac:dyDescent="0.4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8"/>
      <c r="AG140" s="7"/>
      <c r="AH140" s="7"/>
      <c r="AI140" s="7"/>
      <c r="AJ140" s="7"/>
      <c r="AK140" s="7"/>
      <c r="AL140" s="8"/>
      <c r="AM140" s="8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9"/>
      <c r="BM140" s="10"/>
    </row>
    <row r="141" spans="1:65" x14ac:dyDescent="0.4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8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9"/>
      <c r="BM141" s="10"/>
    </row>
    <row r="142" spans="1:65" x14ac:dyDescent="0.4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8"/>
      <c r="AG142" s="7"/>
      <c r="AH142" s="7"/>
      <c r="AI142" s="7"/>
      <c r="AJ142" s="7"/>
      <c r="AK142" s="7"/>
      <c r="AL142" s="8"/>
      <c r="AM142" s="7"/>
      <c r="AN142" s="7"/>
      <c r="AO142" s="7"/>
      <c r="AP142" s="7"/>
      <c r="AQ142" s="7"/>
      <c r="AR142" s="8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9"/>
      <c r="BM142" s="10"/>
    </row>
    <row r="143" spans="1:65" x14ac:dyDescent="0.4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8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10"/>
    </row>
    <row r="144" spans="1:65" x14ac:dyDescent="0.4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8"/>
      <c r="AM144" s="8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10"/>
    </row>
    <row r="145" spans="1:65" x14ac:dyDescent="0.4">
      <c r="A145" s="5"/>
      <c r="B145" s="5"/>
      <c r="C145" s="5"/>
      <c r="D145" s="6"/>
      <c r="E145" s="5"/>
      <c r="F145" s="5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8"/>
      <c r="AG145" s="7"/>
      <c r="AH145" s="7"/>
      <c r="AI145" s="7"/>
      <c r="AJ145" s="7"/>
      <c r="AK145" s="7"/>
      <c r="AL145" s="7"/>
      <c r="AM145" s="8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10"/>
    </row>
    <row r="146" spans="1:65" x14ac:dyDescent="0.4">
      <c r="A146" s="5"/>
      <c r="B146" s="5"/>
      <c r="C146" s="5"/>
      <c r="D146" s="6"/>
      <c r="E146" s="5"/>
      <c r="F146" s="5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8"/>
      <c r="AM146" s="7"/>
      <c r="AN146" s="7"/>
      <c r="AO146" s="7"/>
      <c r="AP146" s="7"/>
      <c r="AQ146" s="7"/>
      <c r="AR146" s="8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10"/>
    </row>
    <row r="147" spans="1:65" x14ac:dyDescent="0.4">
      <c r="A147" s="5"/>
      <c r="B147" s="5"/>
      <c r="C147" s="5"/>
      <c r="D147" s="6"/>
      <c r="E147" s="5"/>
      <c r="F147" s="5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8"/>
      <c r="AH147" s="7"/>
      <c r="AI147" s="7"/>
      <c r="AJ147" s="7"/>
      <c r="AK147" s="7"/>
      <c r="AL147" s="8"/>
      <c r="AM147" s="8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10"/>
    </row>
    <row r="148" spans="1:65" x14ac:dyDescent="0.4">
      <c r="A148" s="5"/>
      <c r="B148" s="5"/>
      <c r="C148" s="5"/>
      <c r="D148" s="6"/>
      <c r="E148" s="5"/>
      <c r="F148" s="5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8"/>
      <c r="AM148" s="8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9"/>
      <c r="BM148" s="10"/>
    </row>
    <row r="149" spans="1:65" x14ac:dyDescent="0.4">
      <c r="A149" s="5"/>
      <c r="B149" s="5"/>
      <c r="C149" s="5"/>
      <c r="D149" s="6"/>
      <c r="E149" s="5"/>
      <c r="F149" s="5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8"/>
      <c r="AM149" s="8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10"/>
    </row>
    <row r="150" spans="1:65" x14ac:dyDescent="0.4">
      <c r="A150" s="5"/>
      <c r="B150" s="5"/>
      <c r="C150" s="5"/>
      <c r="D150" s="6"/>
      <c r="E150" s="5"/>
      <c r="F150" s="5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8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9"/>
      <c r="BM150" s="10"/>
    </row>
    <row r="151" spans="1:65" x14ac:dyDescent="0.4">
      <c r="A151" s="5"/>
      <c r="B151" s="5"/>
      <c r="C151" s="5"/>
      <c r="D151" s="6"/>
      <c r="E151" s="5"/>
      <c r="F151" s="5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8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9"/>
      <c r="BM151" s="10"/>
    </row>
    <row r="152" spans="1:65" x14ac:dyDescent="0.4">
      <c r="A152" s="5"/>
      <c r="B152" s="5"/>
      <c r="C152" s="5"/>
      <c r="D152" s="6"/>
      <c r="E152" s="5"/>
      <c r="F152" s="5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8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10"/>
    </row>
    <row r="153" spans="1:65" x14ac:dyDescent="0.4">
      <c r="A153" s="5"/>
      <c r="B153" s="5"/>
      <c r="C153" s="5"/>
      <c r="D153" s="6"/>
      <c r="E153" s="5"/>
      <c r="F153" s="5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8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9"/>
      <c r="BM153" s="10"/>
    </row>
    <row r="154" spans="1:65" x14ac:dyDescent="0.4">
      <c r="A154" s="5"/>
      <c r="B154" s="5"/>
      <c r="C154" s="5"/>
      <c r="D154" s="6"/>
      <c r="E154" s="5"/>
      <c r="F154" s="5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8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10"/>
    </row>
    <row r="155" spans="1:65" x14ac:dyDescent="0.4">
      <c r="A155" s="5"/>
      <c r="B155" s="5"/>
      <c r="C155" s="5"/>
      <c r="D155" s="6"/>
      <c r="E155" s="5"/>
      <c r="F155" s="5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8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10"/>
    </row>
    <row r="156" spans="1:65" x14ac:dyDescent="0.4">
      <c r="A156" s="5"/>
      <c r="B156" s="5"/>
      <c r="C156" s="5"/>
      <c r="D156" s="6"/>
      <c r="E156" s="5"/>
      <c r="F156" s="5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8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10"/>
    </row>
    <row r="157" spans="1:65" x14ac:dyDescent="0.4">
      <c r="A157" s="5"/>
      <c r="B157" s="5"/>
      <c r="C157" s="5"/>
      <c r="D157" s="6"/>
      <c r="E157" s="5"/>
      <c r="F157" s="5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8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10"/>
    </row>
    <row r="158" spans="1:65" x14ac:dyDescent="0.4">
      <c r="A158" s="5"/>
      <c r="B158" s="5"/>
      <c r="C158" s="5"/>
      <c r="D158" s="6"/>
      <c r="E158" s="5"/>
      <c r="F158" s="5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8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10"/>
    </row>
    <row r="159" spans="1:65" x14ac:dyDescent="0.4">
      <c r="A159" s="5"/>
      <c r="B159" s="5"/>
      <c r="C159" s="5"/>
      <c r="D159" s="6"/>
      <c r="E159" s="5"/>
      <c r="F159" s="5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8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10"/>
    </row>
    <row r="160" spans="1:65" x14ac:dyDescent="0.4">
      <c r="A160" s="5"/>
      <c r="B160" s="5"/>
      <c r="C160" s="5"/>
      <c r="D160" s="6"/>
      <c r="E160" s="5"/>
      <c r="F160" s="5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8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10"/>
    </row>
    <row r="161" spans="1:65" x14ac:dyDescent="0.4">
      <c r="A161" s="5"/>
      <c r="B161" s="5"/>
      <c r="C161" s="5"/>
      <c r="D161" s="6"/>
      <c r="E161" s="5"/>
      <c r="F161" s="5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8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10"/>
    </row>
    <row r="162" spans="1:65" x14ac:dyDescent="0.4">
      <c r="A162" s="5"/>
      <c r="B162" s="5"/>
      <c r="C162" s="5"/>
      <c r="D162" s="6"/>
      <c r="E162" s="5"/>
      <c r="F162" s="5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8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10"/>
    </row>
    <row r="163" spans="1:65" x14ac:dyDescent="0.4">
      <c r="A163" s="5"/>
      <c r="B163" s="5"/>
      <c r="C163" s="5"/>
      <c r="D163" s="6"/>
      <c r="E163" s="5"/>
      <c r="F163" s="5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8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10"/>
    </row>
    <row r="164" spans="1:65" x14ac:dyDescent="0.4">
      <c r="A164" s="5"/>
      <c r="B164" s="5"/>
      <c r="C164" s="5"/>
      <c r="D164" s="6"/>
      <c r="E164" s="5"/>
      <c r="F164" s="5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8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10"/>
    </row>
    <row r="165" spans="1:65" x14ac:dyDescent="0.4">
      <c r="A165" s="5"/>
      <c r="B165" s="5"/>
      <c r="C165" s="5"/>
      <c r="D165" s="6"/>
      <c r="E165" s="5"/>
      <c r="F165" s="5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8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10"/>
    </row>
    <row r="166" spans="1:65" x14ac:dyDescent="0.4">
      <c r="A166" s="5"/>
      <c r="B166" s="5"/>
      <c r="C166" s="5"/>
      <c r="D166" s="6"/>
      <c r="E166" s="5"/>
      <c r="F166" s="5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11"/>
    </row>
    <row r="167" spans="1:65" x14ac:dyDescent="0.4">
      <c r="A167" s="5"/>
      <c r="B167" s="5"/>
      <c r="C167" s="5"/>
      <c r="D167" s="6"/>
      <c r="E167" s="5"/>
      <c r="F167" s="5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11"/>
    </row>
    <row r="168" spans="1:65" x14ac:dyDescent="0.4">
      <c r="A168" s="5"/>
      <c r="B168" s="5"/>
      <c r="C168" s="5"/>
      <c r="D168" s="6"/>
      <c r="E168" s="5"/>
      <c r="F168" s="5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11"/>
    </row>
    <row r="169" spans="1:65" x14ac:dyDescent="0.4">
      <c r="A169" s="5"/>
      <c r="B169" s="5"/>
      <c r="C169" s="5"/>
      <c r="D169" s="6"/>
      <c r="E169" s="5"/>
      <c r="F169" s="5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11"/>
    </row>
    <row r="170" spans="1:65" x14ac:dyDescent="0.4">
      <c r="A170" s="5"/>
      <c r="B170" s="5"/>
      <c r="C170" s="5"/>
      <c r="D170" s="6"/>
      <c r="E170" s="5"/>
      <c r="F170" s="5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11"/>
    </row>
    <row r="171" spans="1:65" x14ac:dyDescent="0.4">
      <c r="A171" s="5"/>
      <c r="B171" s="5"/>
      <c r="C171" s="5"/>
      <c r="D171" s="6"/>
      <c r="E171" s="5"/>
      <c r="F171" s="5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8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10"/>
    </row>
    <row r="172" spans="1:65" x14ac:dyDescent="0.4">
      <c r="A172" s="5"/>
      <c r="B172" s="5"/>
      <c r="C172" s="5"/>
      <c r="D172" s="6"/>
      <c r="E172" s="5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8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10"/>
    </row>
    <row r="173" spans="1:65" x14ac:dyDescent="0.4">
      <c r="A173" s="5"/>
      <c r="B173" s="5"/>
      <c r="C173" s="5"/>
      <c r="D173" s="6"/>
      <c r="E173" s="5"/>
      <c r="F173" s="5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8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10"/>
    </row>
    <row r="174" spans="1:65" x14ac:dyDescent="0.4">
      <c r="A174" s="5"/>
      <c r="B174" s="5"/>
      <c r="C174" s="5"/>
      <c r="D174" s="6"/>
      <c r="E174" s="5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8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8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10"/>
    </row>
    <row r="175" spans="1:65" x14ac:dyDescent="0.4">
      <c r="A175" s="5"/>
      <c r="B175" s="5"/>
      <c r="C175" s="5"/>
      <c r="D175" s="6"/>
      <c r="E175" s="5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8"/>
      <c r="AG175" s="8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10"/>
    </row>
    <row r="176" spans="1:65" x14ac:dyDescent="0.4">
      <c r="A176" s="5"/>
      <c r="B176" s="5"/>
      <c r="C176" s="5"/>
      <c r="D176" s="6"/>
      <c r="E176" s="5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8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10"/>
    </row>
    <row r="177" spans="1:65" x14ac:dyDescent="0.4">
      <c r="A177" s="5"/>
      <c r="B177" s="5"/>
      <c r="C177" s="5"/>
      <c r="D177" s="6"/>
      <c r="E177" s="5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8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10"/>
    </row>
    <row r="178" spans="1:65" x14ac:dyDescent="0.4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8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8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10"/>
    </row>
    <row r="179" spans="1:65" x14ac:dyDescent="0.4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8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10"/>
    </row>
    <row r="180" spans="1:65" x14ac:dyDescent="0.4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8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10"/>
    </row>
    <row r="181" spans="1:65" x14ac:dyDescent="0.4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8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10"/>
    </row>
    <row r="182" spans="1:65" x14ac:dyDescent="0.4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8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10"/>
    </row>
    <row r="183" spans="1:65" x14ac:dyDescent="0.4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8"/>
      <c r="AG183" s="8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10"/>
    </row>
    <row r="184" spans="1:65" x14ac:dyDescent="0.4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8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10"/>
    </row>
    <row r="185" spans="1:65" x14ac:dyDescent="0.4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8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10"/>
    </row>
    <row r="186" spans="1:65" x14ac:dyDescent="0.4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8"/>
      <c r="AG186" s="8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10"/>
    </row>
    <row r="187" spans="1:65" x14ac:dyDescent="0.4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8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10"/>
    </row>
    <row r="188" spans="1:65" x14ac:dyDescent="0.4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8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8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10"/>
    </row>
    <row r="189" spans="1:65" x14ac:dyDescent="0.4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8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10"/>
    </row>
    <row r="190" spans="1:65" x14ac:dyDescent="0.4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8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10"/>
    </row>
    <row r="191" spans="1:65" x14ac:dyDescent="0.4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8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10"/>
    </row>
    <row r="192" spans="1:65" x14ac:dyDescent="0.4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8"/>
      <c r="AG192" s="8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8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10"/>
    </row>
    <row r="193" spans="1:65" x14ac:dyDescent="0.4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8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10"/>
    </row>
    <row r="194" spans="1:65" x14ac:dyDescent="0.4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8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10"/>
    </row>
    <row r="195" spans="1:65" x14ac:dyDescent="0.4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8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10"/>
    </row>
    <row r="196" spans="1:65" x14ac:dyDescent="0.4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8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10"/>
    </row>
    <row r="197" spans="1:65" x14ac:dyDescent="0.4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8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10"/>
    </row>
    <row r="198" spans="1:65" x14ac:dyDescent="0.4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8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10"/>
    </row>
    <row r="199" spans="1:65" x14ac:dyDescent="0.4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8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10"/>
    </row>
    <row r="200" spans="1:65" x14ac:dyDescent="0.4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8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10"/>
    </row>
    <row r="201" spans="1:65" x14ac:dyDescent="0.4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8"/>
      <c r="AG201" s="8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10"/>
    </row>
    <row r="202" spans="1:65" x14ac:dyDescent="0.4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8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10"/>
    </row>
    <row r="203" spans="1:65" x14ac:dyDescent="0.4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8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10"/>
    </row>
    <row r="204" spans="1:65" x14ac:dyDescent="0.4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8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10"/>
    </row>
    <row r="205" spans="1:65" x14ac:dyDescent="0.4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8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8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10"/>
    </row>
    <row r="206" spans="1:65" x14ac:dyDescent="0.4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8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10"/>
    </row>
    <row r="207" spans="1:65" x14ac:dyDescent="0.4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8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10"/>
    </row>
    <row r="208" spans="1:65" x14ac:dyDescent="0.4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8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10"/>
    </row>
    <row r="209" spans="1:65" x14ac:dyDescent="0.4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10"/>
    </row>
    <row r="210" spans="1:65" x14ac:dyDescent="0.4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8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10"/>
    </row>
    <row r="211" spans="1:65" x14ac:dyDescent="0.4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8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10"/>
    </row>
    <row r="212" spans="1:65" x14ac:dyDescent="0.4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10"/>
    </row>
    <row r="213" spans="1:65" x14ac:dyDescent="0.4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8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10"/>
    </row>
    <row r="214" spans="1:65" x14ac:dyDescent="0.4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8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10"/>
    </row>
    <row r="215" spans="1:65" x14ac:dyDescent="0.4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8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10"/>
    </row>
    <row r="216" spans="1:65" x14ac:dyDescent="0.4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8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10"/>
    </row>
    <row r="217" spans="1:65" x14ac:dyDescent="0.4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8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10"/>
    </row>
    <row r="218" spans="1:65" x14ac:dyDescent="0.4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11"/>
    </row>
    <row r="219" spans="1:65" x14ac:dyDescent="0.4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1"/>
    </row>
    <row r="220" spans="1:65" x14ac:dyDescent="0.4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11"/>
    </row>
    <row r="221" spans="1:65" x14ac:dyDescent="0.4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11"/>
    </row>
    <row r="222" spans="1:65" x14ac:dyDescent="0.4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11"/>
    </row>
    <row r="223" spans="1:65" x14ac:dyDescent="0.4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11"/>
    </row>
    <row r="224" spans="1:65" x14ac:dyDescent="0.4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11"/>
    </row>
    <row r="225" spans="1:65" x14ac:dyDescent="0.4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11"/>
    </row>
    <row r="226" spans="1:65" x14ac:dyDescent="0.4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11"/>
    </row>
    <row r="227" spans="1:65" x14ac:dyDescent="0.4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11"/>
    </row>
    <row r="228" spans="1:65" x14ac:dyDescent="0.4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11"/>
    </row>
    <row r="229" spans="1:65" x14ac:dyDescent="0.4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11"/>
    </row>
    <row r="230" spans="1:65" x14ac:dyDescent="0.4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11"/>
    </row>
    <row r="231" spans="1:65" x14ac:dyDescent="0.4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11"/>
    </row>
    <row r="232" spans="1:65" x14ac:dyDescent="0.4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11"/>
    </row>
    <row r="233" spans="1:65" x14ac:dyDescent="0.4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11"/>
    </row>
    <row r="234" spans="1:65" x14ac:dyDescent="0.4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11"/>
    </row>
    <row r="235" spans="1:65" x14ac:dyDescent="0.4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11"/>
    </row>
    <row r="236" spans="1:65" x14ac:dyDescent="0.4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11"/>
    </row>
    <row r="237" spans="1:65" x14ac:dyDescent="0.4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11"/>
    </row>
    <row r="238" spans="1:65" x14ac:dyDescent="0.4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11"/>
    </row>
    <row r="239" spans="1:65" x14ac:dyDescent="0.4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11"/>
    </row>
    <row r="240" spans="1:65" x14ac:dyDescent="0.4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11"/>
    </row>
    <row r="241" spans="1:65" x14ac:dyDescent="0.4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11"/>
    </row>
    <row r="242" spans="1:65" x14ac:dyDescent="0.4">
      <c r="A242" s="5"/>
      <c r="B242" s="5"/>
      <c r="C242" s="5"/>
      <c r="D242" s="6"/>
      <c r="E242" s="5"/>
      <c r="F242" s="5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11"/>
    </row>
    <row r="243" spans="1:65" x14ac:dyDescent="0.4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11"/>
    </row>
    <row r="244" spans="1:65" x14ac:dyDescent="0.4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11"/>
    </row>
    <row r="245" spans="1:65" x14ac:dyDescent="0.4">
      <c r="A245" s="5"/>
      <c r="B245" s="5"/>
      <c r="C245" s="5"/>
      <c r="D245" s="6"/>
      <c r="E245" s="5"/>
      <c r="F245" s="5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11"/>
    </row>
    <row r="246" spans="1:65" x14ac:dyDescent="0.4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8"/>
      <c r="L246" s="8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8"/>
      <c r="AF246" s="8"/>
      <c r="AG246" s="8"/>
      <c r="AH246" s="7"/>
      <c r="AI246" s="7"/>
      <c r="AJ246" s="7"/>
      <c r="AK246" s="8"/>
      <c r="AL246" s="8"/>
      <c r="AM246" s="8"/>
      <c r="AN246" s="7"/>
      <c r="AO246" s="7"/>
      <c r="AP246" s="7"/>
      <c r="AQ246" s="8"/>
      <c r="AR246" s="8"/>
      <c r="AS246" s="8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9"/>
      <c r="BM246" s="10"/>
    </row>
    <row r="247" spans="1:65" x14ac:dyDescent="0.4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8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8"/>
      <c r="AF247" s="8"/>
      <c r="AG247" s="8"/>
      <c r="AH247" s="7"/>
      <c r="AI247" s="7"/>
      <c r="AJ247" s="7"/>
      <c r="AK247" s="8"/>
      <c r="AL247" s="8"/>
      <c r="AM247" s="8"/>
      <c r="AN247" s="7"/>
      <c r="AO247" s="7"/>
      <c r="AP247" s="7"/>
      <c r="AQ247" s="7"/>
      <c r="AR247" s="8"/>
      <c r="AS247" s="8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9"/>
      <c r="BM247" s="10"/>
    </row>
    <row r="248" spans="1:65" x14ac:dyDescent="0.4">
      <c r="A248" s="5"/>
      <c r="B248" s="5"/>
      <c r="C248" s="5"/>
      <c r="D248" s="6"/>
      <c r="E248" s="5"/>
      <c r="F248" s="5"/>
      <c r="G248" s="5"/>
      <c r="H248" s="7"/>
      <c r="I248" s="7"/>
      <c r="J248" s="7"/>
      <c r="K248" s="8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8"/>
      <c r="AF248" s="8"/>
      <c r="AG248" s="8"/>
      <c r="AH248" s="7"/>
      <c r="AI248" s="7"/>
      <c r="AJ248" s="7"/>
      <c r="AK248" s="8"/>
      <c r="AL248" s="8"/>
      <c r="AM248" s="8"/>
      <c r="AN248" s="7"/>
      <c r="AO248" s="7"/>
      <c r="AP248" s="7"/>
      <c r="AQ248" s="8"/>
      <c r="AR248" s="8"/>
      <c r="AS248" s="8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9"/>
      <c r="BM248" s="10"/>
    </row>
    <row r="249" spans="1:65" x14ac:dyDescent="0.4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8"/>
      <c r="AF249" s="8"/>
      <c r="AG249" s="8"/>
      <c r="AH249" s="7"/>
      <c r="AI249" s="7"/>
      <c r="AJ249" s="7"/>
      <c r="AK249" s="8"/>
      <c r="AL249" s="8"/>
      <c r="AM249" s="8"/>
      <c r="AN249" s="7"/>
      <c r="AO249" s="7"/>
      <c r="AP249" s="7"/>
      <c r="AQ249" s="8"/>
      <c r="AR249" s="8"/>
      <c r="AS249" s="8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9"/>
      <c r="BM249" s="10"/>
    </row>
    <row r="250" spans="1:65" x14ac:dyDescent="0.4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8"/>
      <c r="AG250" s="8"/>
      <c r="AH250" s="7"/>
      <c r="AI250" s="7"/>
      <c r="AJ250" s="7"/>
      <c r="AK250" s="7"/>
      <c r="AL250" s="8"/>
      <c r="AM250" s="8"/>
      <c r="AN250" s="7"/>
      <c r="AO250" s="7"/>
      <c r="AP250" s="7"/>
      <c r="AQ250" s="7"/>
      <c r="AR250" s="8"/>
      <c r="AS250" s="8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9"/>
      <c r="BM250" s="10"/>
    </row>
    <row r="251" spans="1:65" x14ac:dyDescent="0.4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8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8"/>
      <c r="AF251" s="8"/>
      <c r="AG251" s="8"/>
      <c r="AH251" s="7"/>
      <c r="AI251" s="7"/>
      <c r="AJ251" s="7"/>
      <c r="AK251" s="8"/>
      <c r="AL251" s="8"/>
      <c r="AM251" s="8"/>
      <c r="AN251" s="7"/>
      <c r="AO251" s="7"/>
      <c r="AP251" s="7"/>
      <c r="AQ251" s="7"/>
      <c r="AR251" s="8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9"/>
      <c r="BM251" s="10"/>
    </row>
    <row r="252" spans="1:65" x14ac:dyDescent="0.4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8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8"/>
      <c r="AF252" s="8"/>
      <c r="AG252" s="8"/>
      <c r="AH252" s="7"/>
      <c r="AI252" s="7"/>
      <c r="AJ252" s="7"/>
      <c r="AK252" s="8"/>
      <c r="AL252" s="8"/>
      <c r="AM252" s="8"/>
      <c r="AN252" s="7"/>
      <c r="AO252" s="7"/>
      <c r="AP252" s="7"/>
      <c r="AQ252" s="7"/>
      <c r="AR252" s="8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9"/>
      <c r="BM252" s="10"/>
    </row>
    <row r="253" spans="1:65" x14ac:dyDescent="0.4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8"/>
      <c r="AF253" s="8"/>
      <c r="AG253" s="8"/>
      <c r="AH253" s="7"/>
      <c r="AI253" s="7"/>
      <c r="AJ253" s="7"/>
      <c r="AK253" s="8"/>
      <c r="AL253" s="8"/>
      <c r="AM253" s="8"/>
      <c r="AN253" s="7"/>
      <c r="AO253" s="7"/>
      <c r="AP253" s="7"/>
      <c r="AQ253" s="7"/>
      <c r="AR253" s="8"/>
      <c r="AS253" s="8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9"/>
      <c r="BM253" s="10"/>
    </row>
    <row r="254" spans="1:65" x14ac:dyDescent="0.4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8"/>
      <c r="L254" s="8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8"/>
      <c r="AF254" s="8"/>
      <c r="AG254" s="8"/>
      <c r="AH254" s="7"/>
      <c r="AI254" s="7"/>
      <c r="AJ254" s="7"/>
      <c r="AK254" s="8"/>
      <c r="AL254" s="8"/>
      <c r="AM254" s="8"/>
      <c r="AN254" s="7"/>
      <c r="AO254" s="7"/>
      <c r="AP254" s="7"/>
      <c r="AQ254" s="7"/>
      <c r="AR254" s="8"/>
      <c r="AS254" s="8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9"/>
      <c r="BM254" s="10"/>
    </row>
    <row r="255" spans="1:65" x14ac:dyDescent="0.4">
      <c r="A255" s="5"/>
      <c r="B255" s="5"/>
      <c r="C255" s="5"/>
      <c r="D255" s="6"/>
      <c r="E255" s="5"/>
      <c r="F255" s="5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8"/>
      <c r="AF255" s="8"/>
      <c r="AG255" s="8"/>
      <c r="AH255" s="7"/>
      <c r="AI255" s="7"/>
      <c r="AJ255" s="7"/>
      <c r="AK255" s="8"/>
      <c r="AL255" s="8"/>
      <c r="AM255" s="8"/>
      <c r="AN255" s="7"/>
      <c r="AO255" s="7"/>
      <c r="AP255" s="7"/>
      <c r="AQ255" s="7"/>
      <c r="AR255" s="8"/>
      <c r="AS255" s="8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9"/>
      <c r="BM255" s="10"/>
    </row>
    <row r="256" spans="1:65" x14ac:dyDescent="0.4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8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8"/>
      <c r="AF256" s="8"/>
      <c r="AG256" s="8"/>
      <c r="AH256" s="7"/>
      <c r="AI256" s="7"/>
      <c r="AJ256" s="7"/>
      <c r="AK256" s="8"/>
      <c r="AL256" s="8"/>
      <c r="AM256" s="8"/>
      <c r="AN256" s="7"/>
      <c r="AO256" s="7"/>
      <c r="AP256" s="7"/>
      <c r="AQ256" s="7"/>
      <c r="AR256" s="8"/>
      <c r="AS256" s="8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9"/>
      <c r="BM256" s="10"/>
    </row>
    <row r="257" spans="1:65" x14ac:dyDescent="0.4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8"/>
      <c r="AG257" s="8"/>
      <c r="AH257" s="7"/>
      <c r="AI257" s="7"/>
      <c r="AJ257" s="7"/>
      <c r="AK257" s="8"/>
      <c r="AL257" s="8"/>
      <c r="AM257" s="8"/>
      <c r="AN257" s="7"/>
      <c r="AO257" s="7"/>
      <c r="AP257" s="7"/>
      <c r="AQ257" s="7"/>
      <c r="AR257" s="8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9"/>
      <c r="BM257" s="10"/>
    </row>
    <row r="258" spans="1:65" x14ac:dyDescent="0.4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8"/>
      <c r="AG258" s="8"/>
      <c r="AH258" s="7"/>
      <c r="AI258" s="7"/>
      <c r="AJ258" s="7"/>
      <c r="AK258" s="7"/>
      <c r="AL258" s="8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9"/>
      <c r="BM258" s="10"/>
    </row>
    <row r="259" spans="1:65" x14ac:dyDescent="0.4">
      <c r="A259" s="5"/>
      <c r="B259" s="5"/>
      <c r="C259" s="5"/>
      <c r="D259" s="6"/>
      <c r="E259" s="5"/>
      <c r="F259" s="5"/>
      <c r="G259" s="5"/>
      <c r="H259" s="7"/>
      <c r="I259" s="7"/>
      <c r="J259" s="8"/>
      <c r="K259" s="7"/>
      <c r="L259" s="8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8"/>
      <c r="AG259" s="8"/>
      <c r="AH259" s="7"/>
      <c r="AI259" s="7"/>
      <c r="AJ259" s="7"/>
      <c r="AK259" s="7"/>
      <c r="AL259" s="8"/>
      <c r="AM259" s="8"/>
      <c r="AN259" s="7"/>
      <c r="AO259" s="7"/>
      <c r="AP259" s="7"/>
      <c r="AQ259" s="7"/>
      <c r="AR259" s="8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9"/>
      <c r="BM259" s="10"/>
    </row>
    <row r="260" spans="1:65" x14ac:dyDescent="0.4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8"/>
      <c r="AG260" s="7"/>
      <c r="AH260" s="7"/>
      <c r="AI260" s="7"/>
      <c r="AJ260" s="7"/>
      <c r="AK260" s="7"/>
      <c r="AL260" s="8"/>
      <c r="AM260" s="8"/>
      <c r="AN260" s="7"/>
      <c r="AO260" s="7"/>
      <c r="AP260" s="7"/>
      <c r="AQ260" s="7"/>
      <c r="AR260" s="8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9"/>
      <c r="BM260" s="10"/>
    </row>
    <row r="261" spans="1:65" x14ac:dyDescent="0.4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8"/>
      <c r="AG261" s="7"/>
      <c r="AH261" s="7"/>
      <c r="AI261" s="7"/>
      <c r="AJ261" s="7"/>
      <c r="AK261" s="7"/>
      <c r="AL261" s="8"/>
      <c r="AM261" s="8"/>
      <c r="AN261" s="7"/>
      <c r="AO261" s="7"/>
      <c r="AP261" s="7"/>
      <c r="AQ261" s="7"/>
      <c r="AR261" s="8"/>
      <c r="AS261" s="8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9"/>
      <c r="BM261" s="10"/>
    </row>
    <row r="262" spans="1:65" x14ac:dyDescent="0.4">
      <c r="A262" s="5"/>
      <c r="B262" s="5"/>
      <c r="C262" s="5"/>
      <c r="D262" s="6"/>
      <c r="E262" s="5"/>
      <c r="F262" s="5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8"/>
      <c r="AG262" s="8"/>
      <c r="AH262" s="7"/>
      <c r="AI262" s="7"/>
      <c r="AJ262" s="7"/>
      <c r="AK262" s="7"/>
      <c r="AL262" s="8"/>
      <c r="AM262" s="8"/>
      <c r="AN262" s="7"/>
      <c r="AO262" s="7"/>
      <c r="AP262" s="7"/>
      <c r="AQ262" s="7"/>
      <c r="AR262" s="8"/>
      <c r="AS262" s="8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9"/>
      <c r="BM262" s="10"/>
    </row>
    <row r="263" spans="1:65" x14ac:dyDescent="0.4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8"/>
      <c r="AG263" s="7"/>
      <c r="AH263" s="7"/>
      <c r="AI263" s="8"/>
      <c r="AJ263" s="8"/>
      <c r="AK263" s="7"/>
      <c r="AL263" s="7"/>
      <c r="AM263" s="7"/>
      <c r="AN263" s="7"/>
      <c r="AO263" s="7"/>
      <c r="AP263" s="7"/>
      <c r="AQ263" s="7"/>
      <c r="AR263" s="8"/>
      <c r="AS263" s="8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9"/>
      <c r="BM263" s="10"/>
    </row>
    <row r="264" spans="1:65" x14ac:dyDescent="0.4">
      <c r="A264" s="5"/>
      <c r="B264" s="5"/>
      <c r="C264" s="5"/>
      <c r="D264" s="6"/>
      <c r="E264" s="5"/>
      <c r="F264" s="5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8"/>
      <c r="AG264" s="7"/>
      <c r="AH264" s="7"/>
      <c r="AI264" s="7"/>
      <c r="AJ264" s="7"/>
      <c r="AK264" s="7"/>
      <c r="AL264" s="8"/>
      <c r="AM264" s="8"/>
      <c r="AN264" s="7"/>
      <c r="AO264" s="7"/>
      <c r="AP264" s="7"/>
      <c r="AQ264" s="7"/>
      <c r="AR264" s="8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9"/>
      <c r="BM264" s="10"/>
    </row>
    <row r="265" spans="1:65" x14ac:dyDescent="0.4">
      <c r="A265" s="5"/>
      <c r="B265" s="5"/>
      <c r="C265" s="5"/>
      <c r="D265" s="6"/>
      <c r="E265" s="5"/>
      <c r="F265" s="5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8"/>
      <c r="AG265" s="8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8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10"/>
    </row>
    <row r="266" spans="1:65" x14ac:dyDescent="0.4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8"/>
      <c r="AG266" s="7"/>
      <c r="AH266" s="7"/>
      <c r="AI266" s="7"/>
      <c r="AJ266" s="7"/>
      <c r="AK266" s="7"/>
      <c r="AL266" s="8"/>
      <c r="AM266" s="7"/>
      <c r="AN266" s="7"/>
      <c r="AO266" s="7"/>
      <c r="AP266" s="7"/>
      <c r="AQ266" s="7"/>
      <c r="AR266" s="8"/>
      <c r="AS266" s="8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9"/>
      <c r="BM266" s="10"/>
    </row>
    <row r="267" spans="1:65" x14ac:dyDescent="0.4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8"/>
      <c r="AG267" s="7"/>
      <c r="AH267" s="7"/>
      <c r="AI267" s="7"/>
      <c r="AJ267" s="7"/>
      <c r="AK267" s="7"/>
      <c r="AL267" s="8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10"/>
    </row>
    <row r="268" spans="1:65" x14ac:dyDescent="0.4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8"/>
      <c r="AG268" s="7"/>
      <c r="AH268" s="7"/>
      <c r="AI268" s="7"/>
      <c r="AJ268" s="7"/>
      <c r="AK268" s="7"/>
      <c r="AL268" s="8"/>
      <c r="AM268" s="7"/>
      <c r="AN268" s="7"/>
      <c r="AO268" s="7"/>
      <c r="AP268" s="7"/>
      <c r="AQ268" s="7"/>
      <c r="AR268" s="8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9"/>
      <c r="BM268" s="10"/>
    </row>
    <row r="269" spans="1:65" x14ac:dyDescent="0.4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8"/>
      <c r="AG269" s="7"/>
      <c r="AH269" s="7"/>
      <c r="AI269" s="7"/>
      <c r="AJ269" s="7"/>
      <c r="AK269" s="7"/>
      <c r="AL269" s="8"/>
      <c r="AM269" s="7"/>
      <c r="AN269" s="7"/>
      <c r="AO269" s="7"/>
      <c r="AP269" s="7"/>
      <c r="AQ269" s="7"/>
      <c r="AR269" s="8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9"/>
      <c r="BM269" s="10"/>
    </row>
    <row r="270" spans="1:65" x14ac:dyDescent="0.4">
      <c r="A270" s="5"/>
      <c r="B270" s="5"/>
      <c r="C270" s="5"/>
      <c r="D270" s="6"/>
      <c r="E270" s="5"/>
      <c r="F270" s="5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8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8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10"/>
    </row>
    <row r="271" spans="1:65" x14ac:dyDescent="0.4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8"/>
      <c r="AG271" s="7"/>
      <c r="AH271" s="7"/>
      <c r="AI271" s="7"/>
      <c r="AJ271" s="7"/>
      <c r="AK271" s="7"/>
      <c r="AL271" s="8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9"/>
      <c r="BM271" s="10"/>
    </row>
    <row r="272" spans="1:65" x14ac:dyDescent="0.4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8"/>
      <c r="AM272" s="8"/>
      <c r="AN272" s="7"/>
      <c r="AO272" s="7"/>
      <c r="AP272" s="7"/>
      <c r="AQ272" s="7"/>
      <c r="AR272" s="8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9"/>
      <c r="BM272" s="10"/>
    </row>
    <row r="273" spans="1:65" x14ac:dyDescent="0.4">
      <c r="A273" s="5"/>
      <c r="B273" s="5"/>
      <c r="C273" s="5"/>
      <c r="D273" s="6"/>
      <c r="E273" s="5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8"/>
      <c r="AG273" s="8"/>
      <c r="AH273" s="7"/>
      <c r="AI273" s="7"/>
      <c r="AJ273" s="7"/>
      <c r="AK273" s="7"/>
      <c r="AL273" s="8"/>
      <c r="AM273" s="8"/>
      <c r="AN273" s="7"/>
      <c r="AO273" s="7"/>
      <c r="AP273" s="7"/>
      <c r="AQ273" s="7"/>
      <c r="AR273" s="8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9"/>
      <c r="BM273" s="10"/>
    </row>
    <row r="274" spans="1:65" x14ac:dyDescent="0.4">
      <c r="A274" s="5"/>
      <c r="B274" s="5"/>
      <c r="C274" s="5"/>
      <c r="D274" s="6"/>
      <c r="E274" s="5"/>
      <c r="F274" s="5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8"/>
      <c r="AG274" s="7"/>
      <c r="AH274" s="7"/>
      <c r="AI274" s="7"/>
      <c r="AJ274" s="7"/>
      <c r="AK274" s="7"/>
      <c r="AL274" s="8"/>
      <c r="AM274" s="7"/>
      <c r="AN274" s="7"/>
      <c r="AO274" s="7"/>
      <c r="AP274" s="7"/>
      <c r="AQ274" s="7"/>
      <c r="AR274" s="8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9"/>
      <c r="BM274" s="10"/>
    </row>
    <row r="275" spans="1:65" x14ac:dyDescent="0.4">
      <c r="A275" s="5"/>
      <c r="B275" s="5"/>
      <c r="C275" s="5"/>
      <c r="D275" s="6"/>
      <c r="E275" s="5"/>
      <c r="F275" s="5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8"/>
      <c r="AG275" s="7"/>
      <c r="AH275" s="7"/>
      <c r="AI275" s="7"/>
      <c r="AJ275" s="7"/>
      <c r="AK275" s="7"/>
      <c r="AL275" s="8"/>
      <c r="AM275" s="7"/>
      <c r="AN275" s="7"/>
      <c r="AO275" s="7"/>
      <c r="AP275" s="7"/>
      <c r="AQ275" s="7"/>
      <c r="AR275" s="8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9"/>
      <c r="BM275" s="10"/>
    </row>
    <row r="276" spans="1:65" x14ac:dyDescent="0.4">
      <c r="A276" s="5"/>
      <c r="B276" s="5"/>
      <c r="C276" s="5"/>
      <c r="D276" s="6"/>
      <c r="E276" s="5"/>
      <c r="F276" s="5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8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9"/>
      <c r="BM276" s="10"/>
    </row>
    <row r="277" spans="1:65" x14ac:dyDescent="0.4">
      <c r="A277" s="5"/>
      <c r="B277" s="5"/>
      <c r="C277" s="5"/>
      <c r="D277" s="6"/>
      <c r="E277" s="5"/>
      <c r="F277" s="5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8"/>
      <c r="AG277" s="8"/>
      <c r="AH277" s="7"/>
      <c r="AI277" s="7"/>
      <c r="AJ277" s="7"/>
      <c r="AK277" s="7"/>
      <c r="AL277" s="8"/>
      <c r="AM277" s="8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9"/>
      <c r="BM277" s="10"/>
    </row>
    <row r="278" spans="1:65" x14ac:dyDescent="0.4">
      <c r="A278" s="5"/>
      <c r="B278" s="5"/>
      <c r="C278" s="5"/>
      <c r="D278" s="6"/>
      <c r="E278" s="5"/>
      <c r="F278" s="5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8"/>
      <c r="AG278" s="8"/>
      <c r="AH278" s="7"/>
      <c r="AI278" s="7"/>
      <c r="AJ278" s="7"/>
      <c r="AK278" s="7"/>
      <c r="AL278" s="8"/>
      <c r="AM278" s="8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10"/>
    </row>
    <row r="279" spans="1:65" x14ac:dyDescent="0.4">
      <c r="A279" s="5"/>
      <c r="B279" s="5"/>
      <c r="C279" s="5"/>
      <c r="D279" s="6"/>
      <c r="E279" s="5"/>
      <c r="F279" s="5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8"/>
      <c r="AG279" s="7"/>
      <c r="AH279" s="7"/>
      <c r="AI279" s="7"/>
      <c r="AJ279" s="7"/>
      <c r="AK279" s="7"/>
      <c r="AL279" s="8"/>
      <c r="AM279" s="8"/>
      <c r="AN279" s="7"/>
      <c r="AO279" s="7"/>
      <c r="AP279" s="7"/>
      <c r="AQ279" s="7"/>
      <c r="AR279" s="8"/>
      <c r="AS279" s="8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9"/>
      <c r="BM279" s="10"/>
    </row>
    <row r="280" spans="1:65" x14ac:dyDescent="0.4">
      <c r="A280" s="5"/>
      <c r="B280" s="5"/>
      <c r="C280" s="5"/>
      <c r="D280" s="6"/>
      <c r="E280" s="5"/>
      <c r="F280" s="5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8"/>
      <c r="AG280" s="8"/>
      <c r="AH280" s="7"/>
      <c r="AI280" s="7"/>
      <c r="AJ280" s="7"/>
      <c r="AK280" s="7"/>
      <c r="AL280" s="8"/>
      <c r="AM280" s="8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9"/>
      <c r="BM280" s="10"/>
    </row>
    <row r="281" spans="1:65" x14ac:dyDescent="0.4">
      <c r="A281" s="5"/>
      <c r="B281" s="5"/>
      <c r="C281" s="5"/>
      <c r="D281" s="6"/>
      <c r="E281" s="5"/>
      <c r="F281" s="5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8"/>
      <c r="AG281" s="7"/>
      <c r="AH281" s="7"/>
      <c r="AI281" s="7"/>
      <c r="AJ281" s="7"/>
      <c r="AK281" s="7"/>
      <c r="AL281" s="8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9"/>
      <c r="BM281" s="10"/>
    </row>
    <row r="282" spans="1:65" x14ac:dyDescent="0.4">
      <c r="A282" s="5"/>
      <c r="B282" s="5"/>
      <c r="C282" s="5"/>
      <c r="D282" s="6"/>
      <c r="E282" s="5"/>
      <c r="F282" s="5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8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10"/>
    </row>
    <row r="283" spans="1:65" x14ac:dyDescent="0.4">
      <c r="A283" s="5"/>
      <c r="B283" s="5"/>
      <c r="C283" s="5"/>
      <c r="D283" s="6"/>
      <c r="E283" s="5"/>
      <c r="F283" s="5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8"/>
      <c r="AG283" s="7"/>
      <c r="AH283" s="7"/>
      <c r="AI283" s="7"/>
      <c r="AJ283" s="7"/>
      <c r="AK283" s="7"/>
      <c r="AL283" s="8"/>
      <c r="AM283" s="7"/>
      <c r="AN283" s="7"/>
      <c r="AO283" s="7"/>
      <c r="AP283" s="7"/>
      <c r="AQ283" s="7"/>
      <c r="AR283" s="8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9"/>
      <c r="BM283" s="10"/>
    </row>
    <row r="284" spans="1:65" x14ac:dyDescent="0.4">
      <c r="A284" s="5"/>
      <c r="B284" s="5"/>
      <c r="C284" s="5"/>
      <c r="D284" s="6"/>
      <c r="E284" s="5"/>
      <c r="F284" s="5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8"/>
      <c r="AG284" s="7"/>
      <c r="AH284" s="7"/>
      <c r="AI284" s="7"/>
      <c r="AJ284" s="7"/>
      <c r="AK284" s="7"/>
      <c r="AL284" s="8"/>
      <c r="AM284" s="8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9"/>
      <c r="BM284" s="10"/>
    </row>
    <row r="285" spans="1:65" x14ac:dyDescent="0.4">
      <c r="A285" s="5"/>
      <c r="B285" s="5"/>
      <c r="C285" s="5"/>
      <c r="D285" s="6"/>
      <c r="E285" s="5"/>
      <c r="F285" s="5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8"/>
      <c r="AG285" s="7"/>
      <c r="AH285" s="7"/>
      <c r="AI285" s="7"/>
      <c r="AJ285" s="7"/>
      <c r="AK285" s="7"/>
      <c r="AL285" s="8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9"/>
      <c r="BM285" s="10"/>
    </row>
    <row r="286" spans="1:65" x14ac:dyDescent="0.4">
      <c r="A286" s="5"/>
      <c r="B286" s="5"/>
      <c r="C286" s="5"/>
      <c r="D286" s="6"/>
      <c r="E286" s="5"/>
      <c r="F286" s="5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8"/>
      <c r="AG286" s="7"/>
      <c r="AH286" s="7"/>
      <c r="AI286" s="7"/>
      <c r="AJ286" s="7"/>
      <c r="AK286" s="7"/>
      <c r="AL286" s="8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10"/>
    </row>
    <row r="287" spans="1:65" x14ac:dyDescent="0.4">
      <c r="A287" s="5"/>
      <c r="B287" s="5"/>
      <c r="C287" s="5"/>
      <c r="D287" s="6"/>
      <c r="E287" s="5"/>
      <c r="F287" s="5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8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8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10"/>
    </row>
    <row r="288" spans="1:65" x14ac:dyDescent="0.4">
      <c r="A288" s="5"/>
      <c r="B288" s="5"/>
      <c r="C288" s="5"/>
      <c r="D288" s="6"/>
      <c r="E288" s="5"/>
      <c r="F288" s="5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8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9"/>
      <c r="BM288" s="10"/>
    </row>
    <row r="289" spans="1:65" x14ac:dyDescent="0.4">
      <c r="A289" s="5"/>
      <c r="B289" s="5"/>
      <c r="C289" s="5"/>
      <c r="D289" s="6"/>
      <c r="E289" s="5"/>
      <c r="F289" s="5"/>
      <c r="G289" s="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8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10"/>
    </row>
    <row r="290" spans="1:65" x14ac:dyDescent="0.4">
      <c r="A290" s="5"/>
      <c r="B290" s="5"/>
      <c r="C290" s="5"/>
      <c r="D290" s="6"/>
      <c r="E290" s="5"/>
      <c r="F290" s="5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8"/>
      <c r="AG290" s="7"/>
      <c r="AH290" s="7"/>
      <c r="AI290" s="7"/>
      <c r="AJ290" s="7"/>
      <c r="AK290" s="7"/>
      <c r="AL290" s="8"/>
      <c r="AM290" s="8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9"/>
      <c r="BM290" s="10"/>
    </row>
    <row r="291" spans="1:65" x14ac:dyDescent="0.4">
      <c r="A291" s="5"/>
      <c r="B291" s="5"/>
      <c r="C291" s="5"/>
      <c r="D291" s="6"/>
      <c r="E291" s="5"/>
      <c r="F291" s="5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8"/>
      <c r="AG291" s="7"/>
      <c r="AH291" s="7"/>
      <c r="AI291" s="7"/>
      <c r="AJ291" s="7"/>
      <c r="AK291" s="7"/>
      <c r="AL291" s="8"/>
      <c r="AM291" s="8"/>
      <c r="AN291" s="7"/>
      <c r="AO291" s="7"/>
      <c r="AP291" s="7"/>
      <c r="AQ291" s="7"/>
      <c r="AR291" s="8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10"/>
    </row>
    <row r="292" spans="1:65" x14ac:dyDescent="0.4">
      <c r="A292" s="5"/>
      <c r="B292" s="5"/>
      <c r="C292" s="5"/>
      <c r="D292" s="6"/>
      <c r="E292" s="5"/>
      <c r="F292" s="5"/>
      <c r="G292" s="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8"/>
      <c r="AJ292" s="7"/>
      <c r="AK292" s="7"/>
      <c r="AL292" s="8"/>
      <c r="AM292" s="7"/>
      <c r="AN292" s="7"/>
      <c r="AO292" s="8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9"/>
      <c r="BM292" s="10"/>
    </row>
    <row r="293" spans="1:65" x14ac:dyDescent="0.4">
      <c r="A293" s="5"/>
      <c r="B293" s="5"/>
      <c r="C293" s="5"/>
      <c r="D293" s="6"/>
      <c r="E293" s="5"/>
      <c r="F293" s="5"/>
      <c r="G293" s="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8"/>
      <c r="AM293" s="8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9"/>
      <c r="BM293" s="10"/>
    </row>
    <row r="294" spans="1:65" x14ac:dyDescent="0.4">
      <c r="A294" s="5"/>
      <c r="B294" s="5"/>
      <c r="C294" s="5"/>
      <c r="D294" s="6"/>
      <c r="E294" s="5"/>
      <c r="F294" s="5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8"/>
      <c r="AG294" s="7"/>
      <c r="AH294" s="7"/>
      <c r="AI294" s="7"/>
      <c r="AJ294" s="7"/>
      <c r="AK294" s="7"/>
      <c r="AL294" s="8"/>
      <c r="AM294" s="7"/>
      <c r="AN294" s="7"/>
      <c r="AO294" s="7"/>
      <c r="AP294" s="7"/>
      <c r="AQ294" s="7"/>
      <c r="AR294" s="8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9"/>
      <c r="BM294" s="10"/>
    </row>
    <row r="295" spans="1:65" x14ac:dyDescent="0.4">
      <c r="A295" s="5"/>
      <c r="B295" s="5"/>
      <c r="C295" s="5"/>
      <c r="D295" s="6"/>
      <c r="E295" s="5"/>
      <c r="F295" s="5"/>
      <c r="G295" s="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8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9"/>
      <c r="BM295" s="10"/>
    </row>
    <row r="296" spans="1:65" x14ac:dyDescent="0.4">
      <c r="A296" s="5"/>
      <c r="B296" s="5"/>
      <c r="C296" s="5"/>
      <c r="D296" s="6"/>
      <c r="E296" s="5"/>
      <c r="F296" s="5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8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8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10"/>
    </row>
    <row r="297" spans="1:65" x14ac:dyDescent="0.4">
      <c r="A297" s="5"/>
      <c r="B297" s="5"/>
      <c r="C297" s="5"/>
      <c r="D297" s="6"/>
      <c r="E297" s="5"/>
      <c r="F297" s="5"/>
      <c r="G297" s="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8"/>
      <c r="AG297" s="7"/>
      <c r="AH297" s="7"/>
      <c r="AI297" s="7"/>
      <c r="AJ297" s="7"/>
      <c r="AK297" s="7"/>
      <c r="AL297" s="8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9"/>
      <c r="BM297" s="10"/>
    </row>
    <row r="298" spans="1:65" x14ac:dyDescent="0.4">
      <c r="A298" s="5"/>
      <c r="B298" s="5"/>
      <c r="C298" s="5"/>
      <c r="D298" s="6"/>
      <c r="E298" s="5"/>
      <c r="F298" s="5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8"/>
      <c r="AS298" s="8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10"/>
    </row>
    <row r="299" spans="1:65" x14ac:dyDescent="0.4">
      <c r="A299" s="5"/>
      <c r="B299" s="5"/>
      <c r="C299" s="5"/>
      <c r="D299" s="6"/>
      <c r="E299" s="5"/>
      <c r="F299" s="5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8"/>
      <c r="AG299" s="7"/>
      <c r="AH299" s="7"/>
      <c r="AI299" s="7"/>
      <c r="AJ299" s="7"/>
      <c r="AK299" s="7"/>
      <c r="AL299" s="8"/>
      <c r="AM299" s="8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9"/>
      <c r="BM299" s="10"/>
    </row>
    <row r="300" spans="1:65" x14ac:dyDescent="0.4">
      <c r="A300" s="5"/>
      <c r="B300" s="5"/>
      <c r="C300" s="5"/>
      <c r="D300" s="6"/>
      <c r="E300" s="5"/>
      <c r="F300" s="5"/>
      <c r="G300" s="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8"/>
      <c r="AM300" s="8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9"/>
      <c r="BM300" s="10"/>
    </row>
    <row r="301" spans="1:65" x14ac:dyDescent="0.4">
      <c r="A301" s="5"/>
      <c r="B301" s="5"/>
      <c r="C301" s="5"/>
      <c r="D301" s="6"/>
      <c r="E301" s="5"/>
      <c r="F301" s="5"/>
      <c r="G301" s="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8"/>
      <c r="AG301" s="7"/>
      <c r="AH301" s="7"/>
      <c r="AI301" s="7"/>
      <c r="AJ301" s="7"/>
      <c r="AK301" s="7"/>
      <c r="AL301" s="7"/>
      <c r="AM301" s="8"/>
      <c r="AN301" s="7"/>
      <c r="AO301" s="7"/>
      <c r="AP301" s="7"/>
      <c r="AQ301" s="7"/>
      <c r="AR301" s="8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10"/>
    </row>
    <row r="302" spans="1:65" x14ac:dyDescent="0.4">
      <c r="A302" s="5"/>
      <c r="B302" s="5"/>
      <c r="C302" s="5"/>
      <c r="D302" s="6"/>
      <c r="E302" s="5"/>
      <c r="F302" s="5"/>
      <c r="G302" s="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8"/>
      <c r="AG302" s="7"/>
      <c r="AH302" s="7"/>
      <c r="AI302" s="7"/>
      <c r="AJ302" s="7"/>
      <c r="AK302" s="7"/>
      <c r="AL302" s="8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9"/>
      <c r="BM302" s="10"/>
    </row>
    <row r="303" spans="1:65" x14ac:dyDescent="0.4">
      <c r="A303" s="5"/>
      <c r="B303" s="5"/>
      <c r="C303" s="5"/>
      <c r="D303" s="6"/>
      <c r="E303" s="5"/>
      <c r="F303" s="5"/>
      <c r="G303" s="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8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9"/>
      <c r="BM303" s="10"/>
    </row>
    <row r="304" spans="1:65" x14ac:dyDescent="0.4">
      <c r="A304" s="5"/>
      <c r="B304" s="5"/>
      <c r="C304" s="5"/>
      <c r="D304" s="6"/>
      <c r="E304" s="5"/>
      <c r="F304" s="5"/>
      <c r="G304" s="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8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9"/>
      <c r="BM304" s="10"/>
    </row>
    <row r="305" spans="1:65" x14ac:dyDescent="0.4">
      <c r="A305" s="5"/>
      <c r="B305" s="5"/>
      <c r="C305" s="5"/>
      <c r="D305" s="6"/>
      <c r="E305" s="5"/>
      <c r="F305" s="5"/>
      <c r="G305" s="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8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10"/>
    </row>
    <row r="306" spans="1:65" x14ac:dyDescent="0.4">
      <c r="A306" s="5"/>
      <c r="B306" s="5"/>
      <c r="C306" s="5"/>
      <c r="D306" s="6"/>
      <c r="E306" s="5"/>
      <c r="F306" s="5"/>
      <c r="G306" s="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8"/>
      <c r="AG306" s="7"/>
      <c r="AH306" s="7"/>
      <c r="AI306" s="7"/>
      <c r="AJ306" s="7"/>
      <c r="AK306" s="7"/>
      <c r="AL306" s="8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9"/>
      <c r="BM306" s="10"/>
    </row>
    <row r="307" spans="1:65" x14ac:dyDescent="0.4">
      <c r="A307" s="5"/>
      <c r="B307" s="5"/>
      <c r="C307" s="5"/>
      <c r="D307" s="6"/>
      <c r="E307" s="5"/>
      <c r="F307" s="5"/>
      <c r="G307" s="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8"/>
      <c r="AN307" s="7"/>
      <c r="AO307" s="7"/>
      <c r="AP307" s="7"/>
      <c r="AQ307" s="7"/>
      <c r="AR307" s="8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10"/>
    </row>
    <row r="308" spans="1:65" x14ac:dyDescent="0.4">
      <c r="A308" s="5"/>
      <c r="B308" s="5"/>
      <c r="C308" s="5"/>
      <c r="D308" s="6"/>
      <c r="E308" s="5"/>
      <c r="F308" s="5"/>
      <c r="G308" s="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8"/>
      <c r="AG308" s="7"/>
      <c r="AH308" s="7"/>
      <c r="AI308" s="7"/>
      <c r="AJ308" s="7"/>
      <c r="AK308" s="7"/>
      <c r="AL308" s="8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9"/>
      <c r="BM308" s="10"/>
    </row>
    <row r="309" spans="1:65" x14ac:dyDescent="0.4">
      <c r="A309" s="5"/>
      <c r="B309" s="5"/>
      <c r="C309" s="5"/>
      <c r="D309" s="6"/>
      <c r="E309" s="5"/>
      <c r="F309" s="5"/>
      <c r="G309" s="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8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9"/>
      <c r="BM309" s="10"/>
    </row>
    <row r="310" spans="1:65" x14ac:dyDescent="0.4">
      <c r="A310" s="5"/>
      <c r="B310" s="5"/>
      <c r="C310" s="5"/>
      <c r="D310" s="6"/>
      <c r="E310" s="5"/>
      <c r="F310" s="5"/>
      <c r="G310" s="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8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10"/>
    </row>
    <row r="311" spans="1:65" x14ac:dyDescent="0.4">
      <c r="A311" s="5"/>
      <c r="B311" s="5"/>
      <c r="C311" s="5"/>
      <c r="D311" s="6"/>
      <c r="E311" s="5"/>
      <c r="F311" s="5"/>
      <c r="G311" s="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8"/>
      <c r="AG311" s="8"/>
      <c r="AH311" s="7"/>
      <c r="AI311" s="7"/>
      <c r="AJ311" s="7"/>
      <c r="AK311" s="7"/>
      <c r="AL311" s="8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10"/>
    </row>
    <row r="312" spans="1:65" x14ac:dyDescent="0.4">
      <c r="A312" s="5"/>
      <c r="B312" s="5"/>
      <c r="C312" s="5"/>
      <c r="D312" s="6"/>
      <c r="E312" s="5"/>
      <c r="F312" s="5"/>
      <c r="G312" s="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8"/>
      <c r="AM312" s="7"/>
      <c r="AN312" s="7"/>
      <c r="AO312" s="7"/>
      <c r="AP312" s="7"/>
      <c r="AQ312" s="7"/>
      <c r="AR312" s="8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9"/>
      <c r="BM312" s="10"/>
    </row>
    <row r="313" spans="1:65" x14ac:dyDescent="0.4">
      <c r="A313" s="5"/>
      <c r="B313" s="5"/>
      <c r="C313" s="5"/>
      <c r="D313" s="6"/>
      <c r="E313" s="5"/>
      <c r="F313" s="5"/>
      <c r="G313" s="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8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9"/>
      <c r="BM313" s="10"/>
    </row>
    <row r="314" spans="1:65" x14ac:dyDescent="0.4">
      <c r="A314" s="5"/>
      <c r="B314" s="5"/>
      <c r="C314" s="5"/>
      <c r="D314" s="6"/>
      <c r="E314" s="5"/>
      <c r="F314" s="5"/>
      <c r="G314" s="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8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9"/>
      <c r="BM314" s="10"/>
    </row>
    <row r="315" spans="1:65" x14ac:dyDescent="0.4">
      <c r="A315" s="5"/>
      <c r="B315" s="5"/>
      <c r="C315" s="5"/>
      <c r="D315" s="6"/>
      <c r="E315" s="5"/>
      <c r="F315" s="5"/>
      <c r="G315" s="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8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8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10"/>
    </row>
    <row r="316" spans="1:65" x14ac:dyDescent="0.4">
      <c r="A316" s="5"/>
      <c r="B316" s="5"/>
      <c r="C316" s="5"/>
      <c r="D316" s="6"/>
      <c r="E316" s="5"/>
      <c r="F316" s="5"/>
      <c r="G316" s="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8"/>
      <c r="AG316" s="7"/>
      <c r="AH316" s="7"/>
      <c r="AI316" s="7"/>
      <c r="AJ316" s="7"/>
      <c r="AK316" s="7"/>
      <c r="AL316" s="8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10"/>
    </row>
    <row r="317" spans="1:65" x14ac:dyDescent="0.4">
      <c r="A317" s="5"/>
      <c r="B317" s="5"/>
      <c r="C317" s="5"/>
      <c r="D317" s="6"/>
      <c r="E317" s="5"/>
      <c r="F317" s="5"/>
      <c r="G317" s="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8"/>
      <c r="AG317" s="7"/>
      <c r="AH317" s="7"/>
      <c r="AI317" s="7"/>
      <c r="AJ317" s="7"/>
      <c r="AK317" s="7"/>
      <c r="AL317" s="8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9"/>
      <c r="BM317" s="10"/>
    </row>
    <row r="318" spans="1:65" x14ac:dyDescent="0.4">
      <c r="A318" s="5"/>
      <c r="B318" s="5"/>
      <c r="C318" s="5"/>
      <c r="D318" s="6"/>
      <c r="E318" s="5"/>
      <c r="F318" s="5"/>
      <c r="G318" s="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8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9"/>
      <c r="BM318" s="10"/>
    </row>
    <row r="319" spans="1:65" x14ac:dyDescent="0.4">
      <c r="A319" s="5"/>
      <c r="B319" s="5"/>
      <c r="C319" s="5"/>
      <c r="D319" s="6"/>
      <c r="E319" s="5"/>
      <c r="F319" s="5"/>
      <c r="G319" s="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8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8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10"/>
    </row>
    <row r="320" spans="1:65" x14ac:dyDescent="0.4">
      <c r="A320" s="5"/>
      <c r="B320" s="5"/>
      <c r="C320" s="5"/>
      <c r="D320" s="6"/>
      <c r="E320" s="5"/>
      <c r="F320" s="5"/>
      <c r="G320" s="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8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9"/>
      <c r="BM320" s="10"/>
    </row>
    <row r="321" spans="1:65" x14ac:dyDescent="0.4">
      <c r="A321" s="5"/>
      <c r="B321" s="5"/>
      <c r="C321" s="5"/>
      <c r="D321" s="6"/>
      <c r="E321" s="5"/>
      <c r="F321" s="5"/>
      <c r="G321" s="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8"/>
      <c r="AG321" s="8"/>
      <c r="AH321" s="7"/>
      <c r="AI321" s="7"/>
      <c r="AJ321" s="7"/>
      <c r="AK321" s="7"/>
      <c r="AL321" s="7"/>
      <c r="AM321" s="8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10"/>
    </row>
    <row r="322" spans="1:65" x14ac:dyDescent="0.4">
      <c r="A322" s="5"/>
      <c r="B322" s="5"/>
      <c r="C322" s="5"/>
      <c r="D322" s="6"/>
      <c r="E322" s="5"/>
      <c r="F322" s="5"/>
      <c r="G322" s="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8"/>
      <c r="AH322" s="7"/>
      <c r="AI322" s="7"/>
      <c r="AJ322" s="7"/>
      <c r="AK322" s="7"/>
      <c r="AL322" s="7"/>
      <c r="AM322" s="8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10"/>
    </row>
    <row r="323" spans="1:65" x14ac:dyDescent="0.4">
      <c r="A323" s="5"/>
      <c r="B323" s="5"/>
      <c r="C323" s="5"/>
      <c r="D323" s="6"/>
      <c r="E323" s="5"/>
      <c r="F323" s="5"/>
      <c r="G323" s="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8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10"/>
    </row>
    <row r="324" spans="1:65" x14ac:dyDescent="0.4">
      <c r="A324" s="5"/>
      <c r="B324" s="5"/>
      <c r="C324" s="5"/>
      <c r="D324" s="6"/>
      <c r="E324" s="5"/>
      <c r="F324" s="5"/>
      <c r="G324" s="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8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10"/>
    </row>
    <row r="325" spans="1:65" x14ac:dyDescent="0.4">
      <c r="A325" s="5"/>
      <c r="B325" s="5"/>
      <c r="C325" s="5"/>
      <c r="D325" s="6"/>
      <c r="E325" s="5"/>
      <c r="F325" s="5"/>
      <c r="G325" s="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8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9"/>
      <c r="BM325" s="10"/>
    </row>
    <row r="326" spans="1:65" x14ac:dyDescent="0.4">
      <c r="A326" s="5"/>
      <c r="B326" s="5"/>
      <c r="C326" s="5"/>
      <c r="D326" s="6"/>
      <c r="E326" s="5"/>
      <c r="F326" s="5"/>
      <c r="G326" s="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8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10"/>
    </row>
    <row r="327" spans="1:65" x14ac:dyDescent="0.4">
      <c r="A327" s="5"/>
      <c r="B327" s="5"/>
      <c r="C327" s="5"/>
      <c r="D327" s="6"/>
      <c r="E327" s="5"/>
      <c r="F327" s="5"/>
      <c r="G327" s="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8"/>
      <c r="AM327" s="8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10"/>
    </row>
    <row r="328" spans="1:65" x14ac:dyDescent="0.4">
      <c r="A328" s="5"/>
      <c r="B328" s="5"/>
      <c r="C328" s="5"/>
      <c r="D328" s="6"/>
      <c r="E328" s="5"/>
      <c r="F328" s="5"/>
      <c r="G328" s="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8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10"/>
    </row>
    <row r="329" spans="1:65" x14ac:dyDescent="0.4">
      <c r="A329" s="5"/>
      <c r="B329" s="5"/>
      <c r="C329" s="5"/>
      <c r="D329" s="6"/>
      <c r="E329" s="5"/>
      <c r="F329" s="5"/>
      <c r="G329" s="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8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9"/>
      <c r="BM329" s="10"/>
    </row>
    <row r="330" spans="1:65" x14ac:dyDescent="0.4">
      <c r="A330" s="5"/>
      <c r="B330" s="5"/>
      <c r="C330" s="5"/>
      <c r="D330" s="6"/>
      <c r="E330" s="5"/>
      <c r="F330" s="5"/>
      <c r="G330" s="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8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10"/>
    </row>
    <row r="331" spans="1:65" x14ac:dyDescent="0.4">
      <c r="A331" s="5"/>
      <c r="B331" s="5"/>
      <c r="C331" s="5"/>
      <c r="D331" s="6"/>
      <c r="E331" s="5"/>
      <c r="F331" s="5"/>
      <c r="G331" s="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8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10"/>
    </row>
    <row r="332" spans="1:65" x14ac:dyDescent="0.4">
      <c r="A332" s="5"/>
      <c r="B332" s="5"/>
      <c r="C332" s="5"/>
      <c r="D332" s="6"/>
      <c r="E332" s="5"/>
      <c r="F332" s="5"/>
      <c r="G332" s="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8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10"/>
    </row>
    <row r="333" spans="1:65" x14ac:dyDescent="0.4">
      <c r="A333" s="5"/>
      <c r="B333" s="5"/>
      <c r="C333" s="5"/>
      <c r="D333" s="6"/>
      <c r="E333" s="5"/>
      <c r="F333" s="5"/>
      <c r="G333" s="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8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10"/>
    </row>
    <row r="334" spans="1:65" x14ac:dyDescent="0.4">
      <c r="A334" s="5"/>
      <c r="B334" s="5"/>
      <c r="C334" s="5"/>
      <c r="D334" s="6"/>
      <c r="E334" s="5"/>
      <c r="F334" s="5"/>
      <c r="G334" s="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8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10"/>
    </row>
    <row r="335" spans="1:65" x14ac:dyDescent="0.4">
      <c r="A335" s="5"/>
      <c r="B335" s="5"/>
      <c r="C335" s="5"/>
      <c r="D335" s="6"/>
      <c r="E335" s="5"/>
      <c r="F335" s="5"/>
      <c r="G335" s="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8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10"/>
    </row>
    <row r="336" spans="1:65" x14ac:dyDescent="0.4">
      <c r="A336" s="5"/>
      <c r="B336" s="5"/>
      <c r="C336" s="5"/>
      <c r="D336" s="6"/>
      <c r="E336" s="5"/>
      <c r="F336" s="5"/>
      <c r="G336" s="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8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10"/>
    </row>
    <row r="337" spans="1:65" x14ac:dyDescent="0.4">
      <c r="A337" s="5"/>
      <c r="B337" s="5"/>
      <c r="C337" s="5"/>
      <c r="D337" s="6"/>
      <c r="E337" s="5"/>
      <c r="F337" s="5"/>
      <c r="G337" s="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8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10"/>
    </row>
    <row r="338" spans="1:65" x14ac:dyDescent="0.4">
      <c r="A338" s="5"/>
      <c r="B338" s="5"/>
      <c r="C338" s="5"/>
      <c r="D338" s="6"/>
      <c r="E338" s="5"/>
      <c r="F338" s="5"/>
      <c r="G338" s="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8"/>
      <c r="AH338" s="7"/>
      <c r="AI338" s="7"/>
      <c r="AJ338" s="7"/>
      <c r="AK338" s="7"/>
      <c r="AL338" s="7"/>
      <c r="AM338" s="8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10"/>
    </row>
    <row r="339" spans="1:65" x14ac:dyDescent="0.4">
      <c r="A339" s="5"/>
      <c r="B339" s="5"/>
      <c r="C339" s="5"/>
      <c r="D339" s="6"/>
      <c r="E339" s="5"/>
      <c r="F339" s="5"/>
      <c r="G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8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10"/>
    </row>
    <row r="340" spans="1:65" x14ac:dyDescent="0.4">
      <c r="A340" s="5"/>
      <c r="B340" s="5"/>
      <c r="C340" s="5"/>
      <c r="D340" s="6"/>
      <c r="E340" s="5"/>
      <c r="F340" s="5"/>
      <c r="G340" s="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8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10"/>
    </row>
    <row r="341" spans="1:65" x14ac:dyDescent="0.4">
      <c r="A341" s="5"/>
      <c r="B341" s="5"/>
      <c r="C341" s="5"/>
      <c r="D341" s="6"/>
      <c r="E341" s="5"/>
      <c r="F341" s="5"/>
      <c r="G341" s="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8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10"/>
    </row>
    <row r="342" spans="1:65" x14ac:dyDescent="0.4">
      <c r="A342" s="5"/>
      <c r="B342" s="5"/>
      <c r="C342" s="5"/>
      <c r="D342" s="6"/>
      <c r="E342" s="5"/>
      <c r="F342" s="5"/>
      <c r="G342" s="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8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10"/>
    </row>
    <row r="343" spans="1:65" x14ac:dyDescent="0.4">
      <c r="A343" s="5"/>
      <c r="B343" s="5"/>
      <c r="C343" s="5"/>
      <c r="D343" s="6"/>
      <c r="E343" s="5"/>
      <c r="F343" s="5"/>
      <c r="G343" s="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8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10"/>
    </row>
    <row r="344" spans="1:65" x14ac:dyDescent="0.4">
      <c r="A344" s="5"/>
      <c r="B344" s="5"/>
      <c r="C344" s="5"/>
      <c r="D344" s="6"/>
      <c r="E344" s="5"/>
      <c r="F344" s="5"/>
      <c r="G344" s="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8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10"/>
    </row>
    <row r="345" spans="1:65" x14ac:dyDescent="0.4">
      <c r="A345" s="5"/>
      <c r="B345" s="5"/>
      <c r="C345" s="5"/>
      <c r="D345" s="6"/>
      <c r="E345" s="5"/>
      <c r="F345" s="5"/>
      <c r="G345" s="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8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10"/>
    </row>
    <row r="346" spans="1:65" x14ac:dyDescent="0.4">
      <c r="A346" s="5"/>
      <c r="B346" s="5"/>
      <c r="C346" s="5"/>
      <c r="D346" s="6"/>
      <c r="E346" s="5"/>
      <c r="F346" s="5"/>
      <c r="G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8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10"/>
    </row>
    <row r="347" spans="1:65" x14ac:dyDescent="0.4">
      <c r="A347" s="5"/>
      <c r="B347" s="5"/>
      <c r="C347" s="5"/>
      <c r="D347" s="6"/>
      <c r="E347" s="5"/>
      <c r="F347" s="5"/>
      <c r="G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8"/>
      <c r="AG347" s="7"/>
      <c r="AH347" s="7"/>
      <c r="AI347" s="7"/>
      <c r="AJ347" s="7"/>
      <c r="AK347" s="7"/>
      <c r="AL347" s="7"/>
      <c r="AM347" s="8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10"/>
    </row>
    <row r="348" spans="1:65" x14ac:dyDescent="0.4">
      <c r="A348" s="5"/>
      <c r="B348" s="5"/>
      <c r="C348" s="5"/>
      <c r="D348" s="6"/>
      <c r="E348" s="5"/>
      <c r="F348" s="5"/>
      <c r="G348" s="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8"/>
      <c r="AG348" s="7"/>
      <c r="AH348" s="7"/>
      <c r="AI348" s="7"/>
      <c r="AJ348" s="7"/>
      <c r="AK348" s="7"/>
      <c r="AL348" s="7"/>
      <c r="AM348" s="8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10"/>
    </row>
    <row r="349" spans="1:65" x14ac:dyDescent="0.4">
      <c r="A349" s="5"/>
      <c r="B349" s="5"/>
      <c r="C349" s="5"/>
      <c r="D349" s="6"/>
      <c r="E349" s="5"/>
      <c r="F349" s="5"/>
      <c r="G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8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10"/>
    </row>
    <row r="350" spans="1:65" x14ac:dyDescent="0.4">
      <c r="A350" s="5"/>
      <c r="B350" s="5"/>
      <c r="C350" s="5"/>
      <c r="D350" s="6"/>
      <c r="E350" s="5"/>
      <c r="F350" s="5"/>
      <c r="G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8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10"/>
    </row>
    <row r="351" spans="1:65" x14ac:dyDescent="0.4">
      <c r="A351" s="5"/>
      <c r="B351" s="5"/>
      <c r="C351" s="5"/>
      <c r="D351" s="6"/>
      <c r="E351" s="5"/>
      <c r="F351" s="5"/>
      <c r="G351" s="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8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10"/>
    </row>
    <row r="352" spans="1:65" x14ac:dyDescent="0.4">
      <c r="A352" s="5"/>
      <c r="B352" s="5"/>
      <c r="C352" s="5"/>
      <c r="D352" s="6"/>
      <c r="E352" s="5"/>
      <c r="F352" s="5"/>
      <c r="G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8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10"/>
    </row>
    <row r="353" spans="1:65" x14ac:dyDescent="0.4">
      <c r="A353" s="5"/>
      <c r="B353" s="5"/>
      <c r="C353" s="5"/>
      <c r="D353" s="6"/>
      <c r="E353" s="5"/>
      <c r="F353" s="5"/>
      <c r="G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8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10"/>
    </row>
    <row r="354" spans="1:65" x14ac:dyDescent="0.4">
      <c r="A354" s="5"/>
      <c r="B354" s="5"/>
      <c r="C354" s="5"/>
      <c r="D354" s="6"/>
      <c r="E354" s="5"/>
      <c r="F354" s="5"/>
      <c r="G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8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10"/>
    </row>
    <row r="355" spans="1:65" x14ac:dyDescent="0.4">
      <c r="A355" s="5"/>
      <c r="B355" s="5"/>
      <c r="C355" s="5"/>
      <c r="D355" s="6"/>
      <c r="E355" s="5"/>
      <c r="F355" s="5"/>
      <c r="G355" s="5"/>
      <c r="H355" s="7"/>
      <c r="I355" s="7"/>
      <c r="J355" s="7"/>
      <c r="K355" s="7"/>
      <c r="L355" s="8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10"/>
    </row>
    <row r="356" spans="1:65" x14ac:dyDescent="0.4">
      <c r="A356" s="5"/>
      <c r="B356" s="5"/>
      <c r="C356" s="5"/>
      <c r="D356" s="6"/>
      <c r="E356" s="5"/>
      <c r="F356" s="5"/>
      <c r="G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8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10"/>
    </row>
    <row r="357" spans="1:65" x14ac:dyDescent="0.4">
      <c r="A357" s="5"/>
      <c r="B357" s="5"/>
      <c r="C357" s="5"/>
      <c r="D357" s="6"/>
      <c r="E357" s="5"/>
      <c r="F357" s="5"/>
      <c r="G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10"/>
    </row>
    <row r="358" spans="1:65" x14ac:dyDescent="0.4">
      <c r="A358" s="5"/>
      <c r="B358" s="5"/>
      <c r="C358" s="5"/>
      <c r="D358" s="6"/>
      <c r="E358" s="5"/>
      <c r="F358" s="5"/>
      <c r="G358" s="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8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10"/>
    </row>
    <row r="359" spans="1:65" x14ac:dyDescent="0.4">
      <c r="A359" s="5"/>
      <c r="B359" s="5"/>
      <c r="C359" s="5"/>
      <c r="D359" s="6"/>
      <c r="E359" s="5"/>
      <c r="F359" s="5"/>
      <c r="G359" s="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8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10"/>
    </row>
    <row r="360" spans="1:65" x14ac:dyDescent="0.4">
      <c r="A360" s="5"/>
      <c r="B360" s="5"/>
      <c r="C360" s="5"/>
      <c r="D360" s="6"/>
      <c r="E360" s="5"/>
      <c r="F360" s="5"/>
      <c r="G360" s="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8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10"/>
    </row>
    <row r="361" spans="1:65" x14ac:dyDescent="0.4">
      <c r="A361" s="5"/>
      <c r="B361" s="5"/>
      <c r="C361" s="5"/>
      <c r="D361" s="6"/>
      <c r="E361" s="5"/>
      <c r="F361" s="5"/>
      <c r="G361" s="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11"/>
    </row>
    <row r="362" spans="1:65" x14ac:dyDescent="0.4">
      <c r="A362" s="5"/>
      <c r="B362" s="5"/>
      <c r="C362" s="5"/>
      <c r="D362" s="6"/>
      <c r="E362" s="5"/>
      <c r="F362" s="5"/>
      <c r="G362" s="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11"/>
    </row>
    <row r="363" spans="1:65" x14ac:dyDescent="0.4">
      <c r="A363" s="5"/>
      <c r="B363" s="5"/>
      <c r="C363" s="5"/>
      <c r="D363" s="6"/>
      <c r="E363" s="5"/>
      <c r="F363" s="5"/>
      <c r="G363" s="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11"/>
    </row>
    <row r="364" spans="1:65" x14ac:dyDescent="0.4">
      <c r="A364" s="5"/>
      <c r="B364" s="5"/>
      <c r="C364" s="5"/>
      <c r="D364" s="6"/>
      <c r="E364" s="5"/>
      <c r="F364" s="5"/>
      <c r="G364" s="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11"/>
    </row>
    <row r="365" spans="1:65" x14ac:dyDescent="0.4">
      <c r="A365" s="5"/>
      <c r="B365" s="5"/>
      <c r="C365" s="5"/>
      <c r="D365" s="6"/>
      <c r="E365" s="5"/>
      <c r="F365" s="5"/>
      <c r="G365" s="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11"/>
    </row>
    <row r="366" spans="1:65" x14ac:dyDescent="0.4">
      <c r="A366" s="5"/>
      <c r="B366" s="5"/>
      <c r="C366" s="5"/>
      <c r="D366" s="6"/>
      <c r="E366" s="5"/>
      <c r="F366" s="5"/>
      <c r="G366" s="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11"/>
    </row>
    <row r="367" spans="1:65" x14ac:dyDescent="0.4">
      <c r="A367" s="5"/>
      <c r="B367" s="5"/>
      <c r="C367" s="5"/>
      <c r="D367" s="6"/>
      <c r="E367" s="5"/>
      <c r="F367" s="5"/>
      <c r="G367" s="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11"/>
    </row>
    <row r="368" spans="1:65" x14ac:dyDescent="0.4">
      <c r="A368" s="5"/>
      <c r="B368" s="5"/>
      <c r="C368" s="5"/>
      <c r="D368" s="6"/>
      <c r="E368" s="5"/>
      <c r="F368" s="5"/>
      <c r="G368" s="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11"/>
    </row>
    <row r="369" spans="1:65" x14ac:dyDescent="0.4">
      <c r="A369" s="5"/>
      <c r="B369" s="5"/>
      <c r="C369" s="5"/>
      <c r="D369" s="6"/>
      <c r="E369" s="5"/>
      <c r="F369" s="5"/>
      <c r="G369" s="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11"/>
    </row>
    <row r="370" spans="1:65" x14ac:dyDescent="0.4">
      <c r="A370" s="5"/>
      <c r="B370" s="5"/>
      <c r="C370" s="5"/>
      <c r="D370" s="6"/>
      <c r="E370" s="5"/>
      <c r="F370" s="5"/>
      <c r="G370" s="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11"/>
    </row>
    <row r="371" spans="1:65" x14ac:dyDescent="0.4">
      <c r="A371" s="5"/>
      <c r="B371" s="5"/>
      <c r="C371" s="5"/>
      <c r="D371" s="6"/>
      <c r="E371" s="5"/>
      <c r="F371" s="5"/>
      <c r="G371" s="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11"/>
    </row>
    <row r="372" spans="1:65" x14ac:dyDescent="0.4">
      <c r="A372" s="5"/>
      <c r="B372" s="5"/>
      <c r="C372" s="5"/>
      <c r="D372" s="6"/>
      <c r="E372" s="5"/>
      <c r="F372" s="5"/>
      <c r="G372" s="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11"/>
    </row>
    <row r="373" spans="1:65" x14ac:dyDescent="0.4">
      <c r="A373" s="5"/>
      <c r="B373" s="5"/>
      <c r="C373" s="5"/>
      <c r="D373" s="6"/>
      <c r="E373" s="5"/>
      <c r="F373" s="5"/>
      <c r="G373" s="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11"/>
    </row>
    <row r="374" spans="1:65" x14ac:dyDescent="0.4">
      <c r="A374" s="5"/>
      <c r="B374" s="5"/>
      <c r="C374" s="5"/>
      <c r="D374" s="6"/>
      <c r="E374" s="5"/>
      <c r="F374" s="5"/>
      <c r="G374" s="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11"/>
    </row>
    <row r="375" spans="1:65" x14ac:dyDescent="0.4">
      <c r="A375" s="5"/>
      <c r="B375" s="5"/>
      <c r="C375" s="5"/>
      <c r="D375" s="6"/>
      <c r="E375" s="5"/>
      <c r="F375" s="5"/>
      <c r="G375" s="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11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2022-09-02T06:42:34Z</dcterms:modified>
</cp:coreProperties>
</file>