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정산\8월 매출\1. 월초 마감\네이버\"/>
    </mc:Choice>
  </mc:AlternateContent>
  <bookViews>
    <workbookView xWindow="0" yWindow="0" windowWidth="23040" windowHeight="8952" tabRatio="766"/>
  </bookViews>
  <sheets>
    <sheet name="합계(8)" sheetId="412" r:id="rId1"/>
  </sheets>
  <definedNames>
    <definedName name="_xlnm._FilterDatabase" localSheetId="0" hidden="1">'합계(8)'!$A$1:$BQ$33</definedName>
    <definedName name="_xlnm.Extract" localSheetId="0">'합계(8)'!#REF!</definedName>
  </definedNames>
  <calcPr calcId="152511"/>
</workbook>
</file>

<file path=xl/calcChain.xml><?xml version="1.0" encoding="utf-8"?>
<calcChain xmlns="http://schemas.openxmlformats.org/spreadsheetml/2006/main">
  <c r="BM76" i="412" l="1"/>
  <c r="BO76" i="412"/>
  <c r="BN75" i="412"/>
  <c r="BO75" i="412" s="1"/>
  <c r="BN74" i="412"/>
  <c r="BO74" i="412" s="1"/>
  <c r="BN73" i="412"/>
  <c r="BO73" i="412" s="1"/>
  <c r="BN34" i="412" l="1"/>
  <c r="BO34" i="412" s="1"/>
  <c r="BN35" i="412"/>
  <c r="BO35" i="412" s="1"/>
  <c r="BN36" i="412"/>
  <c r="BO36" i="412" s="1"/>
  <c r="BN37" i="412"/>
  <c r="BO37" i="412" s="1"/>
  <c r="BN38" i="412"/>
  <c r="BO38" i="412" s="1"/>
  <c r="BN39" i="412"/>
  <c r="BO39" i="412" s="1"/>
  <c r="BN40" i="412"/>
  <c r="BO40" i="412" s="1"/>
  <c r="BN41" i="412"/>
  <c r="BO41" i="412" s="1"/>
  <c r="BN42" i="412"/>
  <c r="BO42" i="412" s="1"/>
  <c r="BN43" i="412"/>
  <c r="BO43" i="412" s="1"/>
  <c r="BN44" i="412"/>
  <c r="BO44" i="412" s="1"/>
  <c r="BN45" i="412"/>
  <c r="BO45" i="412" s="1"/>
  <c r="BN46" i="412"/>
  <c r="BO46" i="412" s="1"/>
  <c r="BN47" i="412"/>
  <c r="BO47" i="412" s="1"/>
  <c r="BN48" i="412"/>
  <c r="BO48" i="412" s="1"/>
  <c r="BN49" i="412"/>
  <c r="BO49" i="412" s="1"/>
  <c r="BN50" i="412"/>
  <c r="BO50" i="412" s="1"/>
  <c r="BN51" i="412"/>
  <c r="BO51" i="412" s="1"/>
  <c r="BN52" i="412"/>
  <c r="BO52" i="412" s="1"/>
  <c r="BN53" i="412"/>
  <c r="BO53" i="412" s="1"/>
  <c r="BN54" i="412"/>
  <c r="BO54" i="412" s="1"/>
  <c r="BN55" i="412"/>
  <c r="BO55" i="412" s="1"/>
  <c r="BN56" i="412"/>
  <c r="BO56" i="412" s="1"/>
  <c r="BN57" i="412"/>
  <c r="BO57" i="412" s="1"/>
  <c r="BN58" i="412"/>
  <c r="BO58" i="412" s="1"/>
  <c r="BN59" i="412"/>
  <c r="BO59" i="412" s="1"/>
  <c r="BN60" i="412"/>
  <c r="BO60" i="412" s="1"/>
  <c r="BN61" i="412"/>
  <c r="BO61" i="412" s="1"/>
  <c r="BN62" i="412"/>
  <c r="BO62" i="412" s="1"/>
  <c r="BN63" i="412"/>
  <c r="BO63" i="412" s="1"/>
  <c r="BN64" i="412"/>
  <c r="BO64" i="412" s="1"/>
  <c r="BN65" i="412"/>
  <c r="BO65" i="412" s="1"/>
  <c r="BN66" i="412"/>
  <c r="BO66" i="412" s="1"/>
  <c r="BN67" i="412"/>
  <c r="BO67" i="412" s="1"/>
  <c r="BN68" i="412"/>
  <c r="BO68" i="412" s="1"/>
  <c r="BN69" i="412"/>
  <c r="BO69" i="412" s="1"/>
  <c r="BN70" i="412"/>
  <c r="BO70" i="412" s="1"/>
  <c r="BN71" i="412"/>
  <c r="BO71" i="412" s="1"/>
  <c r="BN72" i="412"/>
  <c r="BO72" i="412" s="1"/>
  <c r="BN32" i="412"/>
  <c r="BO32" i="412" s="1"/>
  <c r="BN33" i="412"/>
  <c r="BO33" i="412" s="1"/>
  <c r="BN3" i="412" l="1"/>
  <c r="BO3" i="412" s="1"/>
  <c r="BN4" i="412"/>
  <c r="BO4" i="412" s="1"/>
  <c r="BN5" i="412"/>
  <c r="BO5" i="412" s="1"/>
  <c r="BN6" i="412"/>
  <c r="BO6" i="412" s="1"/>
  <c r="BN7" i="412"/>
  <c r="BO7" i="412" s="1"/>
  <c r="BN8" i="412"/>
  <c r="BO8" i="412" s="1"/>
  <c r="BN9" i="412"/>
  <c r="BO9" i="412" s="1"/>
  <c r="BN10" i="412"/>
  <c r="BO10" i="412" s="1"/>
  <c r="BN11" i="412"/>
  <c r="BO11" i="412" s="1"/>
  <c r="BN12" i="412"/>
  <c r="BO12" i="412" s="1"/>
  <c r="BN13" i="412"/>
  <c r="BO13" i="412" s="1"/>
  <c r="BN14" i="412"/>
  <c r="BO14" i="412" s="1"/>
  <c r="BN15" i="412"/>
  <c r="BO15" i="412" s="1"/>
  <c r="BN16" i="412"/>
  <c r="BO16" i="412" s="1"/>
  <c r="BN17" i="412"/>
  <c r="BO17" i="412" s="1"/>
  <c r="BN18" i="412"/>
  <c r="BO18" i="412" s="1"/>
  <c r="BN19" i="412"/>
  <c r="BO19" i="412" s="1"/>
  <c r="BN20" i="412"/>
  <c r="BO20" i="412" s="1"/>
  <c r="BN21" i="412"/>
  <c r="BO21" i="412" s="1"/>
  <c r="BN22" i="412"/>
  <c r="BO22" i="412" s="1"/>
  <c r="BN23" i="412"/>
  <c r="BO23" i="412" s="1"/>
  <c r="BN24" i="412"/>
  <c r="BO24" i="412" s="1"/>
  <c r="BN25" i="412"/>
  <c r="BO25" i="412" s="1"/>
  <c r="BN26" i="412"/>
  <c r="BO26" i="412" s="1"/>
  <c r="BN27" i="412"/>
  <c r="BO27" i="412" s="1"/>
  <c r="BN28" i="412"/>
  <c r="BO28" i="412" s="1"/>
  <c r="BN29" i="412"/>
  <c r="BO29" i="412" s="1"/>
  <c r="BN30" i="412"/>
  <c r="BO30" i="412" s="1"/>
  <c r="BN31" i="412"/>
  <c r="BO31" i="412" s="1"/>
  <c r="BN2" i="412"/>
  <c r="BO2" i="412" l="1"/>
</calcChain>
</file>

<file path=xl/sharedStrings.xml><?xml version="1.0" encoding="utf-8"?>
<sst xmlns="http://schemas.openxmlformats.org/spreadsheetml/2006/main" count="587" uniqueCount="173">
  <si>
    <t>컨텐츠</t>
  </si>
  <si>
    <t>컨텐츠No</t>
  </si>
  <si>
    <t>공급자코드</t>
  </si>
  <si>
    <t>CP명</t>
  </si>
  <si>
    <t>작가명</t>
  </si>
  <si>
    <t>출판사</t>
  </si>
  <si>
    <t>서비스일</t>
  </si>
  <si>
    <t>전체이용가</t>
  </si>
  <si>
    <t>15세 이상 이용가능</t>
  </si>
  <si>
    <t>12세 이상 이용가능</t>
  </si>
  <si>
    <t>합계</t>
  </si>
  <si>
    <t>앱마켓수수료</t>
  </si>
  <si>
    <t>2022.03.16</t>
  </si>
  <si>
    <t>출판사</t>
    <phoneticPr fontId="22" type="noConversion"/>
  </si>
  <si>
    <t>시리즈(APP)</t>
    <phoneticPr fontId="20" type="noConversion"/>
  </si>
  <si>
    <t>시리즈 완전판(APP)</t>
    <phoneticPr fontId="20" type="noConversion"/>
  </si>
  <si>
    <t>시리즈(iOS)</t>
    <phoneticPr fontId="20" type="noConversion"/>
  </si>
  <si>
    <t>구분</t>
    <phoneticPr fontId="20" type="noConversion"/>
  </si>
  <si>
    <t>나이제한</t>
    <phoneticPr fontId="20" type="noConversion"/>
  </si>
  <si>
    <t>대여권_건수</t>
    <phoneticPr fontId="20" type="noConversion"/>
  </si>
  <si>
    <t>대여권_비정산</t>
    <phoneticPr fontId="20" type="noConversion"/>
  </si>
  <si>
    <t>대여권_무료이용권</t>
    <phoneticPr fontId="20" type="noConversion"/>
  </si>
  <si>
    <t>대여권_유상쿠키</t>
    <phoneticPr fontId="20" type="noConversion"/>
  </si>
  <si>
    <t>대여권_무상쿠키</t>
    <phoneticPr fontId="20" type="noConversion"/>
  </si>
  <si>
    <t>대여권_유상i쿠키</t>
    <phoneticPr fontId="20" type="noConversion"/>
  </si>
  <si>
    <t>대여권_무상i쿠키</t>
    <phoneticPr fontId="20" type="noConversion"/>
  </si>
  <si>
    <t>대여권_유상자동충전쿠키</t>
    <phoneticPr fontId="20" type="noConversion"/>
  </si>
  <si>
    <t>대여권_무상자동충전쿠키</t>
    <phoneticPr fontId="20" type="noConversion"/>
  </si>
  <si>
    <t>소장권_건수</t>
    <phoneticPr fontId="20" type="noConversion"/>
  </si>
  <si>
    <t>소장권_
비정산</t>
    <phoneticPr fontId="20" type="noConversion"/>
  </si>
  <si>
    <t>소장권_무료이용권</t>
    <phoneticPr fontId="20" type="noConversion"/>
  </si>
  <si>
    <t>소장권_유상쿠키</t>
    <phoneticPr fontId="20" type="noConversion"/>
  </si>
  <si>
    <t>소장권_무상쿠키</t>
    <phoneticPr fontId="20" type="noConversion"/>
  </si>
  <si>
    <t>소장권_유상i쿠키</t>
    <phoneticPr fontId="20" type="noConversion"/>
  </si>
  <si>
    <t>소장권_무상i쿠키</t>
    <phoneticPr fontId="20" type="noConversion"/>
  </si>
  <si>
    <t>소장권_유상자동충전쿠키</t>
    <phoneticPr fontId="20" type="noConversion"/>
  </si>
  <si>
    <t>소장권_무상자동충전쿠키</t>
    <phoneticPr fontId="20" type="noConversion"/>
  </si>
  <si>
    <t>쿠키로대여_건수</t>
    <phoneticPr fontId="20" type="noConversion"/>
  </si>
  <si>
    <t>쿠키로 대여_유상</t>
    <phoneticPr fontId="20" type="noConversion"/>
  </si>
  <si>
    <t>쿠키로 대여_무상</t>
    <phoneticPr fontId="20" type="noConversion"/>
  </si>
  <si>
    <t>쿠키로 구매_건수</t>
    <phoneticPr fontId="20" type="noConversion"/>
  </si>
  <si>
    <t>쿠키로 구매_유상</t>
    <phoneticPr fontId="20" type="noConversion"/>
  </si>
  <si>
    <t>쿠키로 구매_무상</t>
    <phoneticPr fontId="20" type="noConversion"/>
  </si>
  <si>
    <t>i쿠키로 대여_건수</t>
    <phoneticPr fontId="20" type="noConversion"/>
  </si>
  <si>
    <t>i쿠키로 대여_유상</t>
    <phoneticPr fontId="20" type="noConversion"/>
  </si>
  <si>
    <t>i쿠키로 대여_무상</t>
    <phoneticPr fontId="20" type="noConversion"/>
  </si>
  <si>
    <t>i쿠키로 구매_건수</t>
    <phoneticPr fontId="20" type="noConversion"/>
  </si>
  <si>
    <t>i쿠키로 구매_유상</t>
    <phoneticPr fontId="20" type="noConversion"/>
  </si>
  <si>
    <t>i쿠키로 구매_무상</t>
    <phoneticPr fontId="20" type="noConversion"/>
  </si>
  <si>
    <t>자동충전 쿠키로 대여_건수</t>
    <phoneticPr fontId="20" type="noConversion"/>
  </si>
  <si>
    <t>자동충전 쿠키로 대여_유상</t>
    <phoneticPr fontId="20" type="noConversion"/>
  </si>
  <si>
    <t>자동충전 쿠키로 대여_무상</t>
    <phoneticPr fontId="20" type="noConversion"/>
  </si>
  <si>
    <t>자동충전 쿠키로 구매_건수</t>
    <phoneticPr fontId="20" type="noConversion"/>
  </si>
  <si>
    <t>자동충전 쿠키로 구매_유상</t>
    <phoneticPr fontId="20" type="noConversion"/>
  </si>
  <si>
    <t>자동충전 쿠키로 구매_무상</t>
    <phoneticPr fontId="20" type="noConversion"/>
  </si>
  <si>
    <t>구글 쿠키로 대여_건수</t>
    <phoneticPr fontId="20" type="noConversion"/>
  </si>
  <si>
    <t>구글 쿠키로 대여_유상</t>
    <phoneticPr fontId="20" type="noConversion"/>
  </si>
  <si>
    <t>구글 쿠키로 대여_무상</t>
    <phoneticPr fontId="20" type="noConversion"/>
  </si>
  <si>
    <t>구글 쿠키로 구매_건수</t>
    <phoneticPr fontId="20" type="noConversion"/>
  </si>
  <si>
    <t>구글 쿠키로 구매_유상</t>
    <phoneticPr fontId="20" type="noConversion"/>
  </si>
  <si>
    <t>구글 쿠키로 구매_무상</t>
    <phoneticPr fontId="20" type="noConversion"/>
  </si>
  <si>
    <t>구글 외부 쿠키로 대여_건수</t>
    <phoneticPr fontId="20" type="noConversion"/>
  </si>
  <si>
    <t>구글 외부 쿠키로 대여_유상</t>
    <phoneticPr fontId="20" type="noConversion"/>
  </si>
  <si>
    <t>구글 외부 쿠키로 대여_무상</t>
    <phoneticPr fontId="20" type="noConversion"/>
  </si>
  <si>
    <t>구글 외부 쿠키로 구매_건수</t>
    <phoneticPr fontId="20" type="noConversion"/>
  </si>
  <si>
    <t>구글 외부 쿠키로 구매_유상</t>
    <phoneticPr fontId="20" type="noConversion"/>
  </si>
  <si>
    <t>구글 외부 쿠키로 구매_무상</t>
    <phoneticPr fontId="20" type="noConversion"/>
  </si>
  <si>
    <t>원스토어 쿠키로 대여_건수</t>
    <phoneticPr fontId="20" type="noConversion"/>
  </si>
  <si>
    <t>원스토어 쿠키로 대여_유상</t>
    <phoneticPr fontId="20" type="noConversion"/>
  </si>
  <si>
    <t>원스토어 쿠키로 대여_무상</t>
    <phoneticPr fontId="20" type="noConversion"/>
  </si>
  <si>
    <t>원스토어 쿠키로 구매_건수</t>
    <phoneticPr fontId="20" type="noConversion"/>
  </si>
  <si>
    <t>원스토어 쿠키로 구매_유상</t>
    <phoneticPr fontId="20" type="noConversion"/>
  </si>
  <si>
    <t>원스토어 쿠키로 구매_무상</t>
    <phoneticPr fontId="20" type="noConversion"/>
  </si>
  <si>
    <t>순매출(합계-수수료)</t>
    <phoneticPr fontId="20" type="noConversion"/>
  </si>
  <si>
    <t>SW 매출</t>
    <phoneticPr fontId="20" type="noConversion"/>
  </si>
  <si>
    <r>
      <rPr>
        <sz val="10"/>
        <color theme="1"/>
        <rFont val="맑은 고딕"/>
        <family val="3"/>
        <charset val="129"/>
        <scheme val="major"/>
      </rPr>
      <t>작가</t>
    </r>
    <r>
      <rPr>
        <sz val="11"/>
        <color theme="1"/>
        <rFont val="맑은 고딕"/>
        <family val="3"/>
        <charset val="129"/>
        <scheme val="major"/>
      </rPr>
      <t xml:space="preserve"> CP</t>
    </r>
    <phoneticPr fontId="22" type="noConversion"/>
  </si>
  <si>
    <t>2022.09.02</t>
  </si>
  <si>
    <t>별빛 아래 우리</t>
  </si>
  <si>
    <t>스토리위즈_만화</t>
  </si>
  <si>
    <t>건일</t>
  </si>
  <si>
    <t>스토리위즈</t>
  </si>
  <si>
    <t>2022.09.01</t>
  </si>
  <si>
    <t>가출천사 육성계약</t>
  </si>
  <si>
    <t>Bae.C, 조우</t>
  </si>
  <si>
    <t>2022.08.31</t>
  </si>
  <si>
    <t>악역이지만, 남주는 꼬시지 않아요</t>
  </si>
  <si>
    <t>kuri</t>
  </si>
  <si>
    <t>공주전쟁</t>
  </si>
  <si>
    <t>Luojie</t>
  </si>
  <si>
    <t>폐하, 옥체 보존하세요!</t>
  </si>
  <si>
    <t>IvyeqianheXyouzhijiaozi</t>
  </si>
  <si>
    <t>2020.07.13</t>
  </si>
  <si>
    <t>개천고 세계편</t>
  </si>
  <si>
    <t>채준</t>
  </si>
  <si>
    <t>2022.05.02</t>
  </si>
  <si>
    <t>최애에게 들켜버렸다</t>
  </si>
  <si>
    <t>Lv</t>
  </si>
  <si>
    <t>결혼전쟁</t>
  </si>
  <si>
    <t>성c네</t>
  </si>
  <si>
    <t>2018.09.30</t>
  </si>
  <si>
    <t>이세계 소환은 두 번째라구요</t>
  </si>
  <si>
    <t>Arashiyama</t>
  </si>
  <si>
    <t>2021.07.23</t>
  </si>
  <si>
    <t>계약연애, 오늘부터 1일</t>
  </si>
  <si>
    <t>원기공장</t>
  </si>
  <si>
    <t>2019.03.11</t>
  </si>
  <si>
    <t>무령후</t>
  </si>
  <si>
    <t>당만문화</t>
  </si>
  <si>
    <t>2019.01.27</t>
  </si>
  <si>
    <t>너랑 나랑 하면[BL]</t>
  </si>
  <si>
    <t>NISANSUI/ZIQUAN</t>
  </si>
  <si>
    <t>2022.02.09</t>
  </si>
  <si>
    <t>그남자의 사랑방식 [BL]</t>
  </si>
  <si>
    <t>원색동만</t>
  </si>
  <si>
    <t>2020.02.01</t>
  </si>
  <si>
    <t>역전의★샤이닝스타</t>
  </si>
  <si>
    <t>등광&amp;낙생</t>
  </si>
  <si>
    <t>2018.12.15</t>
  </si>
  <si>
    <t>마스코마스코 [독점]</t>
  </si>
  <si>
    <t>남정훈</t>
  </si>
  <si>
    <t>2021.10.25</t>
  </si>
  <si>
    <t>지금은 여장중!</t>
  </si>
  <si>
    <t>CF·성C네</t>
  </si>
  <si>
    <t>2019.09.14</t>
  </si>
  <si>
    <t>요괴님은 수련중</t>
  </si>
  <si>
    <t>망북</t>
  </si>
  <si>
    <t>보스 오빠, 살살!</t>
  </si>
  <si>
    <t>웹티, 올코</t>
  </si>
  <si>
    <t>2021.12.04</t>
  </si>
  <si>
    <t>달콤한 결혼</t>
  </si>
  <si>
    <t>낙신동만</t>
  </si>
  <si>
    <t>2019.02.10</t>
  </si>
  <si>
    <t>심연의 눈</t>
  </si>
  <si>
    <t>M.C.K.</t>
  </si>
  <si>
    <t>2022.07.09</t>
  </si>
  <si>
    <t>엔젤일진</t>
  </si>
  <si>
    <t>대운</t>
  </si>
  <si>
    <t>2022.05.08</t>
  </si>
  <si>
    <t>폭군의 눈물</t>
  </si>
  <si>
    <t>Ice×FANFAN COMIC</t>
  </si>
  <si>
    <t>바람의 전설</t>
  </si>
  <si>
    <t>성준(聖俊)</t>
  </si>
  <si>
    <t>2019.06.08</t>
  </si>
  <si>
    <t>백스테이지 키스신</t>
  </si>
  <si>
    <t>수정과</t>
  </si>
  <si>
    <t>2019.12.07</t>
  </si>
  <si>
    <t>커피여우 김삼월</t>
  </si>
  <si>
    <t>A.Noa, RK Studio</t>
  </si>
  <si>
    <t>천년의 사랑</t>
  </si>
  <si>
    <t>2019.10.05</t>
  </si>
  <si>
    <t>내 남편의 스토커</t>
  </si>
  <si>
    <t>혜원</t>
  </si>
  <si>
    <t>예쁜 남자 잘생긴 여자</t>
  </si>
  <si>
    <t>웹티,올코</t>
  </si>
  <si>
    <t>2020.08.24</t>
  </si>
  <si>
    <t>로맨틱 시그널</t>
  </si>
  <si>
    <t>Bless+cangshukou</t>
  </si>
  <si>
    <t>2020.11.16</t>
  </si>
  <si>
    <t>달콤한 그와 결혼했습니다</t>
  </si>
  <si>
    <t>2020.05.25</t>
  </si>
  <si>
    <t>사랑을 찾아서</t>
  </si>
  <si>
    <t>웹툰TV</t>
  </si>
  <si>
    <t>2020.04.01</t>
  </si>
  <si>
    <t>구름의 연인</t>
  </si>
  <si>
    <t>2022.04.02</t>
  </si>
  <si>
    <t>연애 2분의 1</t>
  </si>
  <si>
    <t>ZHUPI&amp;YANGXUETU</t>
  </si>
  <si>
    <t>2020.12.31</t>
  </si>
  <si>
    <t>대표님과 연애를 시작했습니다</t>
  </si>
  <si>
    <t>YQ</t>
  </si>
  <si>
    <t>웹툰스토어MW</t>
    <phoneticPr fontId="20" type="noConversion"/>
  </si>
  <si>
    <t>웹툰앤엔드</t>
    <phoneticPr fontId="20" type="noConversion"/>
  </si>
  <si>
    <t>웹툰앤엔드(IOS)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</si>
</sst>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  <font>
      <sz val="8"/>
      <name val="돋움"/>
      <family val="3"/>
      <charset val="129"/>
    </font>
    <font>
      <sz val="8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0" fontId="18" fillId="33" borderId="0" xfId="0" applyFont="1" applyFill="1" applyAlignment="1">
      <alignment vertical="center" wrapText="1"/>
    </xf>
    <xf numFmtId="41" fontId="23" fillId="0" borderId="0" xfId="42" applyFont="1">
      <alignment vertical="center"/>
    </xf>
    <xf numFmtId="41" fontId="23" fillId="0" borderId="0" xfId="42" applyFont="1" applyFill="1">
      <alignment vertical="center"/>
    </xf>
    <xf numFmtId="0" fontId="23" fillId="0" borderId="0" xfId="0" applyFont="1">
      <alignment vertical="center"/>
    </xf>
    <xf numFmtId="41" fontId="24" fillId="34" borderId="0" xfId="42" applyFont="1" applyFill="1">
      <alignment vertical="center"/>
    </xf>
    <xf numFmtId="0" fontId="25" fillId="35" borderId="10" xfId="0" applyFont="1" applyFill="1" applyBorder="1" applyAlignment="1">
      <alignment vertical="center"/>
    </xf>
    <xf numFmtId="0" fontId="26" fillId="35" borderId="11" xfId="0" applyFont="1" applyFill="1" applyBorder="1" applyAlignment="1">
      <alignment vertical="center"/>
    </xf>
    <xf numFmtId="41" fontId="24" fillId="0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Q289"/>
  <sheetViews>
    <sheetView tabSelected="1" zoomScaleNormal="100" workbookViewId="0"/>
  </sheetViews>
  <sheetFormatPr defaultRowHeight="17.399999999999999" x14ac:dyDescent="0.4"/>
  <cols>
    <col min="1" max="1" width="9.3984375" style="1" customWidth="1"/>
    <col min="2" max="2" width="20" bestFit="1" customWidth="1"/>
    <col min="3" max="3" width="6.5" customWidth="1"/>
    <col min="4" max="4" width="7.19921875" customWidth="1"/>
    <col min="5" max="5" width="10" customWidth="1"/>
    <col min="6" max="6" width="10.19921875" customWidth="1"/>
    <col min="7" max="7" width="10" bestFit="1" customWidth="1"/>
    <col min="8" max="8" width="13.59765625" customWidth="1"/>
    <col min="9" max="9" width="7.3984375" customWidth="1"/>
    <col min="10" max="10" width="4.19921875" customWidth="1"/>
    <col min="11" max="11" width="4.69921875" customWidth="1"/>
    <col min="12" max="12" width="7.19921875" customWidth="1"/>
    <col min="13" max="13" width="6.69921875" customWidth="1"/>
    <col min="14" max="14" width="6" customWidth="1"/>
    <col min="15" max="16" width="6.19921875" customWidth="1"/>
    <col min="17" max="17" width="5" customWidth="1"/>
    <col min="18" max="18" width="4.69921875" customWidth="1"/>
    <col min="19" max="19" width="7.19921875" customWidth="1"/>
    <col min="20" max="20" width="6.69921875" customWidth="1"/>
    <col min="21" max="21" width="6" customWidth="1"/>
    <col min="22" max="23" width="6.19921875" customWidth="1"/>
    <col min="24" max="24" width="3.59765625" customWidth="1"/>
    <col min="25" max="25" width="5" customWidth="1"/>
    <col min="26" max="27" width="3.59765625" customWidth="1"/>
    <col min="28" max="28" width="4.19921875" bestFit="1" customWidth="1"/>
    <col min="29" max="29" width="6.69921875" bestFit="1" customWidth="1"/>
    <col min="30" max="30" width="5.69921875" bestFit="1" customWidth="1"/>
    <col min="31" max="31" width="5" bestFit="1" customWidth="1"/>
    <col min="32" max="33" width="6.69921875" bestFit="1" customWidth="1"/>
    <col min="34" max="35" width="3.59765625" customWidth="1"/>
    <col min="36" max="36" width="12.69921875" bestFit="1" customWidth="1"/>
    <col min="37" max="38" width="12.8984375" bestFit="1" customWidth="1"/>
    <col min="39" max="39" width="15.69921875" bestFit="1" customWidth="1"/>
    <col min="48" max="48" width="13.8984375" bestFit="1" customWidth="1"/>
    <col min="65" max="65" width="12.69921875" bestFit="1" customWidth="1"/>
    <col min="66" max="66" width="17.796875" style="13" customWidth="1"/>
    <col min="67" max="67" width="16.69921875" style="13" customWidth="1"/>
  </cols>
  <sheetData>
    <row r="1" spans="1:69" ht="27" customHeight="1" x14ac:dyDescent="0.4">
      <c r="A1" s="2" t="s">
        <v>17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18</v>
      </c>
      <c r="I1" s="14" t="s">
        <v>6</v>
      </c>
      <c r="J1" s="12" t="s">
        <v>19</v>
      </c>
      <c r="K1" s="12" t="s">
        <v>20</v>
      </c>
      <c r="L1" s="12" t="s">
        <v>21</v>
      </c>
      <c r="M1" s="12" t="s">
        <v>22</v>
      </c>
      <c r="N1" s="12" t="s">
        <v>23</v>
      </c>
      <c r="O1" s="12" t="s">
        <v>24</v>
      </c>
      <c r="P1" s="12" t="s">
        <v>25</v>
      </c>
      <c r="Q1" s="12" t="s">
        <v>26</v>
      </c>
      <c r="R1" s="12" t="s">
        <v>27</v>
      </c>
      <c r="S1" s="12" t="s">
        <v>28</v>
      </c>
      <c r="T1" s="12" t="s">
        <v>29</v>
      </c>
      <c r="U1" s="12" t="s">
        <v>30</v>
      </c>
      <c r="V1" s="12" t="s">
        <v>31</v>
      </c>
      <c r="W1" s="12" t="s">
        <v>32</v>
      </c>
      <c r="X1" s="12" t="s">
        <v>33</v>
      </c>
      <c r="Y1" s="12" t="s">
        <v>34</v>
      </c>
      <c r="Z1" s="12" t="s">
        <v>35</v>
      </c>
      <c r="AA1" s="12" t="s">
        <v>36</v>
      </c>
      <c r="AB1" s="12" t="s">
        <v>37</v>
      </c>
      <c r="AC1" s="12" t="s">
        <v>38</v>
      </c>
      <c r="AD1" s="12" t="s">
        <v>39</v>
      </c>
      <c r="AE1" s="12" t="s">
        <v>40</v>
      </c>
      <c r="AF1" s="12" t="s">
        <v>41</v>
      </c>
      <c r="AG1" s="12" t="s">
        <v>42</v>
      </c>
      <c r="AH1" s="12" t="s">
        <v>43</v>
      </c>
      <c r="AI1" s="12" t="s">
        <v>44</v>
      </c>
      <c r="AJ1" s="12" t="s">
        <v>45</v>
      </c>
      <c r="AK1" s="12" t="s">
        <v>46</v>
      </c>
      <c r="AL1" s="12" t="s">
        <v>47</v>
      </c>
      <c r="AM1" s="12" t="s">
        <v>48</v>
      </c>
      <c r="AN1" s="12" t="s">
        <v>49</v>
      </c>
      <c r="AO1" s="12" t="s">
        <v>50</v>
      </c>
      <c r="AP1" s="12" t="s">
        <v>51</v>
      </c>
      <c r="AQ1" s="12" t="s">
        <v>52</v>
      </c>
      <c r="AR1" s="12" t="s">
        <v>53</v>
      </c>
      <c r="AS1" s="12" t="s">
        <v>54</v>
      </c>
      <c r="AT1" s="12" t="s">
        <v>55</v>
      </c>
      <c r="AU1" s="12" t="s">
        <v>56</v>
      </c>
      <c r="AV1" s="12" t="s">
        <v>57</v>
      </c>
      <c r="AW1" s="12" t="s">
        <v>58</v>
      </c>
      <c r="AX1" s="12" t="s">
        <v>59</v>
      </c>
      <c r="AY1" s="12" t="s">
        <v>60</v>
      </c>
      <c r="AZ1" s="12" t="s">
        <v>61</v>
      </c>
      <c r="BA1" s="12" t="s">
        <v>62</v>
      </c>
      <c r="BB1" s="12" t="s">
        <v>63</v>
      </c>
      <c r="BC1" s="12" t="s">
        <v>64</v>
      </c>
      <c r="BD1" s="12" t="s">
        <v>65</v>
      </c>
      <c r="BE1" s="12" t="s">
        <v>66</v>
      </c>
      <c r="BF1" s="12" t="s">
        <v>67</v>
      </c>
      <c r="BG1" s="12" t="s">
        <v>68</v>
      </c>
      <c r="BH1" s="12" t="s">
        <v>69</v>
      </c>
      <c r="BI1" s="12" t="s">
        <v>70</v>
      </c>
      <c r="BJ1" s="12" t="s">
        <v>71</v>
      </c>
      <c r="BK1" s="12" t="s">
        <v>72</v>
      </c>
      <c r="BL1" s="12" t="s">
        <v>11</v>
      </c>
      <c r="BM1" s="12" t="s">
        <v>10</v>
      </c>
      <c r="BN1" s="12" t="s">
        <v>73</v>
      </c>
      <c r="BO1" s="12" t="s">
        <v>74</v>
      </c>
      <c r="BP1" s="19" t="s">
        <v>13</v>
      </c>
      <c r="BQ1" s="20" t="s">
        <v>75</v>
      </c>
    </row>
    <row r="2" spans="1:69" x14ac:dyDescent="0.4">
      <c r="A2" s="5" t="s">
        <v>14</v>
      </c>
      <c r="B2" s="5" t="s">
        <v>77</v>
      </c>
      <c r="C2" s="5">
        <v>435954</v>
      </c>
      <c r="D2" s="6"/>
      <c r="E2" s="5" t="s">
        <v>78</v>
      </c>
      <c r="F2" s="5" t="s">
        <v>79</v>
      </c>
      <c r="G2" s="5" t="s">
        <v>80</v>
      </c>
      <c r="H2" s="7" t="s">
        <v>7</v>
      </c>
      <c r="I2" s="7" t="s">
        <v>81</v>
      </c>
      <c r="J2" s="7">
        <v>1</v>
      </c>
      <c r="K2" s="7">
        <v>24</v>
      </c>
      <c r="L2" s="7">
        <v>200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11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443</v>
      </c>
      <c r="AC2" s="8">
        <v>55700</v>
      </c>
      <c r="AD2" s="8">
        <v>36700</v>
      </c>
      <c r="AE2" s="7">
        <v>82</v>
      </c>
      <c r="AF2" s="8">
        <v>15980</v>
      </c>
      <c r="AG2" s="8">
        <v>16400</v>
      </c>
      <c r="AH2" s="7">
        <v>1</v>
      </c>
      <c r="AI2" s="7">
        <v>0</v>
      </c>
      <c r="AJ2" s="7">
        <v>200</v>
      </c>
      <c r="AK2" s="7">
        <v>0</v>
      </c>
      <c r="AL2" s="7">
        <v>0</v>
      </c>
      <c r="AM2" s="7">
        <v>0</v>
      </c>
      <c r="AN2" s="7">
        <v>144</v>
      </c>
      <c r="AO2" s="8">
        <v>23400</v>
      </c>
      <c r="AP2" s="8">
        <v>5400</v>
      </c>
      <c r="AQ2" s="7">
        <v>5</v>
      </c>
      <c r="AR2" s="8">
        <v>2000</v>
      </c>
      <c r="AS2" s="7">
        <v>0</v>
      </c>
      <c r="AT2" s="7">
        <v>201</v>
      </c>
      <c r="AU2" s="8">
        <v>48120</v>
      </c>
      <c r="AV2" s="7">
        <v>0</v>
      </c>
      <c r="AW2" s="7">
        <v>35</v>
      </c>
      <c r="AX2" s="8">
        <v>16800</v>
      </c>
      <c r="AY2" s="7">
        <v>0</v>
      </c>
      <c r="AZ2" s="7">
        <v>536</v>
      </c>
      <c r="BA2" s="8">
        <v>128040</v>
      </c>
      <c r="BB2" s="7">
        <v>0</v>
      </c>
      <c r="BC2" s="7">
        <v>154</v>
      </c>
      <c r="BD2" s="8">
        <v>72960</v>
      </c>
      <c r="BE2" s="7">
        <v>500</v>
      </c>
      <c r="BF2" s="7">
        <v>1</v>
      </c>
      <c r="BG2" s="7">
        <v>240</v>
      </c>
      <c r="BH2" s="7">
        <v>0</v>
      </c>
      <c r="BI2" s="7">
        <v>0</v>
      </c>
      <c r="BJ2" s="7">
        <v>0</v>
      </c>
      <c r="BK2" s="7">
        <v>0</v>
      </c>
      <c r="BL2" s="9">
        <v>18564</v>
      </c>
      <c r="BM2" s="10">
        <v>422640</v>
      </c>
      <c r="BN2" s="15">
        <f>BM2-BL2</f>
        <v>404076</v>
      </c>
      <c r="BO2" s="16">
        <f>BN2*70%</f>
        <v>282853.19999999995</v>
      </c>
      <c r="BP2" s="17"/>
      <c r="BQ2" s="17"/>
    </row>
    <row r="3" spans="1:69" x14ac:dyDescent="0.4">
      <c r="A3" s="5" t="s">
        <v>14</v>
      </c>
      <c r="B3" s="5" t="s">
        <v>82</v>
      </c>
      <c r="C3" s="5">
        <v>465463</v>
      </c>
      <c r="D3" s="6"/>
      <c r="E3" s="5" t="s">
        <v>78</v>
      </c>
      <c r="F3" s="5" t="s">
        <v>83</v>
      </c>
      <c r="G3" s="5" t="s">
        <v>80</v>
      </c>
      <c r="H3" s="7" t="s">
        <v>9</v>
      </c>
      <c r="I3" s="7" t="s">
        <v>84</v>
      </c>
      <c r="J3" s="7">
        <v>9</v>
      </c>
      <c r="K3" s="7">
        <v>39</v>
      </c>
      <c r="L3" s="8">
        <v>1800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8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450</v>
      </c>
      <c r="AC3" s="8">
        <v>53960</v>
      </c>
      <c r="AD3" s="8">
        <v>40700</v>
      </c>
      <c r="AE3" s="7">
        <v>27</v>
      </c>
      <c r="AF3" s="8">
        <v>10080</v>
      </c>
      <c r="AG3" s="7">
        <v>800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87</v>
      </c>
      <c r="AO3" s="8">
        <v>17400</v>
      </c>
      <c r="AP3" s="7">
        <v>0</v>
      </c>
      <c r="AQ3" s="7">
        <v>5</v>
      </c>
      <c r="AR3" s="8">
        <v>2000</v>
      </c>
      <c r="AS3" s="7">
        <v>0</v>
      </c>
      <c r="AT3" s="7">
        <v>417</v>
      </c>
      <c r="AU3" s="8">
        <v>99720</v>
      </c>
      <c r="AV3" s="7">
        <v>0</v>
      </c>
      <c r="AW3" s="7">
        <v>44</v>
      </c>
      <c r="AX3" s="8">
        <v>21120</v>
      </c>
      <c r="AY3" s="7">
        <v>0</v>
      </c>
      <c r="AZ3" s="7">
        <v>432</v>
      </c>
      <c r="BA3" s="8">
        <v>103320</v>
      </c>
      <c r="BB3" s="7">
        <v>0</v>
      </c>
      <c r="BC3" s="7">
        <v>53</v>
      </c>
      <c r="BD3" s="8">
        <v>25440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9">
        <v>19809.599999999999</v>
      </c>
      <c r="BM3" s="10">
        <v>376340</v>
      </c>
      <c r="BN3" s="15">
        <f t="shared" ref="BN3:BN31" si="0">BM3-BL3</f>
        <v>356530.4</v>
      </c>
      <c r="BO3" s="16">
        <f t="shared" ref="BO3:BO31" si="1">BN3*70%</f>
        <v>249571.28</v>
      </c>
      <c r="BP3" s="17"/>
      <c r="BQ3" s="17"/>
    </row>
    <row r="4" spans="1:69" x14ac:dyDescent="0.4">
      <c r="A4" s="5" t="s">
        <v>14</v>
      </c>
      <c r="B4" s="5" t="s">
        <v>85</v>
      </c>
      <c r="C4" s="5">
        <v>465461</v>
      </c>
      <c r="D4" s="6"/>
      <c r="E4" s="5" t="s">
        <v>78</v>
      </c>
      <c r="F4" s="5" t="s">
        <v>86</v>
      </c>
      <c r="G4" s="5" t="s">
        <v>80</v>
      </c>
      <c r="H4" s="7" t="s">
        <v>7</v>
      </c>
      <c r="I4" s="7" t="s">
        <v>76</v>
      </c>
      <c r="J4" s="7">
        <v>0</v>
      </c>
      <c r="K4" s="7">
        <v>10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431</v>
      </c>
      <c r="AC4" s="8">
        <v>38660</v>
      </c>
      <c r="AD4" s="8">
        <v>49600</v>
      </c>
      <c r="AE4" s="7">
        <v>63</v>
      </c>
      <c r="AF4" s="8">
        <v>20620</v>
      </c>
      <c r="AG4" s="8">
        <v>7300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15</v>
      </c>
      <c r="AO4" s="8">
        <v>3000</v>
      </c>
      <c r="AP4" s="7">
        <v>0</v>
      </c>
      <c r="AQ4" s="7">
        <v>3</v>
      </c>
      <c r="AR4" s="8">
        <v>1200</v>
      </c>
      <c r="AS4" s="7">
        <v>0</v>
      </c>
      <c r="AT4" s="7">
        <v>237</v>
      </c>
      <c r="AU4" s="8">
        <v>56160</v>
      </c>
      <c r="AV4" s="7">
        <v>200</v>
      </c>
      <c r="AW4" s="7">
        <v>6</v>
      </c>
      <c r="AX4" s="8">
        <v>2880</v>
      </c>
      <c r="AY4" s="7">
        <v>0</v>
      </c>
      <c r="AZ4" s="7">
        <v>300</v>
      </c>
      <c r="BA4" s="8">
        <v>71760</v>
      </c>
      <c r="BB4" s="7">
        <v>100</v>
      </c>
      <c r="BC4" s="7">
        <v>40</v>
      </c>
      <c r="BD4" s="8">
        <v>19200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9">
        <v>11361.6</v>
      </c>
      <c r="BM4" s="10">
        <v>270680</v>
      </c>
      <c r="BN4" s="15">
        <f t="shared" si="0"/>
        <v>259318.39999999999</v>
      </c>
      <c r="BO4" s="16">
        <f t="shared" si="1"/>
        <v>181522.87999999998</v>
      </c>
      <c r="BP4" s="17"/>
      <c r="BQ4" s="17"/>
    </row>
    <row r="5" spans="1:69" x14ac:dyDescent="0.4">
      <c r="A5" s="5" t="s">
        <v>14</v>
      </c>
      <c r="B5" s="5" t="s">
        <v>87</v>
      </c>
      <c r="C5" s="5">
        <v>423525</v>
      </c>
      <c r="D5" s="6"/>
      <c r="E5" s="5" t="s">
        <v>78</v>
      </c>
      <c r="F5" s="5" t="s">
        <v>88</v>
      </c>
      <c r="G5" s="5" t="s">
        <v>80</v>
      </c>
      <c r="H5" s="7" t="s">
        <v>7</v>
      </c>
      <c r="I5" s="7" t="s">
        <v>76</v>
      </c>
      <c r="J5" s="7">
        <v>0</v>
      </c>
      <c r="K5" s="8">
        <v>1518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279</v>
      </c>
      <c r="AC5" s="8">
        <v>39840</v>
      </c>
      <c r="AD5" s="8">
        <v>16100</v>
      </c>
      <c r="AE5" s="7">
        <v>6</v>
      </c>
      <c r="AF5" s="8">
        <v>2000</v>
      </c>
      <c r="AG5" s="7">
        <v>400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16</v>
      </c>
      <c r="AO5" s="8">
        <v>3200</v>
      </c>
      <c r="AP5" s="7">
        <v>0</v>
      </c>
      <c r="AQ5" s="7">
        <v>6</v>
      </c>
      <c r="AR5" s="8">
        <v>2100</v>
      </c>
      <c r="AS5" s="7">
        <v>0</v>
      </c>
      <c r="AT5" s="7">
        <v>10</v>
      </c>
      <c r="AU5" s="8">
        <v>2400</v>
      </c>
      <c r="AV5" s="7">
        <v>0</v>
      </c>
      <c r="AW5" s="7">
        <v>4</v>
      </c>
      <c r="AX5" s="8">
        <v>1920</v>
      </c>
      <c r="AY5" s="7">
        <v>0</v>
      </c>
      <c r="AZ5" s="7">
        <v>86</v>
      </c>
      <c r="BA5" s="8">
        <v>20520</v>
      </c>
      <c r="BB5" s="7">
        <v>0</v>
      </c>
      <c r="BC5" s="7">
        <v>14</v>
      </c>
      <c r="BD5" s="8">
        <v>6600</v>
      </c>
      <c r="BE5" s="7">
        <v>0</v>
      </c>
      <c r="BF5" s="7">
        <v>2</v>
      </c>
      <c r="BG5" s="7">
        <v>480</v>
      </c>
      <c r="BH5" s="7">
        <v>0</v>
      </c>
      <c r="BI5" s="7">
        <v>0</v>
      </c>
      <c r="BJ5" s="7">
        <v>0</v>
      </c>
      <c r="BK5" s="7">
        <v>0</v>
      </c>
      <c r="BL5" s="9">
        <v>2083.1999999999998</v>
      </c>
      <c r="BM5" s="10">
        <v>95560</v>
      </c>
      <c r="BN5" s="15">
        <f t="shared" si="0"/>
        <v>93476.800000000003</v>
      </c>
      <c r="BO5" s="16">
        <f t="shared" si="1"/>
        <v>65433.759999999995</v>
      </c>
      <c r="BP5" s="17"/>
      <c r="BQ5" s="17"/>
    </row>
    <row r="6" spans="1:69" ht="19.2" x14ac:dyDescent="0.4">
      <c r="A6" s="5" t="s">
        <v>14</v>
      </c>
      <c r="B6" s="5" t="s">
        <v>89</v>
      </c>
      <c r="C6" s="5">
        <v>380491</v>
      </c>
      <c r="D6" s="6"/>
      <c r="E6" s="5" t="s">
        <v>78</v>
      </c>
      <c r="F6" s="5" t="s">
        <v>90</v>
      </c>
      <c r="G6" s="5" t="s">
        <v>80</v>
      </c>
      <c r="H6" s="7" t="s">
        <v>7</v>
      </c>
      <c r="I6" s="7" t="s">
        <v>91</v>
      </c>
      <c r="J6" s="7">
        <v>0</v>
      </c>
      <c r="K6" s="8">
        <v>1754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301</v>
      </c>
      <c r="AC6" s="8">
        <v>5600</v>
      </c>
      <c r="AD6" s="8">
        <v>24500</v>
      </c>
      <c r="AE6" s="7">
        <v>2</v>
      </c>
      <c r="AF6" s="7">
        <v>0</v>
      </c>
      <c r="AG6" s="7">
        <v>400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155</v>
      </c>
      <c r="AO6" s="8">
        <v>15500</v>
      </c>
      <c r="AP6" s="7">
        <v>0</v>
      </c>
      <c r="AQ6" s="7">
        <v>1</v>
      </c>
      <c r="AR6" s="7">
        <v>200</v>
      </c>
      <c r="AS6" s="7">
        <v>0</v>
      </c>
      <c r="AT6" s="7">
        <v>123</v>
      </c>
      <c r="AU6" s="8">
        <v>14760</v>
      </c>
      <c r="AV6" s="7">
        <v>0</v>
      </c>
      <c r="AW6" s="7">
        <v>0</v>
      </c>
      <c r="AX6" s="7">
        <v>0</v>
      </c>
      <c r="AY6" s="7">
        <v>0</v>
      </c>
      <c r="AZ6" s="7">
        <v>163</v>
      </c>
      <c r="BA6" s="8">
        <v>19560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9">
        <v>2649.6</v>
      </c>
      <c r="BM6" s="10">
        <v>80520</v>
      </c>
      <c r="BN6" s="15">
        <f t="shared" si="0"/>
        <v>77870.399999999994</v>
      </c>
      <c r="BO6" s="16">
        <f t="shared" si="1"/>
        <v>54509.279999999992</v>
      </c>
      <c r="BP6" s="17"/>
      <c r="BQ6" s="17"/>
    </row>
    <row r="7" spans="1:69" x14ac:dyDescent="0.4">
      <c r="A7" s="5" t="s">
        <v>14</v>
      </c>
      <c r="B7" s="5" t="s">
        <v>92</v>
      </c>
      <c r="C7" s="5">
        <v>467630</v>
      </c>
      <c r="D7" s="6"/>
      <c r="E7" s="5" t="s">
        <v>78</v>
      </c>
      <c r="F7" s="5" t="s">
        <v>93</v>
      </c>
      <c r="G7" s="5" t="s">
        <v>80</v>
      </c>
      <c r="H7" s="7" t="s">
        <v>8</v>
      </c>
      <c r="I7" s="7" t="s">
        <v>94</v>
      </c>
      <c r="J7" s="7">
        <v>0</v>
      </c>
      <c r="K7" s="7">
        <v>5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9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78</v>
      </c>
      <c r="AC7" s="8">
        <v>16000</v>
      </c>
      <c r="AD7" s="8">
        <v>2200</v>
      </c>
      <c r="AE7" s="7">
        <v>30</v>
      </c>
      <c r="AF7" s="8">
        <v>9040</v>
      </c>
      <c r="AG7" s="8">
        <v>4400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88</v>
      </c>
      <c r="AO7" s="8">
        <v>16900</v>
      </c>
      <c r="AP7" s="7">
        <v>700</v>
      </c>
      <c r="AQ7" s="7">
        <v>59</v>
      </c>
      <c r="AR7" s="8">
        <v>23600</v>
      </c>
      <c r="AS7" s="7">
        <v>0</v>
      </c>
      <c r="AT7" s="7">
        <v>1</v>
      </c>
      <c r="AU7" s="7">
        <v>240</v>
      </c>
      <c r="AV7" s="7">
        <v>0</v>
      </c>
      <c r="AW7" s="7">
        <v>0</v>
      </c>
      <c r="AX7" s="7">
        <v>0</v>
      </c>
      <c r="AY7" s="7">
        <v>0</v>
      </c>
      <c r="AZ7" s="7">
        <v>10</v>
      </c>
      <c r="BA7" s="8">
        <v>2400</v>
      </c>
      <c r="BB7" s="7">
        <v>0</v>
      </c>
      <c r="BC7" s="7">
        <v>10</v>
      </c>
      <c r="BD7" s="8">
        <v>4800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456</v>
      </c>
      <c r="BM7" s="10">
        <v>80280</v>
      </c>
      <c r="BN7" s="15">
        <f t="shared" si="0"/>
        <v>79824</v>
      </c>
      <c r="BO7" s="16">
        <f t="shared" si="1"/>
        <v>55876.799999999996</v>
      </c>
      <c r="BP7" s="17"/>
      <c r="BQ7" s="17"/>
    </row>
    <row r="8" spans="1:69" x14ac:dyDescent="0.4">
      <c r="A8" s="5" t="s">
        <v>14</v>
      </c>
      <c r="B8" s="5" t="s">
        <v>95</v>
      </c>
      <c r="C8" s="5">
        <v>432749</v>
      </c>
      <c r="D8" s="6"/>
      <c r="E8" s="5" t="s">
        <v>78</v>
      </c>
      <c r="F8" s="5" t="s">
        <v>96</v>
      </c>
      <c r="G8" s="5" t="s">
        <v>80</v>
      </c>
      <c r="H8" s="7" t="s">
        <v>7</v>
      </c>
      <c r="I8" s="7" t="s">
        <v>81</v>
      </c>
      <c r="J8" s="7">
        <v>0</v>
      </c>
      <c r="K8" s="7">
        <v>564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33</v>
      </c>
      <c r="AC8" s="8">
        <v>2200</v>
      </c>
      <c r="AD8" s="8">
        <v>4600</v>
      </c>
      <c r="AE8" s="7">
        <v>6</v>
      </c>
      <c r="AF8" s="8">
        <v>2400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116</v>
      </c>
      <c r="AO8" s="8">
        <v>23000</v>
      </c>
      <c r="AP8" s="7">
        <v>200</v>
      </c>
      <c r="AQ8" s="7">
        <v>0</v>
      </c>
      <c r="AR8" s="7">
        <v>0</v>
      </c>
      <c r="AS8" s="7">
        <v>0</v>
      </c>
      <c r="AT8" s="7">
        <v>2</v>
      </c>
      <c r="AU8" s="7">
        <v>480</v>
      </c>
      <c r="AV8" s="7">
        <v>0</v>
      </c>
      <c r="AW8" s="7">
        <v>2</v>
      </c>
      <c r="AX8" s="7">
        <v>960</v>
      </c>
      <c r="AY8" s="7">
        <v>0</v>
      </c>
      <c r="AZ8" s="7">
        <v>108</v>
      </c>
      <c r="BA8" s="8">
        <v>25920</v>
      </c>
      <c r="BB8" s="7">
        <v>0</v>
      </c>
      <c r="BC8" s="7">
        <v>10</v>
      </c>
      <c r="BD8" s="8">
        <v>4800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9">
        <v>1987.2</v>
      </c>
      <c r="BM8" s="10">
        <v>64560</v>
      </c>
      <c r="BN8" s="15">
        <f t="shared" si="0"/>
        <v>62572.800000000003</v>
      </c>
      <c r="BO8" s="16">
        <f t="shared" si="1"/>
        <v>43800.959999999999</v>
      </c>
      <c r="BP8" s="17"/>
      <c r="BQ8" s="17"/>
    </row>
    <row r="9" spans="1:69" x14ac:dyDescent="0.4">
      <c r="A9" s="5" t="s">
        <v>14</v>
      </c>
      <c r="B9" s="5" t="s">
        <v>97</v>
      </c>
      <c r="C9" s="5">
        <v>307024</v>
      </c>
      <c r="D9" s="6"/>
      <c r="E9" s="5" t="s">
        <v>78</v>
      </c>
      <c r="F9" s="5" t="s">
        <v>98</v>
      </c>
      <c r="G9" s="5" t="s">
        <v>80</v>
      </c>
      <c r="H9" s="7" t="s">
        <v>7</v>
      </c>
      <c r="I9" s="7" t="s">
        <v>99</v>
      </c>
      <c r="J9" s="7">
        <v>34</v>
      </c>
      <c r="K9" s="7">
        <v>23</v>
      </c>
      <c r="L9" s="7">
        <v>0</v>
      </c>
      <c r="M9" s="7">
        <v>0</v>
      </c>
      <c r="N9" s="8">
        <v>3400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2</v>
      </c>
      <c r="AC9" s="7">
        <v>0</v>
      </c>
      <c r="AD9" s="7">
        <v>200</v>
      </c>
      <c r="AE9" s="7">
        <v>3</v>
      </c>
      <c r="AF9" s="7">
        <v>600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1</v>
      </c>
      <c r="AR9" s="7">
        <v>200</v>
      </c>
      <c r="AS9" s="7">
        <v>0</v>
      </c>
      <c r="AT9" s="7">
        <v>160</v>
      </c>
      <c r="AU9" s="8">
        <v>19200</v>
      </c>
      <c r="AV9" s="7">
        <v>0</v>
      </c>
      <c r="AW9" s="7">
        <v>2</v>
      </c>
      <c r="AX9" s="7">
        <v>480</v>
      </c>
      <c r="AY9" s="7">
        <v>0</v>
      </c>
      <c r="AZ9" s="7">
        <v>225</v>
      </c>
      <c r="BA9" s="8">
        <v>27000</v>
      </c>
      <c r="BB9" s="7">
        <v>0</v>
      </c>
      <c r="BC9" s="7">
        <v>23</v>
      </c>
      <c r="BD9" s="8">
        <v>5520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9">
        <v>3919.2</v>
      </c>
      <c r="BM9" s="10">
        <v>56600</v>
      </c>
      <c r="BN9" s="15">
        <f t="shared" si="0"/>
        <v>52680.800000000003</v>
      </c>
      <c r="BO9" s="16">
        <f t="shared" si="1"/>
        <v>36876.559999999998</v>
      </c>
      <c r="BP9" s="17"/>
      <c r="BQ9" s="17"/>
    </row>
    <row r="10" spans="1:69" x14ac:dyDescent="0.4">
      <c r="A10" s="5" t="s">
        <v>14</v>
      </c>
      <c r="B10" s="5" t="s">
        <v>100</v>
      </c>
      <c r="C10" s="5">
        <v>419155</v>
      </c>
      <c r="D10" s="6"/>
      <c r="E10" s="5" t="s">
        <v>78</v>
      </c>
      <c r="F10" s="5" t="s">
        <v>101</v>
      </c>
      <c r="G10" s="5" t="s">
        <v>80</v>
      </c>
      <c r="H10" s="7" t="s">
        <v>7</v>
      </c>
      <c r="I10" s="7" t="s">
        <v>102</v>
      </c>
      <c r="J10" s="7">
        <v>0</v>
      </c>
      <c r="K10" s="7">
        <v>7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7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23</v>
      </c>
      <c r="AC10" s="8">
        <v>2520</v>
      </c>
      <c r="AD10" s="8">
        <v>4800</v>
      </c>
      <c r="AE10" s="7">
        <v>2</v>
      </c>
      <c r="AF10" s="8">
        <v>1000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32</v>
      </c>
      <c r="AU10" s="8">
        <v>11520</v>
      </c>
      <c r="AV10" s="7">
        <v>0</v>
      </c>
      <c r="AW10" s="7">
        <v>0</v>
      </c>
      <c r="AX10" s="7">
        <v>0</v>
      </c>
      <c r="AY10" s="7">
        <v>0</v>
      </c>
      <c r="AZ10" s="7">
        <v>37</v>
      </c>
      <c r="BA10" s="8">
        <v>13320</v>
      </c>
      <c r="BB10" s="7">
        <v>0</v>
      </c>
      <c r="BC10" s="7">
        <v>39</v>
      </c>
      <c r="BD10" s="8">
        <v>23400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9">
        <v>3355.2</v>
      </c>
      <c r="BM10" s="10">
        <v>56560</v>
      </c>
      <c r="BN10" s="15">
        <f t="shared" si="0"/>
        <v>53204.800000000003</v>
      </c>
      <c r="BO10" s="16">
        <f t="shared" si="1"/>
        <v>37243.360000000001</v>
      </c>
      <c r="BP10" s="17"/>
      <c r="BQ10" s="17"/>
    </row>
    <row r="11" spans="1:69" x14ac:dyDescent="0.4">
      <c r="A11" s="5" t="s">
        <v>14</v>
      </c>
      <c r="B11" s="5" t="s">
        <v>103</v>
      </c>
      <c r="C11" s="5">
        <v>351846</v>
      </c>
      <c r="D11" s="6"/>
      <c r="E11" s="5" t="s">
        <v>78</v>
      </c>
      <c r="F11" s="5" t="s">
        <v>104</v>
      </c>
      <c r="G11" s="5" t="s">
        <v>80</v>
      </c>
      <c r="H11" s="7" t="s">
        <v>7</v>
      </c>
      <c r="I11" s="7" t="s">
        <v>105</v>
      </c>
      <c r="J11" s="7">
        <v>0</v>
      </c>
      <c r="K11" s="8">
        <v>1113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64</v>
      </c>
      <c r="AC11" s="8">
        <v>3500</v>
      </c>
      <c r="AD11" s="8">
        <v>2900</v>
      </c>
      <c r="AE11" s="7">
        <v>1</v>
      </c>
      <c r="AF11" s="7">
        <v>0</v>
      </c>
      <c r="AG11" s="7">
        <v>200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23</v>
      </c>
      <c r="AO11" s="8">
        <v>2300</v>
      </c>
      <c r="AP11" s="7">
        <v>0</v>
      </c>
      <c r="AQ11" s="7">
        <v>0</v>
      </c>
      <c r="AR11" s="7">
        <v>0</v>
      </c>
      <c r="AS11" s="7">
        <v>0</v>
      </c>
      <c r="AT11" s="7">
        <v>98</v>
      </c>
      <c r="AU11" s="8">
        <v>11760</v>
      </c>
      <c r="AV11" s="7">
        <v>0</v>
      </c>
      <c r="AW11" s="7">
        <v>0</v>
      </c>
      <c r="AX11" s="7">
        <v>0</v>
      </c>
      <c r="AY11" s="7">
        <v>0</v>
      </c>
      <c r="AZ11" s="7">
        <v>91</v>
      </c>
      <c r="BA11" s="8">
        <v>10920</v>
      </c>
      <c r="BB11" s="7">
        <v>0</v>
      </c>
      <c r="BC11" s="7">
        <v>83</v>
      </c>
      <c r="BD11" s="8">
        <v>19920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9">
        <v>3026.4</v>
      </c>
      <c r="BM11" s="10">
        <v>51500</v>
      </c>
      <c r="BN11" s="15">
        <f t="shared" si="0"/>
        <v>48473.599999999999</v>
      </c>
      <c r="BO11" s="16">
        <f t="shared" si="1"/>
        <v>33931.519999999997</v>
      </c>
      <c r="BP11" s="17"/>
      <c r="BQ11" s="17"/>
    </row>
    <row r="12" spans="1:69" x14ac:dyDescent="0.4">
      <c r="A12" s="5" t="s">
        <v>14</v>
      </c>
      <c r="B12" s="5" t="s">
        <v>106</v>
      </c>
      <c r="C12" s="5">
        <v>320809</v>
      </c>
      <c r="D12" s="6"/>
      <c r="E12" s="5" t="s">
        <v>78</v>
      </c>
      <c r="F12" s="5" t="s">
        <v>107</v>
      </c>
      <c r="G12" s="5" t="s">
        <v>80</v>
      </c>
      <c r="H12" s="7" t="s">
        <v>7</v>
      </c>
      <c r="I12" s="7" t="s">
        <v>108</v>
      </c>
      <c r="J12" s="7">
        <v>0</v>
      </c>
      <c r="K12" s="7">
        <v>3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2</v>
      </c>
      <c r="AC12" s="7">
        <v>0</v>
      </c>
      <c r="AD12" s="7">
        <v>400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1</v>
      </c>
      <c r="AR12" s="7">
        <v>500</v>
      </c>
      <c r="AS12" s="7">
        <v>0</v>
      </c>
      <c r="AT12" s="7">
        <v>69</v>
      </c>
      <c r="AU12" s="8">
        <v>16560</v>
      </c>
      <c r="AV12" s="7">
        <v>0</v>
      </c>
      <c r="AW12" s="7">
        <v>0</v>
      </c>
      <c r="AX12" s="7">
        <v>0</v>
      </c>
      <c r="AY12" s="7">
        <v>0</v>
      </c>
      <c r="AZ12" s="7">
        <v>62</v>
      </c>
      <c r="BA12" s="8">
        <v>14280</v>
      </c>
      <c r="BB12" s="7">
        <v>500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9">
        <v>2512.8000000000002</v>
      </c>
      <c r="BM12" s="10">
        <v>32240</v>
      </c>
      <c r="BN12" s="15">
        <f t="shared" si="0"/>
        <v>29727.200000000001</v>
      </c>
      <c r="BO12" s="16">
        <f t="shared" si="1"/>
        <v>20809.04</v>
      </c>
      <c r="BP12" s="17"/>
      <c r="BQ12" s="17"/>
    </row>
    <row r="13" spans="1:69" ht="19.2" x14ac:dyDescent="0.4">
      <c r="A13" s="5" t="s">
        <v>14</v>
      </c>
      <c r="B13" s="5" t="s">
        <v>109</v>
      </c>
      <c r="C13" s="5">
        <v>412451</v>
      </c>
      <c r="D13" s="6"/>
      <c r="E13" s="5" t="s">
        <v>78</v>
      </c>
      <c r="F13" s="5" t="s">
        <v>110</v>
      </c>
      <c r="G13" s="5" t="s">
        <v>80</v>
      </c>
      <c r="H13" s="7" t="s">
        <v>8</v>
      </c>
      <c r="I13" s="7" t="s">
        <v>111</v>
      </c>
      <c r="J13" s="7">
        <v>1</v>
      </c>
      <c r="K13" s="7">
        <v>4</v>
      </c>
      <c r="L13" s="7">
        <v>200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3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49</v>
      </c>
      <c r="AC13" s="8">
        <v>3600</v>
      </c>
      <c r="AD13" s="8">
        <v>6100</v>
      </c>
      <c r="AE13" s="7">
        <v>30</v>
      </c>
      <c r="AF13" s="7">
        <v>0</v>
      </c>
      <c r="AG13" s="8">
        <v>12000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34</v>
      </c>
      <c r="BA13" s="8">
        <v>8040</v>
      </c>
      <c r="BB13" s="7">
        <v>0</v>
      </c>
      <c r="BC13" s="7">
        <v>1</v>
      </c>
      <c r="BD13" s="7">
        <v>480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511.2</v>
      </c>
      <c r="BM13" s="10">
        <v>30420</v>
      </c>
      <c r="BN13" s="15">
        <f t="shared" si="0"/>
        <v>29908.799999999999</v>
      </c>
      <c r="BO13" s="16">
        <f t="shared" si="1"/>
        <v>20936.16</v>
      </c>
      <c r="BP13" s="17"/>
      <c r="BQ13" s="17"/>
    </row>
    <row r="14" spans="1:69" x14ac:dyDescent="0.4">
      <c r="A14" s="5" t="s">
        <v>14</v>
      </c>
      <c r="B14" s="5" t="s">
        <v>112</v>
      </c>
      <c r="C14" s="5">
        <v>336507</v>
      </c>
      <c r="D14" s="6"/>
      <c r="E14" s="5" t="s">
        <v>78</v>
      </c>
      <c r="F14" s="5" t="s">
        <v>113</v>
      </c>
      <c r="G14" s="5" t="s">
        <v>80</v>
      </c>
      <c r="H14" s="7" t="s">
        <v>8</v>
      </c>
      <c r="I14" s="7" t="s">
        <v>114</v>
      </c>
      <c r="J14" s="7">
        <v>6</v>
      </c>
      <c r="K14" s="7">
        <v>1</v>
      </c>
      <c r="L14" s="8">
        <v>1200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15</v>
      </c>
      <c r="AC14" s="8">
        <v>1000</v>
      </c>
      <c r="AD14" s="8">
        <v>2000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90</v>
      </c>
      <c r="AO14" s="8">
        <v>17500</v>
      </c>
      <c r="AP14" s="7">
        <v>500</v>
      </c>
      <c r="AQ14" s="7">
        <v>0</v>
      </c>
      <c r="AR14" s="7">
        <v>0</v>
      </c>
      <c r="AS14" s="7">
        <v>0</v>
      </c>
      <c r="AT14" s="7">
        <v>1</v>
      </c>
      <c r="AU14" s="7">
        <v>240</v>
      </c>
      <c r="AV14" s="7">
        <v>0</v>
      </c>
      <c r="AW14" s="7">
        <v>0</v>
      </c>
      <c r="AX14" s="7">
        <v>0</v>
      </c>
      <c r="AY14" s="7">
        <v>0</v>
      </c>
      <c r="AZ14" s="7">
        <v>15</v>
      </c>
      <c r="BA14" s="8">
        <v>3600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240</v>
      </c>
      <c r="BM14" s="10">
        <v>26040</v>
      </c>
      <c r="BN14" s="15">
        <f t="shared" si="0"/>
        <v>25800</v>
      </c>
      <c r="BO14" s="16">
        <f t="shared" si="1"/>
        <v>18060</v>
      </c>
      <c r="BP14" s="17"/>
      <c r="BQ14" s="17"/>
    </row>
    <row r="15" spans="1:69" x14ac:dyDescent="0.4">
      <c r="A15" s="5" t="s">
        <v>14</v>
      </c>
      <c r="B15" s="5" t="s">
        <v>115</v>
      </c>
      <c r="C15" s="5">
        <v>319050</v>
      </c>
      <c r="D15" s="6"/>
      <c r="E15" s="5" t="s">
        <v>78</v>
      </c>
      <c r="F15" s="5" t="s">
        <v>116</v>
      </c>
      <c r="G15" s="5" t="s">
        <v>80</v>
      </c>
      <c r="H15" s="7" t="s">
        <v>7</v>
      </c>
      <c r="I15" s="7" t="s">
        <v>117</v>
      </c>
      <c r="J15" s="7">
        <v>0</v>
      </c>
      <c r="K15" s="7">
        <v>11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33</v>
      </c>
      <c r="BA15" s="8">
        <v>7920</v>
      </c>
      <c r="BB15" s="7">
        <v>0</v>
      </c>
      <c r="BC15" s="7">
        <v>0</v>
      </c>
      <c r="BD15" s="7">
        <v>0</v>
      </c>
      <c r="BE15" s="7">
        <v>0</v>
      </c>
      <c r="BF15" s="7">
        <v>54</v>
      </c>
      <c r="BG15" s="8">
        <v>12960</v>
      </c>
      <c r="BH15" s="7">
        <v>0</v>
      </c>
      <c r="BI15" s="7">
        <v>0</v>
      </c>
      <c r="BJ15" s="7">
        <v>0</v>
      </c>
      <c r="BK15" s="7">
        <v>0</v>
      </c>
      <c r="BL15" s="9">
        <v>1123.2</v>
      </c>
      <c r="BM15" s="10">
        <v>20880</v>
      </c>
      <c r="BN15" s="15">
        <f t="shared" si="0"/>
        <v>19756.8</v>
      </c>
      <c r="BO15" s="16">
        <f t="shared" si="1"/>
        <v>13829.759999999998</v>
      </c>
      <c r="BP15" s="17"/>
      <c r="BQ15" s="17"/>
    </row>
    <row r="16" spans="1:69" x14ac:dyDescent="0.4">
      <c r="A16" s="5" t="s">
        <v>14</v>
      </c>
      <c r="B16" s="5" t="s">
        <v>118</v>
      </c>
      <c r="C16" s="5">
        <v>448747</v>
      </c>
      <c r="D16" s="6"/>
      <c r="E16" s="5" t="s">
        <v>78</v>
      </c>
      <c r="F16" s="5" t="s">
        <v>119</v>
      </c>
      <c r="G16" s="5" t="s">
        <v>80</v>
      </c>
      <c r="H16" s="7" t="s">
        <v>7</v>
      </c>
      <c r="I16" s="7" t="s">
        <v>120</v>
      </c>
      <c r="J16" s="7">
        <v>0</v>
      </c>
      <c r="K16" s="7">
        <v>196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8</v>
      </c>
      <c r="AC16" s="7">
        <v>0</v>
      </c>
      <c r="AD16" s="8">
        <v>1600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63</v>
      </c>
      <c r="BA16" s="8">
        <v>15120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907.2</v>
      </c>
      <c r="BM16" s="10">
        <v>16720</v>
      </c>
      <c r="BN16" s="15">
        <f t="shared" si="0"/>
        <v>15812.8</v>
      </c>
      <c r="BO16" s="16">
        <f t="shared" si="1"/>
        <v>11068.96</v>
      </c>
      <c r="BP16" s="17"/>
      <c r="BQ16" s="17"/>
    </row>
    <row r="17" spans="1:69" x14ac:dyDescent="0.4">
      <c r="A17" s="5" t="s">
        <v>14</v>
      </c>
      <c r="B17" s="5" t="s">
        <v>121</v>
      </c>
      <c r="C17" s="5">
        <v>351760</v>
      </c>
      <c r="D17" s="6"/>
      <c r="E17" s="5" t="s">
        <v>78</v>
      </c>
      <c r="F17" s="5" t="s">
        <v>122</v>
      </c>
      <c r="G17" s="5" t="s">
        <v>80</v>
      </c>
      <c r="H17" s="7" t="s">
        <v>7</v>
      </c>
      <c r="I17" s="7" t="s">
        <v>123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2</v>
      </c>
      <c r="AC17" s="7">
        <v>0</v>
      </c>
      <c r="AD17" s="7">
        <v>300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5</v>
      </c>
      <c r="AU17" s="8">
        <v>1080</v>
      </c>
      <c r="AV17" s="7">
        <v>0</v>
      </c>
      <c r="AW17" s="7">
        <v>0</v>
      </c>
      <c r="AX17" s="7">
        <v>0</v>
      </c>
      <c r="AY17" s="7">
        <v>0</v>
      </c>
      <c r="AZ17" s="7">
        <v>2</v>
      </c>
      <c r="BA17" s="7">
        <v>480</v>
      </c>
      <c r="BB17" s="7">
        <v>0</v>
      </c>
      <c r="BC17" s="7">
        <v>23</v>
      </c>
      <c r="BD17" s="8">
        <v>13200</v>
      </c>
      <c r="BE17" s="7">
        <v>500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928.8</v>
      </c>
      <c r="BM17" s="10">
        <v>15560</v>
      </c>
      <c r="BN17" s="15">
        <f t="shared" si="0"/>
        <v>14631.2</v>
      </c>
      <c r="BO17" s="16">
        <f t="shared" si="1"/>
        <v>10241.84</v>
      </c>
      <c r="BP17" s="17"/>
      <c r="BQ17" s="17"/>
    </row>
    <row r="18" spans="1:69" x14ac:dyDescent="0.4">
      <c r="A18" s="5" t="s">
        <v>14</v>
      </c>
      <c r="B18" s="5" t="s">
        <v>124</v>
      </c>
      <c r="C18" s="5">
        <v>465658</v>
      </c>
      <c r="D18" s="6"/>
      <c r="E18" s="5" t="s">
        <v>78</v>
      </c>
      <c r="F18" s="5" t="s">
        <v>125</v>
      </c>
      <c r="G18" s="5" t="s">
        <v>80</v>
      </c>
      <c r="H18" s="7" t="s">
        <v>7</v>
      </c>
      <c r="I18" s="7" t="s">
        <v>76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4</v>
      </c>
      <c r="AC18" s="7">
        <v>200</v>
      </c>
      <c r="AD18" s="7">
        <v>600</v>
      </c>
      <c r="AE18" s="7">
        <v>2</v>
      </c>
      <c r="AF18" s="7">
        <v>960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4</v>
      </c>
      <c r="AO18" s="7">
        <v>800</v>
      </c>
      <c r="AP18" s="7">
        <v>0</v>
      </c>
      <c r="AQ18" s="7">
        <v>0</v>
      </c>
      <c r="AR18" s="7">
        <v>0</v>
      </c>
      <c r="AS18" s="7">
        <v>0</v>
      </c>
      <c r="AT18" s="7">
        <v>4</v>
      </c>
      <c r="AU18" s="7">
        <v>960</v>
      </c>
      <c r="AV18" s="7">
        <v>0</v>
      </c>
      <c r="AW18" s="7">
        <v>0</v>
      </c>
      <c r="AX18" s="7">
        <v>0</v>
      </c>
      <c r="AY18" s="7">
        <v>0</v>
      </c>
      <c r="AZ18" s="7">
        <v>36</v>
      </c>
      <c r="BA18" s="8">
        <v>8640</v>
      </c>
      <c r="BB18" s="7">
        <v>0</v>
      </c>
      <c r="BC18" s="7">
        <v>1</v>
      </c>
      <c r="BD18" s="7">
        <v>480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643.20000000000005</v>
      </c>
      <c r="BM18" s="10">
        <v>12640</v>
      </c>
      <c r="BN18" s="15">
        <f t="shared" si="0"/>
        <v>11996.8</v>
      </c>
      <c r="BO18" s="16">
        <f t="shared" si="1"/>
        <v>8397.7599999999984</v>
      </c>
      <c r="BP18" s="17"/>
      <c r="BQ18" s="17"/>
    </row>
    <row r="19" spans="1:69" x14ac:dyDescent="0.4">
      <c r="A19" s="5" t="s">
        <v>14</v>
      </c>
      <c r="B19" s="5" t="s">
        <v>126</v>
      </c>
      <c r="C19" s="5">
        <v>436040</v>
      </c>
      <c r="D19" s="6"/>
      <c r="E19" s="5" t="s">
        <v>78</v>
      </c>
      <c r="F19" s="5" t="s">
        <v>127</v>
      </c>
      <c r="G19" s="5" t="s">
        <v>80</v>
      </c>
      <c r="H19" s="7" t="s">
        <v>8</v>
      </c>
      <c r="I19" s="7" t="s">
        <v>128</v>
      </c>
      <c r="J19" s="7">
        <v>0</v>
      </c>
      <c r="K19" s="7">
        <v>2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1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1</v>
      </c>
      <c r="AC19" s="7">
        <v>0</v>
      </c>
      <c r="AD19" s="7">
        <v>200</v>
      </c>
      <c r="AE19" s="7">
        <v>9</v>
      </c>
      <c r="AF19" s="8">
        <v>4500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19</v>
      </c>
      <c r="AO19" s="8">
        <v>3600</v>
      </c>
      <c r="AP19" s="7">
        <v>200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1</v>
      </c>
      <c r="BA19" s="7">
        <v>240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14.4</v>
      </c>
      <c r="BM19" s="10">
        <v>8740</v>
      </c>
      <c r="BN19" s="15">
        <f t="shared" si="0"/>
        <v>8725.6</v>
      </c>
      <c r="BO19" s="16">
        <f t="shared" si="1"/>
        <v>6107.92</v>
      </c>
      <c r="BP19" s="17"/>
      <c r="BQ19" s="17"/>
    </row>
    <row r="20" spans="1:69" x14ac:dyDescent="0.4">
      <c r="A20" s="5" t="s">
        <v>14</v>
      </c>
      <c r="B20" s="5" t="s">
        <v>129</v>
      </c>
      <c r="C20" s="5">
        <v>323829</v>
      </c>
      <c r="D20" s="6"/>
      <c r="E20" s="5" t="s">
        <v>78</v>
      </c>
      <c r="F20" s="5" t="s">
        <v>130</v>
      </c>
      <c r="G20" s="5" t="s">
        <v>80</v>
      </c>
      <c r="H20" s="7" t="s">
        <v>7</v>
      </c>
      <c r="I20" s="7" t="s">
        <v>131</v>
      </c>
      <c r="J20" s="7">
        <v>0</v>
      </c>
      <c r="K20" s="7">
        <v>3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3</v>
      </c>
      <c r="AC20" s="7">
        <v>300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26</v>
      </c>
      <c r="AU20" s="8">
        <v>3129</v>
      </c>
      <c r="AV20" s="7">
        <v>0</v>
      </c>
      <c r="AW20" s="7">
        <v>0</v>
      </c>
      <c r="AX20" s="7">
        <v>0</v>
      </c>
      <c r="AY20" s="7">
        <v>0</v>
      </c>
      <c r="AZ20" s="7">
        <v>27</v>
      </c>
      <c r="BA20" s="8">
        <v>3240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507.3</v>
      </c>
      <c r="BM20" s="10">
        <v>6669</v>
      </c>
      <c r="BN20" s="15">
        <f t="shared" si="0"/>
        <v>6161.7</v>
      </c>
      <c r="BO20" s="16">
        <f t="shared" si="1"/>
        <v>4313.1899999999996</v>
      </c>
      <c r="BP20" s="17"/>
      <c r="BQ20" s="17"/>
    </row>
    <row r="21" spans="1:69" x14ac:dyDescent="0.4">
      <c r="A21" s="5" t="s">
        <v>14</v>
      </c>
      <c r="B21" s="5" t="s">
        <v>132</v>
      </c>
      <c r="C21" s="5">
        <v>461521</v>
      </c>
      <c r="D21" s="6"/>
      <c r="E21" s="5" t="s">
        <v>78</v>
      </c>
      <c r="F21" s="5" t="s">
        <v>133</v>
      </c>
      <c r="G21" s="5" t="s">
        <v>80</v>
      </c>
      <c r="H21" s="7" t="s">
        <v>8</v>
      </c>
      <c r="I21" s="7" t="s">
        <v>134</v>
      </c>
      <c r="J21" s="7">
        <v>0</v>
      </c>
      <c r="K21" s="7">
        <v>3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8</v>
      </c>
      <c r="AC21" s="7">
        <v>0</v>
      </c>
      <c r="AD21" s="8">
        <v>1500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1</v>
      </c>
      <c r="AU21" s="7">
        <v>240</v>
      </c>
      <c r="AV21" s="7">
        <v>0</v>
      </c>
      <c r="AW21" s="7">
        <v>0</v>
      </c>
      <c r="AX21" s="7">
        <v>0</v>
      </c>
      <c r="AY21" s="7">
        <v>0</v>
      </c>
      <c r="AZ21" s="7">
        <v>20</v>
      </c>
      <c r="BA21" s="8">
        <v>4680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304.8</v>
      </c>
      <c r="BM21" s="10">
        <v>6420</v>
      </c>
      <c r="BN21" s="15">
        <f t="shared" si="0"/>
        <v>6115.2</v>
      </c>
      <c r="BO21" s="16">
        <f t="shared" si="1"/>
        <v>4280.6399999999994</v>
      </c>
      <c r="BP21" s="17"/>
      <c r="BQ21" s="17"/>
    </row>
    <row r="22" spans="1:69" x14ac:dyDescent="0.4">
      <c r="A22" s="5" t="s">
        <v>14</v>
      </c>
      <c r="B22" s="5" t="s">
        <v>135</v>
      </c>
      <c r="C22" s="5">
        <v>463278</v>
      </c>
      <c r="D22" s="6"/>
      <c r="E22" s="5" t="s">
        <v>78</v>
      </c>
      <c r="F22" s="5" t="s">
        <v>136</v>
      </c>
      <c r="G22" s="5" t="s">
        <v>80</v>
      </c>
      <c r="H22" s="7" t="s">
        <v>7</v>
      </c>
      <c r="I22" s="7" t="s">
        <v>137</v>
      </c>
      <c r="J22" s="7">
        <v>0</v>
      </c>
      <c r="K22" s="7">
        <v>2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23</v>
      </c>
      <c r="BA22" s="8">
        <v>5520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331.2</v>
      </c>
      <c r="BM22" s="10">
        <v>5520</v>
      </c>
      <c r="BN22" s="15">
        <f t="shared" si="0"/>
        <v>5188.8</v>
      </c>
      <c r="BO22" s="16">
        <f t="shared" si="1"/>
        <v>3632.16</v>
      </c>
      <c r="BP22" s="17"/>
      <c r="BQ22" s="17"/>
    </row>
    <row r="23" spans="1:69" ht="19.2" x14ac:dyDescent="0.4">
      <c r="A23" s="5" t="s">
        <v>14</v>
      </c>
      <c r="B23" s="5" t="s">
        <v>138</v>
      </c>
      <c r="C23" s="5">
        <v>434897</v>
      </c>
      <c r="D23" s="6"/>
      <c r="E23" s="5" t="s">
        <v>78</v>
      </c>
      <c r="F23" s="5" t="s">
        <v>139</v>
      </c>
      <c r="G23" s="5" t="s">
        <v>80</v>
      </c>
      <c r="H23" s="7" t="s">
        <v>8</v>
      </c>
      <c r="I23" s="7" t="s">
        <v>12</v>
      </c>
      <c r="J23" s="7">
        <v>2</v>
      </c>
      <c r="K23" s="7">
        <v>0</v>
      </c>
      <c r="L23" s="7">
        <v>400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11</v>
      </c>
      <c r="AC23" s="7">
        <v>0</v>
      </c>
      <c r="AD23" s="8">
        <v>2200</v>
      </c>
      <c r="AE23" s="7">
        <v>2</v>
      </c>
      <c r="AF23" s="7">
        <v>0</v>
      </c>
      <c r="AG23" s="7">
        <v>800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5</v>
      </c>
      <c r="AO23" s="8">
        <v>1000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3</v>
      </c>
      <c r="BA23" s="7">
        <v>720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43.2</v>
      </c>
      <c r="BM23" s="10">
        <v>5120</v>
      </c>
      <c r="BN23" s="15">
        <f t="shared" si="0"/>
        <v>5076.8</v>
      </c>
      <c r="BO23" s="16">
        <f t="shared" si="1"/>
        <v>3553.7599999999998</v>
      </c>
      <c r="BP23" s="17"/>
      <c r="BQ23" s="17"/>
    </row>
    <row r="24" spans="1:69" x14ac:dyDescent="0.4">
      <c r="A24" s="5" t="s">
        <v>14</v>
      </c>
      <c r="B24" s="5" t="s">
        <v>140</v>
      </c>
      <c r="C24" s="5">
        <v>308339</v>
      </c>
      <c r="D24" s="6"/>
      <c r="E24" s="5" t="s">
        <v>78</v>
      </c>
      <c r="F24" s="5" t="s">
        <v>141</v>
      </c>
      <c r="G24" s="5" t="s">
        <v>80</v>
      </c>
      <c r="H24" s="7" t="s">
        <v>7</v>
      </c>
      <c r="I24" s="7" t="s">
        <v>142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1</v>
      </c>
      <c r="AC24" s="7">
        <v>240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20</v>
      </c>
      <c r="BA24" s="8">
        <v>4800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288</v>
      </c>
      <c r="BM24" s="10">
        <v>5040</v>
      </c>
      <c r="BN24" s="15">
        <f t="shared" si="0"/>
        <v>4752</v>
      </c>
      <c r="BO24" s="16">
        <f t="shared" si="1"/>
        <v>3326.3999999999996</v>
      </c>
      <c r="BP24" s="17"/>
      <c r="BQ24" s="17"/>
    </row>
    <row r="25" spans="1:69" x14ac:dyDescent="0.4">
      <c r="A25" s="5" t="s">
        <v>14</v>
      </c>
      <c r="B25" s="5" t="s">
        <v>143</v>
      </c>
      <c r="C25" s="5">
        <v>383201</v>
      </c>
      <c r="D25" s="6"/>
      <c r="E25" s="5" t="s">
        <v>78</v>
      </c>
      <c r="F25" s="5" t="s">
        <v>144</v>
      </c>
      <c r="G25" s="5" t="s">
        <v>80</v>
      </c>
      <c r="H25" s="7" t="s">
        <v>7</v>
      </c>
      <c r="I25" s="7" t="s">
        <v>145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13</v>
      </c>
      <c r="AC25" s="7">
        <v>0</v>
      </c>
      <c r="AD25" s="8">
        <v>2600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5</v>
      </c>
      <c r="AU25" s="8">
        <v>1200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120</v>
      </c>
      <c r="BM25" s="10">
        <v>3800</v>
      </c>
      <c r="BN25" s="15">
        <f t="shared" si="0"/>
        <v>3680</v>
      </c>
      <c r="BO25" s="16">
        <f t="shared" si="1"/>
        <v>2576</v>
      </c>
      <c r="BP25" s="17"/>
      <c r="BQ25" s="17"/>
    </row>
    <row r="26" spans="1:69" x14ac:dyDescent="0.4">
      <c r="A26" s="5" t="s">
        <v>14</v>
      </c>
      <c r="B26" s="5" t="s">
        <v>146</v>
      </c>
      <c r="C26" s="5">
        <v>464964</v>
      </c>
      <c r="D26" s="6"/>
      <c r="E26" s="5" t="s">
        <v>78</v>
      </c>
      <c r="F26" s="5" t="s">
        <v>147</v>
      </c>
      <c r="G26" s="5" t="s">
        <v>80</v>
      </c>
      <c r="H26" s="7" t="s">
        <v>7</v>
      </c>
      <c r="I26" s="7" t="s">
        <v>84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3</v>
      </c>
      <c r="AC26" s="7">
        <v>0</v>
      </c>
      <c r="AD26" s="7">
        <v>600</v>
      </c>
      <c r="AE26" s="7">
        <v>6</v>
      </c>
      <c r="AF26" s="8">
        <v>3000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10">
        <v>3600</v>
      </c>
      <c r="BN26" s="15">
        <f t="shared" si="0"/>
        <v>3600</v>
      </c>
      <c r="BO26" s="16">
        <f t="shared" si="1"/>
        <v>2520</v>
      </c>
      <c r="BP26" s="17"/>
      <c r="BQ26" s="17"/>
    </row>
    <row r="27" spans="1:69" x14ac:dyDescent="0.4">
      <c r="A27" s="5" t="s">
        <v>14</v>
      </c>
      <c r="B27" s="5" t="s">
        <v>148</v>
      </c>
      <c r="C27" s="5">
        <v>330938</v>
      </c>
      <c r="D27" s="6"/>
      <c r="E27" s="5" t="s">
        <v>78</v>
      </c>
      <c r="F27" s="5" t="s">
        <v>113</v>
      </c>
      <c r="G27" s="5" t="s">
        <v>80</v>
      </c>
      <c r="H27" s="7" t="s">
        <v>7</v>
      </c>
      <c r="I27" s="7" t="s">
        <v>149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13</v>
      </c>
      <c r="BA27" s="8">
        <v>3120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187.2</v>
      </c>
      <c r="BM27" s="10">
        <v>3120</v>
      </c>
      <c r="BN27" s="15">
        <f t="shared" si="0"/>
        <v>2932.8</v>
      </c>
      <c r="BO27" s="16">
        <f t="shared" si="1"/>
        <v>2052.96</v>
      </c>
      <c r="BP27" s="17"/>
      <c r="BQ27" s="17"/>
    </row>
    <row r="28" spans="1:69" x14ac:dyDescent="0.4">
      <c r="A28" s="5" t="s">
        <v>14</v>
      </c>
      <c r="B28" s="5" t="s">
        <v>150</v>
      </c>
      <c r="C28" s="5">
        <v>403837</v>
      </c>
      <c r="D28" s="6"/>
      <c r="E28" s="5" t="s">
        <v>78</v>
      </c>
      <c r="F28" s="5" t="s">
        <v>151</v>
      </c>
      <c r="G28" s="5" t="s">
        <v>80</v>
      </c>
      <c r="H28" s="7" t="s">
        <v>7</v>
      </c>
      <c r="I28" s="7" t="s">
        <v>91</v>
      </c>
      <c r="J28" s="7">
        <v>0</v>
      </c>
      <c r="K28" s="7">
        <v>1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12</v>
      </c>
      <c r="AC28" s="8">
        <v>2200</v>
      </c>
      <c r="AD28" s="7">
        <v>200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10">
        <v>2400</v>
      </c>
      <c r="BN28" s="15">
        <f t="shared" si="0"/>
        <v>2400</v>
      </c>
      <c r="BO28" s="16">
        <f t="shared" si="1"/>
        <v>1680</v>
      </c>
      <c r="BP28" s="17"/>
      <c r="BQ28" s="17"/>
    </row>
    <row r="29" spans="1:69" x14ac:dyDescent="0.4">
      <c r="A29" s="5" t="s">
        <v>14</v>
      </c>
      <c r="B29" s="5" t="s">
        <v>152</v>
      </c>
      <c r="C29" s="5">
        <v>406076</v>
      </c>
      <c r="D29" s="6"/>
      <c r="E29" s="5" t="s">
        <v>78</v>
      </c>
      <c r="F29" s="5" t="s">
        <v>153</v>
      </c>
      <c r="G29" s="5" t="s">
        <v>80</v>
      </c>
      <c r="H29" s="7" t="s">
        <v>8</v>
      </c>
      <c r="I29" s="7" t="s">
        <v>154</v>
      </c>
      <c r="J29" s="7">
        <v>0</v>
      </c>
      <c r="K29" s="7">
        <v>6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6</v>
      </c>
      <c r="AC29" s="7">
        <v>0</v>
      </c>
      <c r="AD29" s="8">
        <v>1200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10">
        <v>1200</v>
      </c>
      <c r="BN29" s="15">
        <f t="shared" si="0"/>
        <v>1200</v>
      </c>
      <c r="BO29" s="16">
        <f t="shared" si="1"/>
        <v>840</v>
      </c>
      <c r="BP29" s="17"/>
      <c r="BQ29" s="17"/>
    </row>
    <row r="30" spans="1:69" ht="19.2" x14ac:dyDescent="0.4">
      <c r="A30" s="5" t="s">
        <v>14</v>
      </c>
      <c r="B30" s="5" t="s">
        <v>155</v>
      </c>
      <c r="C30" s="5">
        <v>414835</v>
      </c>
      <c r="D30" s="6"/>
      <c r="E30" s="5" t="s">
        <v>78</v>
      </c>
      <c r="F30" s="5" t="s">
        <v>156</v>
      </c>
      <c r="G30" s="5" t="s">
        <v>80</v>
      </c>
      <c r="H30" s="7" t="s">
        <v>7</v>
      </c>
      <c r="I30" s="7" t="s">
        <v>157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8</v>
      </c>
      <c r="AC30" s="7">
        <v>400</v>
      </c>
      <c r="AD30" s="7">
        <v>400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11">
        <v>800</v>
      </c>
      <c r="BN30" s="15">
        <f t="shared" si="0"/>
        <v>800</v>
      </c>
      <c r="BO30" s="16">
        <f t="shared" si="1"/>
        <v>560</v>
      </c>
      <c r="BP30" s="17"/>
      <c r="BQ30" s="17"/>
    </row>
    <row r="31" spans="1:69" x14ac:dyDescent="0.4">
      <c r="A31" s="5" t="s">
        <v>14</v>
      </c>
      <c r="B31" s="5" t="s">
        <v>158</v>
      </c>
      <c r="C31" s="5">
        <v>398413</v>
      </c>
      <c r="D31" s="6"/>
      <c r="E31" s="5" t="s">
        <v>78</v>
      </c>
      <c r="F31" s="5" t="s">
        <v>153</v>
      </c>
      <c r="G31" s="5" t="s">
        <v>80</v>
      </c>
      <c r="H31" s="7" t="s">
        <v>8</v>
      </c>
      <c r="I31" s="7" t="s">
        <v>159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2</v>
      </c>
      <c r="AO31" s="7">
        <v>400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11">
        <v>400</v>
      </c>
      <c r="BN31" s="15">
        <f t="shared" si="0"/>
        <v>400</v>
      </c>
      <c r="BO31" s="16">
        <f t="shared" si="1"/>
        <v>280</v>
      </c>
      <c r="BP31" s="17"/>
      <c r="BQ31" s="17"/>
    </row>
    <row r="32" spans="1:69" x14ac:dyDescent="0.4">
      <c r="A32" s="5" t="s">
        <v>14</v>
      </c>
      <c r="B32" s="5" t="s">
        <v>160</v>
      </c>
      <c r="C32" s="5">
        <v>393567</v>
      </c>
      <c r="D32" s="6"/>
      <c r="E32" s="5" t="s">
        <v>78</v>
      </c>
      <c r="F32" s="5" t="s">
        <v>161</v>
      </c>
      <c r="G32" s="5" t="s">
        <v>80</v>
      </c>
      <c r="H32" s="7" t="s">
        <v>8</v>
      </c>
      <c r="I32" s="7" t="s">
        <v>162</v>
      </c>
      <c r="J32" s="7">
        <v>0</v>
      </c>
      <c r="K32" s="7">
        <v>652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2</v>
      </c>
      <c r="AC32" s="7">
        <v>0</v>
      </c>
      <c r="AD32" s="7">
        <v>400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11">
        <v>400</v>
      </c>
      <c r="BN32" s="15">
        <f t="shared" ref="BN32:BN33" si="2">BM32-BL32</f>
        <v>400</v>
      </c>
      <c r="BO32" s="16">
        <f t="shared" ref="BO32:BO33" si="3">BN32*70%</f>
        <v>280</v>
      </c>
      <c r="BP32" s="17"/>
      <c r="BQ32" s="17"/>
    </row>
    <row r="33" spans="1:69" x14ac:dyDescent="0.4">
      <c r="A33" s="5" t="s">
        <v>14</v>
      </c>
      <c r="B33" s="5" t="s">
        <v>163</v>
      </c>
      <c r="C33" s="5">
        <v>463455</v>
      </c>
      <c r="D33" s="6"/>
      <c r="E33" s="5" t="s">
        <v>78</v>
      </c>
      <c r="F33" s="5" t="s">
        <v>153</v>
      </c>
      <c r="G33" s="5" t="s">
        <v>80</v>
      </c>
      <c r="H33" s="7" t="s">
        <v>7</v>
      </c>
      <c r="I33" s="7" t="s">
        <v>164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1</v>
      </c>
      <c r="BA33" s="7">
        <v>240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14.4</v>
      </c>
      <c r="BM33" s="11">
        <v>240</v>
      </c>
      <c r="BN33" s="15">
        <f t="shared" si="2"/>
        <v>225.6</v>
      </c>
      <c r="BO33" s="16">
        <f t="shared" si="3"/>
        <v>157.91999999999999</v>
      </c>
      <c r="BP33" s="17"/>
      <c r="BQ33" s="17"/>
    </row>
    <row r="34" spans="1:69" ht="19.2" x14ac:dyDescent="0.4">
      <c r="A34" s="5" t="s">
        <v>15</v>
      </c>
      <c r="B34" s="5" t="s">
        <v>77</v>
      </c>
      <c r="C34" s="5">
        <v>435954</v>
      </c>
      <c r="D34" s="6"/>
      <c r="E34" s="5" t="s">
        <v>78</v>
      </c>
      <c r="F34" s="5" t="s">
        <v>79</v>
      </c>
      <c r="G34" s="5" t="s">
        <v>80</v>
      </c>
      <c r="H34" s="7" t="s">
        <v>7</v>
      </c>
      <c r="I34" s="7" t="s">
        <v>81</v>
      </c>
      <c r="J34" s="7">
        <v>0</v>
      </c>
      <c r="K34" s="7">
        <v>5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2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94</v>
      </c>
      <c r="AC34" s="8">
        <v>16920</v>
      </c>
      <c r="AD34" s="8">
        <v>4300</v>
      </c>
      <c r="AE34" s="7">
        <v>43</v>
      </c>
      <c r="AF34" s="8">
        <v>8480</v>
      </c>
      <c r="AG34" s="8">
        <v>10000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15</v>
      </c>
      <c r="AO34" s="8">
        <v>2800</v>
      </c>
      <c r="AP34" s="7">
        <v>200</v>
      </c>
      <c r="AQ34" s="7">
        <v>9</v>
      </c>
      <c r="AR34" s="8">
        <v>3600</v>
      </c>
      <c r="AS34" s="7">
        <v>0</v>
      </c>
      <c r="AT34" s="7">
        <v>4</v>
      </c>
      <c r="AU34" s="7">
        <v>960</v>
      </c>
      <c r="AV34" s="7">
        <v>0</v>
      </c>
      <c r="AW34" s="7">
        <v>0</v>
      </c>
      <c r="AX34" s="7">
        <v>0</v>
      </c>
      <c r="AY34" s="7">
        <v>0</v>
      </c>
      <c r="AZ34" s="7">
        <v>5</v>
      </c>
      <c r="BA34" s="8">
        <v>1200</v>
      </c>
      <c r="BB34" s="7">
        <v>0</v>
      </c>
      <c r="BC34" s="7">
        <v>0</v>
      </c>
      <c r="BD34" s="7">
        <v>0</v>
      </c>
      <c r="BE34" s="7">
        <v>0</v>
      </c>
      <c r="BF34" s="7">
        <v>12</v>
      </c>
      <c r="BG34" s="8">
        <v>2760</v>
      </c>
      <c r="BH34" s="7">
        <v>0</v>
      </c>
      <c r="BI34" s="7">
        <v>5</v>
      </c>
      <c r="BJ34" s="8">
        <v>2400</v>
      </c>
      <c r="BK34" s="7">
        <v>0</v>
      </c>
      <c r="BL34" s="7">
        <v>426</v>
      </c>
      <c r="BM34" s="10">
        <v>53620</v>
      </c>
      <c r="BN34" s="15">
        <f t="shared" ref="BN34:BN72" si="4">BM34-BL34</f>
        <v>53194</v>
      </c>
      <c r="BO34" s="16">
        <f t="shared" ref="BO34:BO72" si="5">BN34*70%</f>
        <v>37235.799999999996</v>
      </c>
    </row>
    <row r="35" spans="1:69" ht="19.2" x14ac:dyDescent="0.4">
      <c r="A35" s="5" t="s">
        <v>15</v>
      </c>
      <c r="B35" s="5" t="s">
        <v>82</v>
      </c>
      <c r="C35" s="5">
        <v>465463</v>
      </c>
      <c r="D35" s="6"/>
      <c r="E35" s="5" t="s">
        <v>78</v>
      </c>
      <c r="F35" s="5" t="s">
        <v>83</v>
      </c>
      <c r="G35" s="5" t="s">
        <v>80</v>
      </c>
      <c r="H35" s="7" t="s">
        <v>9</v>
      </c>
      <c r="I35" s="7" t="s">
        <v>84</v>
      </c>
      <c r="J35" s="7">
        <v>0</v>
      </c>
      <c r="K35" s="7">
        <v>15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110</v>
      </c>
      <c r="AC35" s="8">
        <v>19920</v>
      </c>
      <c r="AD35" s="8">
        <v>3800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15</v>
      </c>
      <c r="AO35" s="8">
        <v>3000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51</v>
      </c>
      <c r="BG35" s="8">
        <v>12240</v>
      </c>
      <c r="BH35" s="7">
        <v>0</v>
      </c>
      <c r="BI35" s="7">
        <v>0</v>
      </c>
      <c r="BJ35" s="7">
        <v>0</v>
      </c>
      <c r="BK35" s="7">
        <v>0</v>
      </c>
      <c r="BL35" s="7">
        <v>612</v>
      </c>
      <c r="BM35" s="10">
        <v>38960</v>
      </c>
      <c r="BN35" s="15">
        <f t="shared" si="4"/>
        <v>38348</v>
      </c>
      <c r="BO35" s="16">
        <f t="shared" si="5"/>
        <v>26843.599999999999</v>
      </c>
    </row>
    <row r="36" spans="1:69" ht="19.2" x14ac:dyDescent="0.4">
      <c r="A36" s="5" t="s">
        <v>15</v>
      </c>
      <c r="B36" s="5" t="s">
        <v>87</v>
      </c>
      <c r="C36" s="5">
        <v>423525</v>
      </c>
      <c r="D36" s="6"/>
      <c r="E36" s="5" t="s">
        <v>78</v>
      </c>
      <c r="F36" s="5" t="s">
        <v>88</v>
      </c>
      <c r="G36" s="5" t="s">
        <v>80</v>
      </c>
      <c r="H36" s="7" t="s">
        <v>7</v>
      </c>
      <c r="I36" s="7" t="s">
        <v>76</v>
      </c>
      <c r="J36" s="7">
        <v>0</v>
      </c>
      <c r="K36" s="7">
        <v>802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30</v>
      </c>
      <c r="AC36" s="8">
        <v>2720</v>
      </c>
      <c r="AD36" s="8">
        <v>3700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13</v>
      </c>
      <c r="AO36" s="8">
        <v>2400</v>
      </c>
      <c r="AP36" s="7">
        <v>200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58</v>
      </c>
      <c r="BG36" s="8">
        <v>13920</v>
      </c>
      <c r="BH36" s="7">
        <v>0</v>
      </c>
      <c r="BI36" s="7">
        <v>6</v>
      </c>
      <c r="BJ36" s="8">
        <v>2880</v>
      </c>
      <c r="BK36" s="7">
        <v>0</v>
      </c>
      <c r="BL36" s="7">
        <v>840</v>
      </c>
      <c r="BM36" s="10">
        <v>25820</v>
      </c>
      <c r="BN36" s="15">
        <f t="shared" si="4"/>
        <v>24980</v>
      </c>
      <c r="BO36" s="16">
        <f t="shared" si="5"/>
        <v>17486</v>
      </c>
    </row>
    <row r="37" spans="1:69" ht="19.2" x14ac:dyDescent="0.4">
      <c r="A37" s="5" t="s">
        <v>15</v>
      </c>
      <c r="B37" s="5" t="s">
        <v>165</v>
      </c>
      <c r="C37" s="5">
        <v>405596</v>
      </c>
      <c r="D37" s="6"/>
      <c r="E37" s="5" t="s">
        <v>78</v>
      </c>
      <c r="F37" s="5" t="s">
        <v>166</v>
      </c>
      <c r="G37" s="5" t="s">
        <v>80</v>
      </c>
      <c r="H37" s="7" t="s">
        <v>7</v>
      </c>
      <c r="I37" s="7" t="s">
        <v>167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8</v>
      </c>
      <c r="AC37" s="7">
        <v>0</v>
      </c>
      <c r="AD37" s="7">
        <v>800</v>
      </c>
      <c r="AE37" s="7">
        <v>57</v>
      </c>
      <c r="AF37" s="7">
        <v>0</v>
      </c>
      <c r="AG37" s="8">
        <v>11400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3</v>
      </c>
      <c r="BJ37" s="7">
        <v>720</v>
      </c>
      <c r="BK37" s="7">
        <v>0</v>
      </c>
      <c r="BL37" s="7">
        <v>36</v>
      </c>
      <c r="BM37" s="10">
        <v>12920</v>
      </c>
      <c r="BN37" s="15">
        <f t="shared" si="4"/>
        <v>12884</v>
      </c>
      <c r="BO37" s="16">
        <f t="shared" si="5"/>
        <v>9018.7999999999993</v>
      </c>
    </row>
    <row r="38" spans="1:69" ht="19.2" x14ac:dyDescent="0.4">
      <c r="A38" s="5" t="s">
        <v>15</v>
      </c>
      <c r="B38" s="5" t="s">
        <v>89</v>
      </c>
      <c r="C38" s="5">
        <v>380491</v>
      </c>
      <c r="D38" s="6"/>
      <c r="E38" s="5" t="s">
        <v>78</v>
      </c>
      <c r="F38" s="5" t="s">
        <v>90</v>
      </c>
      <c r="G38" s="5" t="s">
        <v>80</v>
      </c>
      <c r="H38" s="7" t="s">
        <v>7</v>
      </c>
      <c r="I38" s="7" t="s">
        <v>91</v>
      </c>
      <c r="J38" s="7">
        <v>0</v>
      </c>
      <c r="K38" s="7">
        <v>805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78</v>
      </c>
      <c r="AC38" s="8">
        <v>5320</v>
      </c>
      <c r="AD38" s="8">
        <v>2600</v>
      </c>
      <c r="AE38" s="7">
        <v>4</v>
      </c>
      <c r="AF38" s="7">
        <v>0</v>
      </c>
      <c r="AG38" s="7">
        <v>800</v>
      </c>
      <c r="AH38" s="7">
        <v>2</v>
      </c>
      <c r="AI38" s="7">
        <v>0</v>
      </c>
      <c r="AJ38" s="7">
        <v>200</v>
      </c>
      <c r="AK38" s="7">
        <v>0</v>
      </c>
      <c r="AL38" s="7">
        <v>0</v>
      </c>
      <c r="AM38" s="7">
        <v>0</v>
      </c>
      <c r="AN38" s="7">
        <v>19</v>
      </c>
      <c r="AO38" s="8">
        <v>1900</v>
      </c>
      <c r="AP38" s="7">
        <v>0</v>
      </c>
      <c r="AQ38" s="7">
        <v>1</v>
      </c>
      <c r="AR38" s="7">
        <v>200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10">
        <v>11020</v>
      </c>
      <c r="BN38" s="15">
        <f t="shared" si="4"/>
        <v>11020</v>
      </c>
      <c r="BO38" s="16">
        <f t="shared" si="5"/>
        <v>7713.9999999999991</v>
      </c>
    </row>
    <row r="39" spans="1:69" ht="19.2" x14ac:dyDescent="0.4">
      <c r="A39" s="5" t="s">
        <v>15</v>
      </c>
      <c r="B39" s="5" t="s">
        <v>97</v>
      </c>
      <c r="C39" s="5">
        <v>307024</v>
      </c>
      <c r="D39" s="6"/>
      <c r="E39" s="5" t="s">
        <v>78</v>
      </c>
      <c r="F39" s="5" t="s">
        <v>98</v>
      </c>
      <c r="G39" s="5" t="s">
        <v>80</v>
      </c>
      <c r="H39" s="7" t="s">
        <v>7</v>
      </c>
      <c r="I39" s="7" t="s">
        <v>99</v>
      </c>
      <c r="J39" s="7">
        <v>0</v>
      </c>
      <c r="K39" s="7">
        <v>3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72</v>
      </c>
      <c r="AO39" s="8">
        <v>7200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0</v>
      </c>
      <c r="BM39" s="10">
        <v>7200</v>
      </c>
      <c r="BN39" s="15">
        <f t="shared" si="4"/>
        <v>7200</v>
      </c>
      <c r="BO39" s="16">
        <f t="shared" si="5"/>
        <v>5040</v>
      </c>
    </row>
    <row r="40" spans="1:69" ht="19.2" x14ac:dyDescent="0.4">
      <c r="A40" s="5" t="s">
        <v>15</v>
      </c>
      <c r="B40" s="5" t="s">
        <v>85</v>
      </c>
      <c r="C40" s="5">
        <v>465461</v>
      </c>
      <c r="D40" s="6"/>
      <c r="E40" s="5" t="s">
        <v>78</v>
      </c>
      <c r="F40" s="5" t="s">
        <v>86</v>
      </c>
      <c r="G40" s="5" t="s">
        <v>80</v>
      </c>
      <c r="H40" s="7" t="s">
        <v>7</v>
      </c>
      <c r="I40" s="7" t="s">
        <v>76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1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11</v>
      </c>
      <c r="AF40" s="7">
        <v>0</v>
      </c>
      <c r="AG40" s="8">
        <v>4400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10">
        <v>4400</v>
      </c>
      <c r="BN40" s="15">
        <f t="shared" si="4"/>
        <v>4400</v>
      </c>
      <c r="BO40" s="16">
        <f t="shared" si="5"/>
        <v>3080</v>
      </c>
    </row>
    <row r="41" spans="1:69" ht="19.2" x14ac:dyDescent="0.4">
      <c r="A41" s="5" t="s">
        <v>15</v>
      </c>
      <c r="B41" s="5" t="s">
        <v>95</v>
      </c>
      <c r="C41" s="5">
        <v>432749</v>
      </c>
      <c r="D41" s="6"/>
      <c r="E41" s="5" t="s">
        <v>78</v>
      </c>
      <c r="F41" s="5" t="s">
        <v>96</v>
      </c>
      <c r="G41" s="5" t="s">
        <v>80</v>
      </c>
      <c r="H41" s="7" t="s">
        <v>7</v>
      </c>
      <c r="I41" s="7" t="s">
        <v>81</v>
      </c>
      <c r="J41" s="7">
        <v>1</v>
      </c>
      <c r="K41" s="7">
        <v>396</v>
      </c>
      <c r="L41" s="7">
        <v>200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2</v>
      </c>
      <c r="AC41" s="7">
        <v>0</v>
      </c>
      <c r="AD41" s="7">
        <v>400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5</v>
      </c>
      <c r="BG41" s="8">
        <v>1200</v>
      </c>
      <c r="BH41" s="7">
        <v>0</v>
      </c>
      <c r="BI41" s="7">
        <v>5</v>
      </c>
      <c r="BJ41" s="8">
        <v>2400</v>
      </c>
      <c r="BK41" s="7">
        <v>0</v>
      </c>
      <c r="BL41" s="7">
        <v>180</v>
      </c>
      <c r="BM41" s="10">
        <v>4200</v>
      </c>
      <c r="BN41" s="15">
        <f t="shared" si="4"/>
        <v>4020</v>
      </c>
      <c r="BO41" s="16">
        <f t="shared" si="5"/>
        <v>2814</v>
      </c>
    </row>
    <row r="42" spans="1:69" ht="19.2" x14ac:dyDescent="0.4">
      <c r="A42" s="5" t="s">
        <v>15</v>
      </c>
      <c r="B42" s="5" t="s">
        <v>143</v>
      </c>
      <c r="C42" s="5">
        <v>383201</v>
      </c>
      <c r="D42" s="6"/>
      <c r="E42" s="5" t="s">
        <v>78</v>
      </c>
      <c r="F42" s="5" t="s">
        <v>144</v>
      </c>
      <c r="G42" s="5" t="s">
        <v>80</v>
      </c>
      <c r="H42" s="7" t="s">
        <v>7</v>
      </c>
      <c r="I42" s="7" t="s">
        <v>145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7</v>
      </c>
      <c r="AC42" s="7">
        <v>0</v>
      </c>
      <c r="AD42" s="8">
        <v>1400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3</v>
      </c>
      <c r="BA42" s="7">
        <v>600</v>
      </c>
      <c r="BB42" s="7">
        <v>0</v>
      </c>
      <c r="BC42" s="7">
        <v>0</v>
      </c>
      <c r="BD42" s="7">
        <v>0</v>
      </c>
      <c r="BE42" s="7">
        <v>0</v>
      </c>
      <c r="BF42" s="7">
        <v>7</v>
      </c>
      <c r="BG42" s="8">
        <v>1560</v>
      </c>
      <c r="BH42" s="7">
        <v>0</v>
      </c>
      <c r="BI42" s="7">
        <v>0</v>
      </c>
      <c r="BJ42" s="7">
        <v>0</v>
      </c>
      <c r="BK42" s="7">
        <v>0</v>
      </c>
      <c r="BL42" s="7">
        <v>114</v>
      </c>
      <c r="BM42" s="10">
        <v>3560</v>
      </c>
      <c r="BN42" s="15">
        <f t="shared" si="4"/>
        <v>3446</v>
      </c>
      <c r="BO42" s="16">
        <f t="shared" si="5"/>
        <v>2412.1999999999998</v>
      </c>
    </row>
    <row r="43" spans="1:69" ht="19.2" x14ac:dyDescent="0.4">
      <c r="A43" s="5" t="s">
        <v>15</v>
      </c>
      <c r="B43" s="5" t="s">
        <v>103</v>
      </c>
      <c r="C43" s="5">
        <v>351846</v>
      </c>
      <c r="D43" s="6"/>
      <c r="E43" s="5" t="s">
        <v>78</v>
      </c>
      <c r="F43" s="5" t="s">
        <v>104</v>
      </c>
      <c r="G43" s="5" t="s">
        <v>80</v>
      </c>
      <c r="H43" s="7" t="s">
        <v>7</v>
      </c>
      <c r="I43" s="7" t="s">
        <v>105</v>
      </c>
      <c r="J43" s="7">
        <v>0</v>
      </c>
      <c r="K43" s="7">
        <v>206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20</v>
      </c>
      <c r="AC43" s="7">
        <v>240</v>
      </c>
      <c r="AD43" s="8">
        <v>1800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1</v>
      </c>
      <c r="BG43" s="7">
        <v>120</v>
      </c>
      <c r="BH43" s="7">
        <v>0</v>
      </c>
      <c r="BI43" s="7">
        <v>0</v>
      </c>
      <c r="BJ43" s="7">
        <v>0</v>
      </c>
      <c r="BK43" s="7">
        <v>0</v>
      </c>
      <c r="BL43" s="7">
        <v>6</v>
      </c>
      <c r="BM43" s="10">
        <v>2160</v>
      </c>
      <c r="BN43" s="15">
        <f t="shared" si="4"/>
        <v>2154</v>
      </c>
      <c r="BO43" s="16">
        <f t="shared" si="5"/>
        <v>1507.8</v>
      </c>
    </row>
    <row r="44" spans="1:69" ht="19.2" x14ac:dyDescent="0.4">
      <c r="A44" s="5" t="s">
        <v>15</v>
      </c>
      <c r="B44" s="5" t="s">
        <v>124</v>
      </c>
      <c r="C44" s="5">
        <v>465658</v>
      </c>
      <c r="D44" s="6"/>
      <c r="E44" s="5" t="s">
        <v>78</v>
      </c>
      <c r="F44" s="5" t="s">
        <v>125</v>
      </c>
      <c r="G44" s="5" t="s">
        <v>80</v>
      </c>
      <c r="H44" s="7" t="s">
        <v>7</v>
      </c>
      <c r="I44" s="7" t="s">
        <v>76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4</v>
      </c>
      <c r="AC44" s="7">
        <v>720</v>
      </c>
      <c r="AD44" s="7">
        <v>200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11">
        <v>920</v>
      </c>
      <c r="BN44" s="15">
        <f t="shared" si="4"/>
        <v>920</v>
      </c>
      <c r="BO44" s="16">
        <f t="shared" si="5"/>
        <v>644</v>
      </c>
    </row>
    <row r="45" spans="1:69" ht="19.2" x14ac:dyDescent="0.4">
      <c r="A45" s="5" t="s">
        <v>15</v>
      </c>
      <c r="B45" s="5" t="s">
        <v>160</v>
      </c>
      <c r="C45" s="5">
        <v>393567</v>
      </c>
      <c r="D45" s="6"/>
      <c r="E45" s="5" t="s">
        <v>78</v>
      </c>
      <c r="F45" s="5" t="s">
        <v>161</v>
      </c>
      <c r="G45" s="5" t="s">
        <v>80</v>
      </c>
      <c r="H45" s="7" t="s">
        <v>8</v>
      </c>
      <c r="I45" s="7" t="s">
        <v>162</v>
      </c>
      <c r="J45" s="7">
        <v>0</v>
      </c>
      <c r="K45" s="7">
        <v>264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1</v>
      </c>
      <c r="AC45" s="7">
        <v>0</v>
      </c>
      <c r="AD45" s="7">
        <v>200</v>
      </c>
      <c r="AE45" s="7">
        <v>1</v>
      </c>
      <c r="AF45" s="7">
        <v>0</v>
      </c>
      <c r="AG45" s="7">
        <v>500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11">
        <v>700</v>
      </c>
      <c r="BN45" s="15">
        <f t="shared" si="4"/>
        <v>700</v>
      </c>
      <c r="BO45" s="16">
        <f t="shared" si="5"/>
        <v>489.99999999999994</v>
      </c>
    </row>
    <row r="46" spans="1:69" ht="19.2" x14ac:dyDescent="0.4">
      <c r="A46" s="5" t="s">
        <v>15</v>
      </c>
      <c r="B46" s="5" t="s">
        <v>138</v>
      </c>
      <c r="C46" s="5">
        <v>434897</v>
      </c>
      <c r="D46" s="6"/>
      <c r="E46" s="5" t="s">
        <v>78</v>
      </c>
      <c r="F46" s="5" t="s">
        <v>139</v>
      </c>
      <c r="G46" s="5" t="s">
        <v>80</v>
      </c>
      <c r="H46" s="7" t="s">
        <v>8</v>
      </c>
      <c r="I46" s="7" t="s">
        <v>12</v>
      </c>
      <c r="J46" s="7">
        <v>1</v>
      </c>
      <c r="K46" s="7">
        <v>0</v>
      </c>
      <c r="L46" s="7">
        <v>200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1</v>
      </c>
      <c r="AC46" s="7">
        <v>0</v>
      </c>
      <c r="AD46" s="7">
        <v>200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1</v>
      </c>
      <c r="BG46" s="7">
        <v>240</v>
      </c>
      <c r="BH46" s="7">
        <v>0</v>
      </c>
      <c r="BI46" s="7">
        <v>0</v>
      </c>
      <c r="BJ46" s="7">
        <v>0</v>
      </c>
      <c r="BK46" s="7">
        <v>0</v>
      </c>
      <c r="BL46" s="7">
        <v>12</v>
      </c>
      <c r="BM46" s="11">
        <v>640</v>
      </c>
      <c r="BN46" s="15">
        <f t="shared" si="4"/>
        <v>628</v>
      </c>
      <c r="BO46" s="16">
        <f t="shared" si="5"/>
        <v>439.59999999999997</v>
      </c>
    </row>
    <row r="47" spans="1:69" ht="19.2" x14ac:dyDescent="0.4">
      <c r="A47" s="5" t="s">
        <v>15</v>
      </c>
      <c r="B47" s="5" t="s">
        <v>112</v>
      </c>
      <c r="C47" s="5">
        <v>336507</v>
      </c>
      <c r="D47" s="6"/>
      <c r="E47" s="5" t="s">
        <v>78</v>
      </c>
      <c r="F47" s="5" t="s">
        <v>113</v>
      </c>
      <c r="G47" s="5" t="s">
        <v>80</v>
      </c>
      <c r="H47" s="7" t="s">
        <v>8</v>
      </c>
      <c r="I47" s="7" t="s">
        <v>114</v>
      </c>
      <c r="J47" s="7">
        <v>2</v>
      </c>
      <c r="K47" s="7">
        <v>0</v>
      </c>
      <c r="L47" s="7">
        <v>400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11">
        <v>400</v>
      </c>
      <c r="BN47" s="15">
        <f t="shared" si="4"/>
        <v>400</v>
      </c>
      <c r="BO47" s="16">
        <f t="shared" si="5"/>
        <v>280</v>
      </c>
    </row>
    <row r="48" spans="1:69" ht="19.2" x14ac:dyDescent="0.4">
      <c r="A48" s="5" t="s">
        <v>15</v>
      </c>
      <c r="B48" s="5" t="s">
        <v>115</v>
      </c>
      <c r="C48" s="5">
        <v>319050</v>
      </c>
      <c r="D48" s="6"/>
      <c r="E48" s="5" t="s">
        <v>78</v>
      </c>
      <c r="F48" s="5" t="s">
        <v>116</v>
      </c>
      <c r="G48" s="5" t="s">
        <v>80</v>
      </c>
      <c r="H48" s="7" t="s">
        <v>7</v>
      </c>
      <c r="I48" s="7" t="s">
        <v>117</v>
      </c>
      <c r="J48" s="7">
        <v>2</v>
      </c>
      <c r="K48" s="7">
        <v>0</v>
      </c>
      <c r="L48" s="7">
        <v>400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11">
        <v>400</v>
      </c>
      <c r="BN48" s="15">
        <f t="shared" si="4"/>
        <v>400</v>
      </c>
      <c r="BO48" s="16">
        <f t="shared" si="5"/>
        <v>280</v>
      </c>
    </row>
    <row r="49" spans="1:67" ht="19.2" x14ac:dyDescent="0.4">
      <c r="A49" s="5" t="s">
        <v>15</v>
      </c>
      <c r="B49" s="5" t="s">
        <v>158</v>
      </c>
      <c r="C49" s="5">
        <v>398413</v>
      </c>
      <c r="D49" s="6"/>
      <c r="E49" s="5" t="s">
        <v>78</v>
      </c>
      <c r="F49" s="5" t="s">
        <v>153</v>
      </c>
      <c r="G49" s="5" t="s">
        <v>80</v>
      </c>
      <c r="H49" s="7" t="s">
        <v>8</v>
      </c>
      <c r="I49" s="7" t="s">
        <v>159</v>
      </c>
      <c r="J49" s="7">
        <v>2</v>
      </c>
      <c r="K49" s="7">
        <v>0</v>
      </c>
      <c r="L49" s="7">
        <v>400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11">
        <v>400</v>
      </c>
      <c r="BN49" s="15">
        <f t="shared" si="4"/>
        <v>400</v>
      </c>
      <c r="BO49" s="16">
        <f t="shared" si="5"/>
        <v>280</v>
      </c>
    </row>
    <row r="50" spans="1:67" ht="19.2" x14ac:dyDescent="0.4">
      <c r="A50" s="5" t="s">
        <v>15</v>
      </c>
      <c r="B50" s="5" t="s">
        <v>118</v>
      </c>
      <c r="C50" s="5">
        <v>448747</v>
      </c>
      <c r="D50" s="6"/>
      <c r="E50" s="5" t="s">
        <v>78</v>
      </c>
      <c r="F50" s="5" t="s">
        <v>119</v>
      </c>
      <c r="G50" s="5" t="s">
        <v>80</v>
      </c>
      <c r="H50" s="7" t="s">
        <v>7</v>
      </c>
      <c r="I50" s="7" t="s">
        <v>120</v>
      </c>
      <c r="J50" s="7">
        <v>0</v>
      </c>
      <c r="K50" s="7">
        <v>303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11">
        <v>0</v>
      </c>
      <c r="BN50" s="15">
        <f t="shared" si="4"/>
        <v>0</v>
      </c>
      <c r="BO50" s="16">
        <f t="shared" si="5"/>
        <v>0</v>
      </c>
    </row>
    <row r="51" spans="1:67" ht="19.2" x14ac:dyDescent="0.4">
      <c r="A51" s="5" t="s">
        <v>15</v>
      </c>
      <c r="B51" s="5" t="s">
        <v>168</v>
      </c>
      <c r="C51" s="5">
        <v>394045</v>
      </c>
      <c r="D51" s="6"/>
      <c r="E51" s="5" t="s">
        <v>78</v>
      </c>
      <c r="F51" s="5" t="s">
        <v>169</v>
      </c>
      <c r="G51" s="5" t="s">
        <v>80</v>
      </c>
      <c r="H51" s="7" t="s">
        <v>8</v>
      </c>
      <c r="I51" s="7" t="s">
        <v>162</v>
      </c>
      <c r="J51" s="7">
        <v>0</v>
      </c>
      <c r="K51" s="7">
        <v>3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11">
        <v>0</v>
      </c>
      <c r="BN51" s="15">
        <f t="shared" si="4"/>
        <v>0</v>
      </c>
      <c r="BO51" s="16">
        <f t="shared" si="5"/>
        <v>0</v>
      </c>
    </row>
    <row r="52" spans="1:67" x14ac:dyDescent="0.4">
      <c r="A52" s="5" t="s">
        <v>16</v>
      </c>
      <c r="B52" s="5" t="s">
        <v>77</v>
      </c>
      <c r="C52" s="5">
        <v>435954</v>
      </c>
      <c r="D52" s="6"/>
      <c r="E52" s="5" t="s">
        <v>78</v>
      </c>
      <c r="F52" s="5" t="s">
        <v>79</v>
      </c>
      <c r="G52" s="5" t="s">
        <v>80</v>
      </c>
      <c r="H52" s="7" t="s">
        <v>7</v>
      </c>
      <c r="I52" s="7" t="s">
        <v>81</v>
      </c>
      <c r="J52" s="7">
        <v>0</v>
      </c>
      <c r="K52" s="7">
        <v>25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1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415</v>
      </c>
      <c r="AC52" s="8">
        <v>70200</v>
      </c>
      <c r="AD52" s="8">
        <v>12700</v>
      </c>
      <c r="AE52" s="7">
        <v>23</v>
      </c>
      <c r="AF52" s="8">
        <v>5600</v>
      </c>
      <c r="AG52" s="8">
        <v>3600</v>
      </c>
      <c r="AH52" s="7">
        <v>313</v>
      </c>
      <c r="AI52" s="8">
        <v>63361</v>
      </c>
      <c r="AJ52" s="8">
        <v>9800</v>
      </c>
      <c r="AK52" s="7">
        <v>48</v>
      </c>
      <c r="AL52" s="8">
        <v>20392</v>
      </c>
      <c r="AM52" s="8">
        <v>2300</v>
      </c>
      <c r="AN52" s="7">
        <v>33</v>
      </c>
      <c r="AO52" s="8">
        <v>6600</v>
      </c>
      <c r="AP52" s="7">
        <v>0</v>
      </c>
      <c r="AQ52" s="7">
        <v>29</v>
      </c>
      <c r="AR52" s="8">
        <v>11300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9">
        <v>25125.9</v>
      </c>
      <c r="BM52" s="10">
        <v>205853</v>
      </c>
      <c r="BN52" s="15">
        <f t="shared" si="4"/>
        <v>180727.1</v>
      </c>
      <c r="BO52" s="16">
        <f t="shared" si="5"/>
        <v>126508.97</v>
      </c>
    </row>
    <row r="53" spans="1:67" x14ac:dyDescent="0.4">
      <c r="A53" s="5" t="s">
        <v>16</v>
      </c>
      <c r="B53" s="5" t="s">
        <v>82</v>
      </c>
      <c r="C53" s="5">
        <v>465463</v>
      </c>
      <c r="D53" s="6"/>
      <c r="E53" s="5" t="s">
        <v>78</v>
      </c>
      <c r="F53" s="5" t="s">
        <v>83</v>
      </c>
      <c r="G53" s="5" t="s">
        <v>80</v>
      </c>
      <c r="H53" s="7" t="s">
        <v>9</v>
      </c>
      <c r="I53" s="7" t="s">
        <v>84</v>
      </c>
      <c r="J53" s="7">
        <v>2</v>
      </c>
      <c r="K53" s="7">
        <v>23</v>
      </c>
      <c r="L53" s="7">
        <v>400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7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249</v>
      </c>
      <c r="AC53" s="8">
        <v>49700</v>
      </c>
      <c r="AD53" s="7">
        <v>0</v>
      </c>
      <c r="AE53" s="7">
        <v>55</v>
      </c>
      <c r="AF53" s="8">
        <v>21800</v>
      </c>
      <c r="AG53" s="7">
        <v>0</v>
      </c>
      <c r="AH53" s="7">
        <v>203</v>
      </c>
      <c r="AI53" s="8">
        <v>48600</v>
      </c>
      <c r="AJ53" s="7">
        <v>0</v>
      </c>
      <c r="AK53" s="7">
        <v>45</v>
      </c>
      <c r="AL53" s="8">
        <v>21600</v>
      </c>
      <c r="AM53" s="7">
        <v>0</v>
      </c>
      <c r="AN53" s="7">
        <v>109</v>
      </c>
      <c r="AO53" s="8">
        <v>21300</v>
      </c>
      <c r="AP53" s="7">
        <v>500</v>
      </c>
      <c r="AQ53" s="7">
        <v>53</v>
      </c>
      <c r="AR53" s="8">
        <v>20600</v>
      </c>
      <c r="AS53" s="7">
        <v>400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9">
        <v>21060</v>
      </c>
      <c r="BM53" s="10">
        <v>184900</v>
      </c>
      <c r="BN53" s="15">
        <f t="shared" si="4"/>
        <v>163840</v>
      </c>
      <c r="BO53" s="16">
        <f t="shared" si="5"/>
        <v>114688</v>
      </c>
    </row>
    <row r="54" spans="1:67" x14ac:dyDescent="0.4">
      <c r="A54" s="5" t="s">
        <v>16</v>
      </c>
      <c r="B54" s="5" t="s">
        <v>85</v>
      </c>
      <c r="C54" s="5">
        <v>465461</v>
      </c>
      <c r="D54" s="6"/>
      <c r="E54" s="5" t="s">
        <v>78</v>
      </c>
      <c r="F54" s="5" t="s">
        <v>86</v>
      </c>
      <c r="G54" s="5" t="s">
        <v>80</v>
      </c>
      <c r="H54" s="7" t="s">
        <v>7</v>
      </c>
      <c r="I54" s="7" t="s">
        <v>76</v>
      </c>
      <c r="J54" s="7">
        <v>0</v>
      </c>
      <c r="K54" s="7">
        <v>10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4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254</v>
      </c>
      <c r="AC54" s="8">
        <v>41000</v>
      </c>
      <c r="AD54" s="8">
        <v>9300</v>
      </c>
      <c r="AE54" s="7">
        <v>11</v>
      </c>
      <c r="AF54" s="8">
        <v>3900</v>
      </c>
      <c r="AG54" s="7">
        <v>400</v>
      </c>
      <c r="AH54" s="7">
        <v>142</v>
      </c>
      <c r="AI54" s="8">
        <v>26172</v>
      </c>
      <c r="AJ54" s="8">
        <v>6400</v>
      </c>
      <c r="AK54" s="7">
        <v>40</v>
      </c>
      <c r="AL54" s="8">
        <v>13920</v>
      </c>
      <c r="AM54" s="8">
        <v>4100</v>
      </c>
      <c r="AN54" s="7">
        <v>8</v>
      </c>
      <c r="AO54" s="8">
        <v>1600</v>
      </c>
      <c r="AP54" s="7">
        <v>0</v>
      </c>
      <c r="AQ54" s="7">
        <v>0</v>
      </c>
      <c r="AR54" s="7">
        <v>0</v>
      </c>
      <c r="AS54" s="7">
        <v>0</v>
      </c>
      <c r="AT54" s="7">
        <v>2</v>
      </c>
      <c r="AU54" s="7">
        <v>480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9">
        <v>12075.6</v>
      </c>
      <c r="BM54" s="10">
        <v>107272</v>
      </c>
      <c r="BN54" s="15">
        <f t="shared" si="4"/>
        <v>95196.4</v>
      </c>
      <c r="BO54" s="16">
        <f t="shared" si="5"/>
        <v>66637.48</v>
      </c>
    </row>
    <row r="55" spans="1:67" x14ac:dyDescent="0.4">
      <c r="A55" s="5" t="s">
        <v>16</v>
      </c>
      <c r="B55" s="5" t="s">
        <v>118</v>
      </c>
      <c r="C55" s="5">
        <v>448747</v>
      </c>
      <c r="D55" s="6"/>
      <c r="E55" s="5" t="s">
        <v>78</v>
      </c>
      <c r="F55" s="5" t="s">
        <v>119</v>
      </c>
      <c r="G55" s="5" t="s">
        <v>80</v>
      </c>
      <c r="H55" s="7" t="s">
        <v>7</v>
      </c>
      <c r="I55" s="7" t="s">
        <v>120</v>
      </c>
      <c r="J55" s="7">
        <v>0</v>
      </c>
      <c r="K55" s="7">
        <v>50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12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113</v>
      </c>
      <c r="AF55" s="8">
        <v>45200</v>
      </c>
      <c r="AG55" s="7">
        <v>0</v>
      </c>
      <c r="AH55" s="7">
        <v>19</v>
      </c>
      <c r="AI55" s="7">
        <v>0</v>
      </c>
      <c r="AJ55" s="8">
        <v>3800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10">
        <v>49000</v>
      </c>
      <c r="BN55" s="15">
        <f t="shared" si="4"/>
        <v>49000</v>
      </c>
      <c r="BO55" s="16">
        <f t="shared" si="5"/>
        <v>34300</v>
      </c>
    </row>
    <row r="56" spans="1:67" x14ac:dyDescent="0.4">
      <c r="A56" s="5" t="s">
        <v>16</v>
      </c>
      <c r="B56" s="5" t="s">
        <v>95</v>
      </c>
      <c r="C56" s="5">
        <v>432749</v>
      </c>
      <c r="D56" s="6"/>
      <c r="E56" s="5" t="s">
        <v>78</v>
      </c>
      <c r="F56" s="5" t="s">
        <v>96</v>
      </c>
      <c r="G56" s="5" t="s">
        <v>80</v>
      </c>
      <c r="H56" s="7" t="s">
        <v>7</v>
      </c>
      <c r="I56" s="7" t="s">
        <v>81</v>
      </c>
      <c r="J56" s="7">
        <v>0</v>
      </c>
      <c r="K56" s="7">
        <v>85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1</v>
      </c>
      <c r="AC56" s="7">
        <v>200</v>
      </c>
      <c r="AD56" s="7">
        <v>0</v>
      </c>
      <c r="AE56" s="7">
        <v>14</v>
      </c>
      <c r="AF56" s="8">
        <v>5600</v>
      </c>
      <c r="AG56" s="7">
        <v>0</v>
      </c>
      <c r="AH56" s="7">
        <v>61</v>
      </c>
      <c r="AI56" s="8">
        <v>9120</v>
      </c>
      <c r="AJ56" s="8">
        <v>4600</v>
      </c>
      <c r="AK56" s="7">
        <v>2</v>
      </c>
      <c r="AL56" s="7">
        <v>0</v>
      </c>
      <c r="AM56" s="7">
        <v>800</v>
      </c>
      <c r="AN56" s="7">
        <v>5</v>
      </c>
      <c r="AO56" s="8">
        <v>1000</v>
      </c>
      <c r="AP56" s="7">
        <v>0</v>
      </c>
      <c r="AQ56" s="7">
        <v>1</v>
      </c>
      <c r="AR56" s="7">
        <v>400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9">
        <v>2736</v>
      </c>
      <c r="BM56" s="10">
        <v>21720</v>
      </c>
      <c r="BN56" s="15">
        <f t="shared" si="4"/>
        <v>18984</v>
      </c>
      <c r="BO56" s="16">
        <f t="shared" si="5"/>
        <v>13288.8</v>
      </c>
    </row>
    <row r="57" spans="1:67" ht="19.2" x14ac:dyDescent="0.4">
      <c r="A57" s="5" t="s">
        <v>16</v>
      </c>
      <c r="B57" s="5" t="s">
        <v>109</v>
      </c>
      <c r="C57" s="5">
        <v>412451</v>
      </c>
      <c r="D57" s="6"/>
      <c r="E57" s="5" t="s">
        <v>78</v>
      </c>
      <c r="F57" s="5" t="s">
        <v>110</v>
      </c>
      <c r="G57" s="5" t="s">
        <v>80</v>
      </c>
      <c r="H57" s="7" t="s">
        <v>8</v>
      </c>
      <c r="I57" s="7" t="s">
        <v>111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4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8</v>
      </c>
      <c r="AF57" s="7">
        <v>0</v>
      </c>
      <c r="AG57" s="8">
        <v>2100</v>
      </c>
      <c r="AH57" s="7">
        <v>0</v>
      </c>
      <c r="AI57" s="7">
        <v>0</v>
      </c>
      <c r="AJ57" s="7">
        <v>0</v>
      </c>
      <c r="AK57" s="7">
        <v>37</v>
      </c>
      <c r="AL57" s="7">
        <v>0</v>
      </c>
      <c r="AM57" s="8">
        <v>13500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10">
        <v>15600</v>
      </c>
      <c r="BN57" s="15">
        <f t="shared" si="4"/>
        <v>15600</v>
      </c>
      <c r="BO57" s="16">
        <f t="shared" si="5"/>
        <v>10920</v>
      </c>
    </row>
    <row r="58" spans="1:67" x14ac:dyDescent="0.4">
      <c r="A58" s="5" t="s">
        <v>16</v>
      </c>
      <c r="B58" s="5" t="s">
        <v>100</v>
      </c>
      <c r="C58" s="5">
        <v>419155</v>
      </c>
      <c r="D58" s="6"/>
      <c r="E58" s="5" t="s">
        <v>78</v>
      </c>
      <c r="F58" s="5" t="s">
        <v>101</v>
      </c>
      <c r="G58" s="5" t="s">
        <v>80</v>
      </c>
      <c r="H58" s="7" t="s">
        <v>7</v>
      </c>
      <c r="I58" s="7" t="s">
        <v>102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3</v>
      </c>
      <c r="AF58" s="8">
        <v>1500</v>
      </c>
      <c r="AG58" s="7">
        <v>0</v>
      </c>
      <c r="AH58" s="7">
        <v>39</v>
      </c>
      <c r="AI58" s="8">
        <v>14040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9">
        <v>4212</v>
      </c>
      <c r="BM58" s="10">
        <v>15540</v>
      </c>
      <c r="BN58" s="15">
        <f t="shared" si="4"/>
        <v>11328</v>
      </c>
      <c r="BO58" s="16">
        <f t="shared" si="5"/>
        <v>7929.5999999999995</v>
      </c>
    </row>
    <row r="59" spans="1:67" x14ac:dyDescent="0.4">
      <c r="A59" s="5" t="s">
        <v>16</v>
      </c>
      <c r="B59" s="5" t="s">
        <v>92</v>
      </c>
      <c r="C59" s="5">
        <v>467630</v>
      </c>
      <c r="D59" s="6"/>
      <c r="E59" s="5" t="s">
        <v>78</v>
      </c>
      <c r="F59" s="5" t="s">
        <v>93</v>
      </c>
      <c r="G59" s="5" t="s">
        <v>80</v>
      </c>
      <c r="H59" s="7" t="s">
        <v>8</v>
      </c>
      <c r="I59" s="7" t="s">
        <v>94</v>
      </c>
      <c r="J59" s="7">
        <v>0</v>
      </c>
      <c r="K59" s="7">
        <v>4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1</v>
      </c>
      <c r="AC59" s="7">
        <v>200</v>
      </c>
      <c r="AD59" s="7">
        <v>0</v>
      </c>
      <c r="AE59" s="7">
        <v>0</v>
      </c>
      <c r="AF59" s="7">
        <v>0</v>
      </c>
      <c r="AG59" s="7">
        <v>0</v>
      </c>
      <c r="AH59" s="7">
        <v>61</v>
      </c>
      <c r="AI59" s="7">
        <v>480</v>
      </c>
      <c r="AJ59" s="8">
        <v>11800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144</v>
      </c>
      <c r="BM59" s="10">
        <v>12480</v>
      </c>
      <c r="BN59" s="15">
        <f t="shared" si="4"/>
        <v>12336</v>
      </c>
      <c r="BO59" s="16">
        <f t="shared" si="5"/>
        <v>8635.1999999999989</v>
      </c>
    </row>
    <row r="60" spans="1:67" x14ac:dyDescent="0.4">
      <c r="A60" s="5" t="s">
        <v>16</v>
      </c>
      <c r="B60" s="5" t="s">
        <v>126</v>
      </c>
      <c r="C60" s="5">
        <v>436040</v>
      </c>
      <c r="D60" s="6"/>
      <c r="E60" s="5" t="s">
        <v>78</v>
      </c>
      <c r="F60" s="5" t="s">
        <v>127</v>
      </c>
      <c r="G60" s="5" t="s">
        <v>80</v>
      </c>
      <c r="H60" s="7" t="s">
        <v>8</v>
      </c>
      <c r="I60" s="7" t="s">
        <v>128</v>
      </c>
      <c r="J60" s="7">
        <v>0</v>
      </c>
      <c r="K60" s="7">
        <v>3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35</v>
      </c>
      <c r="AI60" s="8">
        <v>8400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9">
        <v>2520</v>
      </c>
      <c r="BM60" s="10">
        <v>8400</v>
      </c>
      <c r="BN60" s="15">
        <f t="shared" si="4"/>
        <v>5880</v>
      </c>
      <c r="BO60" s="16">
        <f t="shared" si="5"/>
        <v>4116</v>
      </c>
    </row>
    <row r="61" spans="1:67" x14ac:dyDescent="0.4">
      <c r="A61" s="5" t="s">
        <v>16</v>
      </c>
      <c r="B61" s="5" t="s">
        <v>97</v>
      </c>
      <c r="C61" s="5">
        <v>307024</v>
      </c>
      <c r="D61" s="6"/>
      <c r="E61" s="5" t="s">
        <v>78</v>
      </c>
      <c r="F61" s="5" t="s">
        <v>98</v>
      </c>
      <c r="G61" s="5" t="s">
        <v>80</v>
      </c>
      <c r="H61" s="7" t="s">
        <v>7</v>
      </c>
      <c r="I61" s="7" t="s">
        <v>99</v>
      </c>
      <c r="J61" s="7">
        <v>0</v>
      </c>
      <c r="K61" s="7">
        <v>6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1</v>
      </c>
      <c r="AC61" s="7">
        <v>100</v>
      </c>
      <c r="AD61" s="7">
        <v>0</v>
      </c>
      <c r="AE61" s="7">
        <v>0</v>
      </c>
      <c r="AF61" s="7">
        <v>0</v>
      </c>
      <c r="AG61" s="7">
        <v>0</v>
      </c>
      <c r="AH61" s="7">
        <v>68</v>
      </c>
      <c r="AI61" s="8">
        <v>6720</v>
      </c>
      <c r="AJ61" s="8">
        <v>1200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9">
        <v>2016</v>
      </c>
      <c r="BM61" s="10">
        <v>8020</v>
      </c>
      <c r="BN61" s="15">
        <f t="shared" si="4"/>
        <v>6004</v>
      </c>
      <c r="BO61" s="16">
        <f t="shared" si="5"/>
        <v>4202.8</v>
      </c>
    </row>
    <row r="62" spans="1:67" x14ac:dyDescent="0.4">
      <c r="A62" s="5" t="s">
        <v>16</v>
      </c>
      <c r="B62" s="5" t="s">
        <v>121</v>
      </c>
      <c r="C62" s="5">
        <v>351760</v>
      </c>
      <c r="D62" s="6"/>
      <c r="E62" s="5" t="s">
        <v>78</v>
      </c>
      <c r="F62" s="5" t="s">
        <v>122</v>
      </c>
      <c r="G62" s="5" t="s">
        <v>80</v>
      </c>
      <c r="H62" s="7" t="s">
        <v>7</v>
      </c>
      <c r="I62" s="7" t="s">
        <v>123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23</v>
      </c>
      <c r="AC62" s="8">
        <v>4600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10">
        <v>4600</v>
      </c>
      <c r="BN62" s="15">
        <f t="shared" si="4"/>
        <v>4600</v>
      </c>
      <c r="BO62" s="16">
        <f t="shared" si="5"/>
        <v>3220</v>
      </c>
    </row>
    <row r="63" spans="1:67" x14ac:dyDescent="0.4">
      <c r="A63" s="5" t="s">
        <v>16</v>
      </c>
      <c r="B63" s="5" t="s">
        <v>112</v>
      </c>
      <c r="C63" s="5">
        <v>336507</v>
      </c>
      <c r="D63" s="6"/>
      <c r="E63" s="5" t="s">
        <v>78</v>
      </c>
      <c r="F63" s="5" t="s">
        <v>113</v>
      </c>
      <c r="G63" s="5" t="s">
        <v>80</v>
      </c>
      <c r="H63" s="7" t="s">
        <v>8</v>
      </c>
      <c r="I63" s="7" t="s">
        <v>114</v>
      </c>
      <c r="J63" s="7">
        <v>1</v>
      </c>
      <c r="K63" s="7">
        <v>0</v>
      </c>
      <c r="L63" s="7">
        <v>200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16</v>
      </c>
      <c r="AI63" s="8">
        <v>3840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9">
        <v>1152</v>
      </c>
      <c r="BM63" s="10">
        <v>4040</v>
      </c>
      <c r="BN63" s="15">
        <f t="shared" si="4"/>
        <v>2888</v>
      </c>
      <c r="BO63" s="16">
        <f t="shared" si="5"/>
        <v>2021.6</v>
      </c>
    </row>
    <row r="64" spans="1:67" x14ac:dyDescent="0.4">
      <c r="A64" s="5" t="s">
        <v>16</v>
      </c>
      <c r="B64" s="5" t="s">
        <v>87</v>
      </c>
      <c r="C64" s="5">
        <v>423525</v>
      </c>
      <c r="D64" s="6"/>
      <c r="E64" s="5" t="s">
        <v>78</v>
      </c>
      <c r="F64" s="5" t="s">
        <v>88</v>
      </c>
      <c r="G64" s="5" t="s">
        <v>80</v>
      </c>
      <c r="H64" s="7" t="s">
        <v>7</v>
      </c>
      <c r="I64" s="7" t="s">
        <v>76</v>
      </c>
      <c r="J64" s="7">
        <v>0</v>
      </c>
      <c r="K64" s="7">
        <v>288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7</v>
      </c>
      <c r="AC64" s="8">
        <v>1400</v>
      </c>
      <c r="AD64" s="7">
        <v>0</v>
      </c>
      <c r="AE64" s="7">
        <v>0</v>
      </c>
      <c r="AF64" s="7">
        <v>0</v>
      </c>
      <c r="AG64" s="7">
        <v>0</v>
      </c>
      <c r="AH64" s="7">
        <v>4</v>
      </c>
      <c r="AI64" s="7">
        <v>240</v>
      </c>
      <c r="AJ64" s="7">
        <v>600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6</v>
      </c>
      <c r="BA64" s="8">
        <v>1440</v>
      </c>
      <c r="BB64" s="7">
        <v>0</v>
      </c>
      <c r="BC64" s="7">
        <v>0</v>
      </c>
      <c r="BD64" s="7">
        <v>0</v>
      </c>
      <c r="BE64" s="7">
        <v>0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158.4</v>
      </c>
      <c r="BM64" s="10">
        <v>3680</v>
      </c>
      <c r="BN64" s="15">
        <f t="shared" si="4"/>
        <v>3521.6</v>
      </c>
      <c r="BO64" s="16">
        <f t="shared" si="5"/>
        <v>2465.12</v>
      </c>
    </row>
    <row r="65" spans="1:67" ht="19.2" x14ac:dyDescent="0.4">
      <c r="A65" s="5" t="s">
        <v>16</v>
      </c>
      <c r="B65" s="5" t="s">
        <v>89</v>
      </c>
      <c r="C65" s="5">
        <v>380491</v>
      </c>
      <c r="D65" s="6"/>
      <c r="E65" s="5" t="s">
        <v>78</v>
      </c>
      <c r="F65" s="5" t="s">
        <v>90</v>
      </c>
      <c r="G65" s="5" t="s">
        <v>80</v>
      </c>
      <c r="H65" s="7" t="s">
        <v>7</v>
      </c>
      <c r="I65" s="7" t="s">
        <v>91</v>
      </c>
      <c r="J65" s="7">
        <v>0</v>
      </c>
      <c r="K65" s="7">
        <v>205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1</v>
      </c>
      <c r="AC65" s="7">
        <v>0</v>
      </c>
      <c r="AD65" s="7">
        <v>100</v>
      </c>
      <c r="AE65" s="7">
        <v>0</v>
      </c>
      <c r="AF65" s="7">
        <v>0</v>
      </c>
      <c r="AG65" s="7">
        <v>0</v>
      </c>
      <c r="AH65" s="7">
        <v>27</v>
      </c>
      <c r="AI65" s="7">
        <v>0</v>
      </c>
      <c r="AJ65" s="8">
        <v>2700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10">
        <v>2800</v>
      </c>
      <c r="BN65" s="15">
        <f t="shared" si="4"/>
        <v>2800</v>
      </c>
      <c r="BO65" s="16">
        <f t="shared" si="5"/>
        <v>1959.9999999999998</v>
      </c>
    </row>
    <row r="66" spans="1:67" ht="19.2" x14ac:dyDescent="0.4">
      <c r="A66" s="5" t="s">
        <v>16</v>
      </c>
      <c r="B66" s="5" t="s">
        <v>138</v>
      </c>
      <c r="C66" s="5">
        <v>434897</v>
      </c>
      <c r="D66" s="6"/>
      <c r="E66" s="5" t="s">
        <v>78</v>
      </c>
      <c r="F66" s="5" t="s">
        <v>139</v>
      </c>
      <c r="G66" s="5" t="s">
        <v>80</v>
      </c>
      <c r="H66" s="7" t="s">
        <v>8</v>
      </c>
      <c r="I66" s="7" t="s">
        <v>12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14</v>
      </c>
      <c r="AO66" s="8">
        <v>2800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10">
        <v>2800</v>
      </c>
      <c r="BN66" s="15">
        <f t="shared" si="4"/>
        <v>2800</v>
      </c>
      <c r="BO66" s="16">
        <f t="shared" si="5"/>
        <v>1959.9999999999998</v>
      </c>
    </row>
    <row r="67" spans="1:67" x14ac:dyDescent="0.4">
      <c r="A67" s="5" t="s">
        <v>16</v>
      </c>
      <c r="B67" s="5" t="s">
        <v>103</v>
      </c>
      <c r="C67" s="5">
        <v>351846</v>
      </c>
      <c r="D67" s="6"/>
      <c r="E67" s="5" t="s">
        <v>78</v>
      </c>
      <c r="F67" s="5" t="s">
        <v>104</v>
      </c>
      <c r="G67" s="5" t="s">
        <v>80</v>
      </c>
      <c r="H67" s="7" t="s">
        <v>7</v>
      </c>
      <c r="I67" s="7" t="s">
        <v>105</v>
      </c>
      <c r="J67" s="7">
        <v>0</v>
      </c>
      <c r="K67" s="7">
        <v>211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21</v>
      </c>
      <c r="AC67" s="8">
        <v>2100</v>
      </c>
      <c r="AD67" s="7">
        <v>0</v>
      </c>
      <c r="AE67" s="7">
        <v>0</v>
      </c>
      <c r="AF67" s="7">
        <v>0</v>
      </c>
      <c r="AG67" s="7">
        <v>0</v>
      </c>
      <c r="AH67" s="7">
        <v>6</v>
      </c>
      <c r="AI67" s="7">
        <v>120</v>
      </c>
      <c r="AJ67" s="7">
        <v>500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36</v>
      </c>
      <c r="BM67" s="10">
        <v>2720</v>
      </c>
      <c r="BN67" s="15">
        <f t="shared" si="4"/>
        <v>2684</v>
      </c>
      <c r="BO67" s="16">
        <f t="shared" si="5"/>
        <v>1878.8</v>
      </c>
    </row>
    <row r="68" spans="1:67" x14ac:dyDescent="0.4">
      <c r="A68" s="5" t="s">
        <v>16</v>
      </c>
      <c r="B68" s="5" t="s">
        <v>143</v>
      </c>
      <c r="C68" s="5">
        <v>383201</v>
      </c>
      <c r="D68" s="6"/>
      <c r="E68" s="5" t="s">
        <v>78</v>
      </c>
      <c r="F68" s="5" t="s">
        <v>144</v>
      </c>
      <c r="G68" s="5" t="s">
        <v>80</v>
      </c>
      <c r="H68" s="7" t="s">
        <v>7</v>
      </c>
      <c r="I68" s="7" t="s">
        <v>145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1</v>
      </c>
      <c r="AC68" s="7">
        <v>200</v>
      </c>
      <c r="AD68" s="7">
        <v>0</v>
      </c>
      <c r="AE68" s="7">
        <v>0</v>
      </c>
      <c r="AF68" s="7">
        <v>0</v>
      </c>
      <c r="AG68" s="7">
        <v>0</v>
      </c>
      <c r="AH68" s="7">
        <v>1</v>
      </c>
      <c r="AI68" s="7">
        <v>0</v>
      </c>
      <c r="AJ68" s="7">
        <v>200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11">
        <v>400</v>
      </c>
      <c r="BN68" s="15">
        <f t="shared" si="4"/>
        <v>400</v>
      </c>
      <c r="BO68" s="16">
        <f t="shared" si="5"/>
        <v>280</v>
      </c>
    </row>
    <row r="69" spans="1:67" x14ac:dyDescent="0.4">
      <c r="A69" s="5" t="s">
        <v>16</v>
      </c>
      <c r="B69" s="5" t="s">
        <v>140</v>
      </c>
      <c r="C69" s="5">
        <v>308339</v>
      </c>
      <c r="D69" s="6"/>
      <c r="E69" s="5" t="s">
        <v>78</v>
      </c>
      <c r="F69" s="5" t="s">
        <v>141</v>
      </c>
      <c r="G69" s="5" t="s">
        <v>80</v>
      </c>
      <c r="H69" s="7" t="s">
        <v>7</v>
      </c>
      <c r="I69" s="7" t="s">
        <v>142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1</v>
      </c>
      <c r="AI69" s="7">
        <v>240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72</v>
      </c>
      <c r="BM69" s="11">
        <v>240</v>
      </c>
      <c r="BN69" s="15">
        <f t="shared" si="4"/>
        <v>168</v>
      </c>
      <c r="BO69" s="16">
        <f t="shared" si="5"/>
        <v>117.6</v>
      </c>
    </row>
    <row r="70" spans="1:67" x14ac:dyDescent="0.4">
      <c r="A70" s="5" t="s">
        <v>16</v>
      </c>
      <c r="B70" s="5" t="s">
        <v>152</v>
      </c>
      <c r="C70" s="5">
        <v>406076</v>
      </c>
      <c r="D70" s="6"/>
      <c r="E70" s="5" t="s">
        <v>78</v>
      </c>
      <c r="F70" s="5" t="s">
        <v>153</v>
      </c>
      <c r="G70" s="5" t="s">
        <v>80</v>
      </c>
      <c r="H70" s="7" t="s">
        <v>8</v>
      </c>
      <c r="I70" s="7" t="s">
        <v>154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1</v>
      </c>
      <c r="AC70" s="7">
        <v>200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11">
        <v>200</v>
      </c>
      <c r="BN70" s="15">
        <f t="shared" si="4"/>
        <v>200</v>
      </c>
      <c r="BO70" s="16">
        <f t="shared" si="5"/>
        <v>140</v>
      </c>
    </row>
    <row r="71" spans="1:67" x14ac:dyDescent="0.4">
      <c r="A71" s="5" t="s">
        <v>16</v>
      </c>
      <c r="B71" s="5" t="s">
        <v>150</v>
      </c>
      <c r="C71" s="5">
        <v>403837</v>
      </c>
      <c r="D71" s="6"/>
      <c r="E71" s="5" t="s">
        <v>78</v>
      </c>
      <c r="F71" s="5" t="s">
        <v>151</v>
      </c>
      <c r="G71" s="5" t="s">
        <v>80</v>
      </c>
      <c r="H71" s="7" t="s">
        <v>7</v>
      </c>
      <c r="I71" s="7" t="s">
        <v>91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1</v>
      </c>
      <c r="AI71" s="7">
        <v>0</v>
      </c>
      <c r="AJ71" s="7">
        <v>200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7">
        <v>0</v>
      </c>
      <c r="BM71" s="11">
        <v>200</v>
      </c>
      <c r="BN71" s="15">
        <f t="shared" si="4"/>
        <v>200</v>
      </c>
      <c r="BO71" s="16">
        <f t="shared" si="5"/>
        <v>140</v>
      </c>
    </row>
    <row r="72" spans="1:67" x14ac:dyDescent="0.4">
      <c r="A72" s="5" t="s">
        <v>16</v>
      </c>
      <c r="B72" s="5" t="s">
        <v>160</v>
      </c>
      <c r="C72" s="5">
        <v>393567</v>
      </c>
      <c r="D72" s="6"/>
      <c r="E72" s="5" t="s">
        <v>78</v>
      </c>
      <c r="F72" s="5" t="s">
        <v>161</v>
      </c>
      <c r="G72" s="5" t="s">
        <v>80</v>
      </c>
      <c r="H72" s="7" t="s">
        <v>8</v>
      </c>
      <c r="I72" s="7" t="s">
        <v>162</v>
      </c>
      <c r="J72" s="7">
        <v>0</v>
      </c>
      <c r="K72" s="7">
        <v>161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11">
        <v>0</v>
      </c>
      <c r="BN72" s="15">
        <f t="shared" si="4"/>
        <v>0</v>
      </c>
      <c r="BO72" s="16">
        <f t="shared" si="5"/>
        <v>0</v>
      </c>
    </row>
    <row r="73" spans="1:67" x14ac:dyDescent="0.4">
      <c r="A73" s="5" t="s">
        <v>170</v>
      </c>
      <c r="B73" s="5" t="s">
        <v>118</v>
      </c>
      <c r="C73" s="5">
        <v>448747</v>
      </c>
      <c r="D73" s="6"/>
      <c r="E73" s="5" t="s">
        <v>78</v>
      </c>
      <c r="F73" s="5" t="s">
        <v>119</v>
      </c>
      <c r="G73" s="5" t="s">
        <v>80</v>
      </c>
      <c r="H73" s="7" t="s">
        <v>7</v>
      </c>
      <c r="I73" s="7" t="s">
        <v>120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2</v>
      </c>
      <c r="AC73" s="7">
        <v>200</v>
      </c>
      <c r="AD73" s="7">
        <v>200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11">
        <v>400</v>
      </c>
      <c r="BN73" s="15">
        <f t="shared" ref="BN73:BN75" si="6">BM73-BL73</f>
        <v>400</v>
      </c>
      <c r="BO73" s="16">
        <f t="shared" ref="BO73:BO75" si="7">BN73*70%</f>
        <v>280</v>
      </c>
    </row>
    <row r="74" spans="1:67" x14ac:dyDescent="0.4">
      <c r="A74" s="5" t="s">
        <v>171</v>
      </c>
      <c r="B74" s="5" t="s">
        <v>118</v>
      </c>
      <c r="C74" s="5">
        <v>448747</v>
      </c>
      <c r="D74" s="6"/>
      <c r="E74" s="5" t="s">
        <v>78</v>
      </c>
      <c r="F74" s="5" t="s">
        <v>119</v>
      </c>
      <c r="G74" s="5" t="s">
        <v>80</v>
      </c>
      <c r="H74" s="7" t="s">
        <v>7</v>
      </c>
      <c r="I74" s="7" t="s">
        <v>120</v>
      </c>
      <c r="J74" s="7">
        <v>0</v>
      </c>
      <c r="K74" s="8">
        <v>2341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31</v>
      </c>
      <c r="AC74" s="7">
        <v>400</v>
      </c>
      <c r="AD74" s="8">
        <v>5700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119</v>
      </c>
      <c r="AU74" s="8">
        <v>28560</v>
      </c>
      <c r="AV74" s="7">
        <v>0</v>
      </c>
      <c r="AW74" s="7">
        <v>0</v>
      </c>
      <c r="AX74" s="7">
        <v>0</v>
      </c>
      <c r="AY74" s="7">
        <v>0</v>
      </c>
      <c r="AZ74" s="7">
        <v>7</v>
      </c>
      <c r="BA74" s="8">
        <v>1560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9">
        <v>2949.6</v>
      </c>
      <c r="BM74" s="10">
        <v>36220</v>
      </c>
      <c r="BN74" s="15">
        <f t="shared" si="6"/>
        <v>33270.400000000001</v>
      </c>
      <c r="BO74" s="16">
        <f t="shared" si="7"/>
        <v>23289.279999999999</v>
      </c>
    </row>
    <row r="75" spans="1:67" x14ac:dyDescent="0.4">
      <c r="A75" s="5" t="s">
        <v>172</v>
      </c>
      <c r="B75" s="5" t="s">
        <v>118</v>
      </c>
      <c r="C75" s="5">
        <v>448747</v>
      </c>
      <c r="D75" s="6"/>
      <c r="E75" s="5" t="s">
        <v>78</v>
      </c>
      <c r="F75" s="5" t="s">
        <v>119</v>
      </c>
      <c r="G75" s="5" t="s">
        <v>80</v>
      </c>
      <c r="H75" s="7" t="s">
        <v>7</v>
      </c>
      <c r="I75" s="7" t="s">
        <v>120</v>
      </c>
      <c r="J75" s="7">
        <v>0</v>
      </c>
      <c r="K75" s="7">
        <v>979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5</v>
      </c>
      <c r="AC75" s="7">
        <v>600</v>
      </c>
      <c r="AD75" s="7">
        <v>300</v>
      </c>
      <c r="AE75" s="7">
        <v>0</v>
      </c>
      <c r="AF75" s="7">
        <v>0</v>
      </c>
      <c r="AG75" s="7">
        <v>0</v>
      </c>
      <c r="AH75" s="7">
        <v>96</v>
      </c>
      <c r="AI75" s="8">
        <v>5760</v>
      </c>
      <c r="AJ75" s="8">
        <v>14300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9">
        <v>1728</v>
      </c>
      <c r="BM75" s="10">
        <v>20960</v>
      </c>
      <c r="BN75" s="15">
        <f t="shared" si="6"/>
        <v>19232</v>
      </c>
      <c r="BO75" s="16">
        <f t="shared" si="7"/>
        <v>13462.4</v>
      </c>
    </row>
    <row r="76" spans="1:67" x14ac:dyDescent="0.4">
      <c r="A76" s="5"/>
      <c r="B76" s="5"/>
      <c r="C76" s="5"/>
      <c r="D76" s="6"/>
      <c r="E76" s="5"/>
      <c r="F76" s="5"/>
      <c r="G76" s="5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8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21">
        <f>SUM(BM2:BM75)</f>
        <v>2638574</v>
      </c>
      <c r="BO76" s="18">
        <f>SUM(BO2:BO75)</f>
        <v>1739131.52</v>
      </c>
    </row>
    <row r="77" spans="1:67" x14ac:dyDescent="0.4">
      <c r="A77" s="5"/>
      <c r="B77" s="5"/>
      <c r="C77" s="5"/>
      <c r="D77" s="6"/>
      <c r="E77" s="5"/>
      <c r="F77" s="5"/>
      <c r="G77" s="5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8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10"/>
    </row>
    <row r="78" spans="1:67" x14ac:dyDescent="0.4">
      <c r="A78" s="5"/>
      <c r="B78" s="5"/>
      <c r="C78" s="5"/>
      <c r="D78" s="6"/>
      <c r="E78" s="5"/>
      <c r="F78" s="5"/>
      <c r="G78" s="5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8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10"/>
    </row>
    <row r="79" spans="1:67" x14ac:dyDescent="0.4">
      <c r="A79" s="5"/>
      <c r="B79" s="5"/>
      <c r="C79" s="5"/>
      <c r="D79" s="6"/>
      <c r="E79" s="5"/>
      <c r="F79" s="5"/>
      <c r="G79" s="5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8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10"/>
    </row>
    <row r="80" spans="1:67" x14ac:dyDescent="0.4">
      <c r="A80" s="5"/>
      <c r="B80" s="5"/>
      <c r="C80" s="5"/>
      <c r="D80" s="6"/>
      <c r="E80" s="5"/>
      <c r="F80" s="5"/>
      <c r="G80" s="5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8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10"/>
    </row>
    <row r="81" spans="1:65" x14ac:dyDescent="0.4">
      <c r="A81" s="5"/>
      <c r="B81" s="5"/>
      <c r="C81" s="5"/>
      <c r="D81" s="6"/>
      <c r="E81" s="5"/>
      <c r="F81" s="5"/>
      <c r="G81" s="5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8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10"/>
    </row>
    <row r="82" spans="1:65" x14ac:dyDescent="0.4">
      <c r="A82" s="5"/>
      <c r="B82" s="5"/>
      <c r="C82" s="5"/>
      <c r="D82" s="6"/>
      <c r="E82" s="5"/>
      <c r="F82" s="5"/>
      <c r="G82" s="5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8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10"/>
    </row>
    <row r="83" spans="1:65" x14ac:dyDescent="0.4">
      <c r="A83" s="5"/>
      <c r="B83" s="5"/>
      <c r="C83" s="5"/>
      <c r="D83" s="6"/>
      <c r="E83" s="5"/>
      <c r="F83" s="5"/>
      <c r="G83" s="5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8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10"/>
    </row>
    <row r="84" spans="1:65" x14ac:dyDescent="0.4">
      <c r="A84" s="5"/>
      <c r="B84" s="5"/>
      <c r="C84" s="5"/>
      <c r="D84" s="6"/>
      <c r="E84" s="5"/>
      <c r="F84" s="5"/>
      <c r="G84" s="5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8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10"/>
    </row>
    <row r="85" spans="1:65" x14ac:dyDescent="0.4">
      <c r="A85" s="5"/>
      <c r="B85" s="5"/>
      <c r="C85" s="5"/>
      <c r="D85" s="6"/>
      <c r="E85" s="5"/>
      <c r="F85" s="5"/>
      <c r="G85" s="5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8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10"/>
    </row>
    <row r="86" spans="1:65" x14ac:dyDescent="0.4">
      <c r="A86" s="5"/>
      <c r="B86" s="5"/>
      <c r="C86" s="5"/>
      <c r="D86" s="6"/>
      <c r="E86" s="5"/>
      <c r="F86" s="5"/>
      <c r="G86" s="5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8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10"/>
    </row>
    <row r="87" spans="1:65" x14ac:dyDescent="0.4">
      <c r="A87" s="5"/>
      <c r="B87" s="5"/>
      <c r="C87" s="5"/>
      <c r="D87" s="6"/>
      <c r="E87" s="5"/>
      <c r="F87" s="5"/>
      <c r="G87" s="5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8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10"/>
    </row>
    <row r="88" spans="1:65" x14ac:dyDescent="0.4">
      <c r="A88" s="5"/>
      <c r="B88" s="5"/>
      <c r="C88" s="5"/>
      <c r="D88" s="6"/>
      <c r="E88" s="5"/>
      <c r="F88" s="5"/>
      <c r="G88" s="5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8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8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10"/>
    </row>
    <row r="89" spans="1:65" x14ac:dyDescent="0.4">
      <c r="A89" s="5"/>
      <c r="B89" s="5"/>
      <c r="C89" s="5"/>
      <c r="D89" s="6"/>
      <c r="E89" s="5"/>
      <c r="F89" s="5"/>
      <c r="G89" s="5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8"/>
      <c r="AG89" s="8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10"/>
    </row>
    <row r="90" spans="1:65" x14ac:dyDescent="0.4">
      <c r="A90" s="5"/>
      <c r="B90" s="5"/>
      <c r="C90" s="5"/>
      <c r="D90" s="6"/>
      <c r="E90" s="5"/>
      <c r="F90" s="5"/>
      <c r="G90" s="5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8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10"/>
    </row>
    <row r="91" spans="1:65" x14ac:dyDescent="0.4">
      <c r="A91" s="5"/>
      <c r="B91" s="5"/>
      <c r="C91" s="5"/>
      <c r="D91" s="6"/>
      <c r="E91" s="5"/>
      <c r="F91" s="5"/>
      <c r="G91" s="5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8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10"/>
    </row>
    <row r="92" spans="1:65" x14ac:dyDescent="0.4">
      <c r="A92" s="5"/>
      <c r="B92" s="5"/>
      <c r="C92" s="5"/>
      <c r="D92" s="6"/>
      <c r="E92" s="5"/>
      <c r="F92" s="5"/>
      <c r="G92" s="5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8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8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10"/>
    </row>
    <row r="93" spans="1:65" x14ac:dyDescent="0.4">
      <c r="A93" s="5"/>
      <c r="B93" s="5"/>
      <c r="C93" s="5"/>
      <c r="D93" s="6"/>
      <c r="E93" s="5"/>
      <c r="F93" s="5"/>
      <c r="G93" s="5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8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10"/>
    </row>
    <row r="94" spans="1:65" x14ac:dyDescent="0.4">
      <c r="A94" s="5"/>
      <c r="B94" s="5"/>
      <c r="C94" s="5"/>
      <c r="D94" s="6"/>
      <c r="E94" s="5"/>
      <c r="F94" s="5"/>
      <c r="G94" s="5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8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10"/>
    </row>
    <row r="95" spans="1:65" x14ac:dyDescent="0.4">
      <c r="A95" s="5"/>
      <c r="B95" s="5"/>
      <c r="C95" s="5"/>
      <c r="D95" s="6"/>
      <c r="E95" s="5"/>
      <c r="F95" s="5"/>
      <c r="G95" s="5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8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10"/>
    </row>
    <row r="96" spans="1:65" x14ac:dyDescent="0.4">
      <c r="A96" s="5"/>
      <c r="B96" s="5"/>
      <c r="C96" s="5"/>
      <c r="D96" s="6"/>
      <c r="E96" s="5"/>
      <c r="F96" s="5"/>
      <c r="G96" s="5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8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10"/>
    </row>
    <row r="97" spans="1:65" x14ac:dyDescent="0.4">
      <c r="A97" s="5"/>
      <c r="B97" s="5"/>
      <c r="C97" s="5"/>
      <c r="D97" s="6"/>
      <c r="E97" s="5"/>
      <c r="F97" s="5"/>
      <c r="G97" s="5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8"/>
      <c r="AG97" s="8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10"/>
    </row>
    <row r="98" spans="1:65" x14ac:dyDescent="0.4">
      <c r="A98" s="5"/>
      <c r="B98" s="5"/>
      <c r="C98" s="5"/>
      <c r="D98" s="6"/>
      <c r="E98" s="5"/>
      <c r="F98" s="5"/>
      <c r="G98" s="5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8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10"/>
    </row>
    <row r="99" spans="1:65" x14ac:dyDescent="0.4">
      <c r="A99" s="5"/>
      <c r="B99" s="5"/>
      <c r="C99" s="5"/>
      <c r="D99" s="6"/>
      <c r="E99" s="5"/>
      <c r="F99" s="5"/>
      <c r="G99" s="5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8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10"/>
    </row>
    <row r="100" spans="1:65" x14ac:dyDescent="0.4">
      <c r="A100" s="5"/>
      <c r="B100" s="5"/>
      <c r="C100" s="5"/>
      <c r="D100" s="6"/>
      <c r="E100" s="5"/>
      <c r="F100" s="5"/>
      <c r="G100" s="5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8"/>
      <c r="AG100" s="8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10"/>
    </row>
    <row r="101" spans="1:65" x14ac:dyDescent="0.4">
      <c r="A101" s="5"/>
      <c r="B101" s="5"/>
      <c r="C101" s="5"/>
      <c r="D101" s="6"/>
      <c r="E101" s="5"/>
      <c r="F101" s="5"/>
      <c r="G101" s="5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8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10"/>
    </row>
    <row r="102" spans="1:65" x14ac:dyDescent="0.4">
      <c r="A102" s="5"/>
      <c r="B102" s="5"/>
      <c r="C102" s="5"/>
      <c r="D102" s="6"/>
      <c r="E102" s="5"/>
      <c r="F102" s="5"/>
      <c r="G102" s="5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8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8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10"/>
    </row>
    <row r="103" spans="1:65" x14ac:dyDescent="0.4">
      <c r="A103" s="5"/>
      <c r="B103" s="5"/>
      <c r="C103" s="5"/>
      <c r="D103" s="6"/>
      <c r="E103" s="5"/>
      <c r="F103" s="5"/>
      <c r="G103" s="5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8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10"/>
    </row>
    <row r="104" spans="1:65" x14ac:dyDescent="0.4">
      <c r="A104" s="5"/>
      <c r="B104" s="5"/>
      <c r="C104" s="5"/>
      <c r="D104" s="6"/>
      <c r="E104" s="5"/>
      <c r="F104" s="5"/>
      <c r="G104" s="5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8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10"/>
    </row>
    <row r="105" spans="1:65" x14ac:dyDescent="0.4">
      <c r="A105" s="5"/>
      <c r="B105" s="5"/>
      <c r="C105" s="5"/>
      <c r="D105" s="6"/>
      <c r="E105" s="5"/>
      <c r="F105" s="5"/>
      <c r="G105" s="5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8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10"/>
    </row>
    <row r="106" spans="1:65" x14ac:dyDescent="0.4">
      <c r="A106" s="5"/>
      <c r="B106" s="5"/>
      <c r="C106" s="5"/>
      <c r="D106" s="6"/>
      <c r="E106" s="5"/>
      <c r="F106" s="5"/>
      <c r="G106" s="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8"/>
      <c r="AG106" s="8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8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10"/>
    </row>
    <row r="107" spans="1:65" x14ac:dyDescent="0.4">
      <c r="A107" s="5"/>
      <c r="B107" s="5"/>
      <c r="C107" s="5"/>
      <c r="D107" s="6"/>
      <c r="E107" s="5"/>
      <c r="F107" s="5"/>
      <c r="G107" s="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8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10"/>
    </row>
    <row r="108" spans="1:65" x14ac:dyDescent="0.4">
      <c r="A108" s="5"/>
      <c r="B108" s="5"/>
      <c r="C108" s="5"/>
      <c r="D108" s="6"/>
      <c r="E108" s="5"/>
      <c r="F108" s="5"/>
      <c r="G108" s="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8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10"/>
    </row>
    <row r="109" spans="1:65" x14ac:dyDescent="0.4">
      <c r="A109" s="5"/>
      <c r="B109" s="5"/>
      <c r="C109" s="5"/>
      <c r="D109" s="6"/>
      <c r="E109" s="5"/>
      <c r="F109" s="5"/>
      <c r="G109" s="5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8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10"/>
    </row>
    <row r="110" spans="1:65" x14ac:dyDescent="0.4">
      <c r="A110" s="5"/>
      <c r="B110" s="5"/>
      <c r="C110" s="5"/>
      <c r="D110" s="6"/>
      <c r="E110" s="5"/>
      <c r="F110" s="5"/>
      <c r="G110" s="5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8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10"/>
    </row>
    <row r="111" spans="1:65" x14ac:dyDescent="0.4">
      <c r="A111" s="5"/>
      <c r="B111" s="5"/>
      <c r="C111" s="5"/>
      <c r="D111" s="6"/>
      <c r="E111" s="5"/>
      <c r="F111" s="5"/>
      <c r="G111" s="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8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10"/>
    </row>
    <row r="112" spans="1:65" x14ac:dyDescent="0.4">
      <c r="A112" s="5"/>
      <c r="B112" s="5"/>
      <c r="C112" s="5"/>
      <c r="D112" s="6"/>
      <c r="E112" s="5"/>
      <c r="F112" s="5"/>
      <c r="G112" s="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8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10"/>
    </row>
    <row r="113" spans="1:65" x14ac:dyDescent="0.4">
      <c r="A113" s="5"/>
      <c r="B113" s="5"/>
      <c r="C113" s="5"/>
      <c r="D113" s="6"/>
      <c r="E113" s="5"/>
      <c r="F113" s="5"/>
      <c r="G113" s="5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8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10"/>
    </row>
    <row r="114" spans="1:65" x14ac:dyDescent="0.4">
      <c r="A114" s="5"/>
      <c r="B114" s="5"/>
      <c r="C114" s="5"/>
      <c r="D114" s="6"/>
      <c r="E114" s="5"/>
      <c r="F114" s="5"/>
      <c r="G114" s="5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8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10"/>
    </row>
    <row r="115" spans="1:65" x14ac:dyDescent="0.4">
      <c r="A115" s="5"/>
      <c r="B115" s="5"/>
      <c r="C115" s="5"/>
      <c r="D115" s="6"/>
      <c r="E115" s="5"/>
      <c r="F115" s="5"/>
      <c r="G115" s="5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8"/>
      <c r="AG115" s="8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10"/>
    </row>
    <row r="116" spans="1:65" x14ac:dyDescent="0.4">
      <c r="A116" s="5"/>
      <c r="B116" s="5"/>
      <c r="C116" s="5"/>
      <c r="D116" s="6"/>
      <c r="E116" s="5"/>
      <c r="F116" s="5"/>
      <c r="G116" s="5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8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10"/>
    </row>
    <row r="117" spans="1:65" x14ac:dyDescent="0.4">
      <c r="A117" s="5"/>
      <c r="B117" s="5"/>
      <c r="C117" s="5"/>
      <c r="D117" s="6"/>
      <c r="E117" s="5"/>
      <c r="F117" s="5"/>
      <c r="G117" s="5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8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10"/>
    </row>
    <row r="118" spans="1:65" x14ac:dyDescent="0.4">
      <c r="A118" s="5"/>
      <c r="B118" s="5"/>
      <c r="C118" s="5"/>
      <c r="D118" s="6"/>
      <c r="E118" s="5"/>
      <c r="F118" s="5"/>
      <c r="G118" s="5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8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10"/>
    </row>
    <row r="119" spans="1:65" x14ac:dyDescent="0.4">
      <c r="A119" s="5"/>
      <c r="B119" s="5"/>
      <c r="C119" s="5"/>
      <c r="D119" s="6"/>
      <c r="E119" s="5"/>
      <c r="F119" s="5"/>
      <c r="G119" s="5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8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8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10"/>
    </row>
    <row r="120" spans="1:65" x14ac:dyDescent="0.4">
      <c r="A120" s="5"/>
      <c r="B120" s="5"/>
      <c r="C120" s="5"/>
      <c r="D120" s="6"/>
      <c r="E120" s="5"/>
      <c r="F120" s="5"/>
      <c r="G120" s="5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8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10"/>
    </row>
    <row r="121" spans="1:65" x14ac:dyDescent="0.4">
      <c r="A121" s="5"/>
      <c r="B121" s="5"/>
      <c r="C121" s="5"/>
      <c r="D121" s="6"/>
      <c r="E121" s="5"/>
      <c r="F121" s="5"/>
      <c r="G121" s="5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8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10"/>
    </row>
    <row r="122" spans="1:65" x14ac:dyDescent="0.4">
      <c r="A122" s="5"/>
      <c r="B122" s="5"/>
      <c r="C122" s="5"/>
      <c r="D122" s="6"/>
      <c r="E122" s="5"/>
      <c r="F122" s="5"/>
      <c r="G122" s="5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8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10"/>
    </row>
    <row r="123" spans="1:65" x14ac:dyDescent="0.4">
      <c r="A123" s="5"/>
      <c r="B123" s="5"/>
      <c r="C123" s="5"/>
      <c r="D123" s="6"/>
      <c r="E123" s="5"/>
      <c r="F123" s="5"/>
      <c r="G123" s="5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10"/>
    </row>
    <row r="124" spans="1:65" x14ac:dyDescent="0.4">
      <c r="A124" s="5"/>
      <c r="B124" s="5"/>
      <c r="C124" s="5"/>
      <c r="D124" s="6"/>
      <c r="E124" s="5"/>
      <c r="F124" s="5"/>
      <c r="G124" s="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8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10"/>
    </row>
    <row r="125" spans="1:65" x14ac:dyDescent="0.4">
      <c r="A125" s="5"/>
      <c r="B125" s="5"/>
      <c r="C125" s="5"/>
      <c r="D125" s="6"/>
      <c r="E125" s="5"/>
      <c r="F125" s="5"/>
      <c r="G125" s="5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8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10"/>
    </row>
    <row r="126" spans="1:65" x14ac:dyDescent="0.4">
      <c r="A126" s="5"/>
      <c r="B126" s="5"/>
      <c r="C126" s="5"/>
      <c r="D126" s="6"/>
      <c r="E126" s="5"/>
      <c r="F126" s="5"/>
      <c r="G126" s="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10"/>
    </row>
    <row r="127" spans="1:65" x14ac:dyDescent="0.4">
      <c r="A127" s="5"/>
      <c r="B127" s="5"/>
      <c r="C127" s="5"/>
      <c r="D127" s="6"/>
      <c r="E127" s="5"/>
      <c r="F127" s="5"/>
      <c r="G127" s="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8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10"/>
    </row>
    <row r="128" spans="1:65" x14ac:dyDescent="0.4">
      <c r="A128" s="5"/>
      <c r="B128" s="5"/>
      <c r="C128" s="5"/>
      <c r="D128" s="6"/>
      <c r="E128" s="5"/>
      <c r="F128" s="5"/>
      <c r="G128" s="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8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10"/>
    </row>
    <row r="129" spans="1:65" x14ac:dyDescent="0.4">
      <c r="A129" s="5"/>
      <c r="B129" s="5"/>
      <c r="C129" s="5"/>
      <c r="D129" s="6"/>
      <c r="E129" s="5"/>
      <c r="F129" s="5"/>
      <c r="G129" s="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8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10"/>
    </row>
    <row r="130" spans="1:65" x14ac:dyDescent="0.4">
      <c r="A130" s="5"/>
      <c r="B130" s="5"/>
      <c r="C130" s="5"/>
      <c r="D130" s="6"/>
      <c r="E130" s="5"/>
      <c r="F130" s="5"/>
      <c r="G130" s="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8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10"/>
    </row>
    <row r="131" spans="1:65" x14ac:dyDescent="0.4">
      <c r="A131" s="5"/>
      <c r="B131" s="5"/>
      <c r="C131" s="5"/>
      <c r="D131" s="6"/>
      <c r="E131" s="5"/>
      <c r="F131" s="5"/>
      <c r="G131" s="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8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10"/>
    </row>
    <row r="132" spans="1:65" x14ac:dyDescent="0.4">
      <c r="A132" s="5"/>
      <c r="B132" s="5"/>
      <c r="C132" s="5"/>
      <c r="D132" s="6"/>
      <c r="E132" s="5"/>
      <c r="F132" s="5"/>
      <c r="G132" s="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11"/>
    </row>
    <row r="133" spans="1:65" x14ac:dyDescent="0.4">
      <c r="A133" s="5"/>
      <c r="B133" s="5"/>
      <c r="C133" s="5"/>
      <c r="D133" s="6"/>
      <c r="E133" s="5"/>
      <c r="F133" s="5"/>
      <c r="G133" s="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11"/>
    </row>
    <row r="134" spans="1:65" x14ac:dyDescent="0.4">
      <c r="A134" s="5"/>
      <c r="B134" s="5"/>
      <c r="C134" s="5"/>
      <c r="D134" s="6"/>
      <c r="E134" s="5"/>
      <c r="F134" s="5"/>
      <c r="G134" s="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11"/>
    </row>
    <row r="135" spans="1:65" x14ac:dyDescent="0.4">
      <c r="A135" s="5"/>
      <c r="B135" s="5"/>
      <c r="C135" s="5"/>
      <c r="D135" s="6"/>
      <c r="E135" s="5"/>
      <c r="F135" s="5"/>
      <c r="G135" s="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11"/>
    </row>
    <row r="136" spans="1:65" x14ac:dyDescent="0.4">
      <c r="A136" s="5"/>
      <c r="B136" s="5"/>
      <c r="C136" s="5"/>
      <c r="D136" s="6"/>
      <c r="E136" s="5"/>
      <c r="F136" s="5"/>
      <c r="G136" s="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11"/>
    </row>
    <row r="137" spans="1:65" x14ac:dyDescent="0.4">
      <c r="A137" s="5"/>
      <c r="B137" s="5"/>
      <c r="C137" s="5"/>
      <c r="D137" s="6"/>
      <c r="E137" s="5"/>
      <c r="F137" s="5"/>
      <c r="G137" s="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11"/>
    </row>
    <row r="138" spans="1:65" x14ac:dyDescent="0.4">
      <c r="A138" s="5"/>
      <c r="B138" s="5"/>
      <c r="C138" s="5"/>
      <c r="D138" s="6"/>
      <c r="E138" s="5"/>
      <c r="F138" s="5"/>
      <c r="G138" s="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11"/>
    </row>
    <row r="139" spans="1:65" x14ac:dyDescent="0.4">
      <c r="A139" s="5"/>
      <c r="B139" s="5"/>
      <c r="C139" s="5"/>
      <c r="D139" s="6"/>
      <c r="E139" s="5"/>
      <c r="F139" s="5"/>
      <c r="G139" s="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11"/>
    </row>
    <row r="140" spans="1:65" x14ac:dyDescent="0.4">
      <c r="A140" s="5"/>
      <c r="B140" s="5"/>
      <c r="C140" s="5"/>
      <c r="D140" s="6"/>
      <c r="E140" s="5"/>
      <c r="F140" s="5"/>
      <c r="G140" s="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11"/>
    </row>
    <row r="141" spans="1:65" x14ac:dyDescent="0.4">
      <c r="A141" s="5"/>
      <c r="B141" s="5"/>
      <c r="C141" s="5"/>
      <c r="D141" s="6"/>
      <c r="E141" s="5"/>
      <c r="F141" s="5"/>
      <c r="G141" s="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11"/>
    </row>
    <row r="142" spans="1:65" x14ac:dyDescent="0.4">
      <c r="A142" s="5"/>
      <c r="B142" s="5"/>
      <c r="C142" s="5"/>
      <c r="D142" s="6"/>
      <c r="E142" s="5"/>
      <c r="F142" s="5"/>
      <c r="G142" s="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11"/>
    </row>
    <row r="143" spans="1:65" x14ac:dyDescent="0.4">
      <c r="A143" s="5"/>
      <c r="B143" s="5"/>
      <c r="C143" s="5"/>
      <c r="D143" s="6"/>
      <c r="E143" s="5"/>
      <c r="F143" s="5"/>
      <c r="G143" s="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11"/>
    </row>
    <row r="144" spans="1:65" x14ac:dyDescent="0.4">
      <c r="A144" s="5"/>
      <c r="B144" s="5"/>
      <c r="C144" s="5"/>
      <c r="D144" s="6"/>
      <c r="E144" s="5"/>
      <c r="F144" s="5"/>
      <c r="G144" s="5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11"/>
    </row>
    <row r="145" spans="1:65" x14ac:dyDescent="0.4">
      <c r="A145" s="5"/>
      <c r="B145" s="5"/>
      <c r="C145" s="5"/>
      <c r="D145" s="6"/>
      <c r="E145" s="5"/>
      <c r="F145" s="5"/>
      <c r="G145" s="5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11"/>
    </row>
    <row r="146" spans="1:65" x14ac:dyDescent="0.4">
      <c r="A146" s="5"/>
      <c r="B146" s="5"/>
      <c r="C146" s="5"/>
      <c r="D146" s="6"/>
      <c r="E146" s="5"/>
      <c r="F146" s="5"/>
      <c r="G146" s="5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11"/>
    </row>
    <row r="147" spans="1:65" x14ac:dyDescent="0.4">
      <c r="A147" s="5"/>
      <c r="B147" s="5"/>
      <c r="C147" s="5"/>
      <c r="D147" s="6"/>
      <c r="E147" s="5"/>
      <c r="F147" s="5"/>
      <c r="G147" s="5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11"/>
    </row>
    <row r="148" spans="1:65" x14ac:dyDescent="0.4">
      <c r="A148" s="5"/>
      <c r="B148" s="5"/>
      <c r="C148" s="5"/>
      <c r="D148" s="6"/>
      <c r="E148" s="5"/>
      <c r="F148" s="5"/>
      <c r="G148" s="5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11"/>
    </row>
    <row r="149" spans="1:65" x14ac:dyDescent="0.4">
      <c r="A149" s="5"/>
      <c r="B149" s="5"/>
      <c r="C149" s="5"/>
      <c r="D149" s="6"/>
      <c r="E149" s="5"/>
      <c r="F149" s="5"/>
      <c r="G149" s="5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11"/>
    </row>
    <row r="150" spans="1:65" x14ac:dyDescent="0.4">
      <c r="A150" s="5"/>
      <c r="B150" s="5"/>
      <c r="C150" s="5"/>
      <c r="D150" s="6"/>
      <c r="E150" s="5"/>
      <c r="F150" s="5"/>
      <c r="G150" s="5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11"/>
    </row>
    <row r="151" spans="1:65" x14ac:dyDescent="0.4">
      <c r="A151" s="5"/>
      <c r="B151" s="5"/>
      <c r="C151" s="5"/>
      <c r="D151" s="6"/>
      <c r="E151" s="5"/>
      <c r="F151" s="5"/>
      <c r="G151" s="5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11"/>
    </row>
    <row r="152" spans="1:65" x14ac:dyDescent="0.4">
      <c r="A152" s="5"/>
      <c r="B152" s="5"/>
      <c r="C152" s="5"/>
      <c r="D152" s="6"/>
      <c r="E152" s="5"/>
      <c r="F152" s="5"/>
      <c r="G152" s="5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11"/>
    </row>
    <row r="153" spans="1:65" x14ac:dyDescent="0.4">
      <c r="A153" s="5"/>
      <c r="B153" s="5"/>
      <c r="C153" s="5"/>
      <c r="D153" s="6"/>
      <c r="E153" s="5"/>
      <c r="F153" s="5"/>
      <c r="G153" s="5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11"/>
    </row>
    <row r="154" spans="1:65" x14ac:dyDescent="0.4">
      <c r="A154" s="5"/>
      <c r="B154" s="5"/>
      <c r="C154" s="5"/>
      <c r="D154" s="6"/>
      <c r="E154" s="5"/>
      <c r="F154" s="5"/>
      <c r="G154" s="5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11"/>
    </row>
    <row r="155" spans="1:65" x14ac:dyDescent="0.4">
      <c r="A155" s="5"/>
      <c r="B155" s="5"/>
      <c r="C155" s="5"/>
      <c r="D155" s="6"/>
      <c r="E155" s="5"/>
      <c r="F155" s="5"/>
      <c r="G155" s="5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11"/>
    </row>
    <row r="156" spans="1:65" x14ac:dyDescent="0.4">
      <c r="A156" s="5"/>
      <c r="B156" s="5"/>
      <c r="C156" s="5"/>
      <c r="D156" s="6"/>
      <c r="E156" s="5"/>
      <c r="F156" s="5"/>
      <c r="G156" s="5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11"/>
    </row>
    <row r="157" spans="1:65" x14ac:dyDescent="0.4">
      <c r="A157" s="5"/>
      <c r="B157" s="5"/>
      <c r="C157" s="5"/>
      <c r="D157" s="6"/>
      <c r="E157" s="5"/>
      <c r="F157" s="5"/>
      <c r="G157" s="5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11"/>
    </row>
    <row r="158" spans="1:65" x14ac:dyDescent="0.4">
      <c r="A158" s="5"/>
      <c r="B158" s="5"/>
      <c r="C158" s="5"/>
      <c r="D158" s="6"/>
      <c r="E158" s="5"/>
      <c r="F158" s="5"/>
      <c r="G158" s="5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11"/>
    </row>
    <row r="159" spans="1:65" x14ac:dyDescent="0.4">
      <c r="A159" s="5"/>
      <c r="B159" s="5"/>
      <c r="C159" s="5"/>
      <c r="D159" s="6"/>
      <c r="E159" s="5"/>
      <c r="F159" s="5"/>
      <c r="G159" s="5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11"/>
    </row>
    <row r="160" spans="1:65" x14ac:dyDescent="0.4">
      <c r="A160" s="5"/>
      <c r="B160" s="5"/>
      <c r="C160" s="5"/>
      <c r="D160" s="6"/>
      <c r="E160" s="5"/>
      <c r="F160" s="5"/>
      <c r="G160" s="5"/>
      <c r="H160" s="7"/>
      <c r="I160" s="7"/>
      <c r="J160" s="7"/>
      <c r="K160" s="8"/>
      <c r="L160" s="8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8"/>
      <c r="AF160" s="8"/>
      <c r="AG160" s="8"/>
      <c r="AH160" s="7"/>
      <c r="AI160" s="7"/>
      <c r="AJ160" s="7"/>
      <c r="AK160" s="8"/>
      <c r="AL160" s="8"/>
      <c r="AM160" s="8"/>
      <c r="AN160" s="7"/>
      <c r="AO160" s="7"/>
      <c r="AP160" s="7"/>
      <c r="AQ160" s="8"/>
      <c r="AR160" s="8"/>
      <c r="AS160" s="8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9"/>
      <c r="BM160" s="10"/>
    </row>
    <row r="161" spans="1:65" x14ac:dyDescent="0.4">
      <c r="A161" s="5"/>
      <c r="B161" s="5"/>
      <c r="C161" s="5"/>
      <c r="D161" s="6"/>
      <c r="E161" s="5"/>
      <c r="F161" s="5"/>
      <c r="G161" s="5"/>
      <c r="H161" s="7"/>
      <c r="I161" s="7"/>
      <c r="J161" s="7"/>
      <c r="K161" s="8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8"/>
      <c r="AF161" s="8"/>
      <c r="AG161" s="8"/>
      <c r="AH161" s="7"/>
      <c r="AI161" s="7"/>
      <c r="AJ161" s="7"/>
      <c r="AK161" s="8"/>
      <c r="AL161" s="8"/>
      <c r="AM161" s="8"/>
      <c r="AN161" s="7"/>
      <c r="AO161" s="7"/>
      <c r="AP161" s="7"/>
      <c r="AQ161" s="7"/>
      <c r="AR161" s="8"/>
      <c r="AS161" s="8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9"/>
      <c r="BM161" s="10"/>
    </row>
    <row r="162" spans="1:65" x14ac:dyDescent="0.4">
      <c r="A162" s="5"/>
      <c r="B162" s="5"/>
      <c r="C162" s="5"/>
      <c r="D162" s="6"/>
      <c r="E162" s="5"/>
      <c r="F162" s="5"/>
      <c r="G162" s="5"/>
      <c r="H162" s="7"/>
      <c r="I162" s="7"/>
      <c r="J162" s="7"/>
      <c r="K162" s="8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8"/>
      <c r="AF162" s="8"/>
      <c r="AG162" s="8"/>
      <c r="AH162" s="7"/>
      <c r="AI162" s="7"/>
      <c r="AJ162" s="7"/>
      <c r="AK162" s="8"/>
      <c r="AL162" s="8"/>
      <c r="AM162" s="8"/>
      <c r="AN162" s="7"/>
      <c r="AO162" s="7"/>
      <c r="AP162" s="7"/>
      <c r="AQ162" s="8"/>
      <c r="AR162" s="8"/>
      <c r="AS162" s="8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9"/>
      <c r="BM162" s="10"/>
    </row>
    <row r="163" spans="1:65" x14ac:dyDescent="0.4">
      <c r="A163" s="5"/>
      <c r="B163" s="5"/>
      <c r="C163" s="5"/>
      <c r="D163" s="6"/>
      <c r="E163" s="5"/>
      <c r="F163" s="5"/>
      <c r="G163" s="5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8"/>
      <c r="AF163" s="8"/>
      <c r="AG163" s="8"/>
      <c r="AH163" s="7"/>
      <c r="AI163" s="7"/>
      <c r="AJ163" s="7"/>
      <c r="AK163" s="8"/>
      <c r="AL163" s="8"/>
      <c r="AM163" s="8"/>
      <c r="AN163" s="7"/>
      <c r="AO163" s="7"/>
      <c r="AP163" s="7"/>
      <c r="AQ163" s="8"/>
      <c r="AR163" s="8"/>
      <c r="AS163" s="8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9"/>
      <c r="BM163" s="10"/>
    </row>
    <row r="164" spans="1:65" x14ac:dyDescent="0.4">
      <c r="A164" s="5"/>
      <c r="B164" s="5"/>
      <c r="C164" s="5"/>
      <c r="D164" s="6"/>
      <c r="E164" s="5"/>
      <c r="F164" s="5"/>
      <c r="G164" s="5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8"/>
      <c r="AG164" s="8"/>
      <c r="AH164" s="7"/>
      <c r="AI164" s="7"/>
      <c r="AJ164" s="7"/>
      <c r="AK164" s="7"/>
      <c r="AL164" s="8"/>
      <c r="AM164" s="8"/>
      <c r="AN164" s="7"/>
      <c r="AO164" s="7"/>
      <c r="AP164" s="7"/>
      <c r="AQ164" s="7"/>
      <c r="AR164" s="8"/>
      <c r="AS164" s="8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9"/>
      <c r="BM164" s="10"/>
    </row>
    <row r="165" spans="1:65" x14ac:dyDescent="0.4">
      <c r="A165" s="5"/>
      <c r="B165" s="5"/>
      <c r="C165" s="5"/>
      <c r="D165" s="6"/>
      <c r="E165" s="5"/>
      <c r="F165" s="5"/>
      <c r="G165" s="5"/>
      <c r="H165" s="7"/>
      <c r="I165" s="7"/>
      <c r="J165" s="7"/>
      <c r="K165" s="8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8"/>
      <c r="AF165" s="8"/>
      <c r="AG165" s="8"/>
      <c r="AH165" s="7"/>
      <c r="AI165" s="7"/>
      <c r="AJ165" s="7"/>
      <c r="AK165" s="8"/>
      <c r="AL165" s="8"/>
      <c r="AM165" s="8"/>
      <c r="AN165" s="7"/>
      <c r="AO165" s="7"/>
      <c r="AP165" s="7"/>
      <c r="AQ165" s="7"/>
      <c r="AR165" s="8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9"/>
      <c r="BM165" s="10"/>
    </row>
    <row r="166" spans="1:65" x14ac:dyDescent="0.4">
      <c r="A166" s="5"/>
      <c r="B166" s="5"/>
      <c r="C166" s="5"/>
      <c r="D166" s="6"/>
      <c r="E166" s="5"/>
      <c r="F166" s="5"/>
      <c r="G166" s="5"/>
      <c r="H166" s="7"/>
      <c r="I166" s="7"/>
      <c r="J166" s="7"/>
      <c r="K166" s="8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8"/>
      <c r="AF166" s="8"/>
      <c r="AG166" s="8"/>
      <c r="AH166" s="7"/>
      <c r="AI166" s="7"/>
      <c r="AJ166" s="7"/>
      <c r="AK166" s="8"/>
      <c r="AL166" s="8"/>
      <c r="AM166" s="8"/>
      <c r="AN166" s="7"/>
      <c r="AO166" s="7"/>
      <c r="AP166" s="7"/>
      <c r="AQ166" s="7"/>
      <c r="AR166" s="8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9"/>
      <c r="BM166" s="10"/>
    </row>
    <row r="167" spans="1:65" x14ac:dyDescent="0.4">
      <c r="A167" s="5"/>
      <c r="B167" s="5"/>
      <c r="C167" s="5"/>
      <c r="D167" s="6"/>
      <c r="E167" s="5"/>
      <c r="F167" s="5"/>
      <c r="G167" s="5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8"/>
      <c r="AF167" s="8"/>
      <c r="AG167" s="8"/>
      <c r="AH167" s="7"/>
      <c r="AI167" s="7"/>
      <c r="AJ167" s="7"/>
      <c r="AK167" s="8"/>
      <c r="AL167" s="8"/>
      <c r="AM167" s="8"/>
      <c r="AN167" s="7"/>
      <c r="AO167" s="7"/>
      <c r="AP167" s="7"/>
      <c r="AQ167" s="7"/>
      <c r="AR167" s="8"/>
      <c r="AS167" s="8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9"/>
      <c r="BM167" s="10"/>
    </row>
    <row r="168" spans="1:65" x14ac:dyDescent="0.4">
      <c r="A168" s="5"/>
      <c r="B168" s="5"/>
      <c r="C168" s="5"/>
      <c r="D168" s="6"/>
      <c r="E168" s="5"/>
      <c r="F168" s="5"/>
      <c r="G168" s="5"/>
      <c r="H168" s="7"/>
      <c r="I168" s="7"/>
      <c r="J168" s="7"/>
      <c r="K168" s="8"/>
      <c r="L168" s="8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8"/>
      <c r="AF168" s="8"/>
      <c r="AG168" s="8"/>
      <c r="AH168" s="7"/>
      <c r="AI168" s="7"/>
      <c r="AJ168" s="7"/>
      <c r="AK168" s="8"/>
      <c r="AL168" s="8"/>
      <c r="AM168" s="8"/>
      <c r="AN168" s="7"/>
      <c r="AO168" s="7"/>
      <c r="AP168" s="7"/>
      <c r="AQ168" s="7"/>
      <c r="AR168" s="8"/>
      <c r="AS168" s="8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9"/>
      <c r="BM168" s="10"/>
    </row>
    <row r="169" spans="1:65" x14ac:dyDescent="0.4">
      <c r="A169" s="5"/>
      <c r="B169" s="5"/>
      <c r="C169" s="5"/>
      <c r="D169" s="6"/>
      <c r="E169" s="5"/>
      <c r="F169" s="5"/>
      <c r="G169" s="5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8"/>
      <c r="AF169" s="8"/>
      <c r="AG169" s="8"/>
      <c r="AH169" s="7"/>
      <c r="AI169" s="7"/>
      <c r="AJ169" s="7"/>
      <c r="AK169" s="8"/>
      <c r="AL169" s="8"/>
      <c r="AM169" s="8"/>
      <c r="AN169" s="7"/>
      <c r="AO169" s="7"/>
      <c r="AP169" s="7"/>
      <c r="AQ169" s="7"/>
      <c r="AR169" s="8"/>
      <c r="AS169" s="8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9"/>
      <c r="BM169" s="10"/>
    </row>
    <row r="170" spans="1:65" x14ac:dyDescent="0.4">
      <c r="A170" s="5"/>
      <c r="B170" s="5"/>
      <c r="C170" s="5"/>
      <c r="D170" s="6"/>
      <c r="E170" s="5"/>
      <c r="F170" s="5"/>
      <c r="G170" s="5"/>
      <c r="H170" s="7"/>
      <c r="I170" s="7"/>
      <c r="J170" s="7"/>
      <c r="K170" s="8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8"/>
      <c r="AF170" s="8"/>
      <c r="AG170" s="8"/>
      <c r="AH170" s="7"/>
      <c r="AI170" s="7"/>
      <c r="AJ170" s="7"/>
      <c r="AK170" s="8"/>
      <c r="AL170" s="8"/>
      <c r="AM170" s="8"/>
      <c r="AN170" s="7"/>
      <c r="AO170" s="7"/>
      <c r="AP170" s="7"/>
      <c r="AQ170" s="7"/>
      <c r="AR170" s="8"/>
      <c r="AS170" s="8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9"/>
      <c r="BM170" s="10"/>
    </row>
    <row r="171" spans="1:65" x14ac:dyDescent="0.4">
      <c r="A171" s="5"/>
      <c r="B171" s="5"/>
      <c r="C171" s="5"/>
      <c r="D171" s="6"/>
      <c r="E171" s="5"/>
      <c r="F171" s="5"/>
      <c r="G171" s="5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8"/>
      <c r="AG171" s="8"/>
      <c r="AH171" s="7"/>
      <c r="AI171" s="7"/>
      <c r="AJ171" s="7"/>
      <c r="AK171" s="8"/>
      <c r="AL171" s="8"/>
      <c r="AM171" s="8"/>
      <c r="AN171" s="7"/>
      <c r="AO171" s="7"/>
      <c r="AP171" s="7"/>
      <c r="AQ171" s="7"/>
      <c r="AR171" s="8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9"/>
      <c r="BM171" s="10"/>
    </row>
    <row r="172" spans="1:65" x14ac:dyDescent="0.4">
      <c r="A172" s="5"/>
      <c r="B172" s="5"/>
      <c r="C172" s="5"/>
      <c r="D172" s="6"/>
      <c r="E172" s="5"/>
      <c r="F172" s="5"/>
      <c r="G172" s="5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8"/>
      <c r="AG172" s="8"/>
      <c r="AH172" s="7"/>
      <c r="AI172" s="7"/>
      <c r="AJ172" s="7"/>
      <c r="AK172" s="7"/>
      <c r="AL172" s="8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9"/>
      <c r="BM172" s="10"/>
    </row>
    <row r="173" spans="1:65" x14ac:dyDescent="0.4">
      <c r="A173" s="5"/>
      <c r="B173" s="5"/>
      <c r="C173" s="5"/>
      <c r="D173" s="6"/>
      <c r="E173" s="5"/>
      <c r="F173" s="5"/>
      <c r="G173" s="5"/>
      <c r="H173" s="7"/>
      <c r="I173" s="7"/>
      <c r="J173" s="8"/>
      <c r="K173" s="7"/>
      <c r="L173" s="8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8"/>
      <c r="AG173" s="8"/>
      <c r="AH173" s="7"/>
      <c r="AI173" s="7"/>
      <c r="AJ173" s="7"/>
      <c r="AK173" s="7"/>
      <c r="AL173" s="8"/>
      <c r="AM173" s="8"/>
      <c r="AN173" s="7"/>
      <c r="AO173" s="7"/>
      <c r="AP173" s="7"/>
      <c r="AQ173" s="7"/>
      <c r="AR173" s="8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9"/>
      <c r="BM173" s="10"/>
    </row>
    <row r="174" spans="1:65" x14ac:dyDescent="0.4">
      <c r="A174" s="5"/>
      <c r="B174" s="5"/>
      <c r="C174" s="5"/>
      <c r="D174" s="6"/>
      <c r="E174" s="5"/>
      <c r="F174" s="5"/>
      <c r="G174" s="5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8"/>
      <c r="AG174" s="7"/>
      <c r="AH174" s="7"/>
      <c r="AI174" s="7"/>
      <c r="AJ174" s="7"/>
      <c r="AK174" s="7"/>
      <c r="AL174" s="8"/>
      <c r="AM174" s="8"/>
      <c r="AN174" s="7"/>
      <c r="AO174" s="7"/>
      <c r="AP174" s="7"/>
      <c r="AQ174" s="7"/>
      <c r="AR174" s="8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9"/>
      <c r="BM174" s="10"/>
    </row>
    <row r="175" spans="1:65" x14ac:dyDescent="0.4">
      <c r="A175" s="5"/>
      <c r="B175" s="5"/>
      <c r="C175" s="5"/>
      <c r="D175" s="6"/>
      <c r="E175" s="5"/>
      <c r="F175" s="5"/>
      <c r="G175" s="5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8"/>
      <c r="AG175" s="7"/>
      <c r="AH175" s="7"/>
      <c r="AI175" s="7"/>
      <c r="AJ175" s="7"/>
      <c r="AK175" s="7"/>
      <c r="AL175" s="8"/>
      <c r="AM175" s="8"/>
      <c r="AN175" s="7"/>
      <c r="AO175" s="7"/>
      <c r="AP175" s="7"/>
      <c r="AQ175" s="7"/>
      <c r="AR175" s="8"/>
      <c r="AS175" s="8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9"/>
      <c r="BM175" s="10"/>
    </row>
    <row r="176" spans="1:65" x14ac:dyDescent="0.4">
      <c r="A176" s="5"/>
      <c r="B176" s="5"/>
      <c r="C176" s="5"/>
      <c r="D176" s="6"/>
      <c r="E176" s="5"/>
      <c r="F176" s="5"/>
      <c r="G176" s="5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8"/>
      <c r="AG176" s="8"/>
      <c r="AH176" s="7"/>
      <c r="AI176" s="7"/>
      <c r="AJ176" s="7"/>
      <c r="AK176" s="7"/>
      <c r="AL176" s="8"/>
      <c r="AM176" s="8"/>
      <c r="AN176" s="7"/>
      <c r="AO176" s="7"/>
      <c r="AP176" s="7"/>
      <c r="AQ176" s="7"/>
      <c r="AR176" s="8"/>
      <c r="AS176" s="8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9"/>
      <c r="BM176" s="10"/>
    </row>
    <row r="177" spans="1:65" x14ac:dyDescent="0.4">
      <c r="A177" s="5"/>
      <c r="B177" s="5"/>
      <c r="C177" s="5"/>
      <c r="D177" s="6"/>
      <c r="E177" s="5"/>
      <c r="F177" s="5"/>
      <c r="G177" s="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8"/>
      <c r="AG177" s="7"/>
      <c r="AH177" s="7"/>
      <c r="AI177" s="8"/>
      <c r="AJ177" s="8"/>
      <c r="AK177" s="7"/>
      <c r="AL177" s="7"/>
      <c r="AM177" s="7"/>
      <c r="AN177" s="7"/>
      <c r="AO177" s="7"/>
      <c r="AP177" s="7"/>
      <c r="AQ177" s="7"/>
      <c r="AR177" s="8"/>
      <c r="AS177" s="8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9"/>
      <c r="BM177" s="10"/>
    </row>
    <row r="178" spans="1:65" x14ac:dyDescent="0.4">
      <c r="A178" s="5"/>
      <c r="B178" s="5"/>
      <c r="C178" s="5"/>
      <c r="D178" s="6"/>
      <c r="E178" s="5"/>
      <c r="F178" s="5"/>
      <c r="G178" s="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8"/>
      <c r="AG178" s="7"/>
      <c r="AH178" s="7"/>
      <c r="AI178" s="7"/>
      <c r="AJ178" s="7"/>
      <c r="AK178" s="7"/>
      <c r="AL178" s="8"/>
      <c r="AM178" s="8"/>
      <c r="AN178" s="7"/>
      <c r="AO178" s="7"/>
      <c r="AP178" s="7"/>
      <c r="AQ178" s="7"/>
      <c r="AR178" s="8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9"/>
      <c r="BM178" s="10"/>
    </row>
    <row r="179" spans="1:65" x14ac:dyDescent="0.4">
      <c r="A179" s="5"/>
      <c r="B179" s="5"/>
      <c r="C179" s="5"/>
      <c r="D179" s="6"/>
      <c r="E179" s="5"/>
      <c r="F179" s="5"/>
      <c r="G179" s="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8"/>
      <c r="AG179" s="8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8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10"/>
    </row>
    <row r="180" spans="1:65" x14ac:dyDescent="0.4">
      <c r="A180" s="5"/>
      <c r="B180" s="5"/>
      <c r="C180" s="5"/>
      <c r="D180" s="6"/>
      <c r="E180" s="5"/>
      <c r="F180" s="5"/>
      <c r="G180" s="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8"/>
      <c r="AG180" s="7"/>
      <c r="AH180" s="7"/>
      <c r="AI180" s="7"/>
      <c r="AJ180" s="7"/>
      <c r="AK180" s="7"/>
      <c r="AL180" s="8"/>
      <c r="AM180" s="7"/>
      <c r="AN180" s="7"/>
      <c r="AO180" s="7"/>
      <c r="AP180" s="7"/>
      <c r="AQ180" s="7"/>
      <c r="AR180" s="8"/>
      <c r="AS180" s="8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9"/>
      <c r="BM180" s="10"/>
    </row>
    <row r="181" spans="1:65" x14ac:dyDescent="0.4">
      <c r="A181" s="5"/>
      <c r="B181" s="5"/>
      <c r="C181" s="5"/>
      <c r="D181" s="6"/>
      <c r="E181" s="5"/>
      <c r="F181" s="5"/>
      <c r="G181" s="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8"/>
      <c r="AG181" s="7"/>
      <c r="AH181" s="7"/>
      <c r="AI181" s="7"/>
      <c r="AJ181" s="7"/>
      <c r="AK181" s="7"/>
      <c r="AL181" s="8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10"/>
    </row>
    <row r="182" spans="1:65" x14ac:dyDescent="0.4">
      <c r="A182" s="5"/>
      <c r="B182" s="5"/>
      <c r="C182" s="5"/>
      <c r="D182" s="6"/>
      <c r="E182" s="5"/>
      <c r="F182" s="5"/>
      <c r="G182" s="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8"/>
      <c r="AG182" s="7"/>
      <c r="AH182" s="7"/>
      <c r="AI182" s="7"/>
      <c r="AJ182" s="7"/>
      <c r="AK182" s="7"/>
      <c r="AL182" s="8"/>
      <c r="AM182" s="7"/>
      <c r="AN182" s="7"/>
      <c r="AO182" s="7"/>
      <c r="AP182" s="7"/>
      <c r="AQ182" s="7"/>
      <c r="AR182" s="8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9"/>
      <c r="BM182" s="10"/>
    </row>
    <row r="183" spans="1:65" x14ac:dyDescent="0.4">
      <c r="A183" s="5"/>
      <c r="B183" s="5"/>
      <c r="C183" s="5"/>
      <c r="D183" s="6"/>
      <c r="E183" s="5"/>
      <c r="F183" s="5"/>
      <c r="G183" s="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8"/>
      <c r="AG183" s="7"/>
      <c r="AH183" s="7"/>
      <c r="AI183" s="7"/>
      <c r="AJ183" s="7"/>
      <c r="AK183" s="7"/>
      <c r="AL183" s="8"/>
      <c r="AM183" s="7"/>
      <c r="AN183" s="7"/>
      <c r="AO183" s="7"/>
      <c r="AP183" s="7"/>
      <c r="AQ183" s="7"/>
      <c r="AR183" s="8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9"/>
      <c r="BM183" s="10"/>
    </row>
    <row r="184" spans="1:65" x14ac:dyDescent="0.4">
      <c r="A184" s="5"/>
      <c r="B184" s="5"/>
      <c r="C184" s="5"/>
      <c r="D184" s="6"/>
      <c r="E184" s="5"/>
      <c r="F184" s="5"/>
      <c r="G184" s="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8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8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10"/>
    </row>
    <row r="185" spans="1:65" x14ac:dyDescent="0.4">
      <c r="A185" s="5"/>
      <c r="B185" s="5"/>
      <c r="C185" s="5"/>
      <c r="D185" s="6"/>
      <c r="E185" s="5"/>
      <c r="F185" s="5"/>
      <c r="G185" s="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8"/>
      <c r="AG185" s="7"/>
      <c r="AH185" s="7"/>
      <c r="AI185" s="7"/>
      <c r="AJ185" s="7"/>
      <c r="AK185" s="7"/>
      <c r="AL185" s="8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9"/>
      <c r="BM185" s="10"/>
    </row>
    <row r="186" spans="1:65" x14ac:dyDescent="0.4">
      <c r="A186" s="5"/>
      <c r="B186" s="5"/>
      <c r="C186" s="5"/>
      <c r="D186" s="6"/>
      <c r="E186" s="5"/>
      <c r="F186" s="5"/>
      <c r="G186" s="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8"/>
      <c r="AM186" s="8"/>
      <c r="AN186" s="7"/>
      <c r="AO186" s="7"/>
      <c r="AP186" s="7"/>
      <c r="AQ186" s="7"/>
      <c r="AR186" s="8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9"/>
      <c r="BM186" s="10"/>
    </row>
    <row r="187" spans="1:65" x14ac:dyDescent="0.4">
      <c r="A187" s="5"/>
      <c r="B187" s="5"/>
      <c r="C187" s="5"/>
      <c r="D187" s="6"/>
      <c r="E187" s="5"/>
      <c r="F187" s="5"/>
      <c r="G187" s="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8"/>
      <c r="AG187" s="8"/>
      <c r="AH187" s="7"/>
      <c r="AI187" s="7"/>
      <c r="AJ187" s="7"/>
      <c r="AK187" s="7"/>
      <c r="AL187" s="8"/>
      <c r="AM187" s="8"/>
      <c r="AN187" s="7"/>
      <c r="AO187" s="7"/>
      <c r="AP187" s="7"/>
      <c r="AQ187" s="7"/>
      <c r="AR187" s="8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9"/>
      <c r="BM187" s="10"/>
    </row>
    <row r="188" spans="1:65" x14ac:dyDescent="0.4">
      <c r="A188" s="5"/>
      <c r="B188" s="5"/>
      <c r="C188" s="5"/>
      <c r="D188" s="6"/>
      <c r="E188" s="5"/>
      <c r="F188" s="5"/>
      <c r="G188" s="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8"/>
      <c r="AG188" s="7"/>
      <c r="AH188" s="7"/>
      <c r="AI188" s="7"/>
      <c r="AJ188" s="7"/>
      <c r="AK188" s="7"/>
      <c r="AL188" s="8"/>
      <c r="AM188" s="7"/>
      <c r="AN188" s="7"/>
      <c r="AO188" s="7"/>
      <c r="AP188" s="7"/>
      <c r="AQ188" s="7"/>
      <c r="AR188" s="8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9"/>
      <c r="BM188" s="10"/>
    </row>
    <row r="189" spans="1:65" x14ac:dyDescent="0.4">
      <c r="A189" s="5"/>
      <c r="B189" s="5"/>
      <c r="C189" s="5"/>
      <c r="D189" s="6"/>
      <c r="E189" s="5"/>
      <c r="F189" s="5"/>
      <c r="G189" s="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8"/>
      <c r="AG189" s="7"/>
      <c r="AH189" s="7"/>
      <c r="AI189" s="7"/>
      <c r="AJ189" s="7"/>
      <c r="AK189" s="7"/>
      <c r="AL189" s="8"/>
      <c r="AM189" s="7"/>
      <c r="AN189" s="7"/>
      <c r="AO189" s="7"/>
      <c r="AP189" s="7"/>
      <c r="AQ189" s="7"/>
      <c r="AR189" s="8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9"/>
      <c r="BM189" s="10"/>
    </row>
    <row r="190" spans="1:65" x14ac:dyDescent="0.4">
      <c r="A190" s="5"/>
      <c r="B190" s="5"/>
      <c r="C190" s="5"/>
      <c r="D190" s="6"/>
      <c r="E190" s="5"/>
      <c r="F190" s="5"/>
      <c r="G190" s="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8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9"/>
      <c r="BM190" s="10"/>
    </row>
    <row r="191" spans="1:65" x14ac:dyDescent="0.4">
      <c r="A191" s="5"/>
      <c r="B191" s="5"/>
      <c r="C191" s="5"/>
      <c r="D191" s="6"/>
      <c r="E191" s="5"/>
      <c r="F191" s="5"/>
      <c r="G191" s="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8"/>
      <c r="AG191" s="8"/>
      <c r="AH191" s="7"/>
      <c r="AI191" s="7"/>
      <c r="AJ191" s="7"/>
      <c r="AK191" s="7"/>
      <c r="AL191" s="8"/>
      <c r="AM191" s="8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9"/>
      <c r="BM191" s="10"/>
    </row>
    <row r="192" spans="1:65" x14ac:dyDescent="0.4">
      <c r="A192" s="5"/>
      <c r="B192" s="5"/>
      <c r="C192" s="5"/>
      <c r="D192" s="6"/>
      <c r="E192" s="5"/>
      <c r="F192" s="5"/>
      <c r="G192" s="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8"/>
      <c r="AG192" s="8"/>
      <c r="AH192" s="7"/>
      <c r="AI192" s="7"/>
      <c r="AJ192" s="7"/>
      <c r="AK192" s="7"/>
      <c r="AL192" s="8"/>
      <c r="AM192" s="8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10"/>
    </row>
    <row r="193" spans="1:65" x14ac:dyDescent="0.4">
      <c r="A193" s="5"/>
      <c r="B193" s="5"/>
      <c r="C193" s="5"/>
      <c r="D193" s="6"/>
      <c r="E193" s="5"/>
      <c r="F193" s="5"/>
      <c r="G193" s="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8"/>
      <c r="AG193" s="7"/>
      <c r="AH193" s="7"/>
      <c r="AI193" s="7"/>
      <c r="AJ193" s="7"/>
      <c r="AK193" s="7"/>
      <c r="AL193" s="8"/>
      <c r="AM193" s="8"/>
      <c r="AN193" s="7"/>
      <c r="AO193" s="7"/>
      <c r="AP193" s="7"/>
      <c r="AQ193" s="7"/>
      <c r="AR193" s="8"/>
      <c r="AS193" s="8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9"/>
      <c r="BM193" s="10"/>
    </row>
    <row r="194" spans="1:65" x14ac:dyDescent="0.4">
      <c r="A194" s="5"/>
      <c r="B194" s="5"/>
      <c r="C194" s="5"/>
      <c r="D194" s="6"/>
      <c r="E194" s="5"/>
      <c r="F194" s="5"/>
      <c r="G194" s="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8"/>
      <c r="AG194" s="8"/>
      <c r="AH194" s="7"/>
      <c r="AI194" s="7"/>
      <c r="AJ194" s="7"/>
      <c r="AK194" s="7"/>
      <c r="AL194" s="8"/>
      <c r="AM194" s="8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9"/>
      <c r="BM194" s="10"/>
    </row>
    <row r="195" spans="1:65" x14ac:dyDescent="0.4">
      <c r="A195" s="5"/>
      <c r="B195" s="5"/>
      <c r="C195" s="5"/>
      <c r="D195" s="6"/>
      <c r="E195" s="5"/>
      <c r="F195" s="5"/>
      <c r="G195" s="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8"/>
      <c r="AG195" s="7"/>
      <c r="AH195" s="7"/>
      <c r="AI195" s="7"/>
      <c r="AJ195" s="7"/>
      <c r="AK195" s="7"/>
      <c r="AL195" s="8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9"/>
      <c r="BM195" s="10"/>
    </row>
    <row r="196" spans="1:65" x14ac:dyDescent="0.4">
      <c r="A196" s="5"/>
      <c r="B196" s="5"/>
      <c r="C196" s="5"/>
      <c r="D196" s="6"/>
      <c r="E196" s="5"/>
      <c r="F196" s="5"/>
      <c r="G196" s="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8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10"/>
    </row>
    <row r="197" spans="1:65" x14ac:dyDescent="0.4">
      <c r="A197" s="5"/>
      <c r="B197" s="5"/>
      <c r="C197" s="5"/>
      <c r="D197" s="6"/>
      <c r="E197" s="5"/>
      <c r="F197" s="5"/>
      <c r="G197" s="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8"/>
      <c r="AG197" s="7"/>
      <c r="AH197" s="7"/>
      <c r="AI197" s="7"/>
      <c r="AJ197" s="7"/>
      <c r="AK197" s="7"/>
      <c r="AL197" s="8"/>
      <c r="AM197" s="7"/>
      <c r="AN197" s="7"/>
      <c r="AO197" s="7"/>
      <c r="AP197" s="7"/>
      <c r="AQ197" s="7"/>
      <c r="AR197" s="8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9"/>
      <c r="BM197" s="10"/>
    </row>
    <row r="198" spans="1:65" x14ac:dyDescent="0.4">
      <c r="A198" s="5"/>
      <c r="B198" s="5"/>
      <c r="C198" s="5"/>
      <c r="D198" s="6"/>
      <c r="E198" s="5"/>
      <c r="F198" s="5"/>
      <c r="G198" s="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8"/>
      <c r="AG198" s="7"/>
      <c r="AH198" s="7"/>
      <c r="AI198" s="7"/>
      <c r="AJ198" s="7"/>
      <c r="AK198" s="7"/>
      <c r="AL198" s="8"/>
      <c r="AM198" s="8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9"/>
      <c r="BM198" s="10"/>
    </row>
    <row r="199" spans="1:65" x14ac:dyDescent="0.4">
      <c r="A199" s="5"/>
      <c r="B199" s="5"/>
      <c r="C199" s="5"/>
      <c r="D199" s="6"/>
      <c r="E199" s="5"/>
      <c r="F199" s="5"/>
      <c r="G199" s="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8"/>
      <c r="AG199" s="7"/>
      <c r="AH199" s="7"/>
      <c r="AI199" s="7"/>
      <c r="AJ199" s="7"/>
      <c r="AK199" s="7"/>
      <c r="AL199" s="8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9"/>
      <c r="BM199" s="10"/>
    </row>
    <row r="200" spans="1:65" x14ac:dyDescent="0.4">
      <c r="A200" s="5"/>
      <c r="B200" s="5"/>
      <c r="C200" s="5"/>
      <c r="D200" s="6"/>
      <c r="E200" s="5"/>
      <c r="F200" s="5"/>
      <c r="G200" s="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8"/>
      <c r="AG200" s="7"/>
      <c r="AH200" s="7"/>
      <c r="AI200" s="7"/>
      <c r="AJ200" s="7"/>
      <c r="AK200" s="7"/>
      <c r="AL200" s="8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10"/>
    </row>
    <row r="201" spans="1:65" x14ac:dyDescent="0.4">
      <c r="A201" s="5"/>
      <c r="B201" s="5"/>
      <c r="C201" s="5"/>
      <c r="D201" s="6"/>
      <c r="E201" s="5"/>
      <c r="F201" s="5"/>
      <c r="G201" s="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8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8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10"/>
    </row>
    <row r="202" spans="1:65" x14ac:dyDescent="0.4">
      <c r="A202" s="5"/>
      <c r="B202" s="5"/>
      <c r="C202" s="5"/>
      <c r="D202" s="6"/>
      <c r="E202" s="5"/>
      <c r="F202" s="5"/>
      <c r="G202" s="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8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9"/>
      <c r="BM202" s="10"/>
    </row>
    <row r="203" spans="1:65" x14ac:dyDescent="0.4">
      <c r="A203" s="5"/>
      <c r="B203" s="5"/>
      <c r="C203" s="5"/>
      <c r="D203" s="6"/>
      <c r="E203" s="5"/>
      <c r="F203" s="5"/>
      <c r="G203" s="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8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10"/>
    </row>
    <row r="204" spans="1:65" x14ac:dyDescent="0.4">
      <c r="A204" s="5"/>
      <c r="B204" s="5"/>
      <c r="C204" s="5"/>
      <c r="D204" s="6"/>
      <c r="E204" s="5"/>
      <c r="F204" s="5"/>
      <c r="G204" s="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8"/>
      <c r="AG204" s="7"/>
      <c r="AH204" s="7"/>
      <c r="AI204" s="7"/>
      <c r="AJ204" s="7"/>
      <c r="AK204" s="7"/>
      <c r="AL204" s="8"/>
      <c r="AM204" s="8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9"/>
      <c r="BM204" s="10"/>
    </row>
    <row r="205" spans="1:65" x14ac:dyDescent="0.4">
      <c r="A205" s="5"/>
      <c r="B205" s="5"/>
      <c r="C205" s="5"/>
      <c r="D205" s="6"/>
      <c r="E205" s="5"/>
      <c r="F205" s="5"/>
      <c r="G205" s="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8"/>
      <c r="AG205" s="7"/>
      <c r="AH205" s="7"/>
      <c r="AI205" s="7"/>
      <c r="AJ205" s="7"/>
      <c r="AK205" s="7"/>
      <c r="AL205" s="8"/>
      <c r="AM205" s="8"/>
      <c r="AN205" s="7"/>
      <c r="AO205" s="7"/>
      <c r="AP205" s="7"/>
      <c r="AQ205" s="7"/>
      <c r="AR205" s="8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10"/>
    </row>
    <row r="206" spans="1:65" x14ac:dyDescent="0.4">
      <c r="A206" s="5"/>
      <c r="B206" s="5"/>
      <c r="C206" s="5"/>
      <c r="D206" s="6"/>
      <c r="E206" s="5"/>
      <c r="F206" s="5"/>
      <c r="G206" s="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8"/>
      <c r="AJ206" s="7"/>
      <c r="AK206" s="7"/>
      <c r="AL206" s="8"/>
      <c r="AM206" s="7"/>
      <c r="AN206" s="7"/>
      <c r="AO206" s="8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9"/>
      <c r="BM206" s="10"/>
    </row>
    <row r="207" spans="1:65" x14ac:dyDescent="0.4">
      <c r="A207" s="5"/>
      <c r="B207" s="5"/>
      <c r="C207" s="5"/>
      <c r="D207" s="6"/>
      <c r="E207" s="5"/>
      <c r="F207" s="5"/>
      <c r="G207" s="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8"/>
      <c r="AM207" s="8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9"/>
      <c r="BM207" s="10"/>
    </row>
    <row r="208" spans="1:65" x14ac:dyDescent="0.4">
      <c r="A208" s="5"/>
      <c r="B208" s="5"/>
      <c r="C208" s="5"/>
      <c r="D208" s="6"/>
      <c r="E208" s="5"/>
      <c r="F208" s="5"/>
      <c r="G208" s="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8"/>
      <c r="AG208" s="7"/>
      <c r="AH208" s="7"/>
      <c r="AI208" s="7"/>
      <c r="AJ208" s="7"/>
      <c r="AK208" s="7"/>
      <c r="AL208" s="8"/>
      <c r="AM208" s="7"/>
      <c r="AN208" s="7"/>
      <c r="AO208" s="7"/>
      <c r="AP208" s="7"/>
      <c r="AQ208" s="7"/>
      <c r="AR208" s="8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9"/>
      <c r="BM208" s="10"/>
    </row>
    <row r="209" spans="1:65" x14ac:dyDescent="0.4">
      <c r="A209" s="5"/>
      <c r="B209" s="5"/>
      <c r="C209" s="5"/>
      <c r="D209" s="6"/>
      <c r="E209" s="5"/>
      <c r="F209" s="5"/>
      <c r="G209" s="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8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9"/>
      <c r="BM209" s="10"/>
    </row>
    <row r="210" spans="1:65" x14ac:dyDescent="0.4">
      <c r="A210" s="5"/>
      <c r="B210" s="5"/>
      <c r="C210" s="5"/>
      <c r="D210" s="6"/>
      <c r="E210" s="5"/>
      <c r="F210" s="5"/>
      <c r="G210" s="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8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8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10"/>
    </row>
    <row r="211" spans="1:65" x14ac:dyDescent="0.4">
      <c r="A211" s="5"/>
      <c r="B211" s="5"/>
      <c r="C211" s="5"/>
      <c r="D211" s="6"/>
      <c r="E211" s="5"/>
      <c r="F211" s="5"/>
      <c r="G211" s="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8"/>
      <c r="AG211" s="7"/>
      <c r="AH211" s="7"/>
      <c r="AI211" s="7"/>
      <c r="AJ211" s="7"/>
      <c r="AK211" s="7"/>
      <c r="AL211" s="8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9"/>
      <c r="BM211" s="10"/>
    </row>
    <row r="212" spans="1:65" x14ac:dyDescent="0.4">
      <c r="A212" s="5"/>
      <c r="B212" s="5"/>
      <c r="C212" s="5"/>
      <c r="D212" s="6"/>
      <c r="E212" s="5"/>
      <c r="F212" s="5"/>
      <c r="G212" s="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8"/>
      <c r="AS212" s="8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10"/>
    </row>
    <row r="213" spans="1:65" x14ac:dyDescent="0.4">
      <c r="A213" s="5"/>
      <c r="B213" s="5"/>
      <c r="C213" s="5"/>
      <c r="D213" s="6"/>
      <c r="E213" s="5"/>
      <c r="F213" s="5"/>
      <c r="G213" s="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8"/>
      <c r="AG213" s="7"/>
      <c r="AH213" s="7"/>
      <c r="AI213" s="7"/>
      <c r="AJ213" s="7"/>
      <c r="AK213" s="7"/>
      <c r="AL213" s="8"/>
      <c r="AM213" s="8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9"/>
      <c r="BM213" s="10"/>
    </row>
    <row r="214" spans="1:65" x14ac:dyDescent="0.4">
      <c r="A214" s="5"/>
      <c r="B214" s="5"/>
      <c r="C214" s="5"/>
      <c r="D214" s="6"/>
      <c r="E214" s="5"/>
      <c r="F214" s="5"/>
      <c r="G214" s="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8"/>
      <c r="AM214" s="8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9"/>
      <c r="BM214" s="10"/>
    </row>
    <row r="215" spans="1:65" x14ac:dyDescent="0.4">
      <c r="A215" s="5"/>
      <c r="B215" s="5"/>
      <c r="C215" s="5"/>
      <c r="D215" s="6"/>
      <c r="E215" s="5"/>
      <c r="F215" s="5"/>
      <c r="G215" s="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8"/>
      <c r="AG215" s="7"/>
      <c r="AH215" s="7"/>
      <c r="AI215" s="7"/>
      <c r="AJ215" s="7"/>
      <c r="AK215" s="7"/>
      <c r="AL215" s="7"/>
      <c r="AM215" s="8"/>
      <c r="AN215" s="7"/>
      <c r="AO215" s="7"/>
      <c r="AP215" s="7"/>
      <c r="AQ215" s="7"/>
      <c r="AR215" s="8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10"/>
    </row>
    <row r="216" spans="1:65" x14ac:dyDescent="0.4">
      <c r="A216" s="5"/>
      <c r="B216" s="5"/>
      <c r="C216" s="5"/>
      <c r="D216" s="6"/>
      <c r="E216" s="5"/>
      <c r="F216" s="5"/>
      <c r="G216" s="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8"/>
      <c r="AG216" s="7"/>
      <c r="AH216" s="7"/>
      <c r="AI216" s="7"/>
      <c r="AJ216" s="7"/>
      <c r="AK216" s="7"/>
      <c r="AL216" s="8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9"/>
      <c r="BM216" s="10"/>
    </row>
    <row r="217" spans="1:65" x14ac:dyDescent="0.4">
      <c r="A217" s="5"/>
      <c r="B217" s="5"/>
      <c r="C217" s="5"/>
      <c r="D217" s="6"/>
      <c r="E217" s="5"/>
      <c r="F217" s="5"/>
      <c r="G217" s="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8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9"/>
      <c r="BM217" s="10"/>
    </row>
    <row r="218" spans="1:65" x14ac:dyDescent="0.4">
      <c r="A218" s="5"/>
      <c r="B218" s="5"/>
      <c r="C218" s="5"/>
      <c r="D218" s="6"/>
      <c r="E218" s="5"/>
      <c r="F218" s="5"/>
      <c r="G218" s="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8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9"/>
      <c r="BM218" s="10"/>
    </row>
    <row r="219" spans="1:65" x14ac:dyDescent="0.4">
      <c r="A219" s="5"/>
      <c r="B219" s="5"/>
      <c r="C219" s="5"/>
      <c r="D219" s="6"/>
      <c r="E219" s="5"/>
      <c r="F219" s="5"/>
      <c r="G219" s="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8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10"/>
    </row>
    <row r="220" spans="1:65" x14ac:dyDescent="0.4">
      <c r="A220" s="5"/>
      <c r="B220" s="5"/>
      <c r="C220" s="5"/>
      <c r="D220" s="6"/>
      <c r="E220" s="5"/>
      <c r="F220" s="5"/>
      <c r="G220" s="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8"/>
      <c r="AG220" s="7"/>
      <c r="AH220" s="7"/>
      <c r="AI220" s="7"/>
      <c r="AJ220" s="7"/>
      <c r="AK220" s="7"/>
      <c r="AL220" s="8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9"/>
      <c r="BM220" s="10"/>
    </row>
    <row r="221" spans="1:65" x14ac:dyDescent="0.4">
      <c r="A221" s="5"/>
      <c r="B221" s="5"/>
      <c r="C221" s="5"/>
      <c r="D221" s="6"/>
      <c r="E221" s="5"/>
      <c r="F221" s="5"/>
      <c r="G221" s="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8"/>
      <c r="AN221" s="7"/>
      <c r="AO221" s="7"/>
      <c r="AP221" s="7"/>
      <c r="AQ221" s="7"/>
      <c r="AR221" s="8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10"/>
    </row>
    <row r="222" spans="1:65" x14ac:dyDescent="0.4">
      <c r="A222" s="5"/>
      <c r="B222" s="5"/>
      <c r="C222" s="5"/>
      <c r="D222" s="6"/>
      <c r="E222" s="5"/>
      <c r="F222" s="5"/>
      <c r="G222" s="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8"/>
      <c r="AG222" s="7"/>
      <c r="AH222" s="7"/>
      <c r="AI222" s="7"/>
      <c r="AJ222" s="7"/>
      <c r="AK222" s="7"/>
      <c r="AL222" s="8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9"/>
      <c r="BM222" s="10"/>
    </row>
    <row r="223" spans="1:65" x14ac:dyDescent="0.4">
      <c r="A223" s="5"/>
      <c r="B223" s="5"/>
      <c r="C223" s="5"/>
      <c r="D223" s="6"/>
      <c r="E223" s="5"/>
      <c r="F223" s="5"/>
      <c r="G223" s="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8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9"/>
      <c r="BM223" s="10"/>
    </row>
    <row r="224" spans="1:65" x14ac:dyDescent="0.4">
      <c r="A224" s="5"/>
      <c r="B224" s="5"/>
      <c r="C224" s="5"/>
      <c r="D224" s="6"/>
      <c r="E224" s="5"/>
      <c r="F224" s="5"/>
      <c r="G224" s="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8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10"/>
    </row>
    <row r="225" spans="1:65" x14ac:dyDescent="0.4">
      <c r="A225" s="5"/>
      <c r="B225" s="5"/>
      <c r="C225" s="5"/>
      <c r="D225" s="6"/>
      <c r="E225" s="5"/>
      <c r="F225" s="5"/>
      <c r="G225" s="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8"/>
      <c r="AG225" s="8"/>
      <c r="AH225" s="7"/>
      <c r="AI225" s="7"/>
      <c r="AJ225" s="7"/>
      <c r="AK225" s="7"/>
      <c r="AL225" s="8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10"/>
    </row>
    <row r="226" spans="1:65" x14ac:dyDescent="0.4">
      <c r="A226" s="5"/>
      <c r="B226" s="5"/>
      <c r="C226" s="5"/>
      <c r="D226" s="6"/>
      <c r="E226" s="5"/>
      <c r="F226" s="5"/>
      <c r="G226" s="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8"/>
      <c r="AM226" s="7"/>
      <c r="AN226" s="7"/>
      <c r="AO226" s="7"/>
      <c r="AP226" s="7"/>
      <c r="AQ226" s="7"/>
      <c r="AR226" s="8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9"/>
      <c r="BM226" s="10"/>
    </row>
    <row r="227" spans="1:65" x14ac:dyDescent="0.4">
      <c r="A227" s="5"/>
      <c r="B227" s="5"/>
      <c r="C227" s="5"/>
      <c r="D227" s="6"/>
      <c r="E227" s="5"/>
      <c r="F227" s="5"/>
      <c r="G227" s="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8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9"/>
      <c r="BM227" s="10"/>
    </row>
    <row r="228" spans="1:65" x14ac:dyDescent="0.4">
      <c r="A228" s="5"/>
      <c r="B228" s="5"/>
      <c r="C228" s="5"/>
      <c r="D228" s="6"/>
      <c r="E228" s="5"/>
      <c r="F228" s="5"/>
      <c r="G228" s="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8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9"/>
      <c r="BM228" s="10"/>
    </row>
    <row r="229" spans="1:65" x14ac:dyDescent="0.4">
      <c r="A229" s="5"/>
      <c r="B229" s="5"/>
      <c r="C229" s="5"/>
      <c r="D229" s="6"/>
      <c r="E229" s="5"/>
      <c r="F229" s="5"/>
      <c r="G229" s="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8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8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10"/>
    </row>
    <row r="230" spans="1:65" x14ac:dyDescent="0.4">
      <c r="A230" s="5"/>
      <c r="B230" s="5"/>
      <c r="C230" s="5"/>
      <c r="D230" s="6"/>
      <c r="E230" s="5"/>
      <c r="F230" s="5"/>
      <c r="G230" s="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8"/>
      <c r="AG230" s="7"/>
      <c r="AH230" s="7"/>
      <c r="AI230" s="7"/>
      <c r="AJ230" s="7"/>
      <c r="AK230" s="7"/>
      <c r="AL230" s="8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10"/>
    </row>
    <row r="231" spans="1:65" x14ac:dyDescent="0.4">
      <c r="A231" s="5"/>
      <c r="B231" s="5"/>
      <c r="C231" s="5"/>
      <c r="D231" s="6"/>
      <c r="E231" s="5"/>
      <c r="F231" s="5"/>
      <c r="G231" s="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8"/>
      <c r="AG231" s="7"/>
      <c r="AH231" s="7"/>
      <c r="AI231" s="7"/>
      <c r="AJ231" s="7"/>
      <c r="AK231" s="7"/>
      <c r="AL231" s="8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9"/>
      <c r="BM231" s="10"/>
    </row>
    <row r="232" spans="1:65" x14ac:dyDescent="0.4">
      <c r="A232" s="5"/>
      <c r="B232" s="5"/>
      <c r="C232" s="5"/>
      <c r="D232" s="6"/>
      <c r="E232" s="5"/>
      <c r="F232" s="5"/>
      <c r="G232" s="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8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9"/>
      <c r="BM232" s="10"/>
    </row>
    <row r="233" spans="1:65" x14ac:dyDescent="0.4">
      <c r="A233" s="5"/>
      <c r="B233" s="5"/>
      <c r="C233" s="5"/>
      <c r="D233" s="6"/>
      <c r="E233" s="5"/>
      <c r="F233" s="5"/>
      <c r="G233" s="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8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8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10"/>
    </row>
    <row r="234" spans="1:65" x14ac:dyDescent="0.4">
      <c r="A234" s="5"/>
      <c r="B234" s="5"/>
      <c r="C234" s="5"/>
      <c r="D234" s="6"/>
      <c r="E234" s="5"/>
      <c r="F234" s="5"/>
      <c r="G234" s="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8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9"/>
      <c r="BM234" s="10"/>
    </row>
    <row r="235" spans="1:65" x14ac:dyDescent="0.4">
      <c r="A235" s="5"/>
      <c r="B235" s="5"/>
      <c r="C235" s="5"/>
      <c r="D235" s="6"/>
      <c r="E235" s="5"/>
      <c r="F235" s="5"/>
      <c r="G235" s="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8"/>
      <c r="AG235" s="8"/>
      <c r="AH235" s="7"/>
      <c r="AI235" s="7"/>
      <c r="AJ235" s="7"/>
      <c r="AK235" s="7"/>
      <c r="AL235" s="7"/>
      <c r="AM235" s="8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10"/>
    </row>
    <row r="236" spans="1:65" x14ac:dyDescent="0.4">
      <c r="A236" s="5"/>
      <c r="B236" s="5"/>
      <c r="C236" s="5"/>
      <c r="D236" s="6"/>
      <c r="E236" s="5"/>
      <c r="F236" s="5"/>
      <c r="G236" s="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8"/>
      <c r="AH236" s="7"/>
      <c r="AI236" s="7"/>
      <c r="AJ236" s="7"/>
      <c r="AK236" s="7"/>
      <c r="AL236" s="7"/>
      <c r="AM236" s="8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10"/>
    </row>
    <row r="237" spans="1:65" x14ac:dyDescent="0.4">
      <c r="A237" s="5"/>
      <c r="B237" s="5"/>
      <c r="C237" s="5"/>
      <c r="D237" s="6"/>
      <c r="E237" s="5"/>
      <c r="F237" s="5"/>
      <c r="G237" s="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8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10"/>
    </row>
    <row r="238" spans="1:65" x14ac:dyDescent="0.4">
      <c r="A238" s="5"/>
      <c r="B238" s="5"/>
      <c r="C238" s="5"/>
      <c r="D238" s="6"/>
      <c r="E238" s="5"/>
      <c r="F238" s="5"/>
      <c r="G238" s="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8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10"/>
    </row>
    <row r="239" spans="1:65" x14ac:dyDescent="0.4">
      <c r="A239" s="5"/>
      <c r="B239" s="5"/>
      <c r="C239" s="5"/>
      <c r="D239" s="6"/>
      <c r="E239" s="5"/>
      <c r="F239" s="5"/>
      <c r="G239" s="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8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9"/>
      <c r="BM239" s="10"/>
    </row>
    <row r="240" spans="1:65" x14ac:dyDescent="0.4">
      <c r="A240" s="5"/>
      <c r="B240" s="5"/>
      <c r="C240" s="5"/>
      <c r="D240" s="6"/>
      <c r="E240" s="5"/>
      <c r="F240" s="5"/>
      <c r="G240" s="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8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10"/>
    </row>
    <row r="241" spans="1:65" x14ac:dyDescent="0.4">
      <c r="A241" s="5"/>
      <c r="B241" s="5"/>
      <c r="C241" s="5"/>
      <c r="D241" s="6"/>
      <c r="E241" s="5"/>
      <c r="F241" s="5"/>
      <c r="G241" s="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8"/>
      <c r="AM241" s="8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10"/>
    </row>
    <row r="242" spans="1:65" x14ac:dyDescent="0.4">
      <c r="A242" s="5"/>
      <c r="B242" s="5"/>
      <c r="C242" s="5"/>
      <c r="D242" s="6"/>
      <c r="E242" s="5"/>
      <c r="F242" s="5"/>
      <c r="G242" s="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8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10"/>
    </row>
    <row r="243" spans="1:65" x14ac:dyDescent="0.4">
      <c r="A243" s="5"/>
      <c r="B243" s="5"/>
      <c r="C243" s="5"/>
      <c r="D243" s="6"/>
      <c r="E243" s="5"/>
      <c r="F243" s="5"/>
      <c r="G243" s="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8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9"/>
      <c r="BM243" s="10"/>
    </row>
    <row r="244" spans="1:65" x14ac:dyDescent="0.4">
      <c r="A244" s="5"/>
      <c r="B244" s="5"/>
      <c r="C244" s="5"/>
      <c r="D244" s="6"/>
      <c r="E244" s="5"/>
      <c r="F244" s="5"/>
      <c r="G244" s="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8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10"/>
    </row>
    <row r="245" spans="1:65" x14ac:dyDescent="0.4">
      <c r="A245" s="5"/>
      <c r="B245" s="5"/>
      <c r="C245" s="5"/>
      <c r="D245" s="6"/>
      <c r="E245" s="5"/>
      <c r="F245" s="5"/>
      <c r="G245" s="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8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10"/>
    </row>
    <row r="246" spans="1:65" x14ac:dyDescent="0.4">
      <c r="A246" s="5"/>
      <c r="B246" s="5"/>
      <c r="C246" s="5"/>
      <c r="D246" s="6"/>
      <c r="E246" s="5"/>
      <c r="F246" s="5"/>
      <c r="G246" s="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8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10"/>
    </row>
    <row r="247" spans="1:65" x14ac:dyDescent="0.4">
      <c r="A247" s="5"/>
      <c r="B247" s="5"/>
      <c r="C247" s="5"/>
      <c r="D247" s="6"/>
      <c r="E247" s="5"/>
      <c r="F247" s="5"/>
      <c r="G247" s="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8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10"/>
    </row>
    <row r="248" spans="1:65" x14ac:dyDescent="0.4">
      <c r="A248" s="5"/>
      <c r="B248" s="5"/>
      <c r="C248" s="5"/>
      <c r="D248" s="6"/>
      <c r="E248" s="5"/>
      <c r="F248" s="5"/>
      <c r="G248" s="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8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10"/>
    </row>
    <row r="249" spans="1:65" x14ac:dyDescent="0.4">
      <c r="A249" s="5"/>
      <c r="B249" s="5"/>
      <c r="C249" s="5"/>
      <c r="D249" s="6"/>
      <c r="E249" s="5"/>
      <c r="F249" s="5"/>
      <c r="G249" s="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8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10"/>
    </row>
    <row r="250" spans="1:65" x14ac:dyDescent="0.4">
      <c r="A250" s="5"/>
      <c r="B250" s="5"/>
      <c r="C250" s="5"/>
      <c r="D250" s="6"/>
      <c r="E250" s="5"/>
      <c r="F250" s="5"/>
      <c r="G250" s="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8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10"/>
    </row>
    <row r="251" spans="1:65" x14ac:dyDescent="0.4">
      <c r="A251" s="5"/>
      <c r="B251" s="5"/>
      <c r="C251" s="5"/>
      <c r="D251" s="6"/>
      <c r="E251" s="5"/>
      <c r="F251" s="5"/>
      <c r="G251" s="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8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10"/>
    </row>
    <row r="252" spans="1:65" x14ac:dyDescent="0.4">
      <c r="A252" s="5"/>
      <c r="B252" s="5"/>
      <c r="C252" s="5"/>
      <c r="D252" s="6"/>
      <c r="E252" s="5"/>
      <c r="F252" s="5"/>
      <c r="G252" s="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8"/>
      <c r="AH252" s="7"/>
      <c r="AI252" s="7"/>
      <c r="AJ252" s="7"/>
      <c r="AK252" s="7"/>
      <c r="AL252" s="7"/>
      <c r="AM252" s="8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10"/>
    </row>
    <row r="253" spans="1:65" x14ac:dyDescent="0.4">
      <c r="A253" s="5"/>
      <c r="B253" s="5"/>
      <c r="C253" s="5"/>
      <c r="D253" s="6"/>
      <c r="E253" s="5"/>
      <c r="F253" s="5"/>
      <c r="G253" s="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8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10"/>
    </row>
    <row r="254" spans="1:65" x14ac:dyDescent="0.4">
      <c r="A254" s="5"/>
      <c r="B254" s="5"/>
      <c r="C254" s="5"/>
      <c r="D254" s="6"/>
      <c r="E254" s="5"/>
      <c r="F254" s="5"/>
      <c r="G254" s="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8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10"/>
    </row>
    <row r="255" spans="1:65" x14ac:dyDescent="0.4">
      <c r="A255" s="5"/>
      <c r="B255" s="5"/>
      <c r="C255" s="5"/>
      <c r="D255" s="6"/>
      <c r="E255" s="5"/>
      <c r="F255" s="5"/>
      <c r="G255" s="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8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10"/>
    </row>
    <row r="256" spans="1:65" x14ac:dyDescent="0.4">
      <c r="A256" s="5"/>
      <c r="B256" s="5"/>
      <c r="C256" s="5"/>
      <c r="D256" s="6"/>
      <c r="E256" s="5"/>
      <c r="F256" s="5"/>
      <c r="G256" s="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8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10"/>
    </row>
    <row r="257" spans="1:65" x14ac:dyDescent="0.4">
      <c r="A257" s="5"/>
      <c r="B257" s="5"/>
      <c r="C257" s="5"/>
      <c r="D257" s="6"/>
      <c r="E257" s="5"/>
      <c r="F257" s="5"/>
      <c r="G257" s="5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8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10"/>
    </row>
    <row r="258" spans="1:65" x14ac:dyDescent="0.4">
      <c r="A258" s="5"/>
      <c r="B258" s="5"/>
      <c r="C258" s="5"/>
      <c r="D258" s="6"/>
      <c r="E258" s="5"/>
      <c r="F258" s="5"/>
      <c r="G258" s="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8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10"/>
    </row>
    <row r="259" spans="1:65" x14ac:dyDescent="0.4">
      <c r="A259" s="5"/>
      <c r="B259" s="5"/>
      <c r="C259" s="5"/>
      <c r="D259" s="6"/>
      <c r="E259" s="5"/>
      <c r="F259" s="5"/>
      <c r="G259" s="5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8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10"/>
    </row>
    <row r="260" spans="1:65" x14ac:dyDescent="0.4">
      <c r="A260" s="5"/>
      <c r="B260" s="5"/>
      <c r="C260" s="5"/>
      <c r="D260" s="6"/>
      <c r="E260" s="5"/>
      <c r="F260" s="5"/>
      <c r="G260" s="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8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10"/>
    </row>
    <row r="261" spans="1:65" x14ac:dyDescent="0.4">
      <c r="A261" s="5"/>
      <c r="B261" s="5"/>
      <c r="C261" s="5"/>
      <c r="D261" s="6"/>
      <c r="E261" s="5"/>
      <c r="F261" s="5"/>
      <c r="G261" s="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8"/>
      <c r="AG261" s="7"/>
      <c r="AH261" s="7"/>
      <c r="AI261" s="7"/>
      <c r="AJ261" s="7"/>
      <c r="AK261" s="7"/>
      <c r="AL261" s="7"/>
      <c r="AM261" s="8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10"/>
    </row>
    <row r="262" spans="1:65" x14ac:dyDescent="0.4">
      <c r="A262" s="5"/>
      <c r="B262" s="5"/>
      <c r="C262" s="5"/>
      <c r="D262" s="6"/>
      <c r="E262" s="5"/>
      <c r="F262" s="5"/>
      <c r="G262" s="5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8"/>
      <c r="AG262" s="7"/>
      <c r="AH262" s="7"/>
      <c r="AI262" s="7"/>
      <c r="AJ262" s="7"/>
      <c r="AK262" s="7"/>
      <c r="AL262" s="7"/>
      <c r="AM262" s="8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10"/>
    </row>
    <row r="263" spans="1:65" x14ac:dyDescent="0.4">
      <c r="A263" s="5"/>
      <c r="B263" s="5"/>
      <c r="C263" s="5"/>
      <c r="D263" s="6"/>
      <c r="E263" s="5"/>
      <c r="F263" s="5"/>
      <c r="G263" s="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8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10"/>
    </row>
    <row r="264" spans="1:65" x14ac:dyDescent="0.4">
      <c r="A264" s="5"/>
      <c r="B264" s="5"/>
      <c r="C264" s="5"/>
      <c r="D264" s="6"/>
      <c r="E264" s="5"/>
      <c r="F264" s="5"/>
      <c r="G264" s="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8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10"/>
    </row>
    <row r="265" spans="1:65" x14ac:dyDescent="0.4">
      <c r="A265" s="5"/>
      <c r="B265" s="5"/>
      <c r="C265" s="5"/>
      <c r="D265" s="6"/>
      <c r="E265" s="5"/>
      <c r="F265" s="5"/>
      <c r="G265" s="5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8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10"/>
    </row>
    <row r="266" spans="1:65" x14ac:dyDescent="0.4">
      <c r="A266" s="5"/>
      <c r="B266" s="5"/>
      <c r="C266" s="5"/>
      <c r="D266" s="6"/>
      <c r="E266" s="5"/>
      <c r="F266" s="5"/>
      <c r="G266" s="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8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10"/>
    </row>
    <row r="267" spans="1:65" x14ac:dyDescent="0.4">
      <c r="A267" s="5"/>
      <c r="B267" s="5"/>
      <c r="C267" s="5"/>
      <c r="D267" s="6"/>
      <c r="E267" s="5"/>
      <c r="F267" s="5"/>
      <c r="G267" s="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8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10"/>
    </row>
    <row r="268" spans="1:65" x14ac:dyDescent="0.4">
      <c r="A268" s="5"/>
      <c r="B268" s="5"/>
      <c r="C268" s="5"/>
      <c r="D268" s="6"/>
      <c r="E268" s="5"/>
      <c r="F268" s="5"/>
      <c r="G268" s="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8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10"/>
    </row>
    <row r="269" spans="1:65" x14ac:dyDescent="0.4">
      <c r="A269" s="5"/>
      <c r="B269" s="5"/>
      <c r="C269" s="5"/>
      <c r="D269" s="6"/>
      <c r="E269" s="5"/>
      <c r="F269" s="5"/>
      <c r="G269" s="5"/>
      <c r="H269" s="7"/>
      <c r="I269" s="7"/>
      <c r="J269" s="7"/>
      <c r="K269" s="7"/>
      <c r="L269" s="8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10"/>
    </row>
    <row r="270" spans="1:65" x14ac:dyDescent="0.4">
      <c r="A270" s="5"/>
      <c r="B270" s="5"/>
      <c r="C270" s="5"/>
      <c r="D270" s="6"/>
      <c r="E270" s="5"/>
      <c r="F270" s="5"/>
      <c r="G270" s="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8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10"/>
    </row>
    <row r="271" spans="1:65" x14ac:dyDescent="0.4">
      <c r="A271" s="5"/>
      <c r="B271" s="5"/>
      <c r="C271" s="5"/>
      <c r="D271" s="6"/>
      <c r="E271" s="5"/>
      <c r="F271" s="5"/>
      <c r="G271" s="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10"/>
    </row>
    <row r="272" spans="1:65" x14ac:dyDescent="0.4">
      <c r="A272" s="5"/>
      <c r="B272" s="5"/>
      <c r="C272" s="5"/>
      <c r="D272" s="6"/>
      <c r="E272" s="5"/>
      <c r="F272" s="5"/>
      <c r="G272" s="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8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10"/>
    </row>
    <row r="273" spans="1:65" x14ac:dyDescent="0.4">
      <c r="A273" s="5"/>
      <c r="B273" s="5"/>
      <c r="C273" s="5"/>
      <c r="D273" s="6"/>
      <c r="E273" s="5"/>
      <c r="F273" s="5"/>
      <c r="G273" s="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8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10"/>
    </row>
    <row r="274" spans="1:65" x14ac:dyDescent="0.4">
      <c r="A274" s="5"/>
      <c r="B274" s="5"/>
      <c r="C274" s="5"/>
      <c r="D274" s="6"/>
      <c r="E274" s="5"/>
      <c r="F274" s="5"/>
      <c r="G274" s="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8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10"/>
    </row>
    <row r="275" spans="1:65" x14ac:dyDescent="0.4">
      <c r="A275" s="5"/>
      <c r="B275" s="5"/>
      <c r="C275" s="5"/>
      <c r="D275" s="6"/>
      <c r="E275" s="5"/>
      <c r="F275" s="5"/>
      <c r="G275" s="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11"/>
    </row>
    <row r="276" spans="1:65" x14ac:dyDescent="0.4">
      <c r="A276" s="5"/>
      <c r="B276" s="5"/>
      <c r="C276" s="5"/>
      <c r="D276" s="6"/>
      <c r="E276" s="5"/>
      <c r="F276" s="5"/>
      <c r="G276" s="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11"/>
    </row>
    <row r="277" spans="1:65" x14ac:dyDescent="0.4">
      <c r="A277" s="5"/>
      <c r="B277" s="5"/>
      <c r="C277" s="5"/>
      <c r="D277" s="6"/>
      <c r="E277" s="5"/>
      <c r="F277" s="5"/>
      <c r="G277" s="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11"/>
    </row>
    <row r="278" spans="1:65" x14ac:dyDescent="0.4">
      <c r="A278" s="5"/>
      <c r="B278" s="5"/>
      <c r="C278" s="5"/>
      <c r="D278" s="6"/>
      <c r="E278" s="5"/>
      <c r="F278" s="5"/>
      <c r="G278" s="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11"/>
    </row>
    <row r="279" spans="1:65" x14ac:dyDescent="0.4">
      <c r="A279" s="5"/>
      <c r="B279" s="5"/>
      <c r="C279" s="5"/>
      <c r="D279" s="6"/>
      <c r="E279" s="5"/>
      <c r="F279" s="5"/>
      <c r="G279" s="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11"/>
    </row>
    <row r="280" spans="1:65" x14ac:dyDescent="0.4">
      <c r="A280" s="5"/>
      <c r="B280" s="5"/>
      <c r="C280" s="5"/>
      <c r="D280" s="6"/>
      <c r="E280" s="5"/>
      <c r="F280" s="5"/>
      <c r="G280" s="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11"/>
    </row>
    <row r="281" spans="1:65" x14ac:dyDescent="0.4">
      <c r="A281" s="5"/>
      <c r="B281" s="5"/>
      <c r="C281" s="5"/>
      <c r="D281" s="6"/>
      <c r="E281" s="5"/>
      <c r="F281" s="5"/>
      <c r="G281" s="5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11"/>
    </row>
    <row r="282" spans="1:65" x14ac:dyDescent="0.4">
      <c r="A282" s="5"/>
      <c r="B282" s="5"/>
      <c r="C282" s="5"/>
      <c r="D282" s="6"/>
      <c r="E282" s="5"/>
      <c r="F282" s="5"/>
      <c r="G282" s="5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11"/>
    </row>
    <row r="283" spans="1:65" x14ac:dyDescent="0.4">
      <c r="A283" s="5"/>
      <c r="B283" s="5"/>
      <c r="C283" s="5"/>
      <c r="D283" s="6"/>
      <c r="E283" s="5"/>
      <c r="F283" s="5"/>
      <c r="G283" s="5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11"/>
    </row>
    <row r="284" spans="1:65" x14ac:dyDescent="0.4">
      <c r="A284" s="5"/>
      <c r="B284" s="5"/>
      <c r="C284" s="5"/>
      <c r="D284" s="6"/>
      <c r="E284" s="5"/>
      <c r="F284" s="5"/>
      <c r="G284" s="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11"/>
    </row>
    <row r="285" spans="1:65" x14ac:dyDescent="0.4">
      <c r="A285" s="5"/>
      <c r="B285" s="5"/>
      <c r="C285" s="5"/>
      <c r="D285" s="6"/>
      <c r="E285" s="5"/>
      <c r="F285" s="5"/>
      <c r="G285" s="5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11"/>
    </row>
    <row r="286" spans="1:65" x14ac:dyDescent="0.4">
      <c r="A286" s="5"/>
      <c r="B286" s="5"/>
      <c r="C286" s="5"/>
      <c r="D286" s="6"/>
      <c r="E286" s="5"/>
      <c r="F286" s="5"/>
      <c r="G286" s="5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11"/>
    </row>
    <row r="287" spans="1:65" x14ac:dyDescent="0.4">
      <c r="A287" s="5"/>
      <c r="B287" s="5"/>
      <c r="C287" s="5"/>
      <c r="D287" s="6"/>
      <c r="E287" s="5"/>
      <c r="F287" s="5"/>
      <c r="G287" s="5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11"/>
    </row>
    <row r="288" spans="1:65" x14ac:dyDescent="0.4">
      <c r="A288" s="5"/>
      <c r="B288" s="5"/>
      <c r="C288" s="5"/>
      <c r="D288" s="6"/>
      <c r="E288" s="5"/>
      <c r="F288" s="5"/>
      <c r="G288" s="5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11"/>
    </row>
    <row r="289" spans="1:65" x14ac:dyDescent="0.4">
      <c r="A289" s="5"/>
      <c r="B289" s="5"/>
      <c r="C289" s="5"/>
      <c r="D289" s="6"/>
      <c r="E289" s="5"/>
      <c r="F289" s="5"/>
      <c r="G289" s="5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11"/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합계(8)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2022-09-02T07:48:39Z</dcterms:modified>
</cp:coreProperties>
</file>