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2" r:id="rId1"/>
  </sheets>
  <definedNames>
    <definedName name="_xlnm._FilterDatabase" localSheetId="0" hidden="1">'합계 (8)'!$A$1:$BQ$1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O489" i="412" l="1"/>
  <c r="BN471" i="412"/>
  <c r="BN488" i="412"/>
  <c r="BO488" i="412" s="1"/>
  <c r="BN487" i="412"/>
  <c r="BO487" i="412" s="1"/>
  <c r="BO486" i="412"/>
  <c r="BN486" i="412"/>
  <c r="BN485" i="412"/>
  <c r="BO485" i="412" s="1"/>
  <c r="BN484" i="412"/>
  <c r="BO484" i="412" s="1"/>
  <c r="BN483" i="412"/>
  <c r="BO483" i="412" s="1"/>
  <c r="BO482" i="412"/>
  <c r="BN482" i="412"/>
  <c r="BN481" i="412"/>
  <c r="BO481" i="412" s="1"/>
  <c r="BN480" i="412"/>
  <c r="BO480" i="412" s="1"/>
  <c r="BN479" i="412"/>
  <c r="BO479" i="412" s="1"/>
  <c r="BO478" i="412"/>
  <c r="BN478" i="412"/>
  <c r="BN477" i="412"/>
  <c r="BO477" i="412" s="1"/>
  <c r="BN476" i="412"/>
  <c r="BO476" i="412" s="1"/>
  <c r="BN475" i="412"/>
  <c r="BO475" i="412" s="1"/>
  <c r="BO474" i="412"/>
  <c r="BN474" i="412"/>
  <c r="BN473" i="412"/>
  <c r="BO473" i="412" s="1"/>
  <c r="BN472" i="412"/>
  <c r="BO472" i="412" s="1"/>
  <c r="BO471" i="412"/>
  <c r="BO470" i="412"/>
  <c r="BN470" i="412"/>
  <c r="BN186" i="412" l="1"/>
  <c r="BO186" i="412" s="1"/>
  <c r="BN187" i="412"/>
  <c r="BO187" i="412" s="1"/>
  <c r="BN188" i="412"/>
  <c r="BO188" i="412" s="1"/>
  <c r="BN189" i="412"/>
  <c r="BO189" i="412" s="1"/>
  <c r="BN190" i="412"/>
  <c r="BO190" i="412" s="1"/>
  <c r="BN191" i="412"/>
  <c r="BO191" i="412"/>
  <c r="BN192" i="412"/>
  <c r="BO192" i="412" s="1"/>
  <c r="BN193" i="412"/>
  <c r="BO193" i="412"/>
  <c r="BN194" i="412"/>
  <c r="BO194" i="412" s="1"/>
  <c r="BN195" i="412"/>
  <c r="BO195" i="412" s="1"/>
  <c r="BN196" i="412"/>
  <c r="BO196" i="412" s="1"/>
  <c r="BN197" i="412"/>
  <c r="BO197" i="412"/>
  <c r="BN198" i="412"/>
  <c r="BO198" i="412" s="1"/>
  <c r="BN199" i="412"/>
  <c r="BO199" i="412" s="1"/>
  <c r="BN200" i="412"/>
  <c r="BO200" i="412" s="1"/>
  <c r="BN201" i="412"/>
  <c r="BO201" i="412"/>
  <c r="BN202" i="412"/>
  <c r="BO202" i="412" s="1"/>
  <c r="BN203" i="412"/>
  <c r="BO203" i="412"/>
  <c r="BN204" i="412"/>
  <c r="BO204" i="412" s="1"/>
  <c r="BN205" i="412"/>
  <c r="BO205" i="412" s="1"/>
  <c r="BN206" i="412"/>
  <c r="BO206" i="412" s="1"/>
  <c r="BN207" i="412"/>
  <c r="BO207" i="412"/>
  <c r="BN208" i="412"/>
  <c r="BO208" i="412" s="1"/>
  <c r="BN209" i="412"/>
  <c r="BO209" i="412"/>
  <c r="BN210" i="412"/>
  <c r="BO210" i="412" s="1"/>
  <c r="BN211" i="412"/>
  <c r="BO211" i="412" s="1"/>
  <c r="BN212" i="412"/>
  <c r="BO212" i="412" s="1"/>
  <c r="BN213" i="412"/>
  <c r="BO213" i="412"/>
  <c r="BN214" i="412"/>
  <c r="BO214" i="412" s="1"/>
  <c r="BN215" i="412"/>
  <c r="BO215" i="412" s="1"/>
  <c r="BN216" i="412"/>
  <c r="BO216" i="412" s="1"/>
  <c r="BN217" i="412"/>
  <c r="BO217" i="412"/>
  <c r="BN218" i="412"/>
  <c r="BO218" i="412" s="1"/>
  <c r="BN219" i="412"/>
  <c r="BO219" i="412" s="1"/>
  <c r="BN220" i="412"/>
  <c r="BO220" i="412" s="1"/>
  <c r="BN221" i="412"/>
  <c r="BO221" i="412" s="1"/>
  <c r="BN222" i="412"/>
  <c r="BO222" i="412" s="1"/>
  <c r="BN223" i="412"/>
  <c r="BO223" i="412"/>
  <c r="BN224" i="412"/>
  <c r="BO224" i="412" s="1"/>
  <c r="BN225" i="412"/>
  <c r="BO225" i="412"/>
  <c r="BN226" i="412"/>
  <c r="BO226" i="412" s="1"/>
  <c r="BN227" i="412"/>
  <c r="BO227" i="412" s="1"/>
  <c r="BN228" i="412"/>
  <c r="BO228" i="412" s="1"/>
  <c r="BN229" i="412"/>
  <c r="BO229" i="412"/>
  <c r="BN230" i="412"/>
  <c r="BO230" i="412" s="1"/>
  <c r="BN231" i="412"/>
  <c r="BO231" i="412" s="1"/>
  <c r="BN232" i="412"/>
  <c r="BO232" i="412" s="1"/>
  <c r="BN233" i="412"/>
  <c r="BO233" i="412"/>
  <c r="BN234" i="412"/>
  <c r="BO234" i="412" s="1"/>
  <c r="BN235" i="412"/>
  <c r="BO235" i="412"/>
  <c r="BN236" i="412"/>
  <c r="BO236" i="412" s="1"/>
  <c r="BN237" i="412"/>
  <c r="BO237" i="412" s="1"/>
  <c r="BN238" i="412"/>
  <c r="BO238" i="412" s="1"/>
  <c r="BN239" i="412"/>
  <c r="BO239" i="412"/>
  <c r="BN240" i="412"/>
  <c r="BO240" i="412" s="1"/>
  <c r="BN241" i="412"/>
  <c r="BO241" i="412"/>
  <c r="BN242" i="412"/>
  <c r="BO242" i="412" s="1"/>
  <c r="BN243" i="412"/>
  <c r="BO243" i="412" s="1"/>
  <c r="BN244" i="412"/>
  <c r="BO244" i="412" s="1"/>
  <c r="BN245" i="412"/>
  <c r="BO245" i="412"/>
  <c r="BN246" i="412"/>
  <c r="BO246" i="412" s="1"/>
  <c r="BN247" i="412"/>
  <c r="BO247" i="412" s="1"/>
  <c r="BN248" i="412"/>
  <c r="BO248" i="412" s="1"/>
  <c r="BN249" i="412"/>
  <c r="BO249" i="412"/>
  <c r="BN250" i="412"/>
  <c r="BO250" i="412" s="1"/>
  <c r="BN251" i="412"/>
  <c r="BO251" i="412"/>
  <c r="BN252" i="412"/>
  <c r="BO252" i="412" s="1"/>
  <c r="BN253" i="412"/>
  <c r="BO253" i="412" s="1"/>
  <c r="BN254" i="412"/>
  <c r="BO254" i="412" s="1"/>
  <c r="BN255" i="412"/>
  <c r="BO255" i="412"/>
  <c r="BN256" i="412"/>
  <c r="BO256" i="412" s="1"/>
  <c r="BN257" i="412"/>
  <c r="BO257" i="412"/>
  <c r="BN258" i="412"/>
  <c r="BO258" i="412" s="1"/>
  <c r="BN259" i="412"/>
  <c r="BO259" i="412" s="1"/>
  <c r="BN260" i="412"/>
  <c r="BO260" i="412" s="1"/>
  <c r="BN261" i="412"/>
  <c r="BO261" i="412"/>
  <c r="BN262" i="412"/>
  <c r="BO262" i="412" s="1"/>
  <c r="BN263" i="412"/>
  <c r="BO263" i="412" s="1"/>
  <c r="BN264" i="412"/>
  <c r="BO264" i="412" s="1"/>
  <c r="BN265" i="412"/>
  <c r="BO265" i="412" s="1"/>
  <c r="BN266" i="412"/>
  <c r="BO266" i="412"/>
  <c r="BN267" i="412"/>
  <c r="BO267" i="412"/>
  <c r="BN268" i="412"/>
  <c r="BO268" i="412" s="1"/>
  <c r="BN269" i="412"/>
  <c r="BO269" i="412" s="1"/>
  <c r="BN270" i="412"/>
  <c r="BO270" i="412" s="1"/>
  <c r="BN271" i="412"/>
  <c r="BO271" i="412"/>
  <c r="BN272" i="412"/>
  <c r="BO272" i="412" s="1"/>
  <c r="BN273" i="412"/>
  <c r="BO273" i="412" s="1"/>
  <c r="BN274" i="412"/>
  <c r="BO274" i="412"/>
  <c r="BN275" i="412"/>
  <c r="BO275" i="412" s="1"/>
  <c r="BN276" i="412"/>
  <c r="BO276" i="412" s="1"/>
  <c r="BN277" i="412"/>
  <c r="BO277" i="412" s="1"/>
  <c r="BN278" i="412"/>
  <c r="BO278" i="412" s="1"/>
  <c r="BN279" i="412"/>
  <c r="BO279" i="412" s="1"/>
  <c r="BN280" i="412"/>
  <c r="BO280" i="412" s="1"/>
  <c r="BN281" i="412"/>
  <c r="BO281" i="412" s="1"/>
  <c r="BN282" i="412"/>
  <c r="BO282" i="412" s="1"/>
  <c r="BN283" i="412"/>
  <c r="BO283" i="412"/>
  <c r="BN284" i="412"/>
  <c r="BO284" i="412" s="1"/>
  <c r="BN285" i="412"/>
  <c r="BO285" i="412"/>
  <c r="BN286" i="412"/>
  <c r="BO286" i="412" s="1"/>
  <c r="BN287" i="412"/>
  <c r="BO287" i="412" s="1"/>
  <c r="BN288" i="412"/>
  <c r="BO288" i="412" s="1"/>
  <c r="BN289" i="412"/>
  <c r="BO289" i="412"/>
  <c r="BN290" i="412"/>
  <c r="BO290" i="412" s="1"/>
  <c r="BN291" i="412"/>
  <c r="BO291" i="412" s="1"/>
  <c r="BN292" i="412"/>
  <c r="BO292" i="412" s="1"/>
  <c r="BN293" i="412"/>
  <c r="BO293" i="412"/>
  <c r="BN294" i="412"/>
  <c r="BO294" i="412"/>
  <c r="BN295" i="412"/>
  <c r="BO295" i="412" s="1"/>
  <c r="BN296" i="412"/>
  <c r="BO296" i="412" s="1"/>
  <c r="BN297" i="412"/>
  <c r="BO297" i="412"/>
  <c r="BN298" i="412"/>
  <c r="BO298" i="412"/>
  <c r="BN299" i="412"/>
  <c r="BO299" i="412"/>
  <c r="BN300" i="412"/>
  <c r="BO300" i="412" s="1"/>
  <c r="BN301" i="412"/>
  <c r="BO301" i="412" s="1"/>
  <c r="BN302" i="412"/>
  <c r="BO302" i="412"/>
  <c r="BN303" i="412"/>
  <c r="BO303" i="412"/>
  <c r="BN304" i="412"/>
  <c r="BO304" i="412" s="1"/>
  <c r="BN305" i="412"/>
  <c r="BO305" i="412" s="1"/>
  <c r="BN306" i="412"/>
  <c r="BO306" i="412" s="1"/>
  <c r="BN307" i="412"/>
  <c r="BO307" i="412"/>
  <c r="BN308" i="412"/>
  <c r="BO308" i="412" s="1"/>
  <c r="BN309" i="412"/>
  <c r="BO309" i="412" s="1"/>
  <c r="BN310" i="412"/>
  <c r="BO310" i="412" s="1"/>
  <c r="BN311" i="412"/>
  <c r="BO311" i="412"/>
  <c r="BN312" i="412"/>
  <c r="BO312" i="412" s="1"/>
  <c r="BN313" i="412"/>
  <c r="BO313" i="412"/>
  <c r="BN314" i="412"/>
  <c r="BO314" i="412" s="1"/>
  <c r="BN315" i="412"/>
  <c r="BO315" i="412"/>
  <c r="BN316" i="412"/>
  <c r="BO316" i="412" s="1"/>
  <c r="BN317" i="412"/>
  <c r="BO317" i="412" s="1"/>
  <c r="BN318" i="412"/>
  <c r="BO318" i="412" s="1"/>
  <c r="BN319" i="412"/>
  <c r="BO319" i="412" s="1"/>
  <c r="BN320" i="412"/>
  <c r="BO320" i="412" s="1"/>
  <c r="BN321" i="412"/>
  <c r="BO321" i="412"/>
  <c r="BN322" i="412"/>
  <c r="BO322" i="412" s="1"/>
  <c r="BN323" i="412"/>
  <c r="BO323" i="412" s="1"/>
  <c r="BN324" i="412"/>
  <c r="BO324" i="412" s="1"/>
  <c r="BN325" i="412"/>
  <c r="BO325" i="412" s="1"/>
  <c r="BN326" i="412"/>
  <c r="BO326" i="412" s="1"/>
  <c r="BN327" i="412"/>
  <c r="BO327" i="412"/>
  <c r="BN328" i="412"/>
  <c r="BO328" i="412" s="1"/>
  <c r="BN329" i="412"/>
  <c r="BO329" i="412" s="1"/>
  <c r="BN330" i="412"/>
  <c r="BO330" i="412" s="1"/>
  <c r="BN331" i="412"/>
  <c r="BO331" i="412"/>
  <c r="BN332" i="412"/>
  <c r="BO332" i="412" s="1"/>
  <c r="BN333" i="412"/>
  <c r="BO333" i="412"/>
  <c r="BN334" i="412"/>
  <c r="BO334" i="412" s="1"/>
  <c r="BN335" i="412"/>
  <c r="BO335" i="412" s="1"/>
  <c r="BN336" i="412"/>
  <c r="BO336" i="412" s="1"/>
  <c r="BN337" i="412"/>
  <c r="BO337" i="412"/>
  <c r="BN338" i="412"/>
  <c r="BO338" i="412" s="1"/>
  <c r="BN339" i="412"/>
  <c r="BO339" i="412"/>
  <c r="BN340" i="412"/>
  <c r="BO340" i="412" s="1"/>
  <c r="BN341" i="412"/>
  <c r="BO341" i="412" s="1"/>
  <c r="BN342" i="412"/>
  <c r="BO342" i="412" s="1"/>
  <c r="BN343" i="412"/>
  <c r="BO343" i="412"/>
  <c r="BN344" i="412"/>
  <c r="BO344" i="412" s="1"/>
  <c r="BN345" i="412"/>
  <c r="BO345" i="412" s="1"/>
  <c r="BN346" i="412"/>
  <c r="BO346" i="412" s="1"/>
  <c r="BN347" i="412"/>
  <c r="BO347" i="412"/>
  <c r="BN348" i="412"/>
  <c r="BO348" i="412" s="1"/>
  <c r="BN349" i="412"/>
  <c r="BO349" i="412"/>
  <c r="BN350" i="412"/>
  <c r="BO350" i="412" s="1"/>
  <c r="BN351" i="412"/>
  <c r="BO351" i="412" s="1"/>
  <c r="BN352" i="412"/>
  <c r="BO352" i="412" s="1"/>
  <c r="BN353" i="412"/>
  <c r="BO353" i="412" s="1"/>
  <c r="BN354" i="412"/>
  <c r="BO354" i="412" s="1"/>
  <c r="BN355" i="412"/>
  <c r="BO355" i="412" s="1"/>
  <c r="BN356" i="412"/>
  <c r="BO356" i="412" s="1"/>
  <c r="BN357" i="412"/>
  <c r="BO357" i="412"/>
  <c r="BN358" i="412"/>
  <c r="BO358" i="412" s="1"/>
  <c r="BN359" i="412"/>
  <c r="BO359" i="412" s="1"/>
  <c r="BN360" i="412"/>
  <c r="BO360" i="412" s="1"/>
  <c r="BN361" i="412"/>
  <c r="BO361" i="412" s="1"/>
  <c r="BN362" i="412"/>
  <c r="BO362" i="412" s="1"/>
  <c r="BN363" i="412"/>
  <c r="BO363" i="412"/>
  <c r="BN364" i="412"/>
  <c r="BO364" i="412" s="1"/>
  <c r="BN365" i="412"/>
  <c r="BO365" i="412" s="1"/>
  <c r="BN366" i="412"/>
  <c r="BO366" i="412" s="1"/>
  <c r="BN367" i="412"/>
  <c r="BO367" i="412"/>
  <c r="BN368" i="412"/>
  <c r="BO368" i="412" s="1"/>
  <c r="BN369" i="412"/>
  <c r="BO369" i="412"/>
  <c r="BN370" i="412"/>
  <c r="BO370" i="412" s="1"/>
  <c r="BN371" i="412"/>
  <c r="BO371" i="412" s="1"/>
  <c r="BN372" i="412"/>
  <c r="BO372" i="412" s="1"/>
  <c r="BN373" i="412"/>
  <c r="BO373" i="412"/>
  <c r="BN374" i="412"/>
  <c r="BO374" i="412" s="1"/>
  <c r="BN375" i="412"/>
  <c r="BO375" i="412" s="1"/>
  <c r="BN376" i="412"/>
  <c r="BO376" i="412" s="1"/>
  <c r="BN377" i="412"/>
  <c r="BO377" i="412" s="1"/>
  <c r="BN378" i="412"/>
  <c r="BO378" i="412"/>
  <c r="BN379" i="412"/>
  <c r="BO379" i="412" s="1"/>
  <c r="BN380" i="412"/>
  <c r="BO380" i="412" s="1"/>
  <c r="BN381" i="412"/>
  <c r="BO381" i="412" s="1"/>
  <c r="BN382" i="412"/>
  <c r="BO382" i="412" s="1"/>
  <c r="BN383" i="412"/>
  <c r="BO383" i="412" s="1"/>
  <c r="BN384" i="412"/>
  <c r="BO384" i="412" s="1"/>
  <c r="BN385" i="412"/>
  <c r="BO385" i="412"/>
  <c r="BN386" i="412"/>
  <c r="BO386" i="412" s="1"/>
  <c r="BN387" i="412"/>
  <c r="BO387" i="412"/>
  <c r="BN388" i="412"/>
  <c r="BO388" i="412" s="1"/>
  <c r="BN389" i="412"/>
  <c r="BO389" i="412" s="1"/>
  <c r="BN390" i="412"/>
  <c r="BO390" i="412"/>
  <c r="BN391" i="412"/>
  <c r="BO391" i="412"/>
  <c r="BN392" i="412"/>
  <c r="BO392" i="412" s="1"/>
  <c r="BN393" i="412"/>
  <c r="BO393" i="412" s="1"/>
  <c r="BN394" i="412"/>
  <c r="BO394" i="412" s="1"/>
  <c r="BN395" i="412"/>
  <c r="BO395" i="412"/>
  <c r="BN396" i="412"/>
  <c r="BO396" i="412" s="1"/>
  <c r="BN397" i="412"/>
  <c r="BO397" i="412"/>
  <c r="BN398" i="412"/>
  <c r="BO398" i="412" s="1"/>
  <c r="BN399" i="412"/>
  <c r="BO399" i="412" s="1"/>
  <c r="BN400" i="412"/>
  <c r="BO400" i="412" s="1"/>
  <c r="BN401" i="412"/>
  <c r="BO401" i="412"/>
  <c r="BN402" i="412"/>
  <c r="BO402" i="412" s="1"/>
  <c r="BN403" i="412"/>
  <c r="BO403" i="412" s="1"/>
  <c r="BN404" i="412"/>
  <c r="BO404" i="412" s="1"/>
  <c r="BN405" i="412"/>
  <c r="BO405" i="412" s="1"/>
  <c r="BN406" i="412"/>
  <c r="BO406" i="412"/>
  <c r="BN407" i="412"/>
  <c r="BO407" i="412" s="1"/>
  <c r="BN408" i="412"/>
  <c r="BO408" i="412" s="1"/>
  <c r="BN409" i="412"/>
  <c r="BO409" i="412" s="1"/>
  <c r="BN410" i="412"/>
  <c r="BO410" i="412" s="1"/>
  <c r="BN411" i="412"/>
  <c r="BO411" i="412" s="1"/>
  <c r="BN412" i="412"/>
  <c r="BO412" i="412" s="1"/>
  <c r="BN413" i="412"/>
  <c r="BO413" i="412" s="1"/>
  <c r="BN414" i="412"/>
  <c r="BO414" i="412" s="1"/>
  <c r="BN415" i="412"/>
  <c r="BO415" i="412" s="1"/>
  <c r="BN416" i="412"/>
  <c r="BO416" i="412" s="1"/>
  <c r="BN417" i="412"/>
  <c r="BO417" i="412" s="1"/>
  <c r="BN418" i="412"/>
  <c r="BO418" i="412" s="1"/>
  <c r="BN419" i="412"/>
  <c r="BO419" i="412"/>
  <c r="BN420" i="412"/>
  <c r="BO420" i="412" s="1"/>
  <c r="BN421" i="412"/>
  <c r="BO421" i="412" s="1"/>
  <c r="BN422" i="412"/>
  <c r="BO422" i="412" s="1"/>
  <c r="BN423" i="412"/>
  <c r="BO423" i="412" s="1"/>
  <c r="BN424" i="412"/>
  <c r="BO424" i="412" s="1"/>
  <c r="BN425" i="412"/>
  <c r="BO425" i="412"/>
  <c r="BN426" i="412"/>
  <c r="BO426" i="412" s="1"/>
  <c r="BN427" i="412"/>
  <c r="BO427" i="412" s="1"/>
  <c r="BN428" i="412"/>
  <c r="BO428" i="412" s="1"/>
  <c r="BN429" i="412"/>
  <c r="BO429" i="412" s="1"/>
  <c r="BN430" i="412"/>
  <c r="BO430" i="412" s="1"/>
  <c r="BN431" i="412"/>
  <c r="BO431" i="412"/>
  <c r="BN432" i="412"/>
  <c r="BO432" i="412" s="1"/>
  <c r="BN433" i="412"/>
  <c r="BO433" i="412" s="1"/>
  <c r="BN434" i="412"/>
  <c r="BO434" i="412" s="1"/>
  <c r="BN435" i="412"/>
  <c r="BO435" i="412" s="1"/>
  <c r="BN436" i="412"/>
  <c r="BO436" i="412" s="1"/>
  <c r="BN437" i="412"/>
  <c r="BO437" i="412" s="1"/>
  <c r="BN438" i="412"/>
  <c r="BO438" i="412" s="1"/>
  <c r="BN439" i="412"/>
  <c r="BO439" i="412"/>
  <c r="BN440" i="412"/>
  <c r="BO440" i="412" s="1"/>
  <c r="BN441" i="412"/>
  <c r="BO441" i="412" s="1"/>
  <c r="BN442" i="412"/>
  <c r="BO442" i="412" s="1"/>
  <c r="BN443" i="412"/>
  <c r="BO443" i="412"/>
  <c r="BN444" i="412"/>
  <c r="BO444" i="412" s="1"/>
  <c r="BN445" i="412"/>
  <c r="BO445" i="412" s="1"/>
  <c r="BN446" i="412"/>
  <c r="BO446" i="412" s="1"/>
  <c r="BN447" i="412"/>
  <c r="BO447" i="412" s="1"/>
  <c r="BN448" i="412"/>
  <c r="BO448" i="412" s="1"/>
  <c r="BN449" i="412"/>
  <c r="BO449" i="412"/>
  <c r="BN450" i="412"/>
  <c r="BO450" i="412" s="1"/>
  <c r="BN451" i="412"/>
  <c r="BO451" i="412" s="1"/>
  <c r="BN452" i="412"/>
  <c r="BO452" i="412" s="1"/>
  <c r="BN453" i="412"/>
  <c r="BO453" i="412" s="1"/>
  <c r="BN454" i="412"/>
  <c r="BO454" i="412" s="1"/>
  <c r="BN455" i="412"/>
  <c r="BO455" i="412"/>
  <c r="BN456" i="412"/>
  <c r="BO456" i="412" s="1"/>
  <c r="BN457" i="412"/>
  <c r="BO457" i="412" s="1"/>
  <c r="BN458" i="412"/>
  <c r="BO458" i="412" s="1"/>
  <c r="BN459" i="412"/>
  <c r="BO459" i="412"/>
  <c r="BN460" i="412"/>
  <c r="BO460" i="412" s="1"/>
  <c r="BN461" i="412"/>
  <c r="BO461" i="412"/>
  <c r="BN462" i="412"/>
  <c r="BO462" i="412" s="1"/>
  <c r="BN463" i="412"/>
  <c r="BO463" i="412" s="1"/>
  <c r="BN464" i="412"/>
  <c r="BO464" i="412" s="1"/>
  <c r="BN465" i="412"/>
  <c r="BO465" i="412"/>
  <c r="BN466" i="412"/>
  <c r="BO466" i="412" s="1"/>
  <c r="BN467" i="412"/>
  <c r="BO467" i="412"/>
  <c r="BN468" i="412"/>
  <c r="BO468" i="412" s="1"/>
  <c r="BN469" i="412"/>
  <c r="BO469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2" i="412"/>
  <c r="BO2" i="412" l="1"/>
</calcChain>
</file>

<file path=xl/sharedStrings.xml><?xml version="1.0" encoding="utf-8"?>
<sst xmlns="http://schemas.openxmlformats.org/spreadsheetml/2006/main" count="3481" uniqueCount="583">
  <si>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</si>
  <si>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</si>
  <si>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</si>
  <si>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</si>
  <si>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</si>
  <si>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</si>
  <si>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</si>
  <si>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</si>
  <si>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</si>
  <si>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</si>
  <si>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</si>
  <si>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김광수</t>
  </si>
  <si>
    <t>합계</t>
  </si>
  <si>
    <t>앱마켓수수료</t>
  </si>
  <si>
    <t>시리즈APP</t>
    <phoneticPr fontId="20" type="noConversion"/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</si>
  <si>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</si>
  <si>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</si>
  <si>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</si>
  <si>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</si>
  <si>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</si>
  <si>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</si>
  <si>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</si>
  <si>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</si>
  <si>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</si>
  <si>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</si>
  <si>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</si>
  <si>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</si>
  <si>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</si>
  <si>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</si>
  <si>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</si>
  <si>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</si>
  <si>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</si>
  <si>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</si>
  <si>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</si>
  <si>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</si>
  <si>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</si>
  <si>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</si>
  <si>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</si>
  <si>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</si>
  <si>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</si>
  <si>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</si>
  <si>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</si>
  <si>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</si>
  <si>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</si>
  <si>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</si>
  <si>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</si>
  <si>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</si>
  <si>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</si>
  <si>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</si>
  <si>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</si>
  <si>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</si>
  <si>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</si>
  <si>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</si>
  <si>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</si>
  <si>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</si>
  <si>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</si>
  <si>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</si>
  <si>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</si>
  <si>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</si>
  <si>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</si>
  <si>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</si>
  <si>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</si>
  <si>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</si>
  <si>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</si>
  <si>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</si>
  <si>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</si>
  <si>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</si>
  <si>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</si>
  <si>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</si>
  <si>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</si>
  <si>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</si>
  <si>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</si>
  <si>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</si>
  <si>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</si>
  <si>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</si>
  <si>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</si>
  <si>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</si>
  <si>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</si>
  <si>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</si>
  <si>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</si>
  <si>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</si>
  <si>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</si>
  <si>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</si>
  <si>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</si>
  <si>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</si>
  <si>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</si>
  <si>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</si>
  <si>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</si>
  <si>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</si>
  <si>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</si>
  <si>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</si>
  <si>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</si>
  <si>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</si>
  <si>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</si>
  <si>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</si>
  <si>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</si>
  <si>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</si>
  <si>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</si>
  <si>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</si>
  <si>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</si>
  <si>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</si>
  <si>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</si>
  <si>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</si>
  <si>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</si>
  <si>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</si>
  <si>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</si>
  <si>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</si>
  <si>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</si>
  <si>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</si>
  <si>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</si>
  <si>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</si>
  <si>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</si>
  <si>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게임 속 유닛 [단행본]</t>
  </si>
  <si>
    <t>찬동</t>
  </si>
  <si>
    <t>2021.01.21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</si>
  <si>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</si>
  <si>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</si>
  <si>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</si>
  <si>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</si>
  <si>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</si>
  <si>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</si>
  <si>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</si>
  <si>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</si>
  <si>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</si>
  <si>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</si>
  <si>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</si>
  <si>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</si>
  <si>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</si>
  <si>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</si>
  <si>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</si>
  <si>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</si>
  <si>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</si>
  <si>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</si>
  <si>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</si>
  <si>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2019.11.22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</si>
  <si>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</si>
  <si>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</si>
  <si>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</si>
  <si>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</si>
  <si>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</si>
  <si>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</si>
  <si>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</si>
  <si>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</si>
  <si>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</si>
  <si>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</si>
  <si>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</si>
  <si>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</si>
  <si>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</si>
  <si>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이과생 둘이 회귀했다 [단행본]</t>
  </si>
  <si>
    <t>하이후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</si>
  <si>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</si>
  <si>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</si>
  <si>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</si>
  <si>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</si>
  <si>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</si>
  <si>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</si>
  <si>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</si>
  <si>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</si>
  <si>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</si>
  <si>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</si>
  <si>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2020.09.14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</si>
  <si>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</si>
  <si>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</si>
  <si>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</si>
  <si>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</si>
  <si>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</si>
  <si>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</si>
  <si>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</si>
  <si>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</si>
  <si>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</si>
  <si>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이과생 둘이 회귀했다</t>
  </si>
  <si>
    <t>2020.07.10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</si>
  <si>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</si>
  <si>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</si>
  <si>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</si>
  <si>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</si>
  <si>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</si>
  <si>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</si>
  <si>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</si>
  <si>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</si>
  <si>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</si>
  <si>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</si>
  <si>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</si>
  <si>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</si>
  <si>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</si>
  <si>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</si>
  <si>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</si>
  <si>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</si>
  <si>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</si>
  <si>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</si>
  <si>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</si>
  <si>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</si>
  <si>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</si>
  <si>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</si>
  <si>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</si>
  <si>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</si>
  <si>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</si>
  <si>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</si>
  <si>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</si>
  <si>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</si>
  <si>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</si>
  <si>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</si>
  <si>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</si>
  <si>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</si>
  <si>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</si>
  <si>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</si>
  <si>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</si>
  <si>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</si>
  <si>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</si>
  <si>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</si>
  <si>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김온별(러브마인)</t>
  </si>
  <si>
    <t>2022.04.08</t>
  </si>
  <si>
    <t>베리타 (verità)</t>
  </si>
  <si>
    <t>2021.04.02</t>
  </si>
  <si>
    <t>강호유정</t>
  </si>
  <si>
    <t>2020.08.25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</si>
  <si>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</si>
  <si>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</si>
  <si>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</si>
  <si>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</si>
  <si>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</si>
  <si>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</si>
  <si>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</si>
  <si>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</si>
  <si>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</si>
  <si>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</si>
  <si>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</si>
  <si>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</si>
  <si>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</si>
  <si>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</si>
  <si>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</si>
  <si>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기사가문 망나니는 10클래스 [단행본]</t>
  </si>
  <si>
    <t>2020.08.26</t>
  </si>
  <si>
    <t>컬러 러쉬 [BL][단행본]</t>
  </si>
  <si>
    <t>2021.04.13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</si>
  <si>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</si>
  <si>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</si>
  <si>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</si>
  <si>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</si>
  <si>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</si>
  <si>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</si>
  <si>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</si>
  <si>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</si>
  <si>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</si>
  <si>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</si>
  <si>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</si>
  <si>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</si>
  <si>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</si>
  <si>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</si>
  <si>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</si>
  <si>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</si>
  <si>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</si>
  <si>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</si>
  <si>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</si>
  <si>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</si>
  <si>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</si>
  <si>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</si>
  <si>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</si>
  <si>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</si>
  <si>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</si>
  <si>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</si>
  <si>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</si>
  <si>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</si>
  <si>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</si>
  <si>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</si>
  <si>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</si>
  <si>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</si>
  <si>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</si>
  <si>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</si>
  <si>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</si>
  <si>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</si>
  <si>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</si>
  <si>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</si>
  <si>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</si>
  <si>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</si>
  <si>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</si>
  <si>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</si>
  <si>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</si>
  <si>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</si>
  <si>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</si>
  <si>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</si>
  <si>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</si>
  <si>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</si>
  <si>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</si>
  <si>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</si>
  <si>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</si>
  <si>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</si>
  <si>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</si>
  <si>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</si>
  <si>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</si>
  <si>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</si>
  <si>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두 형사 [개정판][삽화본]</t>
  </si>
  <si>
    <t>2021.03.12</t>
  </si>
  <si>
    <t>더 라스트 웨어울프</t>
  </si>
  <si>
    <t>2020.11.11</t>
  </si>
  <si>
    <t>아프오 안 아프오 나는 [BL]</t>
  </si>
  <si>
    <t>내 남편의 열렬한 구애</t>
  </si>
  <si>
    <t>아이리스</t>
  </si>
  <si>
    <t>2019.12.09</t>
  </si>
  <si>
    <t>구애 [단행본]</t>
  </si>
  <si>
    <t>19세 이상 이용가능</t>
  </si>
  <si>
    <t>충동적인 결혼</t>
  </si>
  <si>
    <t>2019.11.29</t>
  </si>
  <si>
    <t>SOTUS [BL][단행본]</t>
  </si>
  <si>
    <t>BitterSweet</t>
  </si>
  <si>
    <t>본능에 눈뜨다 [개정증보판]</t>
  </si>
  <si>
    <t>2019.11.15</t>
  </si>
  <si>
    <t>절대자의 귀환 [단행본]</t>
  </si>
  <si>
    <t>2021.04.15</t>
  </si>
  <si>
    <t>사랑도 없이 결혼 [단행본]</t>
  </si>
  <si>
    <t>아래층에 전남편이 산다</t>
  </si>
  <si>
    <t>2021.10.01</t>
  </si>
  <si>
    <t>우리 [개정판][삽화본]</t>
  </si>
  <si>
    <t>꿈속의 보스</t>
  </si>
  <si>
    <t>2021.01.12</t>
  </si>
  <si>
    <t>나만의 스타</t>
  </si>
  <si>
    <t>2018.11.07</t>
  </si>
  <si>
    <t>게이 하우스 [BL]</t>
  </si>
  <si>
    <t>빨강뽀뽀</t>
  </si>
  <si>
    <t>2019.06.26</t>
  </si>
  <si>
    <t>보좌관</t>
  </si>
  <si>
    <t>2019.04.11</t>
  </si>
  <si>
    <t>유성하소월 [84~122화]</t>
  </si>
  <si>
    <t>se1392084</t>
  </si>
  <si>
    <t>2014.09.12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</si>
  <si>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</si>
  <si>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</si>
  <si>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</si>
  <si>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</si>
  <si>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</si>
  <si>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</si>
  <si>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</si>
  <si>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</si>
  <si>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</si>
  <si>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시무(蒔舞)</t>
  </si>
  <si>
    <t>SOTUS S [BL]</t>
  </si>
  <si>
    <t>2022.05.27</t>
  </si>
  <si>
    <t>사라족의 간택 [삽화본][BL]</t>
  </si>
  <si>
    <t>컬러 러쉬 외전 [BL][단행본]</t>
  </si>
  <si>
    <t>중독</t>
  </si>
  <si>
    <t>문스톤</t>
  </si>
  <si>
    <t>2019.12.18</t>
  </si>
  <si>
    <t>스타의 연애 [BL]</t>
  </si>
  <si>
    <t>퇴마사(巫者) [BL]</t>
  </si>
  <si>
    <t>2021.12.03</t>
  </si>
  <si>
    <t>완벽한 타인과</t>
  </si>
  <si>
    <t>2020.01.28</t>
  </si>
  <si>
    <t>시계태엽오란씨</t>
  </si>
  <si>
    <t>바빌로니아의 검은 책</t>
  </si>
  <si>
    <t>펌킨몬</t>
  </si>
  <si>
    <t>2018.07.14</t>
  </si>
  <si>
    <t>아저씨, 내 기분 왜 이래요?</t>
  </si>
  <si>
    <t>Livingston</t>
  </si>
  <si>
    <t>2021.03.29</t>
  </si>
  <si>
    <t>우리야, 이리온 [단행본]</t>
  </si>
  <si>
    <t>2021.12.20</t>
  </si>
  <si>
    <t>바랑둥이 내 남자 [단행본]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</si>
  <si>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</si>
  <si>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</si>
  <si>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</si>
  <si>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</si>
  <si>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</si>
  <si>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</si>
  <si>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</si>
  <si>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선택된 남자 [BL][단행본]</t>
  </si>
  <si>
    <t>2021.05.21</t>
  </si>
  <si>
    <t>아래층에 전남편이 산다 [단행본]</t>
  </si>
  <si>
    <t>사랑을 놓치고 [단행본]</t>
  </si>
  <si>
    <t>2019.10.11</t>
  </si>
  <si>
    <t>야쿠자가 사랑을 한다면 [개정판][BL][단행본]</t>
  </si>
  <si>
    <t>중독 [단행본]</t>
  </si>
  <si>
    <t>2020.01.02</t>
  </si>
  <si>
    <t>2020.11.23</t>
  </si>
  <si>
    <t>친구의 고백 [단행본]</t>
  </si>
  <si>
    <t>Yulia</t>
  </si>
  <si>
    <t>Only you [BL][단행본]</t>
  </si>
  <si>
    <t>2021.09.09</t>
  </si>
  <si>
    <t>매혹적인 상사</t>
  </si>
  <si>
    <t>2022.03.04</t>
  </si>
  <si>
    <t>나쁜 이혼 외전 [단행본]</t>
  </si>
  <si>
    <t>간신이 나라를 살림 [단행본]</t>
  </si>
  <si>
    <t>골 때리는 사랑 [BL][단행본]</t>
  </si>
  <si>
    <t>2021.03.10</t>
  </si>
  <si>
    <t>숨결을 삼키다</t>
  </si>
  <si>
    <t>2020.08.17</t>
  </si>
  <si>
    <t>야쿠자가 사랑을 한다면 외전 [개정판][BL][단행본]</t>
  </si>
  <si>
    <t>썸원(Someone)</t>
  </si>
  <si>
    <t>SOTUS 특별 외전 [BL][단행본]</t>
  </si>
  <si>
    <t>사냥 [삽화본]</t>
  </si>
  <si>
    <t>2019.11.07</t>
  </si>
  <si>
    <t>여왕 아델 [단행본]</t>
  </si>
  <si>
    <t>2020.10.21</t>
  </si>
  <si>
    <t>기어이 사랑 [단행본]</t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</si>
  <si>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</si>
  <si>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</si>
  <si>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</si>
  <si>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</si>
  <si>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</si>
  <si>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</si>
  <si>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</si>
  <si>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</si>
  <si>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</si>
  <si>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</si>
  <si>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</si>
  <si>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</si>
  <si>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꿈은 이루어진다</t>
  </si>
  <si>
    <t>벗우</t>
  </si>
  <si>
    <t>2019.12.11</t>
  </si>
  <si>
    <t>심장이 뛰면</t>
  </si>
  <si>
    <t>2019.05.01</t>
  </si>
  <si>
    <t>나의 시고르자브종 1~2권 [BL][단행본]</t>
  </si>
  <si>
    <t>앰퍼샌드B</t>
  </si>
  <si>
    <t>2022.06.22</t>
  </si>
  <si>
    <t>꽃잎, 흩날리는 [BL][단행본]</t>
  </si>
  <si>
    <t>마용출</t>
  </si>
  <si>
    <t>2022.06.27</t>
  </si>
  <si>
    <t>나의 시고르자브종 3권 [BL][단행본]</t>
  </si>
  <si>
    <t>그땐 미처 [외전증보판][단행본]</t>
  </si>
  <si>
    <t>2020.02.07</t>
  </si>
  <si>
    <t>베리타 (verità) [단행본]</t>
  </si>
  <si>
    <t>2022.08.02</t>
  </si>
  <si>
    <t>블레슈(Blesshuu)</t>
  </si>
  <si>
    <t>2022.08.01</t>
  </si>
  <si>
    <t>모르는 남자와 결혼했다</t>
  </si>
  <si>
    <t>정요화</t>
  </si>
  <si>
    <t>2022.07.20</t>
  </si>
  <si>
    <t>부도덕한 재회</t>
  </si>
  <si>
    <t>이리안</t>
  </si>
  <si>
    <t>2022.07.27</t>
  </si>
  <si>
    <t>최종 보스 : 빛을 향해 달리는 그림자 [단행본]</t>
  </si>
  <si>
    <t>올마스터가 된 비전서고 [단행본]</t>
  </si>
  <si>
    <t>영웅 [개정판][단행본]</t>
  </si>
  <si>
    <t>신들의 알바나라 [단행본]</t>
  </si>
  <si>
    <t>회귀했는데 FFF급 부두술사 [단행본]</t>
  </si>
  <si>
    <t>돈문어</t>
  </si>
  <si>
    <t>검산도해 [단행본]</t>
  </si>
  <si>
    <t>권용찬</t>
  </si>
  <si>
    <t>주님</t>
  </si>
  <si>
    <t>2019.01.25</t>
  </si>
  <si>
    <t>야릇한 그놈 [단행본]</t>
  </si>
  <si>
    <t>밥앤라면</t>
  </si>
  <si>
    <t>SOTUS 외전 [BL][단행본]</t>
  </si>
  <si>
    <t>쉿, 그놈을 부탁해</t>
  </si>
  <si>
    <t>먼나무</t>
  </si>
  <si>
    <t>2021.11.15</t>
  </si>
  <si>
    <t>들이대지 마 [BL][단행본]</t>
  </si>
  <si>
    <t>2021.05.20</t>
  </si>
  <si>
    <t>사랑한다 윤혜영 [개정판][삽화본][단행본]</t>
  </si>
  <si>
    <t>와그작 [BL]</t>
  </si>
  <si>
    <t>2021.06.02</t>
  </si>
  <si>
    <t>우리 [개정판][삽화본][단행본]</t>
  </si>
  <si>
    <t>사랑, 흘러간다 [BL][단행본]</t>
  </si>
  <si>
    <t>2021.02.17</t>
  </si>
  <si>
    <t>바랑둥이 내 남자 [외전][단행본]</t>
  </si>
  <si>
    <t>시리즈완전판(APP)</t>
    <phoneticPr fontId="20" type="noConversion"/>
  </si>
  <si>
    <t>던전 공략 LIVE [단행본]</t>
  </si>
  <si>
    <t>2018.02.21</t>
  </si>
  <si>
    <t>젖어 들다</t>
  </si>
  <si>
    <t>란토파즈</t>
  </si>
  <si>
    <t>2019.07.05</t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</si>
  <si>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</si>
  <si>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</si>
  <si>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</si>
  <si>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</si>
  <si>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</si>
  <si>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</si>
  <si>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</si>
  <si>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</si>
  <si>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</si>
  <si>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</si>
  <si>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</si>
  <si>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</si>
  <si>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</si>
  <si>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</si>
  <si>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</si>
  <si>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</si>
  <si>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</si>
  <si>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</si>
  <si>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</si>
  <si>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</si>
  <si>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</si>
  <si>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</si>
  <si>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</si>
  <si>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</si>
  <si>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</si>
  <si>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</si>
  <si>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</si>
  <si>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</si>
  <si>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</si>
  <si>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</si>
  <si>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</si>
  <si>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</si>
  <si>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</si>
  <si>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</si>
  <si>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</si>
  <si>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</si>
  <si>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</si>
  <si>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</si>
  <si>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</si>
  <si>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</si>
  <si>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</si>
  <si>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</si>
  <si>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</si>
  <si>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</si>
  <si>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</si>
  <si>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</si>
  <si>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</si>
  <si>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</si>
  <si>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</si>
  <si>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</si>
  <si>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</si>
  <si>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</si>
  <si>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</si>
  <si>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</si>
  <si>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</si>
  <si>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</si>
  <si>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</si>
  <si>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</si>
  <si>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</si>
  <si>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</si>
  <si>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</si>
  <si>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2022.09.02</t>
  </si>
  <si>
    <t>지금, 덮치러 갑니다</t>
  </si>
  <si>
    <t>2022.08.12</t>
  </si>
  <si>
    <t>2022.08.22</t>
  </si>
  <si>
    <t>천재 배우의 다이어리</t>
  </si>
  <si>
    <t>mollen</t>
  </si>
  <si>
    <t>2022.08.23</t>
  </si>
  <si>
    <t>함선으로 귀환해서 이세계 최강 [독점]</t>
  </si>
  <si>
    <t>말빨 [단행본]</t>
  </si>
  <si>
    <t>마신부활 [단행본]</t>
  </si>
  <si>
    <t>만렙도끼</t>
  </si>
  <si>
    <t>은천검제(2부 화산검제) [단행본]</t>
  </si>
  <si>
    <t>헌터인데 내공이 좀 많네요 [단행본]</t>
  </si>
  <si>
    <t>다정할수록 불순한 [단행본]</t>
  </si>
  <si>
    <t>2022.05.20</t>
  </si>
  <si>
    <t>임신부터 할까요? [단행본]</t>
  </si>
  <si>
    <t>2022.01.26</t>
  </si>
  <si>
    <t>원코인 게이머 아포칼립스 [단행본]</t>
  </si>
  <si>
    <t>연애는 아래로부터</t>
  </si>
  <si>
    <t>2018.12.21</t>
  </si>
  <si>
    <t>시크릿 맨 [개정판][삽화본][단행본]</t>
  </si>
  <si>
    <t>2020.05.29</t>
  </si>
  <si>
    <t>아로새긴 [외전증보판][단행본]</t>
  </si>
  <si>
    <t>퇴마사(巫者) [BL][단행본]</t>
  </si>
  <si>
    <t>2022.01.21</t>
  </si>
  <si>
    <t>쉿, 그놈을 부탁해 [단행본]</t>
  </si>
  <si>
    <t>2021.08.19</t>
  </si>
  <si>
    <t>사랑은 내가, 너는 행복만 외전 [단행본]</t>
  </si>
  <si>
    <t>아타락시아</t>
  </si>
  <si>
    <t>2021.02.15</t>
  </si>
  <si>
    <t>라지에르의 서 [단행본]</t>
  </si>
  <si>
    <t>2018.01.05</t>
  </si>
  <si>
    <t>복수하는 회귀 사서 [독점]</t>
  </si>
  <si>
    <t>백일하</t>
  </si>
  <si>
    <t>2022.08.29</t>
  </si>
  <si>
    <t>납치</t>
  </si>
  <si>
    <t>내게만 악마 같은 놈 [삽화본]</t>
  </si>
  <si>
    <t>2020.09.07</t>
  </si>
  <si>
    <t>월급 주는 남편 [단행본]</t>
  </si>
  <si>
    <t>2020.09.28</t>
  </si>
  <si>
    <t>On the air [BL][단행본]</t>
  </si>
  <si>
    <t>스타의 연애 [개정판][BL][단행본]</t>
  </si>
  <si>
    <t>단단한 남자 [외전증보판][단행본]</t>
  </si>
  <si>
    <t>꽂히다</t>
  </si>
  <si>
    <t>너는 내 숨결이니까 외전 [단행본]</t>
  </si>
  <si>
    <t>적왕의 깊은 밤 [단행본]</t>
  </si>
  <si>
    <t>들이대지 마 외전 [BL][단행본]</t>
  </si>
  <si>
    <t>우리야, 이리온 외전 [단행본]</t>
  </si>
  <si>
    <t>골 때리는 사랑 외전 [BL][단행본]</t>
  </si>
  <si>
    <t>이 비서 다리 좀 치워 외전 [BL][단행본]</t>
  </si>
  <si>
    <t>2020.05.10</t>
  </si>
  <si>
    <t>적왕의 깊은 밤 외전 [단행본]</t>
  </si>
  <si>
    <t>아로새긴</t>
  </si>
  <si>
    <t>사랑 한 스푼</t>
  </si>
  <si>
    <t>2019.01.29</t>
  </si>
  <si>
    <t>리얼 머니 [단행본]</t>
  </si>
  <si>
    <t>2020.12.11</t>
  </si>
  <si>
    <t>처음이어도 좋아 [단행본]</t>
  </si>
  <si>
    <t>2020.10.26</t>
  </si>
  <si>
    <t>돌아온 막내 영애님을 조심하세요 외전 [단행본]</t>
  </si>
  <si>
    <t>베놈 마스터</t>
  </si>
  <si>
    <t>2020.02.03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</si>
</sst>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41" fontId="24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89"/>
  <sheetViews>
    <sheetView tabSelected="1" zoomScale="90" zoomScaleNormal="9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4" max="64" width="11.699218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461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462</v>
      </c>
      <c r="I1" s="14" t="s">
        <v>6</v>
      </c>
      <c r="J1" s="12" t="s">
        <v>463</v>
      </c>
      <c r="K1" s="12" t="s">
        <v>464</v>
      </c>
      <c r="L1" s="12" t="s">
        <v>465</v>
      </c>
      <c r="M1" s="12" t="s">
        <v>466</v>
      </c>
      <c r="N1" s="12" t="s">
        <v>467</v>
      </c>
      <c r="O1" s="12" t="s">
        <v>468</v>
      </c>
      <c r="P1" s="12" t="s">
        <v>469</v>
      </c>
      <c r="Q1" s="12" t="s">
        <v>470</v>
      </c>
      <c r="R1" s="12" t="s">
        <v>471</v>
      </c>
      <c r="S1" s="12" t="s">
        <v>472</v>
      </c>
      <c r="T1" s="12" t="s">
        <v>473</v>
      </c>
      <c r="U1" s="12" t="s">
        <v>474</v>
      </c>
      <c r="V1" s="12" t="s">
        <v>475</v>
      </c>
      <c r="W1" s="12" t="s">
        <v>476</v>
      </c>
      <c r="X1" s="12" t="s">
        <v>477</v>
      </c>
      <c r="Y1" s="12" t="s">
        <v>478</v>
      </c>
      <c r="Z1" s="12" t="s">
        <v>479</v>
      </c>
      <c r="AA1" s="12" t="s">
        <v>480</v>
      </c>
      <c r="AB1" s="12" t="s">
        <v>481</v>
      </c>
      <c r="AC1" s="12" t="s">
        <v>482</v>
      </c>
      <c r="AD1" s="12" t="s">
        <v>483</v>
      </c>
      <c r="AE1" s="12" t="s">
        <v>484</v>
      </c>
      <c r="AF1" s="12" t="s">
        <v>485</v>
      </c>
      <c r="AG1" s="12" t="s">
        <v>486</v>
      </c>
      <c r="AH1" s="12" t="s">
        <v>487</v>
      </c>
      <c r="AI1" s="12" t="s">
        <v>488</v>
      </c>
      <c r="AJ1" s="12" t="s">
        <v>489</v>
      </c>
      <c r="AK1" s="12" t="s">
        <v>490</v>
      </c>
      <c r="AL1" s="12" t="s">
        <v>491</v>
      </c>
      <c r="AM1" s="12" t="s">
        <v>492</v>
      </c>
      <c r="AN1" s="12" t="s">
        <v>493</v>
      </c>
      <c r="AO1" s="12" t="s">
        <v>494</v>
      </c>
      <c r="AP1" s="12" t="s">
        <v>495</v>
      </c>
      <c r="AQ1" s="12" t="s">
        <v>496</v>
      </c>
      <c r="AR1" s="12" t="s">
        <v>497</v>
      </c>
      <c r="AS1" s="12" t="s">
        <v>498</v>
      </c>
      <c r="AT1" s="12" t="s">
        <v>499</v>
      </c>
      <c r="AU1" s="12" t="s">
        <v>500</v>
      </c>
      <c r="AV1" s="12" t="s">
        <v>501</v>
      </c>
      <c r="AW1" s="12" t="s">
        <v>502</v>
      </c>
      <c r="AX1" s="12" t="s">
        <v>503</v>
      </c>
      <c r="AY1" s="12" t="s">
        <v>504</v>
      </c>
      <c r="AZ1" s="12" t="s">
        <v>505</v>
      </c>
      <c r="BA1" s="12" t="s">
        <v>506</v>
      </c>
      <c r="BB1" s="12" t="s">
        <v>507</v>
      </c>
      <c r="BC1" s="12" t="s">
        <v>508</v>
      </c>
      <c r="BD1" s="12" t="s">
        <v>509</v>
      </c>
      <c r="BE1" s="12" t="s">
        <v>510</v>
      </c>
      <c r="BF1" s="12" t="s">
        <v>511</v>
      </c>
      <c r="BG1" s="12" t="s">
        <v>512</v>
      </c>
      <c r="BH1" s="12" t="s">
        <v>513</v>
      </c>
      <c r="BI1" s="12" t="s">
        <v>514</v>
      </c>
      <c r="BJ1" s="12" t="s">
        <v>515</v>
      </c>
      <c r="BK1" s="12" t="s">
        <v>516</v>
      </c>
      <c r="BL1" s="12" t="s">
        <v>13</v>
      </c>
      <c r="BM1" s="12" t="s">
        <v>12</v>
      </c>
      <c r="BN1" s="12" t="s">
        <v>517</v>
      </c>
      <c r="BO1" s="12" t="s">
        <v>518</v>
      </c>
      <c r="BP1" s="18" t="s">
        <v>519</v>
      </c>
      <c r="BQ1" s="19" t="s">
        <v>520</v>
      </c>
    </row>
    <row r="2" spans="1:69" x14ac:dyDescent="0.4">
      <c r="A2" s="5" t="s">
        <v>14</v>
      </c>
      <c r="B2" s="5" t="s">
        <v>393</v>
      </c>
      <c r="C2" s="5">
        <v>472512</v>
      </c>
      <c r="D2" s="6"/>
      <c r="E2" s="5" t="s">
        <v>16</v>
      </c>
      <c r="F2" s="5" t="s">
        <v>39</v>
      </c>
      <c r="G2" s="5" t="s">
        <v>10</v>
      </c>
      <c r="H2" s="7" t="s">
        <v>7</v>
      </c>
      <c r="I2" s="7" t="s">
        <v>521</v>
      </c>
      <c r="J2" s="7">
        <v>14</v>
      </c>
      <c r="K2" s="8">
        <v>119452</v>
      </c>
      <c r="L2" s="8">
        <v>1400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943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31510</v>
      </c>
      <c r="AF2" s="8">
        <v>1579080</v>
      </c>
      <c r="AG2" s="8">
        <v>1630700</v>
      </c>
      <c r="AH2" s="7">
        <v>0</v>
      </c>
      <c r="AI2" s="7">
        <v>0</v>
      </c>
      <c r="AJ2" s="7">
        <v>0</v>
      </c>
      <c r="AK2" s="7">
        <v>138</v>
      </c>
      <c r="AL2" s="8">
        <v>4320</v>
      </c>
      <c r="AM2" s="8">
        <v>10200</v>
      </c>
      <c r="AN2" s="7">
        <v>0</v>
      </c>
      <c r="AO2" s="7">
        <v>0</v>
      </c>
      <c r="AP2" s="7">
        <v>0</v>
      </c>
      <c r="AQ2" s="8">
        <v>12690</v>
      </c>
      <c r="AR2" s="8">
        <v>1225200</v>
      </c>
      <c r="AS2" s="8">
        <v>43800</v>
      </c>
      <c r="AT2" s="7">
        <v>0</v>
      </c>
      <c r="AU2" s="7">
        <v>0</v>
      </c>
      <c r="AV2" s="7">
        <v>0</v>
      </c>
      <c r="AW2" s="8">
        <v>4451</v>
      </c>
      <c r="AX2" s="8">
        <v>533271</v>
      </c>
      <c r="AY2" s="8">
        <v>1000</v>
      </c>
      <c r="AZ2" s="7">
        <v>0</v>
      </c>
      <c r="BA2" s="7">
        <v>0</v>
      </c>
      <c r="BB2" s="7">
        <v>0</v>
      </c>
      <c r="BC2" s="8">
        <v>24407</v>
      </c>
      <c r="BD2" s="8">
        <v>2925120</v>
      </c>
      <c r="BE2" s="8">
        <v>3100</v>
      </c>
      <c r="BF2" s="7">
        <v>0</v>
      </c>
      <c r="BG2" s="7">
        <v>0</v>
      </c>
      <c r="BH2" s="7">
        <v>0</v>
      </c>
      <c r="BI2" s="7">
        <v>11</v>
      </c>
      <c r="BJ2" s="8">
        <v>1320</v>
      </c>
      <c r="BK2" s="7">
        <v>0</v>
      </c>
      <c r="BL2" s="9">
        <v>230196.3</v>
      </c>
      <c r="BM2" s="10">
        <v>7958511</v>
      </c>
      <c r="BN2" s="15">
        <f>BM2-BL2</f>
        <v>7728314.7000000002</v>
      </c>
      <c r="BO2" s="16">
        <f>BN2*70%</f>
        <v>5409820.29</v>
      </c>
    </row>
    <row r="3" spans="1:69" x14ac:dyDescent="0.4">
      <c r="A3" s="5" t="s">
        <v>14</v>
      </c>
      <c r="B3" s="5" t="s">
        <v>15</v>
      </c>
      <c r="C3" s="5">
        <v>465248</v>
      </c>
      <c r="D3" s="6"/>
      <c r="E3" s="5" t="s">
        <v>16</v>
      </c>
      <c r="F3" s="5" t="s">
        <v>17</v>
      </c>
      <c r="G3" s="5" t="s">
        <v>421</v>
      </c>
      <c r="H3" s="7" t="s">
        <v>9</v>
      </c>
      <c r="I3" s="7" t="s">
        <v>18</v>
      </c>
      <c r="J3" s="7">
        <v>51</v>
      </c>
      <c r="K3" s="8">
        <v>62605</v>
      </c>
      <c r="L3" s="8">
        <v>5100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22539</v>
      </c>
      <c r="AF3" s="8">
        <v>1168720</v>
      </c>
      <c r="AG3" s="8">
        <v>1107000</v>
      </c>
      <c r="AH3" s="7">
        <v>0</v>
      </c>
      <c r="AI3" s="7">
        <v>0</v>
      </c>
      <c r="AJ3" s="7">
        <v>0</v>
      </c>
      <c r="AK3" s="7">
        <v>112</v>
      </c>
      <c r="AL3" s="8">
        <v>1920</v>
      </c>
      <c r="AM3" s="8">
        <v>9600</v>
      </c>
      <c r="AN3" s="7">
        <v>0</v>
      </c>
      <c r="AO3" s="7">
        <v>0</v>
      </c>
      <c r="AP3" s="7">
        <v>0</v>
      </c>
      <c r="AQ3" s="8">
        <v>5177</v>
      </c>
      <c r="AR3" s="8">
        <v>508500</v>
      </c>
      <c r="AS3" s="8">
        <v>9200</v>
      </c>
      <c r="AT3" s="7">
        <v>0</v>
      </c>
      <c r="AU3" s="7">
        <v>0</v>
      </c>
      <c r="AV3" s="7">
        <v>0</v>
      </c>
      <c r="AW3" s="8">
        <v>2222</v>
      </c>
      <c r="AX3" s="8">
        <v>267035</v>
      </c>
      <c r="AY3" s="7">
        <v>0</v>
      </c>
      <c r="AZ3" s="7">
        <v>0</v>
      </c>
      <c r="BA3" s="7">
        <v>0</v>
      </c>
      <c r="BB3" s="7">
        <v>0</v>
      </c>
      <c r="BC3" s="8">
        <v>21285</v>
      </c>
      <c r="BD3" s="8">
        <v>2549760</v>
      </c>
      <c r="BE3" s="8">
        <v>3700</v>
      </c>
      <c r="BF3" s="7">
        <v>0</v>
      </c>
      <c r="BG3" s="7">
        <v>0</v>
      </c>
      <c r="BH3" s="7">
        <v>0</v>
      </c>
      <c r="BI3" s="7">
        <v>20</v>
      </c>
      <c r="BJ3" s="8">
        <v>2400</v>
      </c>
      <c r="BK3" s="7">
        <v>0</v>
      </c>
      <c r="BL3" s="9">
        <v>180385.1</v>
      </c>
      <c r="BM3" s="10">
        <v>5632935</v>
      </c>
      <c r="BN3" s="15">
        <f t="shared" ref="BN3:BN66" si="0">BM3-BL3</f>
        <v>5452549.9000000004</v>
      </c>
      <c r="BO3" s="16">
        <f t="shared" ref="BO3:BO66" si="1">BN3*70%</f>
        <v>3816784.93</v>
      </c>
    </row>
    <row r="4" spans="1:69" x14ac:dyDescent="0.4">
      <c r="A4" s="5" t="s">
        <v>14</v>
      </c>
      <c r="B4" s="5" t="s">
        <v>426</v>
      </c>
      <c r="C4" s="5">
        <v>476783</v>
      </c>
      <c r="D4" s="6"/>
      <c r="E4" s="5" t="s">
        <v>16</v>
      </c>
      <c r="F4" s="5" t="s">
        <v>427</v>
      </c>
      <c r="G4" s="5" t="s">
        <v>34</v>
      </c>
      <c r="H4" s="7" t="s">
        <v>8</v>
      </c>
      <c r="I4" s="7" t="s">
        <v>428</v>
      </c>
      <c r="J4" s="8">
        <v>6078</v>
      </c>
      <c r="K4" s="8">
        <v>28913</v>
      </c>
      <c r="L4" s="8">
        <v>607800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13952</v>
      </c>
      <c r="AF4" s="8">
        <v>649520</v>
      </c>
      <c r="AG4" s="8">
        <v>780400</v>
      </c>
      <c r="AH4" s="7">
        <v>0</v>
      </c>
      <c r="AI4" s="7">
        <v>0</v>
      </c>
      <c r="AJ4" s="7">
        <v>0</v>
      </c>
      <c r="AK4" s="7">
        <v>135</v>
      </c>
      <c r="AL4" s="8">
        <v>10207</v>
      </c>
      <c r="AM4" s="8">
        <v>5000</v>
      </c>
      <c r="AN4" s="7">
        <v>0</v>
      </c>
      <c r="AO4" s="7">
        <v>0</v>
      </c>
      <c r="AP4" s="7">
        <v>0</v>
      </c>
      <c r="AQ4" s="8">
        <v>3548</v>
      </c>
      <c r="AR4" s="8">
        <v>343000</v>
      </c>
      <c r="AS4" s="8">
        <v>11800</v>
      </c>
      <c r="AT4" s="7">
        <v>0</v>
      </c>
      <c r="AU4" s="7">
        <v>0</v>
      </c>
      <c r="AV4" s="7">
        <v>0</v>
      </c>
      <c r="AW4" s="8">
        <v>2435</v>
      </c>
      <c r="AX4" s="8">
        <v>292492</v>
      </c>
      <c r="AY4" s="7">
        <v>0</v>
      </c>
      <c r="AZ4" s="7">
        <v>0</v>
      </c>
      <c r="BA4" s="7">
        <v>0</v>
      </c>
      <c r="BB4" s="7">
        <v>0</v>
      </c>
      <c r="BC4" s="8">
        <v>22967</v>
      </c>
      <c r="BD4" s="8">
        <v>2755200</v>
      </c>
      <c r="BE4" s="7">
        <v>700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197623.3</v>
      </c>
      <c r="BM4" s="10">
        <v>5456119</v>
      </c>
      <c r="BN4" s="15">
        <f t="shared" si="0"/>
        <v>5258495.7</v>
      </c>
      <c r="BO4" s="16">
        <f t="shared" si="1"/>
        <v>3680946.9899999998</v>
      </c>
    </row>
    <row r="5" spans="1:69" x14ac:dyDescent="0.4">
      <c r="A5" s="5" t="s">
        <v>14</v>
      </c>
      <c r="B5" s="5" t="s">
        <v>522</v>
      </c>
      <c r="C5" s="5">
        <v>478890</v>
      </c>
      <c r="D5" s="6"/>
      <c r="E5" s="5" t="s">
        <v>16</v>
      </c>
      <c r="F5" s="5" t="s">
        <v>443</v>
      </c>
      <c r="G5" s="5" t="s">
        <v>421</v>
      </c>
      <c r="H5" s="7" t="s">
        <v>8</v>
      </c>
      <c r="I5" s="7" t="s">
        <v>523</v>
      </c>
      <c r="J5" s="8">
        <v>3183</v>
      </c>
      <c r="K5" s="7">
        <v>0</v>
      </c>
      <c r="L5" s="8">
        <v>318300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7395</v>
      </c>
      <c r="AF5" s="8">
        <v>364240</v>
      </c>
      <c r="AG5" s="8">
        <v>390600</v>
      </c>
      <c r="AH5" s="7">
        <v>0</v>
      </c>
      <c r="AI5" s="7">
        <v>0</v>
      </c>
      <c r="AJ5" s="7">
        <v>0</v>
      </c>
      <c r="AK5" s="7">
        <v>35</v>
      </c>
      <c r="AL5" s="7">
        <v>120</v>
      </c>
      <c r="AM5" s="8">
        <v>3400</v>
      </c>
      <c r="AN5" s="7">
        <v>0</v>
      </c>
      <c r="AO5" s="7">
        <v>0</v>
      </c>
      <c r="AP5" s="7">
        <v>0</v>
      </c>
      <c r="AQ5" s="8">
        <v>3536</v>
      </c>
      <c r="AR5" s="8">
        <v>343200</v>
      </c>
      <c r="AS5" s="8">
        <v>10400</v>
      </c>
      <c r="AT5" s="7">
        <v>0</v>
      </c>
      <c r="AU5" s="7">
        <v>0</v>
      </c>
      <c r="AV5" s="7">
        <v>0</v>
      </c>
      <c r="AW5" s="8">
        <v>1277</v>
      </c>
      <c r="AX5" s="8">
        <v>153444</v>
      </c>
      <c r="AY5" s="7">
        <v>0</v>
      </c>
      <c r="AZ5" s="7">
        <v>0</v>
      </c>
      <c r="BA5" s="7">
        <v>0</v>
      </c>
      <c r="BB5" s="7">
        <v>0</v>
      </c>
      <c r="BC5" s="8">
        <v>11242</v>
      </c>
      <c r="BD5" s="8">
        <v>1346640</v>
      </c>
      <c r="BE5" s="8">
        <v>2000</v>
      </c>
      <c r="BF5" s="7">
        <v>0</v>
      </c>
      <c r="BG5" s="7">
        <v>0</v>
      </c>
      <c r="BH5" s="7">
        <v>0</v>
      </c>
      <c r="BI5" s="7">
        <v>2</v>
      </c>
      <c r="BJ5" s="7">
        <v>240</v>
      </c>
      <c r="BK5" s="7">
        <v>0</v>
      </c>
      <c r="BL5" s="9">
        <v>96190.8</v>
      </c>
      <c r="BM5" s="10">
        <v>2932584</v>
      </c>
      <c r="BN5" s="15">
        <f t="shared" si="0"/>
        <v>2836393.2</v>
      </c>
      <c r="BO5" s="16">
        <f t="shared" si="1"/>
        <v>1985475.24</v>
      </c>
    </row>
    <row r="6" spans="1:69" ht="19.2" x14ac:dyDescent="0.4">
      <c r="A6" s="5" t="s">
        <v>14</v>
      </c>
      <c r="B6" s="5" t="s">
        <v>38</v>
      </c>
      <c r="C6" s="5">
        <v>454534</v>
      </c>
      <c r="D6" s="6"/>
      <c r="E6" s="5" t="s">
        <v>16</v>
      </c>
      <c r="F6" s="5" t="s">
        <v>39</v>
      </c>
      <c r="G6" s="5" t="s">
        <v>10</v>
      </c>
      <c r="H6" s="7" t="s">
        <v>7</v>
      </c>
      <c r="I6" s="7" t="s">
        <v>524</v>
      </c>
      <c r="J6" s="7">
        <v>0</v>
      </c>
      <c r="K6" s="8">
        <v>24318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159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8381</v>
      </c>
      <c r="AF6" s="8">
        <v>448860</v>
      </c>
      <c r="AG6" s="8">
        <v>419700</v>
      </c>
      <c r="AH6" s="7">
        <v>0</v>
      </c>
      <c r="AI6" s="7">
        <v>0</v>
      </c>
      <c r="AJ6" s="7">
        <v>0</v>
      </c>
      <c r="AK6" s="7">
        <v>82</v>
      </c>
      <c r="AL6" s="8">
        <v>4200</v>
      </c>
      <c r="AM6" s="8">
        <v>4700</v>
      </c>
      <c r="AN6" s="7">
        <v>0</v>
      </c>
      <c r="AO6" s="7">
        <v>0</v>
      </c>
      <c r="AP6" s="7">
        <v>0</v>
      </c>
      <c r="AQ6" s="8">
        <v>3345</v>
      </c>
      <c r="AR6" s="8">
        <v>323800</v>
      </c>
      <c r="AS6" s="8">
        <v>10700</v>
      </c>
      <c r="AT6" s="7">
        <v>0</v>
      </c>
      <c r="AU6" s="7">
        <v>0</v>
      </c>
      <c r="AV6" s="7">
        <v>0</v>
      </c>
      <c r="AW6" s="7">
        <v>699</v>
      </c>
      <c r="AX6" s="8">
        <v>83921</v>
      </c>
      <c r="AY6" s="7">
        <v>0</v>
      </c>
      <c r="AZ6" s="7">
        <v>0</v>
      </c>
      <c r="BA6" s="7">
        <v>0</v>
      </c>
      <c r="BB6" s="7">
        <v>0</v>
      </c>
      <c r="BC6" s="8">
        <v>8155</v>
      </c>
      <c r="BD6" s="8">
        <v>977160</v>
      </c>
      <c r="BE6" s="8">
        <v>1200</v>
      </c>
      <c r="BF6" s="7">
        <v>0</v>
      </c>
      <c r="BG6" s="7">
        <v>0</v>
      </c>
      <c r="BH6" s="7">
        <v>0</v>
      </c>
      <c r="BI6" s="7">
        <v>12</v>
      </c>
      <c r="BJ6" s="8">
        <v>1440</v>
      </c>
      <c r="BK6" s="7">
        <v>0</v>
      </c>
      <c r="BL6" s="9">
        <v>68353.7</v>
      </c>
      <c r="BM6" s="10">
        <v>2275681</v>
      </c>
      <c r="BN6" s="15">
        <f t="shared" si="0"/>
        <v>2207327.2999999998</v>
      </c>
      <c r="BO6" s="16">
        <f t="shared" si="1"/>
        <v>1545129.1099999999</v>
      </c>
    </row>
    <row r="7" spans="1:69" x14ac:dyDescent="0.4">
      <c r="A7" s="5" t="s">
        <v>14</v>
      </c>
      <c r="B7" s="5" t="s">
        <v>36</v>
      </c>
      <c r="C7" s="5">
        <v>178856</v>
      </c>
      <c r="D7" s="6"/>
      <c r="E7" s="5" t="s">
        <v>16</v>
      </c>
      <c r="F7" s="5" t="s">
        <v>30</v>
      </c>
      <c r="G7" s="5" t="s">
        <v>10</v>
      </c>
      <c r="H7" s="7" t="s">
        <v>9</v>
      </c>
      <c r="I7" s="7" t="s">
        <v>37</v>
      </c>
      <c r="J7" s="7">
        <v>0</v>
      </c>
      <c r="K7" s="7">
        <v>24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29</v>
      </c>
      <c r="T7" s="8">
        <v>3559</v>
      </c>
      <c r="U7" s="7">
        <v>100</v>
      </c>
      <c r="V7" s="8">
        <v>2800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5745</v>
      </c>
      <c r="AF7" s="8">
        <v>314320</v>
      </c>
      <c r="AG7" s="8">
        <v>268500</v>
      </c>
      <c r="AH7" s="7">
        <v>0</v>
      </c>
      <c r="AI7" s="7">
        <v>0</v>
      </c>
      <c r="AJ7" s="7">
        <v>0</v>
      </c>
      <c r="AK7" s="7">
        <v>6</v>
      </c>
      <c r="AL7" s="7">
        <v>480</v>
      </c>
      <c r="AM7" s="7">
        <v>200</v>
      </c>
      <c r="AN7" s="7">
        <v>0</v>
      </c>
      <c r="AO7" s="7">
        <v>0</v>
      </c>
      <c r="AP7" s="7">
        <v>0</v>
      </c>
      <c r="AQ7" s="8">
        <v>2741</v>
      </c>
      <c r="AR7" s="8">
        <v>268800</v>
      </c>
      <c r="AS7" s="8">
        <v>5300</v>
      </c>
      <c r="AT7" s="7">
        <v>0</v>
      </c>
      <c r="AU7" s="7">
        <v>0</v>
      </c>
      <c r="AV7" s="7">
        <v>0</v>
      </c>
      <c r="AW7" s="8">
        <v>1957</v>
      </c>
      <c r="AX7" s="8">
        <v>234840</v>
      </c>
      <c r="AY7" s="7">
        <v>0</v>
      </c>
      <c r="AZ7" s="7">
        <v>0</v>
      </c>
      <c r="BA7" s="7">
        <v>0</v>
      </c>
      <c r="BB7" s="7">
        <v>0</v>
      </c>
      <c r="BC7" s="8">
        <v>9650</v>
      </c>
      <c r="BD7" s="8">
        <v>1156800</v>
      </c>
      <c r="BE7" s="8">
        <v>1000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93036</v>
      </c>
      <c r="BM7" s="10">
        <v>2253140</v>
      </c>
      <c r="BN7" s="15">
        <f t="shared" si="0"/>
        <v>2160104</v>
      </c>
      <c r="BO7" s="16">
        <f t="shared" si="1"/>
        <v>1512072.7999999998</v>
      </c>
    </row>
    <row r="8" spans="1:69" x14ac:dyDescent="0.4">
      <c r="A8" s="5" t="s">
        <v>14</v>
      </c>
      <c r="B8" s="5" t="s">
        <v>28</v>
      </c>
      <c r="C8" s="5">
        <v>414278</v>
      </c>
      <c r="D8" s="6"/>
      <c r="E8" s="5" t="s">
        <v>16</v>
      </c>
      <c r="F8" s="5" t="s">
        <v>11</v>
      </c>
      <c r="G8" s="5" t="s">
        <v>10</v>
      </c>
      <c r="H8" s="7" t="s">
        <v>8</v>
      </c>
      <c r="I8" s="7" t="s">
        <v>425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107</v>
      </c>
      <c r="AF8" s="8">
        <v>313680</v>
      </c>
      <c r="AG8" s="8">
        <v>38100</v>
      </c>
      <c r="AH8" s="7">
        <v>0</v>
      </c>
      <c r="AI8" s="7">
        <v>0</v>
      </c>
      <c r="AJ8" s="7">
        <v>0</v>
      </c>
      <c r="AK8" s="7">
        <v>1</v>
      </c>
      <c r="AL8" s="7">
        <v>480</v>
      </c>
      <c r="AM8" s="7">
        <v>0</v>
      </c>
      <c r="AN8" s="7">
        <v>0</v>
      </c>
      <c r="AO8" s="7">
        <v>0</v>
      </c>
      <c r="AP8" s="7">
        <v>0</v>
      </c>
      <c r="AQ8" s="7">
        <v>77</v>
      </c>
      <c r="AR8" s="8">
        <v>235300</v>
      </c>
      <c r="AS8" s="8">
        <v>6200</v>
      </c>
      <c r="AT8" s="7">
        <v>0</v>
      </c>
      <c r="AU8" s="7">
        <v>0</v>
      </c>
      <c r="AV8" s="7">
        <v>0</v>
      </c>
      <c r="AW8" s="7">
        <v>136</v>
      </c>
      <c r="AX8" s="8">
        <v>528226</v>
      </c>
      <c r="AY8" s="7">
        <v>0</v>
      </c>
      <c r="AZ8" s="7">
        <v>0</v>
      </c>
      <c r="BA8" s="7">
        <v>0</v>
      </c>
      <c r="BB8" s="7">
        <v>0</v>
      </c>
      <c r="BC8" s="7">
        <v>290</v>
      </c>
      <c r="BD8" s="8">
        <v>1083360</v>
      </c>
      <c r="BE8" s="7">
        <v>500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117968.2</v>
      </c>
      <c r="BM8" s="10">
        <v>2205846</v>
      </c>
      <c r="BN8" s="15">
        <f t="shared" si="0"/>
        <v>2087877.8</v>
      </c>
      <c r="BO8" s="16">
        <f t="shared" si="1"/>
        <v>1461514.46</v>
      </c>
    </row>
    <row r="9" spans="1:69" x14ac:dyDescent="0.4">
      <c r="A9" s="5" t="s">
        <v>14</v>
      </c>
      <c r="B9" s="5" t="s">
        <v>19</v>
      </c>
      <c r="C9" s="5">
        <v>463799</v>
      </c>
      <c r="D9" s="6"/>
      <c r="E9" s="5" t="s">
        <v>16</v>
      </c>
      <c r="F9" s="5" t="s">
        <v>20</v>
      </c>
      <c r="G9" s="5" t="s">
        <v>10</v>
      </c>
      <c r="H9" s="7" t="s">
        <v>7</v>
      </c>
      <c r="I9" s="7" t="s">
        <v>21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929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6059</v>
      </c>
      <c r="AF9" s="8">
        <v>569160</v>
      </c>
      <c r="AG9" s="8">
        <v>44300</v>
      </c>
      <c r="AH9" s="7">
        <v>0</v>
      </c>
      <c r="AI9" s="7">
        <v>0</v>
      </c>
      <c r="AJ9" s="7">
        <v>0</v>
      </c>
      <c r="AK9" s="7">
        <v>25</v>
      </c>
      <c r="AL9" s="7">
        <v>0</v>
      </c>
      <c r="AM9" s="8">
        <v>2500</v>
      </c>
      <c r="AN9" s="7">
        <v>0</v>
      </c>
      <c r="AO9" s="7">
        <v>0</v>
      </c>
      <c r="AP9" s="7">
        <v>0</v>
      </c>
      <c r="AQ9" s="8">
        <v>4682</v>
      </c>
      <c r="AR9" s="8">
        <v>457800</v>
      </c>
      <c r="AS9" s="8">
        <v>10400</v>
      </c>
      <c r="AT9" s="7">
        <v>0</v>
      </c>
      <c r="AU9" s="7">
        <v>0</v>
      </c>
      <c r="AV9" s="7">
        <v>0</v>
      </c>
      <c r="AW9" s="8">
        <v>1846</v>
      </c>
      <c r="AX9" s="8">
        <v>223937</v>
      </c>
      <c r="AY9" s="7">
        <v>0</v>
      </c>
      <c r="AZ9" s="7">
        <v>0</v>
      </c>
      <c r="BA9" s="7">
        <v>0</v>
      </c>
      <c r="BB9" s="7">
        <v>0</v>
      </c>
      <c r="BC9" s="8">
        <v>7116</v>
      </c>
      <c r="BD9" s="8">
        <v>853320</v>
      </c>
      <c r="BE9" s="7">
        <v>500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73592.899999999994</v>
      </c>
      <c r="BM9" s="10">
        <v>2161917</v>
      </c>
      <c r="BN9" s="15">
        <f t="shared" si="0"/>
        <v>2088324.1</v>
      </c>
      <c r="BO9" s="16">
        <f t="shared" si="1"/>
        <v>1461826.8699999999</v>
      </c>
    </row>
    <row r="10" spans="1:69" x14ac:dyDescent="0.4">
      <c r="A10" s="5" t="s">
        <v>14</v>
      </c>
      <c r="B10" s="5" t="s">
        <v>525</v>
      </c>
      <c r="C10" s="5">
        <v>476788</v>
      </c>
      <c r="D10" s="6"/>
      <c r="E10" s="5" t="s">
        <v>16</v>
      </c>
      <c r="F10" s="5" t="s">
        <v>526</v>
      </c>
      <c r="G10" s="5" t="s">
        <v>10</v>
      </c>
      <c r="H10" s="7" t="s">
        <v>7</v>
      </c>
      <c r="I10" s="7" t="s">
        <v>422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452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8">
        <v>2998</v>
      </c>
      <c r="AF10" s="8">
        <v>251140</v>
      </c>
      <c r="AG10" s="8">
        <v>51800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8">
        <v>3031</v>
      </c>
      <c r="AR10" s="8">
        <v>300100</v>
      </c>
      <c r="AS10" s="8">
        <v>3000</v>
      </c>
      <c r="AT10" s="7">
        <v>0</v>
      </c>
      <c r="AU10" s="7">
        <v>0</v>
      </c>
      <c r="AV10" s="7">
        <v>0</v>
      </c>
      <c r="AW10" s="7">
        <v>437</v>
      </c>
      <c r="AX10" s="8">
        <v>52440</v>
      </c>
      <c r="AY10" s="7">
        <v>0</v>
      </c>
      <c r="AZ10" s="7">
        <v>0</v>
      </c>
      <c r="BA10" s="7">
        <v>0</v>
      </c>
      <c r="BB10" s="7">
        <v>0</v>
      </c>
      <c r="BC10" s="8">
        <v>6651</v>
      </c>
      <c r="BD10" s="8">
        <v>796920</v>
      </c>
      <c r="BE10" s="8">
        <v>1000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53059.199999999997</v>
      </c>
      <c r="BM10" s="10">
        <v>1456400</v>
      </c>
      <c r="BN10" s="15">
        <f t="shared" si="0"/>
        <v>1403340.8</v>
      </c>
      <c r="BO10" s="16">
        <f t="shared" si="1"/>
        <v>982338.55999999994</v>
      </c>
    </row>
    <row r="11" spans="1:69" ht="19.2" x14ac:dyDescent="0.4">
      <c r="A11" s="5" t="s">
        <v>14</v>
      </c>
      <c r="B11" s="5" t="s">
        <v>29</v>
      </c>
      <c r="C11" s="5">
        <v>369220</v>
      </c>
      <c r="D11" s="6"/>
      <c r="E11" s="5" t="s">
        <v>16</v>
      </c>
      <c r="F11" s="5" t="s">
        <v>30</v>
      </c>
      <c r="G11" s="5" t="s">
        <v>10</v>
      </c>
      <c r="H11" s="7" t="s">
        <v>7</v>
      </c>
      <c r="I11" s="7" t="s">
        <v>31</v>
      </c>
      <c r="J11" s="7">
        <v>6</v>
      </c>
      <c r="K11" s="7">
        <v>69</v>
      </c>
      <c r="L11" s="7">
        <v>600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101</v>
      </c>
      <c r="T11" s="7">
        <v>514</v>
      </c>
      <c r="U11" s="7">
        <v>0</v>
      </c>
      <c r="V11" s="8">
        <v>5800</v>
      </c>
      <c r="W11" s="8">
        <v>4300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4221</v>
      </c>
      <c r="AF11" s="8">
        <v>203240</v>
      </c>
      <c r="AG11" s="8">
        <v>236300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8">
        <v>2014</v>
      </c>
      <c r="AR11" s="8">
        <v>200000</v>
      </c>
      <c r="AS11" s="8">
        <v>1400</v>
      </c>
      <c r="AT11" s="7">
        <v>0</v>
      </c>
      <c r="AU11" s="7">
        <v>0</v>
      </c>
      <c r="AV11" s="7">
        <v>0</v>
      </c>
      <c r="AW11" s="7">
        <v>95</v>
      </c>
      <c r="AX11" s="8">
        <v>11400</v>
      </c>
      <c r="AY11" s="7">
        <v>0</v>
      </c>
      <c r="AZ11" s="7">
        <v>0</v>
      </c>
      <c r="BA11" s="7">
        <v>0</v>
      </c>
      <c r="BB11" s="7">
        <v>0</v>
      </c>
      <c r="BC11" s="8">
        <v>6002</v>
      </c>
      <c r="BD11" s="8">
        <v>719040</v>
      </c>
      <c r="BE11" s="8">
        <v>1000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44282.400000000001</v>
      </c>
      <c r="BM11" s="10">
        <v>1383080</v>
      </c>
      <c r="BN11" s="15">
        <f t="shared" si="0"/>
        <v>1338797.6000000001</v>
      </c>
      <c r="BO11" s="16">
        <f t="shared" si="1"/>
        <v>937158.32</v>
      </c>
    </row>
    <row r="12" spans="1:69" x14ac:dyDescent="0.4">
      <c r="A12" s="5" t="s">
        <v>14</v>
      </c>
      <c r="B12" s="5" t="s">
        <v>44</v>
      </c>
      <c r="C12" s="5">
        <v>324335</v>
      </c>
      <c r="D12" s="6"/>
      <c r="E12" s="5" t="s">
        <v>16</v>
      </c>
      <c r="F12" s="5" t="s">
        <v>30</v>
      </c>
      <c r="G12" s="5" t="s">
        <v>10</v>
      </c>
      <c r="H12" s="7" t="s">
        <v>9</v>
      </c>
      <c r="I12" s="7" t="s">
        <v>45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87</v>
      </c>
      <c r="AF12" s="8">
        <v>228740</v>
      </c>
      <c r="AG12" s="8">
        <v>65600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1</v>
      </c>
      <c r="AR12" s="8">
        <v>1500</v>
      </c>
      <c r="AS12" s="7">
        <v>0</v>
      </c>
      <c r="AT12" s="7">
        <v>0</v>
      </c>
      <c r="AU12" s="7">
        <v>0</v>
      </c>
      <c r="AV12" s="7">
        <v>0</v>
      </c>
      <c r="AW12" s="7">
        <v>37</v>
      </c>
      <c r="AX12" s="8">
        <v>139256</v>
      </c>
      <c r="AY12" s="7">
        <v>0</v>
      </c>
      <c r="AZ12" s="7">
        <v>0</v>
      </c>
      <c r="BA12" s="7">
        <v>0</v>
      </c>
      <c r="BB12" s="7">
        <v>0</v>
      </c>
      <c r="BC12" s="7">
        <v>200</v>
      </c>
      <c r="BD12" s="8">
        <v>759480</v>
      </c>
      <c r="BE12" s="7">
        <v>500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59494.400000000001</v>
      </c>
      <c r="BM12" s="10">
        <v>1195076</v>
      </c>
      <c r="BN12" s="15">
        <f t="shared" si="0"/>
        <v>1135581.6000000001</v>
      </c>
      <c r="BO12" s="16">
        <f t="shared" si="1"/>
        <v>794907.12</v>
      </c>
    </row>
    <row r="13" spans="1:69" x14ac:dyDescent="0.4">
      <c r="A13" s="5" t="s">
        <v>14</v>
      </c>
      <c r="B13" s="5" t="s">
        <v>423</v>
      </c>
      <c r="C13" s="5">
        <v>476035</v>
      </c>
      <c r="D13" s="6"/>
      <c r="E13" s="5" t="s">
        <v>16</v>
      </c>
      <c r="F13" s="5" t="s">
        <v>424</v>
      </c>
      <c r="G13" s="5" t="s">
        <v>421</v>
      </c>
      <c r="H13" s="7" t="s">
        <v>9</v>
      </c>
      <c r="I13" s="7" t="s">
        <v>425</v>
      </c>
      <c r="J13" s="7">
        <v>377</v>
      </c>
      <c r="K13" s="8">
        <v>12125</v>
      </c>
      <c r="L13" s="8">
        <v>37700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2791</v>
      </c>
      <c r="AF13" s="8">
        <v>161200</v>
      </c>
      <c r="AG13" s="8">
        <v>127200</v>
      </c>
      <c r="AH13" s="7">
        <v>0</v>
      </c>
      <c r="AI13" s="7">
        <v>0</v>
      </c>
      <c r="AJ13" s="7">
        <v>0</v>
      </c>
      <c r="AK13" s="7">
        <v>1</v>
      </c>
      <c r="AL13" s="7">
        <v>0</v>
      </c>
      <c r="AM13" s="7">
        <v>100</v>
      </c>
      <c r="AN13" s="7">
        <v>0</v>
      </c>
      <c r="AO13" s="7">
        <v>0</v>
      </c>
      <c r="AP13" s="7">
        <v>0</v>
      </c>
      <c r="AQ13" s="8">
        <v>1218</v>
      </c>
      <c r="AR13" s="8">
        <v>121100</v>
      </c>
      <c r="AS13" s="7">
        <v>700</v>
      </c>
      <c r="AT13" s="7">
        <v>0</v>
      </c>
      <c r="AU13" s="7">
        <v>0</v>
      </c>
      <c r="AV13" s="7">
        <v>0</v>
      </c>
      <c r="AW13" s="7">
        <v>801</v>
      </c>
      <c r="AX13" s="8">
        <v>96466</v>
      </c>
      <c r="AY13" s="7">
        <v>0</v>
      </c>
      <c r="AZ13" s="7">
        <v>0</v>
      </c>
      <c r="BA13" s="7">
        <v>0</v>
      </c>
      <c r="BB13" s="7">
        <v>0</v>
      </c>
      <c r="BC13" s="8">
        <v>4958</v>
      </c>
      <c r="BD13" s="8">
        <v>593760</v>
      </c>
      <c r="BE13" s="8">
        <v>1000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45272.2</v>
      </c>
      <c r="BM13" s="10">
        <v>1139226</v>
      </c>
      <c r="BN13" s="15">
        <f t="shared" si="0"/>
        <v>1093953.8</v>
      </c>
      <c r="BO13" s="16">
        <f t="shared" si="1"/>
        <v>765767.66</v>
      </c>
    </row>
    <row r="14" spans="1:69" x14ac:dyDescent="0.4">
      <c r="A14" s="5" t="s">
        <v>14</v>
      </c>
      <c r="B14" s="5" t="s">
        <v>65</v>
      </c>
      <c r="C14" s="5">
        <v>387417</v>
      </c>
      <c r="D14" s="6"/>
      <c r="E14" s="5" t="s">
        <v>16</v>
      </c>
      <c r="F14" s="5" t="s">
        <v>66</v>
      </c>
      <c r="G14" s="5" t="s">
        <v>10</v>
      </c>
      <c r="H14" s="7" t="s">
        <v>7</v>
      </c>
      <c r="I14" s="7" t="s">
        <v>67</v>
      </c>
      <c r="J14" s="7">
        <v>0</v>
      </c>
      <c r="K14" s="8">
        <v>3335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295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3194</v>
      </c>
      <c r="AF14" s="8">
        <v>228520</v>
      </c>
      <c r="AG14" s="8">
        <v>94900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8">
        <v>1434</v>
      </c>
      <c r="AR14" s="8">
        <v>142000</v>
      </c>
      <c r="AS14" s="8">
        <v>1400</v>
      </c>
      <c r="AT14" s="7">
        <v>0</v>
      </c>
      <c r="AU14" s="7">
        <v>0</v>
      </c>
      <c r="AV14" s="7">
        <v>0</v>
      </c>
      <c r="AW14" s="7">
        <v>462</v>
      </c>
      <c r="AX14" s="8">
        <v>55440</v>
      </c>
      <c r="AY14" s="7">
        <v>0</v>
      </c>
      <c r="AZ14" s="7">
        <v>0</v>
      </c>
      <c r="BA14" s="7">
        <v>0</v>
      </c>
      <c r="BB14" s="7">
        <v>0</v>
      </c>
      <c r="BC14" s="8">
        <v>1230</v>
      </c>
      <c r="BD14" s="8">
        <v>147600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14400</v>
      </c>
      <c r="BM14" s="10">
        <v>669860</v>
      </c>
      <c r="BN14" s="15">
        <f t="shared" si="0"/>
        <v>655460</v>
      </c>
      <c r="BO14" s="16">
        <f t="shared" si="1"/>
        <v>458822</v>
      </c>
    </row>
    <row r="15" spans="1:69" x14ac:dyDescent="0.4">
      <c r="A15" s="5" t="s">
        <v>14</v>
      </c>
      <c r="B15" s="5" t="s">
        <v>40</v>
      </c>
      <c r="C15" s="5">
        <v>457807</v>
      </c>
      <c r="D15" s="6"/>
      <c r="E15" s="5" t="s">
        <v>16</v>
      </c>
      <c r="F15" s="5" t="s">
        <v>41</v>
      </c>
      <c r="G15" s="5" t="s">
        <v>34</v>
      </c>
      <c r="H15" s="7" t="s">
        <v>8</v>
      </c>
      <c r="I15" s="7" t="s">
        <v>420</v>
      </c>
      <c r="J15" s="7">
        <v>225</v>
      </c>
      <c r="K15" s="8">
        <v>3599</v>
      </c>
      <c r="L15" s="8">
        <v>22500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217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1234</v>
      </c>
      <c r="AF15" s="8">
        <v>70580</v>
      </c>
      <c r="AG15" s="8">
        <v>58000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594</v>
      </c>
      <c r="AR15" s="8">
        <v>57200</v>
      </c>
      <c r="AS15" s="8">
        <v>2200</v>
      </c>
      <c r="AT15" s="7">
        <v>0</v>
      </c>
      <c r="AU15" s="7">
        <v>0</v>
      </c>
      <c r="AV15" s="7">
        <v>0</v>
      </c>
      <c r="AW15" s="7">
        <v>353</v>
      </c>
      <c r="AX15" s="8">
        <v>42360</v>
      </c>
      <c r="AY15" s="7">
        <v>0</v>
      </c>
      <c r="AZ15" s="7">
        <v>0</v>
      </c>
      <c r="BA15" s="7">
        <v>0</v>
      </c>
      <c r="BB15" s="7">
        <v>0</v>
      </c>
      <c r="BC15" s="8">
        <v>2841</v>
      </c>
      <c r="BD15" s="8">
        <v>340920</v>
      </c>
      <c r="BE15" s="7">
        <v>0</v>
      </c>
      <c r="BF15" s="7">
        <v>0</v>
      </c>
      <c r="BG15" s="7">
        <v>0</v>
      </c>
      <c r="BH15" s="7">
        <v>0</v>
      </c>
      <c r="BI15" s="7">
        <v>14</v>
      </c>
      <c r="BJ15" s="8">
        <v>1680</v>
      </c>
      <c r="BK15" s="7">
        <v>0</v>
      </c>
      <c r="BL15" s="9">
        <v>24775.200000000001</v>
      </c>
      <c r="BM15" s="10">
        <v>595440</v>
      </c>
      <c r="BN15" s="15">
        <f t="shared" si="0"/>
        <v>570664.80000000005</v>
      </c>
      <c r="BO15" s="16">
        <f t="shared" si="1"/>
        <v>399465.36</v>
      </c>
    </row>
    <row r="16" spans="1:69" ht="19.2" x14ac:dyDescent="0.4">
      <c r="A16" s="5" t="s">
        <v>14</v>
      </c>
      <c r="B16" s="5" t="s">
        <v>429</v>
      </c>
      <c r="C16" s="5">
        <v>476003</v>
      </c>
      <c r="D16" s="6"/>
      <c r="E16" s="5" t="s">
        <v>16</v>
      </c>
      <c r="F16" s="5" t="s">
        <v>30</v>
      </c>
      <c r="G16" s="5" t="s">
        <v>10</v>
      </c>
      <c r="H16" s="7" t="s">
        <v>8</v>
      </c>
      <c r="I16" s="7" t="s">
        <v>425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51</v>
      </c>
      <c r="AF16" s="8">
        <v>142040</v>
      </c>
      <c r="AG16" s="8">
        <v>37000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12</v>
      </c>
      <c r="AR16" s="8">
        <v>31300</v>
      </c>
      <c r="AS16" s="7">
        <v>200</v>
      </c>
      <c r="AT16" s="7">
        <v>0</v>
      </c>
      <c r="AU16" s="7">
        <v>0</v>
      </c>
      <c r="AV16" s="7">
        <v>0</v>
      </c>
      <c r="AW16" s="7">
        <v>16</v>
      </c>
      <c r="AX16" s="8">
        <v>59520</v>
      </c>
      <c r="AY16" s="7">
        <v>0</v>
      </c>
      <c r="AZ16" s="7">
        <v>0</v>
      </c>
      <c r="BA16" s="7">
        <v>0</v>
      </c>
      <c r="BB16" s="7">
        <v>0</v>
      </c>
      <c r="BC16" s="7">
        <v>80</v>
      </c>
      <c r="BD16" s="8">
        <v>306840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24362.400000000001</v>
      </c>
      <c r="BM16" s="10">
        <v>576900</v>
      </c>
      <c r="BN16" s="15">
        <f t="shared" si="0"/>
        <v>552537.59999999998</v>
      </c>
      <c r="BO16" s="16">
        <f t="shared" si="1"/>
        <v>386776.31999999995</v>
      </c>
    </row>
    <row r="17" spans="1:67" x14ac:dyDescent="0.4">
      <c r="A17" s="5" t="s">
        <v>14</v>
      </c>
      <c r="B17" s="5" t="s">
        <v>25</v>
      </c>
      <c r="C17" s="5">
        <v>449889</v>
      </c>
      <c r="D17" s="6"/>
      <c r="E17" s="5" t="s">
        <v>16</v>
      </c>
      <c r="F17" s="5" t="s">
        <v>26</v>
      </c>
      <c r="G17" s="5" t="s">
        <v>10</v>
      </c>
      <c r="H17" s="7" t="s">
        <v>7</v>
      </c>
      <c r="I17" s="7" t="s">
        <v>27</v>
      </c>
      <c r="J17" s="7">
        <v>3</v>
      </c>
      <c r="K17" s="8">
        <v>2082</v>
      </c>
      <c r="L17" s="7">
        <v>300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114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1761</v>
      </c>
      <c r="AF17" s="8">
        <v>134420</v>
      </c>
      <c r="AG17" s="8">
        <v>48100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279</v>
      </c>
      <c r="AR17" s="8">
        <v>27900</v>
      </c>
      <c r="AS17" s="7">
        <v>0</v>
      </c>
      <c r="AT17" s="7">
        <v>0</v>
      </c>
      <c r="AU17" s="7">
        <v>0</v>
      </c>
      <c r="AV17" s="7">
        <v>0</v>
      </c>
      <c r="AW17" s="7">
        <v>731</v>
      </c>
      <c r="AX17" s="8">
        <v>87720</v>
      </c>
      <c r="AY17" s="7">
        <v>0</v>
      </c>
      <c r="AZ17" s="7">
        <v>0</v>
      </c>
      <c r="BA17" s="7">
        <v>0</v>
      </c>
      <c r="BB17" s="7">
        <v>0</v>
      </c>
      <c r="BC17" s="8">
        <v>1630</v>
      </c>
      <c r="BD17" s="8">
        <v>194400</v>
      </c>
      <c r="BE17" s="8">
        <v>1000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20436</v>
      </c>
      <c r="BM17" s="10">
        <v>493840</v>
      </c>
      <c r="BN17" s="15">
        <f t="shared" si="0"/>
        <v>473404</v>
      </c>
      <c r="BO17" s="16">
        <f t="shared" si="1"/>
        <v>331382.8</v>
      </c>
    </row>
    <row r="18" spans="1:67" x14ac:dyDescent="0.4">
      <c r="A18" s="5" t="s">
        <v>14</v>
      </c>
      <c r="B18" s="5" t="s">
        <v>42</v>
      </c>
      <c r="C18" s="5">
        <v>321812</v>
      </c>
      <c r="D18" s="6"/>
      <c r="E18" s="5" t="s">
        <v>16</v>
      </c>
      <c r="F18" s="5" t="s">
        <v>30</v>
      </c>
      <c r="G18" s="5" t="s">
        <v>10</v>
      </c>
      <c r="H18" s="7" t="s">
        <v>7</v>
      </c>
      <c r="I18" s="7" t="s">
        <v>43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60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1285</v>
      </c>
      <c r="AF18" s="8">
        <v>41180</v>
      </c>
      <c r="AG18" s="8">
        <v>88400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392</v>
      </c>
      <c r="AR18" s="8">
        <v>38400</v>
      </c>
      <c r="AS18" s="7">
        <v>800</v>
      </c>
      <c r="AT18" s="7">
        <v>0</v>
      </c>
      <c r="AU18" s="7">
        <v>0</v>
      </c>
      <c r="AV18" s="7">
        <v>0</v>
      </c>
      <c r="AW18" s="7">
        <v>677</v>
      </c>
      <c r="AX18" s="8">
        <v>80640</v>
      </c>
      <c r="AY18" s="7">
        <v>500</v>
      </c>
      <c r="AZ18" s="7">
        <v>0</v>
      </c>
      <c r="BA18" s="7">
        <v>0</v>
      </c>
      <c r="BB18" s="7">
        <v>0</v>
      </c>
      <c r="BC18" s="8">
        <v>1689</v>
      </c>
      <c r="BD18" s="8">
        <v>200880</v>
      </c>
      <c r="BE18" s="8">
        <v>1500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20116.8</v>
      </c>
      <c r="BM18" s="10">
        <v>452300</v>
      </c>
      <c r="BN18" s="15">
        <f t="shared" si="0"/>
        <v>432183.2</v>
      </c>
      <c r="BO18" s="16">
        <f t="shared" si="1"/>
        <v>302528.24</v>
      </c>
    </row>
    <row r="19" spans="1:67" x14ac:dyDescent="0.4">
      <c r="A19" s="5" t="s">
        <v>14</v>
      </c>
      <c r="B19" s="5" t="s">
        <v>132</v>
      </c>
      <c r="C19" s="5">
        <v>359912</v>
      </c>
      <c r="D19" s="6"/>
      <c r="E19" s="5" t="s">
        <v>16</v>
      </c>
      <c r="F19" s="5" t="s">
        <v>133</v>
      </c>
      <c r="G19" s="5" t="s">
        <v>34</v>
      </c>
      <c r="H19" s="7" t="s">
        <v>8</v>
      </c>
      <c r="I19" s="7" t="s">
        <v>394</v>
      </c>
      <c r="J19" s="7">
        <v>0</v>
      </c>
      <c r="K19" s="7">
        <v>53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37</v>
      </c>
      <c r="T19" s="7">
        <v>148</v>
      </c>
      <c r="U19" s="8">
        <v>1000</v>
      </c>
      <c r="V19" s="8">
        <v>2700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908</v>
      </c>
      <c r="AF19" s="8">
        <v>60440</v>
      </c>
      <c r="AG19" s="8">
        <v>36400</v>
      </c>
      <c r="AH19" s="7">
        <v>0</v>
      </c>
      <c r="AI19" s="7">
        <v>0</v>
      </c>
      <c r="AJ19" s="7">
        <v>0</v>
      </c>
      <c r="AK19" s="7">
        <v>5</v>
      </c>
      <c r="AL19" s="7">
        <v>635</v>
      </c>
      <c r="AM19" s="7">
        <v>0</v>
      </c>
      <c r="AN19" s="7">
        <v>0</v>
      </c>
      <c r="AO19" s="7">
        <v>0</v>
      </c>
      <c r="AP19" s="7">
        <v>0</v>
      </c>
      <c r="AQ19" s="7">
        <v>436</v>
      </c>
      <c r="AR19" s="8">
        <v>40700</v>
      </c>
      <c r="AS19" s="8">
        <v>2900</v>
      </c>
      <c r="AT19" s="7">
        <v>0</v>
      </c>
      <c r="AU19" s="7">
        <v>0</v>
      </c>
      <c r="AV19" s="7">
        <v>0</v>
      </c>
      <c r="AW19" s="7">
        <v>296</v>
      </c>
      <c r="AX19" s="8">
        <v>35520</v>
      </c>
      <c r="AY19" s="7">
        <v>0</v>
      </c>
      <c r="AZ19" s="7">
        <v>0</v>
      </c>
      <c r="BA19" s="7">
        <v>0</v>
      </c>
      <c r="BB19" s="7">
        <v>0</v>
      </c>
      <c r="BC19" s="8">
        <v>2081</v>
      </c>
      <c r="BD19" s="8">
        <v>248520</v>
      </c>
      <c r="BE19" s="8">
        <v>1000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18653.7</v>
      </c>
      <c r="BM19" s="10">
        <v>429815</v>
      </c>
      <c r="BN19" s="15">
        <f t="shared" si="0"/>
        <v>411161.3</v>
      </c>
      <c r="BO19" s="16">
        <f t="shared" si="1"/>
        <v>287812.90999999997</v>
      </c>
    </row>
    <row r="20" spans="1:67" x14ac:dyDescent="0.4">
      <c r="A20" s="5" t="s">
        <v>14</v>
      </c>
      <c r="B20" s="5" t="s">
        <v>83</v>
      </c>
      <c r="C20" s="5">
        <v>370935</v>
      </c>
      <c r="D20" s="6"/>
      <c r="E20" s="5" t="s">
        <v>16</v>
      </c>
      <c r="F20" s="5" t="s">
        <v>30</v>
      </c>
      <c r="G20" s="5" t="s">
        <v>10</v>
      </c>
      <c r="H20" s="7" t="s">
        <v>7</v>
      </c>
      <c r="I20" s="7" t="s">
        <v>84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19</v>
      </c>
      <c r="AF20" s="8">
        <v>42400</v>
      </c>
      <c r="AG20" s="8">
        <v>17800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29</v>
      </c>
      <c r="AR20" s="8">
        <v>87200</v>
      </c>
      <c r="AS20" s="8">
        <v>2400</v>
      </c>
      <c r="AT20" s="7">
        <v>0</v>
      </c>
      <c r="AU20" s="7">
        <v>0</v>
      </c>
      <c r="AV20" s="7">
        <v>0</v>
      </c>
      <c r="AW20" s="7">
        <v>2</v>
      </c>
      <c r="AX20" s="8">
        <v>6480</v>
      </c>
      <c r="AY20" s="7">
        <v>0</v>
      </c>
      <c r="AZ20" s="7">
        <v>0</v>
      </c>
      <c r="BA20" s="7">
        <v>0</v>
      </c>
      <c r="BB20" s="7">
        <v>0</v>
      </c>
      <c r="BC20" s="7">
        <v>50</v>
      </c>
      <c r="BD20" s="8">
        <v>190080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12052.8</v>
      </c>
      <c r="BM20" s="10">
        <v>346360</v>
      </c>
      <c r="BN20" s="15">
        <f t="shared" si="0"/>
        <v>334307.20000000001</v>
      </c>
      <c r="BO20" s="16">
        <f t="shared" si="1"/>
        <v>234015.03999999998</v>
      </c>
    </row>
    <row r="21" spans="1:67" x14ac:dyDescent="0.4">
      <c r="A21" s="5" t="s">
        <v>14</v>
      </c>
      <c r="B21" s="5" t="s">
        <v>60</v>
      </c>
      <c r="C21" s="5">
        <v>245889</v>
      </c>
      <c r="D21" s="6"/>
      <c r="E21" s="5" t="s">
        <v>16</v>
      </c>
      <c r="F21" s="5" t="s">
        <v>30</v>
      </c>
      <c r="G21" s="5" t="s">
        <v>10</v>
      </c>
      <c r="H21" s="7" t="s">
        <v>7</v>
      </c>
      <c r="I21" s="7" t="s">
        <v>61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104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946</v>
      </c>
      <c r="AF21" s="8">
        <v>46000</v>
      </c>
      <c r="AG21" s="8">
        <v>48600</v>
      </c>
      <c r="AH21" s="7">
        <v>0</v>
      </c>
      <c r="AI21" s="7">
        <v>0</v>
      </c>
      <c r="AJ21" s="7">
        <v>0</v>
      </c>
      <c r="AK21" s="7">
        <v>5</v>
      </c>
      <c r="AL21" s="7">
        <v>0</v>
      </c>
      <c r="AM21" s="7">
        <v>500</v>
      </c>
      <c r="AN21" s="7">
        <v>0</v>
      </c>
      <c r="AO21" s="7">
        <v>0</v>
      </c>
      <c r="AP21" s="7">
        <v>0</v>
      </c>
      <c r="AQ21" s="7">
        <v>231</v>
      </c>
      <c r="AR21" s="8">
        <v>22900</v>
      </c>
      <c r="AS21" s="7">
        <v>200</v>
      </c>
      <c r="AT21" s="7">
        <v>0</v>
      </c>
      <c r="AU21" s="7">
        <v>0</v>
      </c>
      <c r="AV21" s="7">
        <v>0</v>
      </c>
      <c r="AW21" s="7">
        <v>313</v>
      </c>
      <c r="AX21" s="8">
        <v>37560</v>
      </c>
      <c r="AY21" s="7">
        <v>0</v>
      </c>
      <c r="AZ21" s="7">
        <v>0</v>
      </c>
      <c r="BA21" s="7">
        <v>0</v>
      </c>
      <c r="BB21" s="7">
        <v>0</v>
      </c>
      <c r="BC21" s="8">
        <v>1197</v>
      </c>
      <c r="BD21" s="8">
        <v>143640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12374.4</v>
      </c>
      <c r="BM21" s="10">
        <v>299400</v>
      </c>
      <c r="BN21" s="15">
        <f t="shared" si="0"/>
        <v>287025.59999999998</v>
      </c>
      <c r="BO21" s="16">
        <f t="shared" si="1"/>
        <v>200917.91999999998</v>
      </c>
    </row>
    <row r="22" spans="1:67" x14ac:dyDescent="0.4">
      <c r="A22" s="5" t="s">
        <v>14</v>
      </c>
      <c r="B22" s="5" t="s">
        <v>88</v>
      </c>
      <c r="C22" s="5">
        <v>364724</v>
      </c>
      <c r="D22" s="6"/>
      <c r="E22" s="5" t="s">
        <v>16</v>
      </c>
      <c r="F22" s="5" t="s">
        <v>89</v>
      </c>
      <c r="G22" s="5" t="s">
        <v>10</v>
      </c>
      <c r="H22" s="7" t="s">
        <v>7</v>
      </c>
      <c r="I22" s="7" t="s">
        <v>90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45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280</v>
      </c>
      <c r="AF22" s="8">
        <v>23660</v>
      </c>
      <c r="AG22" s="8">
        <v>5200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361</v>
      </c>
      <c r="AR22" s="8">
        <v>34300</v>
      </c>
      <c r="AS22" s="8">
        <v>1800</v>
      </c>
      <c r="AT22" s="7">
        <v>0</v>
      </c>
      <c r="AU22" s="7">
        <v>0</v>
      </c>
      <c r="AV22" s="7">
        <v>0</v>
      </c>
      <c r="AW22" s="7">
        <v>741</v>
      </c>
      <c r="AX22" s="8">
        <v>88920</v>
      </c>
      <c r="AY22" s="7">
        <v>0</v>
      </c>
      <c r="AZ22" s="7">
        <v>0</v>
      </c>
      <c r="BA22" s="7">
        <v>0</v>
      </c>
      <c r="BB22" s="7">
        <v>0</v>
      </c>
      <c r="BC22" s="7">
        <v>775</v>
      </c>
      <c r="BD22" s="8">
        <v>93000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14472</v>
      </c>
      <c r="BM22" s="10">
        <v>246880</v>
      </c>
      <c r="BN22" s="15">
        <f t="shared" si="0"/>
        <v>232408</v>
      </c>
      <c r="BO22" s="16">
        <f t="shared" si="1"/>
        <v>162685.59999999998</v>
      </c>
    </row>
    <row r="23" spans="1:67" x14ac:dyDescent="0.4">
      <c r="A23" s="5" t="s">
        <v>14</v>
      </c>
      <c r="B23" s="5" t="s">
        <v>62</v>
      </c>
      <c r="C23" s="5">
        <v>386960</v>
      </c>
      <c r="D23" s="6"/>
      <c r="E23" s="5" t="s">
        <v>16</v>
      </c>
      <c r="F23" s="5" t="s">
        <v>63</v>
      </c>
      <c r="G23" s="5" t="s">
        <v>10</v>
      </c>
      <c r="H23" s="7" t="s">
        <v>7</v>
      </c>
      <c r="I23" s="7" t="s">
        <v>64</v>
      </c>
      <c r="J23" s="7">
        <v>0</v>
      </c>
      <c r="K23" s="7">
        <v>3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71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1232</v>
      </c>
      <c r="AF23" s="8">
        <v>87540</v>
      </c>
      <c r="AG23" s="8">
        <v>36100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442</v>
      </c>
      <c r="AR23" s="8">
        <v>43100</v>
      </c>
      <c r="AS23" s="8">
        <v>1100</v>
      </c>
      <c r="AT23" s="7">
        <v>0</v>
      </c>
      <c r="AU23" s="7">
        <v>0</v>
      </c>
      <c r="AV23" s="7">
        <v>0</v>
      </c>
      <c r="AW23" s="7">
        <v>106</v>
      </c>
      <c r="AX23" s="8">
        <v>12720</v>
      </c>
      <c r="AY23" s="7">
        <v>0</v>
      </c>
      <c r="AZ23" s="7">
        <v>0</v>
      </c>
      <c r="BA23" s="7">
        <v>0</v>
      </c>
      <c r="BB23" s="7">
        <v>0</v>
      </c>
      <c r="BC23" s="7">
        <v>233</v>
      </c>
      <c r="BD23" s="8">
        <v>27960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2949.6</v>
      </c>
      <c r="BM23" s="10">
        <v>208520</v>
      </c>
      <c r="BN23" s="15">
        <f t="shared" si="0"/>
        <v>205570.4</v>
      </c>
      <c r="BO23" s="16">
        <f t="shared" si="1"/>
        <v>143899.28</v>
      </c>
    </row>
    <row r="24" spans="1:67" x14ac:dyDescent="0.4">
      <c r="A24" s="5" t="s">
        <v>14</v>
      </c>
      <c r="B24" s="5" t="s">
        <v>46</v>
      </c>
      <c r="C24" s="5">
        <v>412919</v>
      </c>
      <c r="D24" s="6"/>
      <c r="E24" s="5" t="s">
        <v>16</v>
      </c>
      <c r="F24" s="5" t="s">
        <v>47</v>
      </c>
      <c r="G24" s="5" t="s">
        <v>34</v>
      </c>
      <c r="H24" s="7" t="s">
        <v>8</v>
      </c>
      <c r="I24" s="7" t="s">
        <v>48</v>
      </c>
      <c r="J24" s="7">
        <v>3</v>
      </c>
      <c r="K24" s="7">
        <v>19</v>
      </c>
      <c r="L24" s="7">
        <v>300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60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556</v>
      </c>
      <c r="AF24" s="8">
        <v>23300</v>
      </c>
      <c r="AG24" s="8">
        <v>32800</v>
      </c>
      <c r="AH24" s="7">
        <v>0</v>
      </c>
      <c r="AI24" s="7">
        <v>0</v>
      </c>
      <c r="AJ24" s="7">
        <v>0</v>
      </c>
      <c r="AK24" s="7">
        <v>1</v>
      </c>
      <c r="AL24" s="7">
        <v>120</v>
      </c>
      <c r="AM24" s="7">
        <v>0</v>
      </c>
      <c r="AN24" s="7">
        <v>0</v>
      </c>
      <c r="AO24" s="7">
        <v>0</v>
      </c>
      <c r="AP24" s="7">
        <v>0</v>
      </c>
      <c r="AQ24" s="7">
        <v>201</v>
      </c>
      <c r="AR24" s="8">
        <v>19700</v>
      </c>
      <c r="AS24" s="7">
        <v>400</v>
      </c>
      <c r="AT24" s="7">
        <v>0</v>
      </c>
      <c r="AU24" s="7">
        <v>0</v>
      </c>
      <c r="AV24" s="7">
        <v>0</v>
      </c>
      <c r="AW24" s="7">
        <v>59</v>
      </c>
      <c r="AX24" s="8">
        <v>7082</v>
      </c>
      <c r="AY24" s="7">
        <v>0</v>
      </c>
      <c r="AZ24" s="7">
        <v>0</v>
      </c>
      <c r="BA24" s="7">
        <v>0</v>
      </c>
      <c r="BB24" s="7">
        <v>0</v>
      </c>
      <c r="BC24" s="8">
        <v>1022</v>
      </c>
      <c r="BD24" s="8">
        <v>122640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8102.6</v>
      </c>
      <c r="BM24" s="10">
        <v>206342</v>
      </c>
      <c r="BN24" s="15">
        <f t="shared" si="0"/>
        <v>198239.4</v>
      </c>
      <c r="BO24" s="16">
        <f t="shared" si="1"/>
        <v>138767.57999999999</v>
      </c>
    </row>
    <row r="25" spans="1:67" x14ac:dyDescent="0.4">
      <c r="A25" s="5" t="s">
        <v>14</v>
      </c>
      <c r="B25" s="5" t="s">
        <v>104</v>
      </c>
      <c r="C25" s="5">
        <v>359539</v>
      </c>
      <c r="D25" s="6"/>
      <c r="E25" s="5" t="s">
        <v>16</v>
      </c>
      <c r="F25" s="5" t="s">
        <v>105</v>
      </c>
      <c r="G25" s="5" t="s">
        <v>34</v>
      </c>
      <c r="H25" s="7" t="s">
        <v>8</v>
      </c>
      <c r="I25" s="7" t="s">
        <v>106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23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262</v>
      </c>
      <c r="AF25" s="8">
        <v>22580</v>
      </c>
      <c r="AG25" s="8">
        <v>4600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75</v>
      </c>
      <c r="AR25" s="8">
        <v>7500</v>
      </c>
      <c r="AS25" s="7">
        <v>0</v>
      </c>
      <c r="AT25" s="7">
        <v>0</v>
      </c>
      <c r="AU25" s="7">
        <v>0</v>
      </c>
      <c r="AV25" s="7">
        <v>0</v>
      </c>
      <c r="AW25" s="7">
        <v>295</v>
      </c>
      <c r="AX25" s="8">
        <v>35400</v>
      </c>
      <c r="AY25" s="7">
        <v>0</v>
      </c>
      <c r="AZ25" s="7">
        <v>0</v>
      </c>
      <c r="BA25" s="7">
        <v>0</v>
      </c>
      <c r="BB25" s="7">
        <v>0</v>
      </c>
      <c r="BC25" s="7">
        <v>880</v>
      </c>
      <c r="BD25" s="8">
        <v>105600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9876</v>
      </c>
      <c r="BM25" s="10">
        <v>175680</v>
      </c>
      <c r="BN25" s="15">
        <f t="shared" si="0"/>
        <v>165804</v>
      </c>
      <c r="BO25" s="16">
        <f t="shared" si="1"/>
        <v>116062.79999999999</v>
      </c>
    </row>
    <row r="26" spans="1:67" x14ac:dyDescent="0.4">
      <c r="A26" s="5" t="s">
        <v>14</v>
      </c>
      <c r="B26" s="5" t="s">
        <v>85</v>
      </c>
      <c r="C26" s="5">
        <v>422032</v>
      </c>
      <c r="D26" s="6"/>
      <c r="E26" s="5" t="s">
        <v>16</v>
      </c>
      <c r="F26" s="5" t="s">
        <v>86</v>
      </c>
      <c r="G26" s="5" t="s">
        <v>10</v>
      </c>
      <c r="H26" s="7" t="s">
        <v>9</v>
      </c>
      <c r="I26" s="7" t="s">
        <v>87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71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303</v>
      </c>
      <c r="AF26" s="8">
        <v>29620</v>
      </c>
      <c r="AG26" s="7">
        <v>900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191</v>
      </c>
      <c r="AR26" s="8">
        <v>19100</v>
      </c>
      <c r="AS26" s="7">
        <v>0</v>
      </c>
      <c r="AT26" s="7">
        <v>0</v>
      </c>
      <c r="AU26" s="7">
        <v>0</v>
      </c>
      <c r="AV26" s="7">
        <v>0</v>
      </c>
      <c r="AW26" s="7">
        <v>248</v>
      </c>
      <c r="AX26" s="8">
        <v>29760</v>
      </c>
      <c r="AY26" s="7">
        <v>0</v>
      </c>
      <c r="AZ26" s="7">
        <v>0</v>
      </c>
      <c r="BA26" s="7">
        <v>0</v>
      </c>
      <c r="BB26" s="7">
        <v>0</v>
      </c>
      <c r="BC26" s="7">
        <v>700</v>
      </c>
      <c r="BD26" s="8">
        <v>84000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8016</v>
      </c>
      <c r="BM26" s="10">
        <v>163380</v>
      </c>
      <c r="BN26" s="15">
        <f t="shared" si="0"/>
        <v>155364</v>
      </c>
      <c r="BO26" s="16">
        <f t="shared" si="1"/>
        <v>108754.79999999999</v>
      </c>
    </row>
    <row r="27" spans="1:67" x14ac:dyDescent="0.4">
      <c r="A27" s="5" t="s">
        <v>14</v>
      </c>
      <c r="B27" s="5" t="s">
        <v>68</v>
      </c>
      <c r="C27" s="5">
        <v>442274</v>
      </c>
      <c r="D27" s="6"/>
      <c r="E27" s="5" t="s">
        <v>16</v>
      </c>
      <c r="F27" s="5" t="s">
        <v>69</v>
      </c>
      <c r="G27" s="5" t="s">
        <v>10</v>
      </c>
      <c r="H27" s="7" t="s">
        <v>7</v>
      </c>
      <c r="I27" s="7" t="s">
        <v>70</v>
      </c>
      <c r="J27" s="7">
        <v>1</v>
      </c>
      <c r="K27" s="7">
        <v>2</v>
      </c>
      <c r="L27" s="7">
        <v>100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197</v>
      </c>
      <c r="AF27" s="8">
        <v>13820</v>
      </c>
      <c r="AG27" s="8">
        <v>6900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83</v>
      </c>
      <c r="AR27" s="8">
        <v>8100</v>
      </c>
      <c r="AS27" s="7">
        <v>200</v>
      </c>
      <c r="AT27" s="7">
        <v>0</v>
      </c>
      <c r="AU27" s="7">
        <v>0</v>
      </c>
      <c r="AV27" s="7">
        <v>0</v>
      </c>
      <c r="AW27" s="7">
        <v>212</v>
      </c>
      <c r="AX27" s="8">
        <v>25440</v>
      </c>
      <c r="AY27" s="7">
        <v>0</v>
      </c>
      <c r="AZ27" s="7">
        <v>0</v>
      </c>
      <c r="BA27" s="7">
        <v>0</v>
      </c>
      <c r="BB27" s="7">
        <v>0</v>
      </c>
      <c r="BC27" s="7">
        <v>761</v>
      </c>
      <c r="BD27" s="8">
        <v>90720</v>
      </c>
      <c r="BE27" s="7">
        <v>500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7987.2</v>
      </c>
      <c r="BM27" s="10">
        <v>145780</v>
      </c>
      <c r="BN27" s="15">
        <f t="shared" si="0"/>
        <v>137792.79999999999</v>
      </c>
      <c r="BO27" s="16">
        <f t="shared" si="1"/>
        <v>96454.959999999992</v>
      </c>
    </row>
    <row r="28" spans="1:67" ht="19.2" x14ac:dyDescent="0.4">
      <c r="A28" s="5" t="s">
        <v>14</v>
      </c>
      <c r="B28" s="5" t="s">
        <v>110</v>
      </c>
      <c r="C28" s="5">
        <v>425289</v>
      </c>
      <c r="D28" s="6"/>
      <c r="E28" s="5" t="s">
        <v>16</v>
      </c>
      <c r="F28" s="5" t="s">
        <v>96</v>
      </c>
      <c r="G28" s="5" t="s">
        <v>10</v>
      </c>
      <c r="H28" s="7" t="s">
        <v>7</v>
      </c>
      <c r="I28" s="7" t="s">
        <v>111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9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506</v>
      </c>
      <c r="AF28" s="8">
        <v>48520</v>
      </c>
      <c r="AG28" s="8">
        <v>6000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197</v>
      </c>
      <c r="AR28" s="8">
        <v>19300</v>
      </c>
      <c r="AS28" s="7">
        <v>400</v>
      </c>
      <c r="AT28" s="7">
        <v>0</v>
      </c>
      <c r="AU28" s="7">
        <v>0</v>
      </c>
      <c r="AV28" s="7">
        <v>0</v>
      </c>
      <c r="AW28" s="7">
        <v>220</v>
      </c>
      <c r="AX28" s="8">
        <v>26400</v>
      </c>
      <c r="AY28" s="7">
        <v>0</v>
      </c>
      <c r="AZ28" s="7">
        <v>0</v>
      </c>
      <c r="BA28" s="7">
        <v>0</v>
      </c>
      <c r="BB28" s="7">
        <v>0</v>
      </c>
      <c r="BC28" s="7">
        <v>281</v>
      </c>
      <c r="BD28" s="8">
        <v>33720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4663.2</v>
      </c>
      <c r="BM28" s="10">
        <v>134340</v>
      </c>
      <c r="BN28" s="15">
        <f t="shared" si="0"/>
        <v>129676.8</v>
      </c>
      <c r="BO28" s="16">
        <f t="shared" si="1"/>
        <v>90773.759999999995</v>
      </c>
    </row>
    <row r="29" spans="1:67" x14ac:dyDescent="0.4">
      <c r="A29" s="5" t="s">
        <v>14</v>
      </c>
      <c r="B29" s="5" t="s">
        <v>54</v>
      </c>
      <c r="C29" s="5">
        <v>463946</v>
      </c>
      <c r="D29" s="6"/>
      <c r="E29" s="5" t="s">
        <v>16</v>
      </c>
      <c r="F29" s="5" t="s">
        <v>55</v>
      </c>
      <c r="G29" s="5" t="s">
        <v>10</v>
      </c>
      <c r="H29" s="7" t="s">
        <v>7</v>
      </c>
      <c r="I29" s="7" t="s">
        <v>56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30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314</v>
      </c>
      <c r="AF29" s="8">
        <v>10100</v>
      </c>
      <c r="AG29" s="8">
        <v>21300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210</v>
      </c>
      <c r="AR29" s="8">
        <v>20600</v>
      </c>
      <c r="AS29" s="7">
        <v>400</v>
      </c>
      <c r="AT29" s="7">
        <v>0</v>
      </c>
      <c r="AU29" s="7">
        <v>0</v>
      </c>
      <c r="AV29" s="7">
        <v>0</v>
      </c>
      <c r="AW29" s="7">
        <v>193</v>
      </c>
      <c r="AX29" s="8">
        <v>23160</v>
      </c>
      <c r="AY29" s="7">
        <v>0</v>
      </c>
      <c r="AZ29" s="7">
        <v>0</v>
      </c>
      <c r="BA29" s="7">
        <v>0</v>
      </c>
      <c r="BB29" s="7">
        <v>0</v>
      </c>
      <c r="BC29" s="7">
        <v>460</v>
      </c>
      <c r="BD29" s="8">
        <v>55200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5628</v>
      </c>
      <c r="BM29" s="10">
        <v>130760</v>
      </c>
      <c r="BN29" s="15">
        <f t="shared" si="0"/>
        <v>125132</v>
      </c>
      <c r="BO29" s="16">
        <f t="shared" si="1"/>
        <v>87592.4</v>
      </c>
    </row>
    <row r="30" spans="1:67" x14ac:dyDescent="0.4">
      <c r="A30" s="5" t="s">
        <v>14</v>
      </c>
      <c r="B30" s="5" t="s">
        <v>22</v>
      </c>
      <c r="C30" s="5">
        <v>445688</v>
      </c>
      <c r="D30" s="6"/>
      <c r="E30" s="5" t="s">
        <v>16</v>
      </c>
      <c r="F30" s="5" t="s">
        <v>23</v>
      </c>
      <c r="G30" s="5" t="s">
        <v>10</v>
      </c>
      <c r="H30" s="7" t="s">
        <v>7</v>
      </c>
      <c r="I30" s="7" t="s">
        <v>24</v>
      </c>
      <c r="J30" s="7">
        <v>0</v>
      </c>
      <c r="K30" s="7">
        <v>128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416</v>
      </c>
      <c r="AF30" s="8">
        <v>37780</v>
      </c>
      <c r="AG30" s="8">
        <v>5900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368</v>
      </c>
      <c r="AR30" s="8">
        <v>31400</v>
      </c>
      <c r="AS30" s="8">
        <v>5400</v>
      </c>
      <c r="AT30" s="7">
        <v>0</v>
      </c>
      <c r="AU30" s="7">
        <v>0</v>
      </c>
      <c r="AV30" s="7">
        <v>0</v>
      </c>
      <c r="AW30" s="7">
        <v>28</v>
      </c>
      <c r="AX30" s="8">
        <v>3360</v>
      </c>
      <c r="AY30" s="7">
        <v>0</v>
      </c>
      <c r="AZ30" s="7">
        <v>0</v>
      </c>
      <c r="BA30" s="7">
        <v>0</v>
      </c>
      <c r="BB30" s="7">
        <v>0</v>
      </c>
      <c r="BC30" s="7">
        <v>383</v>
      </c>
      <c r="BD30" s="8">
        <v>45960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3093.6</v>
      </c>
      <c r="BM30" s="10">
        <v>129800</v>
      </c>
      <c r="BN30" s="15">
        <f t="shared" si="0"/>
        <v>126706.4</v>
      </c>
      <c r="BO30" s="16">
        <f t="shared" si="1"/>
        <v>88694.48</v>
      </c>
    </row>
    <row r="31" spans="1:67" x14ac:dyDescent="0.4">
      <c r="A31" s="5" t="s">
        <v>14</v>
      </c>
      <c r="B31" s="5" t="s">
        <v>93</v>
      </c>
      <c r="C31" s="5">
        <v>211158</v>
      </c>
      <c r="D31" s="6"/>
      <c r="E31" s="5" t="s">
        <v>16</v>
      </c>
      <c r="F31" s="5" t="s">
        <v>30</v>
      </c>
      <c r="G31" s="5" t="s">
        <v>10</v>
      </c>
      <c r="H31" s="7" t="s">
        <v>7</v>
      </c>
      <c r="I31" s="7" t="s">
        <v>94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20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283</v>
      </c>
      <c r="AF31" s="8">
        <v>15700</v>
      </c>
      <c r="AG31" s="8">
        <v>12600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329</v>
      </c>
      <c r="AR31" s="8">
        <v>31700</v>
      </c>
      <c r="AS31" s="8">
        <v>1200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559</v>
      </c>
      <c r="BD31" s="8">
        <v>67080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4024.8</v>
      </c>
      <c r="BM31" s="10">
        <v>128280</v>
      </c>
      <c r="BN31" s="15">
        <f t="shared" si="0"/>
        <v>124255.2</v>
      </c>
      <c r="BO31" s="16">
        <f t="shared" si="1"/>
        <v>86978.64</v>
      </c>
    </row>
    <row r="32" spans="1:67" x14ac:dyDescent="0.4">
      <c r="A32" s="5" t="s">
        <v>14</v>
      </c>
      <c r="B32" s="5" t="s">
        <v>135</v>
      </c>
      <c r="C32" s="5">
        <v>406849</v>
      </c>
      <c r="D32" s="6"/>
      <c r="E32" s="5" t="s">
        <v>16</v>
      </c>
      <c r="F32" s="5" t="s">
        <v>113</v>
      </c>
      <c r="G32" s="5" t="s">
        <v>10</v>
      </c>
      <c r="H32" s="7" t="s">
        <v>7</v>
      </c>
      <c r="I32" s="7" t="s">
        <v>136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70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445</v>
      </c>
      <c r="AF32" s="8">
        <v>49920</v>
      </c>
      <c r="AG32" s="8">
        <v>1400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233</v>
      </c>
      <c r="AR32" s="8">
        <v>23300</v>
      </c>
      <c r="AS32" s="7">
        <v>0</v>
      </c>
      <c r="AT32" s="7">
        <v>0</v>
      </c>
      <c r="AU32" s="7">
        <v>0</v>
      </c>
      <c r="AV32" s="7">
        <v>0</v>
      </c>
      <c r="AW32" s="7">
        <v>154</v>
      </c>
      <c r="AX32" s="8">
        <v>18480</v>
      </c>
      <c r="AY32" s="7">
        <v>0</v>
      </c>
      <c r="AZ32" s="7">
        <v>0</v>
      </c>
      <c r="BA32" s="7">
        <v>0</v>
      </c>
      <c r="BB32" s="7">
        <v>0</v>
      </c>
      <c r="BC32" s="7">
        <v>213</v>
      </c>
      <c r="BD32" s="8">
        <v>25560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3381.6</v>
      </c>
      <c r="BM32" s="10">
        <v>118660</v>
      </c>
      <c r="BN32" s="15">
        <f t="shared" si="0"/>
        <v>115278.39999999999</v>
      </c>
      <c r="BO32" s="16">
        <f t="shared" si="1"/>
        <v>80694.87999999999</v>
      </c>
    </row>
    <row r="33" spans="1:67" x14ac:dyDescent="0.4">
      <c r="A33" s="5" t="s">
        <v>14</v>
      </c>
      <c r="B33" s="5" t="s">
        <v>119</v>
      </c>
      <c r="C33" s="5">
        <v>390809</v>
      </c>
      <c r="D33" s="6"/>
      <c r="E33" s="5" t="s">
        <v>16</v>
      </c>
      <c r="F33" s="5" t="s">
        <v>120</v>
      </c>
      <c r="G33" s="5" t="s">
        <v>34</v>
      </c>
      <c r="H33" s="7" t="s">
        <v>8</v>
      </c>
      <c r="I33" s="7" t="s">
        <v>35</v>
      </c>
      <c r="J33" s="7">
        <v>0</v>
      </c>
      <c r="K33" s="7">
        <v>3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218</v>
      </c>
      <c r="AF33" s="8">
        <v>14900</v>
      </c>
      <c r="AG33" s="8">
        <v>7700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63</v>
      </c>
      <c r="AR33" s="8">
        <v>6300</v>
      </c>
      <c r="AS33" s="7">
        <v>0</v>
      </c>
      <c r="AT33" s="7">
        <v>0</v>
      </c>
      <c r="AU33" s="7">
        <v>0</v>
      </c>
      <c r="AV33" s="7">
        <v>0</v>
      </c>
      <c r="AW33" s="7">
        <v>80</v>
      </c>
      <c r="AX33" s="8">
        <v>9600</v>
      </c>
      <c r="AY33" s="7">
        <v>0</v>
      </c>
      <c r="AZ33" s="7">
        <v>0</v>
      </c>
      <c r="BA33" s="7">
        <v>0</v>
      </c>
      <c r="BB33" s="7">
        <v>0</v>
      </c>
      <c r="BC33" s="7">
        <v>667</v>
      </c>
      <c r="BD33" s="8">
        <v>80040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5762.4</v>
      </c>
      <c r="BM33" s="10">
        <v>118540</v>
      </c>
      <c r="BN33" s="15">
        <f t="shared" si="0"/>
        <v>112777.60000000001</v>
      </c>
      <c r="BO33" s="16">
        <f t="shared" si="1"/>
        <v>78944.319999999992</v>
      </c>
    </row>
    <row r="34" spans="1:67" ht="19.2" x14ac:dyDescent="0.4">
      <c r="A34" s="5" t="s">
        <v>14</v>
      </c>
      <c r="B34" s="5" t="s">
        <v>49</v>
      </c>
      <c r="C34" s="5">
        <v>459997</v>
      </c>
      <c r="D34" s="6"/>
      <c r="E34" s="5" t="s">
        <v>16</v>
      </c>
      <c r="F34" s="5" t="s">
        <v>50</v>
      </c>
      <c r="G34" s="5" t="s">
        <v>10</v>
      </c>
      <c r="H34" s="7" t="s">
        <v>7</v>
      </c>
      <c r="I34" s="7" t="s">
        <v>527</v>
      </c>
      <c r="J34" s="7">
        <v>0</v>
      </c>
      <c r="K34" s="8">
        <v>2477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13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484</v>
      </c>
      <c r="AF34" s="8">
        <v>30760</v>
      </c>
      <c r="AG34" s="8">
        <v>19900</v>
      </c>
      <c r="AH34" s="7">
        <v>0</v>
      </c>
      <c r="AI34" s="7">
        <v>0</v>
      </c>
      <c r="AJ34" s="7">
        <v>0</v>
      </c>
      <c r="AK34" s="7">
        <v>2</v>
      </c>
      <c r="AL34" s="7">
        <v>0</v>
      </c>
      <c r="AM34" s="7">
        <v>200</v>
      </c>
      <c r="AN34" s="7">
        <v>0</v>
      </c>
      <c r="AO34" s="7">
        <v>0</v>
      </c>
      <c r="AP34" s="7">
        <v>0</v>
      </c>
      <c r="AQ34" s="7">
        <v>317</v>
      </c>
      <c r="AR34" s="8">
        <v>31000</v>
      </c>
      <c r="AS34" s="7">
        <v>700</v>
      </c>
      <c r="AT34" s="7">
        <v>0</v>
      </c>
      <c r="AU34" s="7">
        <v>0</v>
      </c>
      <c r="AV34" s="7">
        <v>0</v>
      </c>
      <c r="AW34" s="7">
        <v>112</v>
      </c>
      <c r="AX34" s="8">
        <v>13440</v>
      </c>
      <c r="AY34" s="7">
        <v>0</v>
      </c>
      <c r="AZ34" s="7">
        <v>0</v>
      </c>
      <c r="BA34" s="7">
        <v>0</v>
      </c>
      <c r="BB34" s="7">
        <v>0</v>
      </c>
      <c r="BC34" s="7">
        <v>146</v>
      </c>
      <c r="BD34" s="8">
        <v>17520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2395.1999999999998</v>
      </c>
      <c r="BM34" s="10">
        <v>113520</v>
      </c>
      <c r="BN34" s="15">
        <f t="shared" si="0"/>
        <v>111124.8</v>
      </c>
      <c r="BO34" s="16">
        <f t="shared" si="1"/>
        <v>77787.360000000001</v>
      </c>
    </row>
    <row r="35" spans="1:67" x14ac:dyDescent="0.4">
      <c r="A35" s="5" t="s">
        <v>14</v>
      </c>
      <c r="B35" s="5" t="s">
        <v>285</v>
      </c>
      <c r="C35" s="5">
        <v>391329</v>
      </c>
      <c r="D35" s="6"/>
      <c r="E35" s="5" t="s">
        <v>16</v>
      </c>
      <c r="F35" s="5" t="s">
        <v>66</v>
      </c>
      <c r="G35" s="5" t="s">
        <v>10</v>
      </c>
      <c r="H35" s="7" t="s">
        <v>7</v>
      </c>
      <c r="I35" s="7" t="s">
        <v>286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</v>
      </c>
      <c r="AF35" s="8">
        <v>5940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27</v>
      </c>
      <c r="BD35" s="8">
        <v>101160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6069.6</v>
      </c>
      <c r="BM35" s="10">
        <v>107100</v>
      </c>
      <c r="BN35" s="15">
        <f t="shared" si="0"/>
        <v>101030.39999999999</v>
      </c>
      <c r="BO35" s="16">
        <f t="shared" si="1"/>
        <v>70721.279999999984</v>
      </c>
    </row>
    <row r="36" spans="1:67" x14ac:dyDescent="0.4">
      <c r="A36" s="5" t="s">
        <v>14</v>
      </c>
      <c r="B36" s="5" t="s">
        <v>405</v>
      </c>
      <c r="C36" s="5">
        <v>373610</v>
      </c>
      <c r="D36" s="6"/>
      <c r="E36" s="5" t="s">
        <v>16</v>
      </c>
      <c r="F36" s="5" t="s">
        <v>406</v>
      </c>
      <c r="G36" s="5" t="s">
        <v>10</v>
      </c>
      <c r="H36" s="7" t="s">
        <v>7</v>
      </c>
      <c r="I36" s="7" t="s">
        <v>407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15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246</v>
      </c>
      <c r="AF36" s="8">
        <v>27240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412</v>
      </c>
      <c r="AR36" s="8">
        <v>40600</v>
      </c>
      <c r="AS36" s="7">
        <v>600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288</v>
      </c>
      <c r="BD36" s="8">
        <v>34560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2073.6</v>
      </c>
      <c r="BM36" s="10">
        <v>103000</v>
      </c>
      <c r="BN36" s="15">
        <f t="shared" si="0"/>
        <v>100926.39999999999</v>
      </c>
      <c r="BO36" s="16">
        <f t="shared" si="1"/>
        <v>70648.479999999996</v>
      </c>
    </row>
    <row r="37" spans="1:67" x14ac:dyDescent="0.4">
      <c r="A37" s="5" t="s">
        <v>14</v>
      </c>
      <c r="B37" s="5" t="s">
        <v>71</v>
      </c>
      <c r="C37" s="5">
        <v>219203</v>
      </c>
      <c r="D37" s="6"/>
      <c r="E37" s="5" t="s">
        <v>16</v>
      </c>
      <c r="F37" s="5" t="s">
        <v>72</v>
      </c>
      <c r="G37" s="5" t="s">
        <v>10</v>
      </c>
      <c r="H37" s="7" t="s">
        <v>7</v>
      </c>
      <c r="I37" s="7" t="s">
        <v>73</v>
      </c>
      <c r="J37" s="7">
        <v>1</v>
      </c>
      <c r="K37" s="7">
        <v>15</v>
      </c>
      <c r="L37" s="7">
        <v>100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249</v>
      </c>
      <c r="AC37" s="8">
        <v>17700</v>
      </c>
      <c r="AD37" s="8">
        <v>7200</v>
      </c>
      <c r="AE37" s="7">
        <v>37</v>
      </c>
      <c r="AF37" s="8">
        <v>5300</v>
      </c>
      <c r="AG37" s="8">
        <v>5500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150</v>
      </c>
      <c r="AO37" s="8">
        <v>15000</v>
      </c>
      <c r="AP37" s="7">
        <v>0</v>
      </c>
      <c r="AQ37" s="7">
        <v>1</v>
      </c>
      <c r="AR37" s="7">
        <v>300</v>
      </c>
      <c r="AS37" s="7">
        <v>0</v>
      </c>
      <c r="AT37" s="7">
        <v>16</v>
      </c>
      <c r="AU37" s="8">
        <v>1920</v>
      </c>
      <c r="AV37" s="7">
        <v>0</v>
      </c>
      <c r="AW37" s="7">
        <v>3</v>
      </c>
      <c r="AX37" s="7">
        <v>360</v>
      </c>
      <c r="AY37" s="7">
        <v>0</v>
      </c>
      <c r="AZ37" s="7">
        <v>399</v>
      </c>
      <c r="BA37" s="8">
        <v>47880</v>
      </c>
      <c r="BB37" s="7">
        <v>0</v>
      </c>
      <c r="BC37" s="7">
        <v>1</v>
      </c>
      <c r="BD37" s="7">
        <v>360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3122.4</v>
      </c>
      <c r="BM37" s="10">
        <v>101620</v>
      </c>
      <c r="BN37" s="15">
        <f t="shared" si="0"/>
        <v>98497.600000000006</v>
      </c>
      <c r="BO37" s="16">
        <f t="shared" si="1"/>
        <v>68948.319999999992</v>
      </c>
    </row>
    <row r="38" spans="1:67" x14ac:dyDescent="0.4">
      <c r="A38" s="5" t="s">
        <v>14</v>
      </c>
      <c r="B38" s="5" t="s">
        <v>178</v>
      </c>
      <c r="C38" s="5">
        <v>316658</v>
      </c>
      <c r="D38" s="6"/>
      <c r="E38" s="5" t="s">
        <v>16</v>
      </c>
      <c r="F38" s="5" t="s">
        <v>66</v>
      </c>
      <c r="G38" s="5" t="s">
        <v>10</v>
      </c>
      <c r="H38" s="7" t="s">
        <v>7</v>
      </c>
      <c r="I38" s="7" t="s">
        <v>179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27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378</v>
      </c>
      <c r="AF38" s="8">
        <v>33480</v>
      </c>
      <c r="AG38" s="8">
        <v>6400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149</v>
      </c>
      <c r="AR38" s="8">
        <v>14900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270</v>
      </c>
      <c r="BD38" s="8">
        <v>32400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1944</v>
      </c>
      <c r="BM38" s="10">
        <v>87180</v>
      </c>
      <c r="BN38" s="15">
        <f t="shared" si="0"/>
        <v>85236</v>
      </c>
      <c r="BO38" s="16">
        <f t="shared" si="1"/>
        <v>59665.2</v>
      </c>
    </row>
    <row r="39" spans="1:67" x14ac:dyDescent="0.4">
      <c r="A39" s="5" t="s">
        <v>14</v>
      </c>
      <c r="B39" s="5" t="s">
        <v>127</v>
      </c>
      <c r="C39" s="5">
        <v>290890</v>
      </c>
      <c r="D39" s="6"/>
      <c r="E39" s="5" t="s">
        <v>16</v>
      </c>
      <c r="F39" s="5" t="s">
        <v>30</v>
      </c>
      <c r="G39" s="5" t="s">
        <v>10</v>
      </c>
      <c r="H39" s="7" t="s">
        <v>7</v>
      </c>
      <c r="I39" s="7" t="s">
        <v>128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15</v>
      </c>
      <c r="AC39" s="8">
        <v>4900</v>
      </c>
      <c r="AD39" s="8">
        <v>7700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6</v>
      </c>
      <c r="AU39" s="8">
        <v>5760</v>
      </c>
      <c r="AV39" s="7">
        <v>0</v>
      </c>
      <c r="AW39" s="7">
        <v>0</v>
      </c>
      <c r="AX39" s="7">
        <v>0</v>
      </c>
      <c r="AY39" s="7">
        <v>0</v>
      </c>
      <c r="AZ39" s="7">
        <v>28</v>
      </c>
      <c r="BA39" s="8">
        <v>28800</v>
      </c>
      <c r="BB39" s="7">
        <v>0</v>
      </c>
      <c r="BC39" s="7">
        <v>10</v>
      </c>
      <c r="BD39" s="8">
        <v>38400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4608</v>
      </c>
      <c r="BM39" s="10">
        <v>85560</v>
      </c>
      <c r="BN39" s="15">
        <f t="shared" si="0"/>
        <v>80952</v>
      </c>
      <c r="BO39" s="16">
        <f t="shared" si="1"/>
        <v>56666.399999999994</v>
      </c>
    </row>
    <row r="40" spans="1:67" x14ac:dyDescent="0.4">
      <c r="A40" s="5" t="s">
        <v>14</v>
      </c>
      <c r="B40" s="5" t="s">
        <v>95</v>
      </c>
      <c r="C40" s="5">
        <v>395179</v>
      </c>
      <c r="D40" s="6"/>
      <c r="E40" s="5" t="s">
        <v>16</v>
      </c>
      <c r="F40" s="5" t="s">
        <v>96</v>
      </c>
      <c r="G40" s="5" t="s">
        <v>10</v>
      </c>
      <c r="H40" s="7" t="s">
        <v>7</v>
      </c>
      <c r="I40" s="7" t="s">
        <v>97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25</v>
      </c>
      <c r="AF40" s="7">
        <v>0</v>
      </c>
      <c r="AG40" s="8">
        <v>80000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1</v>
      </c>
      <c r="AR40" s="8">
        <v>3200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83200</v>
      </c>
      <c r="BN40" s="15">
        <f t="shared" si="0"/>
        <v>83200</v>
      </c>
      <c r="BO40" s="16">
        <f t="shared" si="1"/>
        <v>58239.999999999993</v>
      </c>
    </row>
    <row r="41" spans="1:67" x14ac:dyDescent="0.4">
      <c r="A41" s="5" t="s">
        <v>14</v>
      </c>
      <c r="B41" s="5" t="s">
        <v>121</v>
      </c>
      <c r="C41" s="5">
        <v>425414</v>
      </c>
      <c r="D41" s="6"/>
      <c r="E41" s="5" t="s">
        <v>16</v>
      </c>
      <c r="F41" s="5" t="s">
        <v>122</v>
      </c>
      <c r="G41" s="5" t="s">
        <v>10</v>
      </c>
      <c r="H41" s="7" t="s">
        <v>7</v>
      </c>
      <c r="I41" s="7" t="s">
        <v>123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44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261</v>
      </c>
      <c r="AF41" s="8">
        <v>26880</v>
      </c>
      <c r="AG41" s="8">
        <v>3000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109</v>
      </c>
      <c r="AR41" s="8">
        <v>2100</v>
      </c>
      <c r="AS41" s="8">
        <v>8800</v>
      </c>
      <c r="AT41" s="7">
        <v>0</v>
      </c>
      <c r="AU41" s="7">
        <v>0</v>
      </c>
      <c r="AV41" s="7">
        <v>0</v>
      </c>
      <c r="AW41" s="7">
        <v>100</v>
      </c>
      <c r="AX41" s="8">
        <v>12000</v>
      </c>
      <c r="AY41" s="7">
        <v>0</v>
      </c>
      <c r="AZ41" s="7">
        <v>0</v>
      </c>
      <c r="BA41" s="7">
        <v>0</v>
      </c>
      <c r="BB41" s="7">
        <v>0</v>
      </c>
      <c r="BC41" s="7">
        <v>235</v>
      </c>
      <c r="BD41" s="8">
        <v>28200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2892</v>
      </c>
      <c r="BM41" s="10">
        <v>80980</v>
      </c>
      <c r="BN41" s="15">
        <f t="shared" si="0"/>
        <v>78088</v>
      </c>
      <c r="BO41" s="16">
        <f t="shared" si="1"/>
        <v>54661.599999999999</v>
      </c>
    </row>
    <row r="42" spans="1:67" x14ac:dyDescent="0.4">
      <c r="A42" s="5" t="s">
        <v>14</v>
      </c>
      <c r="B42" s="5" t="s">
        <v>107</v>
      </c>
      <c r="C42" s="5">
        <v>428379</v>
      </c>
      <c r="D42" s="6"/>
      <c r="E42" s="5" t="s">
        <v>16</v>
      </c>
      <c r="F42" s="5" t="s">
        <v>108</v>
      </c>
      <c r="G42" s="5" t="s">
        <v>421</v>
      </c>
      <c r="H42" s="7" t="s">
        <v>8</v>
      </c>
      <c r="I42" s="7" t="s">
        <v>109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3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118</v>
      </c>
      <c r="AF42" s="8">
        <v>9020</v>
      </c>
      <c r="AG42" s="8">
        <v>3300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50</v>
      </c>
      <c r="AR42" s="8">
        <v>5000</v>
      </c>
      <c r="AS42" s="7">
        <v>0</v>
      </c>
      <c r="AT42" s="7">
        <v>0</v>
      </c>
      <c r="AU42" s="7">
        <v>0</v>
      </c>
      <c r="AV42" s="7">
        <v>0</v>
      </c>
      <c r="AW42" s="7">
        <v>87</v>
      </c>
      <c r="AX42" s="8">
        <v>10440</v>
      </c>
      <c r="AY42" s="7">
        <v>0</v>
      </c>
      <c r="AZ42" s="7">
        <v>0</v>
      </c>
      <c r="BA42" s="7">
        <v>0</v>
      </c>
      <c r="BB42" s="7">
        <v>0</v>
      </c>
      <c r="BC42" s="7">
        <v>425</v>
      </c>
      <c r="BD42" s="8">
        <v>51000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9">
        <v>4104</v>
      </c>
      <c r="BM42" s="10">
        <v>78760</v>
      </c>
      <c r="BN42" s="15">
        <f t="shared" si="0"/>
        <v>74656</v>
      </c>
      <c r="BO42" s="16">
        <f t="shared" si="1"/>
        <v>52259.199999999997</v>
      </c>
    </row>
    <row r="43" spans="1:67" x14ac:dyDescent="0.4">
      <c r="A43" s="5" t="s">
        <v>14</v>
      </c>
      <c r="B43" s="5" t="s">
        <v>91</v>
      </c>
      <c r="C43" s="5">
        <v>462353</v>
      </c>
      <c r="D43" s="6"/>
      <c r="E43" s="5" t="s">
        <v>16</v>
      </c>
      <c r="F43" s="5" t="s">
        <v>39</v>
      </c>
      <c r="G43" s="5" t="s">
        <v>10</v>
      </c>
      <c r="H43" s="7" t="s">
        <v>7</v>
      </c>
      <c r="I43" s="7" t="s">
        <v>92</v>
      </c>
      <c r="J43" s="7">
        <v>3</v>
      </c>
      <c r="K43" s="7">
        <v>0</v>
      </c>
      <c r="L43" s="7">
        <v>300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5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258</v>
      </c>
      <c r="AF43" s="8">
        <v>22260</v>
      </c>
      <c r="AG43" s="8">
        <v>5100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181</v>
      </c>
      <c r="AR43" s="8">
        <v>18100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262</v>
      </c>
      <c r="BD43" s="8">
        <v>31440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9">
        <v>1886.4</v>
      </c>
      <c r="BM43" s="10">
        <v>77200</v>
      </c>
      <c r="BN43" s="15">
        <f t="shared" si="0"/>
        <v>75313.600000000006</v>
      </c>
      <c r="BO43" s="16">
        <f t="shared" si="1"/>
        <v>52719.520000000004</v>
      </c>
    </row>
    <row r="44" spans="1:67" x14ac:dyDescent="0.4">
      <c r="A44" s="5" t="s">
        <v>14</v>
      </c>
      <c r="B44" s="5" t="s">
        <v>307</v>
      </c>
      <c r="C44" s="5">
        <v>430085</v>
      </c>
      <c r="D44" s="6"/>
      <c r="E44" s="5" t="s">
        <v>16</v>
      </c>
      <c r="F44" s="5" t="s">
        <v>86</v>
      </c>
      <c r="G44" s="5" t="s">
        <v>10</v>
      </c>
      <c r="H44" s="7" t="s">
        <v>9</v>
      </c>
      <c r="I44" s="7" t="s">
        <v>308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8</v>
      </c>
      <c r="AR44" s="8">
        <v>22000</v>
      </c>
      <c r="AS44" s="7">
        <v>200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15</v>
      </c>
      <c r="BD44" s="8">
        <v>53400</v>
      </c>
      <c r="BE44" s="7">
        <v>500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9">
        <v>3204</v>
      </c>
      <c r="BM44" s="10">
        <v>76100</v>
      </c>
      <c r="BN44" s="15">
        <f t="shared" si="0"/>
        <v>72896</v>
      </c>
      <c r="BO44" s="16">
        <f t="shared" si="1"/>
        <v>51027.199999999997</v>
      </c>
    </row>
    <row r="45" spans="1:67" x14ac:dyDescent="0.4">
      <c r="A45" s="5" t="s">
        <v>14</v>
      </c>
      <c r="B45" s="5" t="s">
        <v>74</v>
      </c>
      <c r="C45" s="5">
        <v>465250</v>
      </c>
      <c r="D45" s="6"/>
      <c r="E45" s="5" t="s">
        <v>16</v>
      </c>
      <c r="F45" s="5" t="s">
        <v>75</v>
      </c>
      <c r="G45" s="5" t="s">
        <v>421</v>
      </c>
      <c r="H45" s="7" t="s">
        <v>7</v>
      </c>
      <c r="I45" s="7" t="s">
        <v>76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485</v>
      </c>
      <c r="AF45" s="8">
        <v>11500</v>
      </c>
      <c r="AG45" s="8">
        <v>37000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14</v>
      </c>
      <c r="AR45" s="8">
        <v>1400</v>
      </c>
      <c r="AS45" s="7">
        <v>0</v>
      </c>
      <c r="AT45" s="7">
        <v>0</v>
      </c>
      <c r="AU45" s="7">
        <v>0</v>
      </c>
      <c r="AV45" s="7">
        <v>0</v>
      </c>
      <c r="AW45" s="7">
        <v>4</v>
      </c>
      <c r="AX45" s="7">
        <v>480</v>
      </c>
      <c r="AY45" s="7">
        <v>0</v>
      </c>
      <c r="AZ45" s="7">
        <v>0</v>
      </c>
      <c r="BA45" s="7">
        <v>0</v>
      </c>
      <c r="BB45" s="7">
        <v>0</v>
      </c>
      <c r="BC45" s="7">
        <v>212</v>
      </c>
      <c r="BD45" s="8">
        <v>25440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1574.4</v>
      </c>
      <c r="BM45" s="10">
        <v>75820</v>
      </c>
      <c r="BN45" s="15">
        <f t="shared" si="0"/>
        <v>74245.600000000006</v>
      </c>
      <c r="BO45" s="16">
        <f t="shared" si="1"/>
        <v>51971.92</v>
      </c>
    </row>
    <row r="46" spans="1:67" x14ac:dyDescent="0.4">
      <c r="A46" s="5" t="s">
        <v>14</v>
      </c>
      <c r="B46" s="5" t="s">
        <v>115</v>
      </c>
      <c r="C46" s="5">
        <v>415710</v>
      </c>
      <c r="D46" s="6"/>
      <c r="E46" s="5" t="s">
        <v>16</v>
      </c>
      <c r="F46" s="5" t="s">
        <v>52</v>
      </c>
      <c r="G46" s="5" t="s">
        <v>34</v>
      </c>
      <c r="H46" s="7" t="s">
        <v>8</v>
      </c>
      <c r="I46" s="7" t="s">
        <v>116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11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128</v>
      </c>
      <c r="AF46" s="8">
        <v>12520</v>
      </c>
      <c r="AG46" s="7">
        <v>300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1</v>
      </c>
      <c r="AR46" s="7">
        <v>0</v>
      </c>
      <c r="AS46" s="7">
        <v>100</v>
      </c>
      <c r="AT46" s="7">
        <v>0</v>
      </c>
      <c r="AU46" s="7">
        <v>0</v>
      </c>
      <c r="AV46" s="7">
        <v>0</v>
      </c>
      <c r="AW46" s="7">
        <v>67</v>
      </c>
      <c r="AX46" s="8">
        <v>8040</v>
      </c>
      <c r="AY46" s="7">
        <v>0</v>
      </c>
      <c r="AZ46" s="7">
        <v>0</v>
      </c>
      <c r="BA46" s="7">
        <v>0</v>
      </c>
      <c r="BB46" s="7">
        <v>0</v>
      </c>
      <c r="BC46" s="7">
        <v>436</v>
      </c>
      <c r="BD46" s="8">
        <v>52320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3943.2</v>
      </c>
      <c r="BM46" s="10">
        <v>73280</v>
      </c>
      <c r="BN46" s="15">
        <f t="shared" si="0"/>
        <v>69336.800000000003</v>
      </c>
      <c r="BO46" s="16">
        <f t="shared" si="1"/>
        <v>48535.76</v>
      </c>
    </row>
    <row r="47" spans="1:67" x14ac:dyDescent="0.4">
      <c r="A47" s="5" t="s">
        <v>14</v>
      </c>
      <c r="B47" s="5" t="s">
        <v>137</v>
      </c>
      <c r="C47" s="5">
        <v>337887</v>
      </c>
      <c r="D47" s="6"/>
      <c r="E47" s="5" t="s">
        <v>16</v>
      </c>
      <c r="F47" s="5" t="s">
        <v>133</v>
      </c>
      <c r="G47" s="5" t="s">
        <v>34</v>
      </c>
      <c r="H47" s="7" t="s">
        <v>8</v>
      </c>
      <c r="I47" s="7" t="s">
        <v>138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5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102</v>
      </c>
      <c r="AF47" s="8">
        <v>4580</v>
      </c>
      <c r="AG47" s="8">
        <v>5700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33</v>
      </c>
      <c r="AX47" s="8">
        <v>3960</v>
      </c>
      <c r="AY47" s="7">
        <v>0</v>
      </c>
      <c r="AZ47" s="7">
        <v>0</v>
      </c>
      <c r="BA47" s="7">
        <v>0</v>
      </c>
      <c r="BB47" s="7">
        <v>0</v>
      </c>
      <c r="BC47" s="7">
        <v>484</v>
      </c>
      <c r="BD47" s="8">
        <v>58080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9">
        <v>3880.8</v>
      </c>
      <c r="BM47" s="10">
        <v>72320</v>
      </c>
      <c r="BN47" s="15">
        <f t="shared" si="0"/>
        <v>68439.199999999997</v>
      </c>
      <c r="BO47" s="16">
        <f t="shared" si="1"/>
        <v>47907.439999999995</v>
      </c>
    </row>
    <row r="48" spans="1:67" x14ac:dyDescent="0.4">
      <c r="A48" s="5" t="s">
        <v>14</v>
      </c>
      <c r="B48" s="5" t="s">
        <v>281</v>
      </c>
      <c r="C48" s="5">
        <v>392673</v>
      </c>
      <c r="D48" s="6"/>
      <c r="E48" s="5" t="s">
        <v>16</v>
      </c>
      <c r="F48" s="5" t="s">
        <v>105</v>
      </c>
      <c r="G48" s="5" t="s">
        <v>34</v>
      </c>
      <c r="H48" s="7" t="s">
        <v>8</v>
      </c>
      <c r="I48" s="7" t="s">
        <v>282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5</v>
      </c>
      <c r="AF48" s="8">
        <v>7980</v>
      </c>
      <c r="AG48" s="8">
        <v>6400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15</v>
      </c>
      <c r="BD48" s="8">
        <v>57240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3434.4</v>
      </c>
      <c r="BM48" s="10">
        <v>71620</v>
      </c>
      <c r="BN48" s="15">
        <f t="shared" si="0"/>
        <v>68185.600000000006</v>
      </c>
      <c r="BO48" s="16">
        <f t="shared" si="1"/>
        <v>47729.919999999998</v>
      </c>
    </row>
    <row r="49" spans="1:67" ht="19.2" x14ac:dyDescent="0.4">
      <c r="A49" s="5" t="s">
        <v>14</v>
      </c>
      <c r="B49" s="5" t="s">
        <v>129</v>
      </c>
      <c r="C49" s="5">
        <v>383229</v>
      </c>
      <c r="D49" s="6"/>
      <c r="E49" s="5" t="s">
        <v>16</v>
      </c>
      <c r="F49" s="5" t="s">
        <v>130</v>
      </c>
      <c r="G49" s="5" t="s">
        <v>34</v>
      </c>
      <c r="H49" s="7" t="s">
        <v>8</v>
      </c>
      <c r="I49" s="7" t="s">
        <v>131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21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359</v>
      </c>
      <c r="AF49" s="8">
        <v>13400</v>
      </c>
      <c r="AG49" s="8">
        <v>22500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16</v>
      </c>
      <c r="AR49" s="8">
        <v>1600</v>
      </c>
      <c r="AS49" s="7">
        <v>0</v>
      </c>
      <c r="AT49" s="7">
        <v>0</v>
      </c>
      <c r="AU49" s="7">
        <v>0</v>
      </c>
      <c r="AV49" s="7">
        <v>0</v>
      </c>
      <c r="AW49" s="7">
        <v>57</v>
      </c>
      <c r="AX49" s="8">
        <v>6840</v>
      </c>
      <c r="AY49" s="7">
        <v>0</v>
      </c>
      <c r="AZ49" s="7">
        <v>0</v>
      </c>
      <c r="BA49" s="7">
        <v>0</v>
      </c>
      <c r="BB49" s="7">
        <v>0</v>
      </c>
      <c r="BC49" s="7">
        <v>189</v>
      </c>
      <c r="BD49" s="8">
        <v>22680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9">
        <v>2044.8</v>
      </c>
      <c r="BM49" s="10">
        <v>67020</v>
      </c>
      <c r="BN49" s="15">
        <f t="shared" si="0"/>
        <v>64975.199999999997</v>
      </c>
      <c r="BO49" s="16">
        <f t="shared" si="1"/>
        <v>45482.639999999992</v>
      </c>
    </row>
    <row r="50" spans="1:67" ht="19.2" x14ac:dyDescent="0.4">
      <c r="A50" s="5" t="s">
        <v>14</v>
      </c>
      <c r="B50" s="5" t="s">
        <v>528</v>
      </c>
      <c r="C50" s="5">
        <v>473533</v>
      </c>
      <c r="D50" s="6"/>
      <c r="E50" s="5" t="s">
        <v>16</v>
      </c>
      <c r="F50" s="5" t="s">
        <v>440</v>
      </c>
      <c r="G50" s="5" t="s">
        <v>10</v>
      </c>
      <c r="H50" s="7" t="s">
        <v>7</v>
      </c>
      <c r="I50" s="7" t="s">
        <v>521</v>
      </c>
      <c r="J50" s="7">
        <v>71</v>
      </c>
      <c r="K50" s="7">
        <v>0</v>
      </c>
      <c r="L50" s="8">
        <v>7100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334</v>
      </c>
      <c r="AF50" s="8">
        <v>20020</v>
      </c>
      <c r="AG50" s="8">
        <v>13600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64</v>
      </c>
      <c r="AR50" s="8">
        <v>6400</v>
      </c>
      <c r="AS50" s="7">
        <v>0</v>
      </c>
      <c r="AT50" s="7">
        <v>0</v>
      </c>
      <c r="AU50" s="7">
        <v>0</v>
      </c>
      <c r="AV50" s="7">
        <v>0</v>
      </c>
      <c r="AW50" s="7">
        <v>29</v>
      </c>
      <c r="AX50" s="8">
        <v>3480</v>
      </c>
      <c r="AY50" s="7">
        <v>0</v>
      </c>
      <c r="AZ50" s="7">
        <v>0</v>
      </c>
      <c r="BA50" s="7">
        <v>0</v>
      </c>
      <c r="BB50" s="7">
        <v>0</v>
      </c>
      <c r="BC50" s="7">
        <v>121</v>
      </c>
      <c r="BD50" s="8">
        <v>14520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1219.2</v>
      </c>
      <c r="BM50" s="10">
        <v>65120</v>
      </c>
      <c r="BN50" s="15">
        <f t="shared" si="0"/>
        <v>63900.800000000003</v>
      </c>
      <c r="BO50" s="16">
        <f t="shared" si="1"/>
        <v>44730.559999999998</v>
      </c>
    </row>
    <row r="51" spans="1:67" x14ac:dyDescent="0.4">
      <c r="A51" s="5" t="s">
        <v>14</v>
      </c>
      <c r="B51" s="5" t="s">
        <v>175</v>
      </c>
      <c r="C51" s="5">
        <v>419744</v>
      </c>
      <c r="D51" s="6"/>
      <c r="E51" s="5" t="s">
        <v>16</v>
      </c>
      <c r="F51" s="5" t="s">
        <v>176</v>
      </c>
      <c r="G51" s="5" t="s">
        <v>10</v>
      </c>
      <c r="H51" s="7" t="s">
        <v>7</v>
      </c>
      <c r="I51" s="7" t="s">
        <v>177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9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9</v>
      </c>
      <c r="AF51" s="7">
        <v>480</v>
      </c>
      <c r="AG51" s="7">
        <v>500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172</v>
      </c>
      <c r="AR51" s="8">
        <v>17000</v>
      </c>
      <c r="AS51" s="7">
        <v>200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379</v>
      </c>
      <c r="BD51" s="8">
        <v>44880</v>
      </c>
      <c r="BE51" s="7">
        <v>500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2692.8</v>
      </c>
      <c r="BM51" s="10">
        <v>63560</v>
      </c>
      <c r="BN51" s="15">
        <f t="shared" si="0"/>
        <v>60867.199999999997</v>
      </c>
      <c r="BO51" s="16">
        <f t="shared" si="1"/>
        <v>42607.039999999994</v>
      </c>
    </row>
    <row r="52" spans="1:67" x14ac:dyDescent="0.4">
      <c r="A52" s="5" t="s">
        <v>14</v>
      </c>
      <c r="B52" s="5" t="s">
        <v>146</v>
      </c>
      <c r="C52" s="5">
        <v>392777</v>
      </c>
      <c r="D52" s="6"/>
      <c r="E52" s="5" t="s">
        <v>16</v>
      </c>
      <c r="F52" s="5" t="s">
        <v>89</v>
      </c>
      <c r="G52" s="5" t="s">
        <v>10</v>
      </c>
      <c r="H52" s="7" t="s">
        <v>7</v>
      </c>
      <c r="I52" s="7" t="s">
        <v>147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8</v>
      </c>
      <c r="AF52" s="8">
        <v>19580</v>
      </c>
      <c r="AG52" s="8">
        <v>2800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6</v>
      </c>
      <c r="AR52" s="8">
        <v>14900</v>
      </c>
      <c r="AS52" s="8">
        <v>2000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6</v>
      </c>
      <c r="BD52" s="8">
        <v>23040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1382.4</v>
      </c>
      <c r="BM52" s="10">
        <v>62320</v>
      </c>
      <c r="BN52" s="15">
        <f t="shared" si="0"/>
        <v>60937.599999999999</v>
      </c>
      <c r="BO52" s="16">
        <f t="shared" si="1"/>
        <v>42656.32</v>
      </c>
    </row>
    <row r="53" spans="1:67" x14ac:dyDescent="0.4">
      <c r="A53" s="5" t="s">
        <v>14</v>
      </c>
      <c r="B53" s="5" t="s">
        <v>199</v>
      </c>
      <c r="C53" s="5">
        <v>458566</v>
      </c>
      <c r="D53" s="6"/>
      <c r="E53" s="5" t="s">
        <v>16</v>
      </c>
      <c r="F53" s="5" t="s">
        <v>30</v>
      </c>
      <c r="G53" s="5" t="s">
        <v>10</v>
      </c>
      <c r="H53" s="7" t="s">
        <v>7</v>
      </c>
      <c r="I53" s="7" t="s">
        <v>200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9</v>
      </c>
      <c r="AR53" s="8">
        <v>28800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8</v>
      </c>
      <c r="BD53" s="8">
        <v>30720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9">
        <v>1843.2</v>
      </c>
      <c r="BM53" s="10">
        <v>59520</v>
      </c>
      <c r="BN53" s="15">
        <f t="shared" si="0"/>
        <v>57676.800000000003</v>
      </c>
      <c r="BO53" s="16">
        <f t="shared" si="1"/>
        <v>40373.760000000002</v>
      </c>
    </row>
    <row r="54" spans="1:67" x14ac:dyDescent="0.4">
      <c r="A54" s="5" t="s">
        <v>14</v>
      </c>
      <c r="B54" s="5" t="s">
        <v>151</v>
      </c>
      <c r="C54" s="5">
        <v>350894</v>
      </c>
      <c r="D54" s="6"/>
      <c r="E54" s="5" t="s">
        <v>16</v>
      </c>
      <c r="F54" s="5" t="s">
        <v>152</v>
      </c>
      <c r="G54" s="5" t="s">
        <v>34</v>
      </c>
      <c r="H54" s="7" t="s">
        <v>8</v>
      </c>
      <c r="I54" s="7" t="s">
        <v>153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20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49</v>
      </c>
      <c r="AF54" s="7">
        <v>100</v>
      </c>
      <c r="AG54" s="8">
        <v>4800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66</v>
      </c>
      <c r="AX54" s="8">
        <v>7918</v>
      </c>
      <c r="AY54" s="7">
        <v>0</v>
      </c>
      <c r="AZ54" s="7">
        <v>0</v>
      </c>
      <c r="BA54" s="7">
        <v>0</v>
      </c>
      <c r="BB54" s="7">
        <v>0</v>
      </c>
      <c r="BC54" s="7">
        <v>374</v>
      </c>
      <c r="BD54" s="8">
        <v>44880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3484.6</v>
      </c>
      <c r="BM54" s="10">
        <v>57698</v>
      </c>
      <c r="BN54" s="15">
        <f t="shared" si="0"/>
        <v>54213.4</v>
      </c>
      <c r="BO54" s="16">
        <f t="shared" si="1"/>
        <v>37949.379999999997</v>
      </c>
    </row>
    <row r="55" spans="1:67" x14ac:dyDescent="0.4">
      <c r="A55" s="5" t="s">
        <v>14</v>
      </c>
      <c r="B55" s="5" t="s">
        <v>182</v>
      </c>
      <c r="C55" s="5">
        <v>359006</v>
      </c>
      <c r="D55" s="6"/>
      <c r="E55" s="5" t="s">
        <v>16</v>
      </c>
      <c r="F55" s="5" t="s">
        <v>130</v>
      </c>
      <c r="G55" s="5" t="s">
        <v>34</v>
      </c>
      <c r="H55" s="7" t="s">
        <v>8</v>
      </c>
      <c r="I55" s="7" t="s">
        <v>183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21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247</v>
      </c>
      <c r="AF55" s="8">
        <v>5040</v>
      </c>
      <c r="AG55" s="8">
        <v>19800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41</v>
      </c>
      <c r="AR55" s="8">
        <v>3900</v>
      </c>
      <c r="AS55" s="7">
        <v>200</v>
      </c>
      <c r="AT55" s="7">
        <v>0</v>
      </c>
      <c r="AU55" s="7">
        <v>0</v>
      </c>
      <c r="AV55" s="7">
        <v>0</v>
      </c>
      <c r="AW55" s="7">
        <v>44</v>
      </c>
      <c r="AX55" s="8">
        <v>5280</v>
      </c>
      <c r="AY55" s="7">
        <v>0</v>
      </c>
      <c r="AZ55" s="7">
        <v>0</v>
      </c>
      <c r="BA55" s="7">
        <v>0</v>
      </c>
      <c r="BB55" s="7">
        <v>0</v>
      </c>
      <c r="BC55" s="7">
        <v>194</v>
      </c>
      <c r="BD55" s="8">
        <v>23280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9">
        <v>1924.8</v>
      </c>
      <c r="BM55" s="10">
        <v>57500</v>
      </c>
      <c r="BN55" s="15">
        <f t="shared" si="0"/>
        <v>55575.199999999997</v>
      </c>
      <c r="BO55" s="16">
        <f t="shared" si="1"/>
        <v>38902.639999999992</v>
      </c>
    </row>
    <row r="56" spans="1:67" x14ac:dyDescent="0.4">
      <c r="A56" s="5" t="s">
        <v>14</v>
      </c>
      <c r="B56" s="5" t="s">
        <v>98</v>
      </c>
      <c r="C56" s="5">
        <v>388999</v>
      </c>
      <c r="D56" s="6"/>
      <c r="E56" s="5" t="s">
        <v>16</v>
      </c>
      <c r="F56" s="5" t="s">
        <v>66</v>
      </c>
      <c r="G56" s="5" t="s">
        <v>10</v>
      </c>
      <c r="H56" s="7" t="s">
        <v>7</v>
      </c>
      <c r="I56" s="7" t="s">
        <v>99</v>
      </c>
      <c r="J56" s="7">
        <v>0</v>
      </c>
      <c r="K56" s="7">
        <v>14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18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51</v>
      </c>
      <c r="AF56" s="8">
        <v>4200</v>
      </c>
      <c r="AG56" s="7">
        <v>900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334</v>
      </c>
      <c r="AR56" s="8">
        <v>33400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158</v>
      </c>
      <c r="BD56" s="8">
        <v>18960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9">
        <v>1137.5999999999999</v>
      </c>
      <c r="BM56" s="10">
        <v>57460</v>
      </c>
      <c r="BN56" s="15">
        <f t="shared" si="0"/>
        <v>56322.400000000001</v>
      </c>
      <c r="BO56" s="16">
        <f t="shared" si="1"/>
        <v>39425.68</v>
      </c>
    </row>
    <row r="57" spans="1:67" x14ac:dyDescent="0.4">
      <c r="A57" s="5" t="s">
        <v>14</v>
      </c>
      <c r="B57" s="5" t="s">
        <v>529</v>
      </c>
      <c r="C57" s="5">
        <v>410076</v>
      </c>
      <c r="D57" s="6"/>
      <c r="E57" s="5" t="s">
        <v>16</v>
      </c>
      <c r="F57" s="5" t="s">
        <v>66</v>
      </c>
      <c r="G57" s="5" t="s">
        <v>10</v>
      </c>
      <c r="H57" s="7" t="s">
        <v>7</v>
      </c>
      <c r="I57" s="7" t="s">
        <v>216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10</v>
      </c>
      <c r="AF57" s="8">
        <v>32000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6</v>
      </c>
      <c r="AX57" s="8">
        <v>23040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9">
        <v>2304</v>
      </c>
      <c r="BM57" s="10">
        <v>55040</v>
      </c>
      <c r="BN57" s="15">
        <f t="shared" si="0"/>
        <v>52736</v>
      </c>
      <c r="BO57" s="16">
        <f t="shared" si="1"/>
        <v>36915.199999999997</v>
      </c>
    </row>
    <row r="58" spans="1:67" x14ac:dyDescent="0.4">
      <c r="A58" s="5" t="s">
        <v>14</v>
      </c>
      <c r="B58" s="5" t="s">
        <v>117</v>
      </c>
      <c r="C58" s="5">
        <v>379813</v>
      </c>
      <c r="D58" s="6"/>
      <c r="E58" s="5" t="s">
        <v>16</v>
      </c>
      <c r="F58" s="5" t="s">
        <v>30</v>
      </c>
      <c r="G58" s="5" t="s">
        <v>10</v>
      </c>
      <c r="H58" s="7" t="s">
        <v>7</v>
      </c>
      <c r="I58" s="7" t="s">
        <v>118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17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252</v>
      </c>
      <c r="AF58" s="8">
        <v>1500</v>
      </c>
      <c r="AG58" s="8">
        <v>23700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166</v>
      </c>
      <c r="AR58" s="8">
        <v>16400</v>
      </c>
      <c r="AS58" s="7">
        <v>200</v>
      </c>
      <c r="AT58" s="7">
        <v>0</v>
      </c>
      <c r="AU58" s="7">
        <v>0</v>
      </c>
      <c r="AV58" s="7">
        <v>0</v>
      </c>
      <c r="AW58" s="7">
        <v>98</v>
      </c>
      <c r="AX58" s="8">
        <v>11760</v>
      </c>
      <c r="AY58" s="7">
        <v>0</v>
      </c>
      <c r="AZ58" s="7">
        <v>0</v>
      </c>
      <c r="BA58" s="7">
        <v>0</v>
      </c>
      <c r="BB58" s="7">
        <v>0</v>
      </c>
      <c r="BC58" s="7">
        <v>2</v>
      </c>
      <c r="BD58" s="7">
        <v>240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9">
        <v>1190.4000000000001</v>
      </c>
      <c r="BM58" s="10">
        <v>53800</v>
      </c>
      <c r="BN58" s="15">
        <f t="shared" si="0"/>
        <v>52609.599999999999</v>
      </c>
      <c r="BO58" s="16">
        <f t="shared" si="1"/>
        <v>36826.719999999994</v>
      </c>
    </row>
    <row r="59" spans="1:67" x14ac:dyDescent="0.4">
      <c r="A59" s="5" t="s">
        <v>14</v>
      </c>
      <c r="B59" s="5" t="s">
        <v>112</v>
      </c>
      <c r="C59" s="5">
        <v>422368</v>
      </c>
      <c r="D59" s="6"/>
      <c r="E59" s="5" t="s">
        <v>16</v>
      </c>
      <c r="F59" s="5" t="s">
        <v>113</v>
      </c>
      <c r="G59" s="5" t="s">
        <v>10</v>
      </c>
      <c r="H59" s="7" t="s">
        <v>7</v>
      </c>
      <c r="I59" s="7" t="s">
        <v>114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7</v>
      </c>
      <c r="AR59" s="8">
        <v>17900</v>
      </c>
      <c r="AS59" s="8">
        <v>2100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10</v>
      </c>
      <c r="BD59" s="8">
        <v>33600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2016</v>
      </c>
      <c r="BM59" s="10">
        <v>53600</v>
      </c>
      <c r="BN59" s="15">
        <f t="shared" si="0"/>
        <v>51584</v>
      </c>
      <c r="BO59" s="16">
        <f t="shared" si="1"/>
        <v>36108.799999999996</v>
      </c>
    </row>
    <row r="60" spans="1:67" x14ac:dyDescent="0.4">
      <c r="A60" s="5" t="s">
        <v>14</v>
      </c>
      <c r="B60" s="5" t="s">
        <v>32</v>
      </c>
      <c r="C60" s="5">
        <v>395270</v>
      </c>
      <c r="D60" s="6"/>
      <c r="E60" s="5" t="s">
        <v>16</v>
      </c>
      <c r="F60" s="5" t="s">
        <v>33</v>
      </c>
      <c r="G60" s="5" t="s">
        <v>34</v>
      </c>
      <c r="H60" s="7" t="s">
        <v>8</v>
      </c>
      <c r="I60" s="7" t="s">
        <v>35</v>
      </c>
      <c r="J60" s="7">
        <v>0</v>
      </c>
      <c r="K60" s="7">
        <v>2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7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44</v>
      </c>
      <c r="AF60" s="8">
        <v>2940</v>
      </c>
      <c r="AG60" s="8">
        <v>1500</v>
      </c>
      <c r="AH60" s="7">
        <v>0</v>
      </c>
      <c r="AI60" s="7">
        <v>0</v>
      </c>
      <c r="AJ60" s="7">
        <v>0</v>
      </c>
      <c r="AK60" s="7">
        <v>1</v>
      </c>
      <c r="AL60" s="7">
        <v>0</v>
      </c>
      <c r="AM60" s="7">
        <v>100</v>
      </c>
      <c r="AN60" s="7">
        <v>0</v>
      </c>
      <c r="AO60" s="7">
        <v>0</v>
      </c>
      <c r="AP60" s="7">
        <v>0</v>
      </c>
      <c r="AQ60" s="7">
        <v>106</v>
      </c>
      <c r="AR60" s="8">
        <v>10400</v>
      </c>
      <c r="AS60" s="7">
        <v>200</v>
      </c>
      <c r="AT60" s="7">
        <v>0</v>
      </c>
      <c r="AU60" s="7">
        <v>0</v>
      </c>
      <c r="AV60" s="7">
        <v>0</v>
      </c>
      <c r="AW60" s="7">
        <v>87</v>
      </c>
      <c r="AX60" s="8">
        <v>10440</v>
      </c>
      <c r="AY60" s="7">
        <v>0</v>
      </c>
      <c r="AZ60" s="7">
        <v>0</v>
      </c>
      <c r="BA60" s="7">
        <v>0</v>
      </c>
      <c r="BB60" s="7">
        <v>0</v>
      </c>
      <c r="BC60" s="7">
        <v>232</v>
      </c>
      <c r="BD60" s="8">
        <v>27840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2714.4</v>
      </c>
      <c r="BM60" s="10">
        <v>53420</v>
      </c>
      <c r="BN60" s="15">
        <f t="shared" si="0"/>
        <v>50705.599999999999</v>
      </c>
      <c r="BO60" s="16">
        <f t="shared" si="1"/>
        <v>35493.919999999998</v>
      </c>
    </row>
    <row r="61" spans="1:67" x14ac:dyDescent="0.4">
      <c r="A61" s="5" t="s">
        <v>14</v>
      </c>
      <c r="B61" s="5" t="s">
        <v>80</v>
      </c>
      <c r="C61" s="5">
        <v>429621</v>
      </c>
      <c r="D61" s="6"/>
      <c r="E61" s="5" t="s">
        <v>16</v>
      </c>
      <c r="F61" s="5" t="s">
        <v>81</v>
      </c>
      <c r="G61" s="5" t="s">
        <v>421</v>
      </c>
      <c r="H61" s="7" t="s">
        <v>8</v>
      </c>
      <c r="I61" s="7" t="s">
        <v>82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16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230</v>
      </c>
      <c r="AF61" s="8">
        <v>23000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31</v>
      </c>
      <c r="AR61" s="8">
        <v>3100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206</v>
      </c>
      <c r="BD61" s="8">
        <v>24720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1483.2</v>
      </c>
      <c r="BM61" s="10">
        <v>50820</v>
      </c>
      <c r="BN61" s="15">
        <f t="shared" si="0"/>
        <v>49336.800000000003</v>
      </c>
      <c r="BO61" s="16">
        <f t="shared" si="1"/>
        <v>34535.760000000002</v>
      </c>
    </row>
    <row r="62" spans="1:67" x14ac:dyDescent="0.4">
      <c r="A62" s="5" t="s">
        <v>14</v>
      </c>
      <c r="B62" s="5" t="s">
        <v>77</v>
      </c>
      <c r="C62" s="5">
        <v>387942</v>
      </c>
      <c r="D62" s="6"/>
      <c r="E62" s="5" t="s">
        <v>16</v>
      </c>
      <c r="F62" s="5" t="s">
        <v>78</v>
      </c>
      <c r="G62" s="5" t="s">
        <v>10</v>
      </c>
      <c r="H62" s="7" t="s">
        <v>7</v>
      </c>
      <c r="I62" s="7" t="s">
        <v>79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9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303</v>
      </c>
      <c r="AF62" s="8">
        <v>17200</v>
      </c>
      <c r="AG62" s="8">
        <v>13100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31</v>
      </c>
      <c r="AR62" s="8">
        <v>2600</v>
      </c>
      <c r="AS62" s="7">
        <v>500</v>
      </c>
      <c r="AT62" s="7">
        <v>0</v>
      </c>
      <c r="AU62" s="7">
        <v>0</v>
      </c>
      <c r="AV62" s="7">
        <v>0</v>
      </c>
      <c r="AW62" s="7">
        <v>97</v>
      </c>
      <c r="AX62" s="8">
        <v>11640</v>
      </c>
      <c r="AY62" s="7">
        <v>0</v>
      </c>
      <c r="AZ62" s="7">
        <v>0</v>
      </c>
      <c r="BA62" s="7">
        <v>0</v>
      </c>
      <c r="BB62" s="7">
        <v>0</v>
      </c>
      <c r="BC62" s="7">
        <v>9</v>
      </c>
      <c r="BD62" s="8">
        <v>1080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9">
        <v>1228.8</v>
      </c>
      <c r="BM62" s="10">
        <v>46120</v>
      </c>
      <c r="BN62" s="15">
        <f t="shared" si="0"/>
        <v>44891.199999999997</v>
      </c>
      <c r="BO62" s="16">
        <f t="shared" si="1"/>
        <v>31423.839999999997</v>
      </c>
    </row>
    <row r="63" spans="1:67" x14ac:dyDescent="0.4">
      <c r="A63" s="5" t="s">
        <v>14</v>
      </c>
      <c r="B63" s="5" t="s">
        <v>273</v>
      </c>
      <c r="C63" s="5">
        <v>416378</v>
      </c>
      <c r="D63" s="6"/>
      <c r="E63" s="5" t="s">
        <v>16</v>
      </c>
      <c r="F63" s="5" t="s">
        <v>125</v>
      </c>
      <c r="G63" s="5" t="s">
        <v>34</v>
      </c>
      <c r="H63" s="7" t="s">
        <v>8</v>
      </c>
      <c r="I63" s="7" t="s">
        <v>274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9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120</v>
      </c>
      <c r="AF63" s="8">
        <v>1080</v>
      </c>
      <c r="AG63" s="8">
        <v>11100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33</v>
      </c>
      <c r="AR63" s="8">
        <v>3300</v>
      </c>
      <c r="AS63" s="7">
        <v>0</v>
      </c>
      <c r="AT63" s="7">
        <v>0</v>
      </c>
      <c r="AU63" s="7">
        <v>0</v>
      </c>
      <c r="AV63" s="7">
        <v>0</v>
      </c>
      <c r="AW63" s="7">
        <v>23</v>
      </c>
      <c r="AX63" s="8">
        <v>2760</v>
      </c>
      <c r="AY63" s="7">
        <v>0</v>
      </c>
      <c r="AZ63" s="7">
        <v>0</v>
      </c>
      <c r="BA63" s="7">
        <v>0</v>
      </c>
      <c r="BB63" s="7">
        <v>0</v>
      </c>
      <c r="BC63" s="7">
        <v>225</v>
      </c>
      <c r="BD63" s="8">
        <v>27000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1896</v>
      </c>
      <c r="BM63" s="10">
        <v>45240</v>
      </c>
      <c r="BN63" s="15">
        <f t="shared" si="0"/>
        <v>43344</v>
      </c>
      <c r="BO63" s="16">
        <f t="shared" si="1"/>
        <v>30340.799999999999</v>
      </c>
    </row>
    <row r="64" spans="1:67" x14ac:dyDescent="0.4">
      <c r="A64" s="5" t="s">
        <v>14</v>
      </c>
      <c r="B64" s="5" t="s">
        <v>283</v>
      </c>
      <c r="C64" s="5">
        <v>328894</v>
      </c>
      <c r="D64" s="6"/>
      <c r="E64" s="5" t="s">
        <v>16</v>
      </c>
      <c r="F64" s="5" t="s">
        <v>207</v>
      </c>
      <c r="G64" s="5" t="s">
        <v>34</v>
      </c>
      <c r="H64" s="7" t="s">
        <v>8</v>
      </c>
      <c r="I64" s="7" t="s">
        <v>284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16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217</v>
      </c>
      <c r="AF64" s="8">
        <v>4200</v>
      </c>
      <c r="AG64" s="8">
        <v>17500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1</v>
      </c>
      <c r="AR64" s="7">
        <v>100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188</v>
      </c>
      <c r="BD64" s="8">
        <v>22560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1353.6</v>
      </c>
      <c r="BM64" s="10">
        <v>44360</v>
      </c>
      <c r="BN64" s="15">
        <f t="shared" si="0"/>
        <v>43006.400000000001</v>
      </c>
      <c r="BO64" s="16">
        <f t="shared" si="1"/>
        <v>30104.48</v>
      </c>
    </row>
    <row r="65" spans="1:67" x14ac:dyDescent="0.4">
      <c r="A65" s="5" t="s">
        <v>14</v>
      </c>
      <c r="B65" s="5" t="s">
        <v>154</v>
      </c>
      <c r="C65" s="5">
        <v>394079</v>
      </c>
      <c r="D65" s="6"/>
      <c r="E65" s="5" t="s">
        <v>16</v>
      </c>
      <c r="F65" s="5" t="s">
        <v>52</v>
      </c>
      <c r="G65" s="5" t="s">
        <v>34</v>
      </c>
      <c r="H65" s="7" t="s">
        <v>8</v>
      </c>
      <c r="I65" s="7" t="s">
        <v>155</v>
      </c>
      <c r="J65" s="7">
        <v>0</v>
      </c>
      <c r="K65" s="7">
        <v>3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8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257</v>
      </c>
      <c r="AF65" s="8">
        <v>26660</v>
      </c>
      <c r="AG65" s="7">
        <v>800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6</v>
      </c>
      <c r="AR65" s="7">
        <v>600</v>
      </c>
      <c r="AS65" s="7">
        <v>0</v>
      </c>
      <c r="AT65" s="7">
        <v>0</v>
      </c>
      <c r="AU65" s="7">
        <v>0</v>
      </c>
      <c r="AV65" s="7">
        <v>0</v>
      </c>
      <c r="AW65" s="7">
        <v>34</v>
      </c>
      <c r="AX65" s="8">
        <v>4080</v>
      </c>
      <c r="AY65" s="7">
        <v>0</v>
      </c>
      <c r="AZ65" s="7">
        <v>0</v>
      </c>
      <c r="BA65" s="7">
        <v>0</v>
      </c>
      <c r="BB65" s="7">
        <v>0</v>
      </c>
      <c r="BC65" s="7">
        <v>98</v>
      </c>
      <c r="BD65" s="8">
        <v>11760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1113.5999999999999</v>
      </c>
      <c r="BM65" s="10">
        <v>43900</v>
      </c>
      <c r="BN65" s="15">
        <f t="shared" si="0"/>
        <v>42786.400000000001</v>
      </c>
      <c r="BO65" s="16">
        <f t="shared" si="1"/>
        <v>29950.48</v>
      </c>
    </row>
    <row r="66" spans="1:67" ht="19.2" x14ac:dyDescent="0.4">
      <c r="A66" s="5" t="s">
        <v>14</v>
      </c>
      <c r="B66" s="5" t="s">
        <v>246</v>
      </c>
      <c r="C66" s="5">
        <v>469072</v>
      </c>
      <c r="D66" s="6"/>
      <c r="E66" s="5" t="s">
        <v>16</v>
      </c>
      <c r="F66" s="5" t="s">
        <v>165</v>
      </c>
      <c r="G66" s="5" t="s">
        <v>34</v>
      </c>
      <c r="H66" s="7" t="s">
        <v>8</v>
      </c>
      <c r="I66" s="7" t="s">
        <v>247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152</v>
      </c>
      <c r="AF66" s="8">
        <v>8800</v>
      </c>
      <c r="AG66" s="8">
        <v>6400</v>
      </c>
      <c r="AH66" s="7">
        <v>0</v>
      </c>
      <c r="AI66" s="7">
        <v>0</v>
      </c>
      <c r="AJ66" s="7">
        <v>0</v>
      </c>
      <c r="AK66" s="7">
        <v>1</v>
      </c>
      <c r="AL66" s="7">
        <v>0</v>
      </c>
      <c r="AM66" s="7">
        <v>100</v>
      </c>
      <c r="AN66" s="7">
        <v>0</v>
      </c>
      <c r="AO66" s="7">
        <v>0</v>
      </c>
      <c r="AP66" s="7">
        <v>0</v>
      </c>
      <c r="AQ66" s="7">
        <v>18</v>
      </c>
      <c r="AR66" s="8">
        <v>1800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222</v>
      </c>
      <c r="BD66" s="8">
        <v>26640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9">
        <v>1598.4</v>
      </c>
      <c r="BM66" s="10">
        <v>43740</v>
      </c>
      <c r="BN66" s="15">
        <f t="shared" si="0"/>
        <v>42141.599999999999</v>
      </c>
      <c r="BO66" s="16">
        <f t="shared" si="1"/>
        <v>29499.119999999995</v>
      </c>
    </row>
    <row r="67" spans="1:67" x14ac:dyDescent="0.4">
      <c r="A67" s="5" t="s">
        <v>14</v>
      </c>
      <c r="B67" s="5" t="s">
        <v>235</v>
      </c>
      <c r="C67" s="5">
        <v>351033</v>
      </c>
      <c r="D67" s="6" t="s">
        <v>236</v>
      </c>
      <c r="E67" s="5" t="s">
        <v>16</v>
      </c>
      <c r="F67" s="5" t="s">
        <v>30</v>
      </c>
      <c r="G67" s="5" t="s">
        <v>10</v>
      </c>
      <c r="H67" s="7" t="s">
        <v>7</v>
      </c>
      <c r="I67" s="7" t="s">
        <v>237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99</v>
      </c>
      <c r="AF67" s="8">
        <v>10920</v>
      </c>
      <c r="AG67" s="7">
        <v>100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46</v>
      </c>
      <c r="AR67" s="8">
        <v>4600</v>
      </c>
      <c r="AS67" s="7">
        <v>0</v>
      </c>
      <c r="AT67" s="7">
        <v>0</v>
      </c>
      <c r="AU67" s="7">
        <v>0</v>
      </c>
      <c r="AV67" s="7">
        <v>0</v>
      </c>
      <c r="AW67" s="7">
        <v>75</v>
      </c>
      <c r="AX67" s="8">
        <v>9000</v>
      </c>
      <c r="AY67" s="7">
        <v>0</v>
      </c>
      <c r="AZ67" s="7">
        <v>0</v>
      </c>
      <c r="BA67" s="7">
        <v>0</v>
      </c>
      <c r="BB67" s="7">
        <v>0</v>
      </c>
      <c r="BC67" s="7">
        <v>158</v>
      </c>
      <c r="BD67" s="8">
        <v>18960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9">
        <v>2037.6</v>
      </c>
      <c r="BM67" s="10">
        <v>43580</v>
      </c>
      <c r="BN67" s="15">
        <f t="shared" ref="BN67:BN130" si="2">BM67-BL67</f>
        <v>41542.400000000001</v>
      </c>
      <c r="BO67" s="16">
        <f t="shared" ref="BO67:BO130" si="3">BN67*70%</f>
        <v>29079.68</v>
      </c>
    </row>
    <row r="68" spans="1:67" x14ac:dyDescent="0.4">
      <c r="A68" s="5" t="s">
        <v>14</v>
      </c>
      <c r="B68" s="5" t="s">
        <v>432</v>
      </c>
      <c r="C68" s="5">
        <v>475991</v>
      </c>
      <c r="D68" s="6"/>
      <c r="E68" s="5" t="s">
        <v>16</v>
      </c>
      <c r="F68" s="5" t="s">
        <v>396</v>
      </c>
      <c r="G68" s="5" t="s">
        <v>10</v>
      </c>
      <c r="H68" s="7" t="s">
        <v>7</v>
      </c>
      <c r="I68" s="7" t="s">
        <v>425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</v>
      </c>
      <c r="AF68" s="8">
        <v>3200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6</v>
      </c>
      <c r="AX68" s="8">
        <v>21600</v>
      </c>
      <c r="AY68" s="7">
        <v>0</v>
      </c>
      <c r="AZ68" s="7">
        <v>0</v>
      </c>
      <c r="BA68" s="7">
        <v>0</v>
      </c>
      <c r="BB68" s="7">
        <v>0</v>
      </c>
      <c r="BC68" s="7">
        <v>5</v>
      </c>
      <c r="BD68" s="8">
        <v>16800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3168</v>
      </c>
      <c r="BM68" s="10">
        <v>41600</v>
      </c>
      <c r="BN68" s="15">
        <f t="shared" si="2"/>
        <v>38432</v>
      </c>
      <c r="BO68" s="16">
        <f t="shared" si="3"/>
        <v>26902.399999999998</v>
      </c>
    </row>
    <row r="69" spans="1:67" x14ac:dyDescent="0.4">
      <c r="A69" s="5" t="s">
        <v>14</v>
      </c>
      <c r="B69" s="5" t="s">
        <v>144</v>
      </c>
      <c r="C69" s="5">
        <v>328404</v>
      </c>
      <c r="D69" s="6"/>
      <c r="E69" s="5" t="s">
        <v>16</v>
      </c>
      <c r="F69" s="5" t="s">
        <v>33</v>
      </c>
      <c r="G69" s="5" t="s">
        <v>34</v>
      </c>
      <c r="H69" s="7" t="s">
        <v>8</v>
      </c>
      <c r="I69" s="7" t="s">
        <v>145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26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7</v>
      </c>
      <c r="AF69" s="7">
        <v>200</v>
      </c>
      <c r="AG69" s="7">
        <v>500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10</v>
      </c>
      <c r="AR69" s="8">
        <v>1000</v>
      </c>
      <c r="AS69" s="7">
        <v>0</v>
      </c>
      <c r="AT69" s="7">
        <v>0</v>
      </c>
      <c r="AU69" s="7">
        <v>0</v>
      </c>
      <c r="AV69" s="7">
        <v>0</v>
      </c>
      <c r="AW69" s="7">
        <v>56</v>
      </c>
      <c r="AX69" s="8">
        <v>6720</v>
      </c>
      <c r="AY69" s="7">
        <v>0</v>
      </c>
      <c r="AZ69" s="7">
        <v>0</v>
      </c>
      <c r="BA69" s="7">
        <v>0</v>
      </c>
      <c r="BB69" s="7">
        <v>0</v>
      </c>
      <c r="BC69" s="7">
        <v>259</v>
      </c>
      <c r="BD69" s="8">
        <v>31080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9">
        <v>2536.8000000000002</v>
      </c>
      <c r="BM69" s="10">
        <v>39500</v>
      </c>
      <c r="BN69" s="15">
        <f t="shared" si="2"/>
        <v>36963.199999999997</v>
      </c>
      <c r="BO69" s="16">
        <f t="shared" si="3"/>
        <v>25874.239999999998</v>
      </c>
    </row>
    <row r="70" spans="1:67" x14ac:dyDescent="0.4">
      <c r="A70" s="5" t="s">
        <v>14</v>
      </c>
      <c r="B70" s="5" t="s">
        <v>380</v>
      </c>
      <c r="C70" s="5">
        <v>410142</v>
      </c>
      <c r="D70" s="6"/>
      <c r="E70" s="5" t="s">
        <v>16</v>
      </c>
      <c r="F70" s="5" t="s">
        <v>63</v>
      </c>
      <c r="G70" s="5" t="s">
        <v>10</v>
      </c>
      <c r="H70" s="7" t="s">
        <v>7</v>
      </c>
      <c r="I70" s="7" t="s">
        <v>216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6</v>
      </c>
      <c r="AR70" s="8">
        <v>19000</v>
      </c>
      <c r="AS70" s="7">
        <v>200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5</v>
      </c>
      <c r="BD70" s="8">
        <v>19200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9">
        <v>1152</v>
      </c>
      <c r="BM70" s="10">
        <v>38400</v>
      </c>
      <c r="BN70" s="15">
        <f t="shared" si="2"/>
        <v>37248</v>
      </c>
      <c r="BO70" s="16">
        <f t="shared" si="3"/>
        <v>26073.599999999999</v>
      </c>
    </row>
    <row r="71" spans="1:67" x14ac:dyDescent="0.4">
      <c r="A71" s="5" t="s">
        <v>14</v>
      </c>
      <c r="B71" s="5" t="s">
        <v>244</v>
      </c>
      <c r="C71" s="5">
        <v>462361</v>
      </c>
      <c r="D71" s="6"/>
      <c r="E71" s="5" t="s">
        <v>16</v>
      </c>
      <c r="F71" s="5" t="s">
        <v>39</v>
      </c>
      <c r="G71" s="5" t="s">
        <v>10</v>
      </c>
      <c r="H71" s="7" t="s">
        <v>7</v>
      </c>
      <c r="I71" s="7" t="s">
        <v>245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4</v>
      </c>
      <c r="AF71" s="7">
        <v>0</v>
      </c>
      <c r="AG71" s="8">
        <v>12800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2</v>
      </c>
      <c r="AR71" s="8">
        <v>6400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5</v>
      </c>
      <c r="BD71" s="8">
        <v>19200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9">
        <v>1152</v>
      </c>
      <c r="BM71" s="10">
        <v>38400</v>
      </c>
      <c r="BN71" s="15">
        <f t="shared" si="2"/>
        <v>37248</v>
      </c>
      <c r="BO71" s="16">
        <f t="shared" si="3"/>
        <v>26073.599999999999</v>
      </c>
    </row>
    <row r="72" spans="1:67" x14ac:dyDescent="0.4">
      <c r="A72" s="5" t="s">
        <v>14</v>
      </c>
      <c r="B72" s="5" t="s">
        <v>442</v>
      </c>
      <c r="C72" s="5">
        <v>451412</v>
      </c>
      <c r="D72" s="6"/>
      <c r="E72" s="5" t="s">
        <v>16</v>
      </c>
      <c r="F72" s="5" t="s">
        <v>443</v>
      </c>
      <c r="G72" s="5" t="s">
        <v>421</v>
      </c>
      <c r="H72" s="7" t="s">
        <v>8</v>
      </c>
      <c r="I72" s="7" t="s">
        <v>444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37</v>
      </c>
      <c r="AF72" s="8">
        <v>2300</v>
      </c>
      <c r="AG72" s="8">
        <v>1400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65</v>
      </c>
      <c r="AR72" s="8">
        <v>6500</v>
      </c>
      <c r="AS72" s="7">
        <v>0</v>
      </c>
      <c r="AT72" s="7">
        <v>0</v>
      </c>
      <c r="AU72" s="7">
        <v>0</v>
      </c>
      <c r="AV72" s="7">
        <v>0</v>
      </c>
      <c r="AW72" s="7">
        <v>70</v>
      </c>
      <c r="AX72" s="8">
        <v>8400</v>
      </c>
      <c r="AY72" s="7">
        <v>0</v>
      </c>
      <c r="AZ72" s="7">
        <v>0</v>
      </c>
      <c r="BA72" s="7">
        <v>0</v>
      </c>
      <c r="BB72" s="7">
        <v>0</v>
      </c>
      <c r="BC72" s="7">
        <v>164</v>
      </c>
      <c r="BD72" s="8">
        <v>19080</v>
      </c>
      <c r="BE72" s="7">
        <v>500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9">
        <v>1984.8</v>
      </c>
      <c r="BM72" s="10">
        <v>38180</v>
      </c>
      <c r="BN72" s="15">
        <f t="shared" si="2"/>
        <v>36195.199999999997</v>
      </c>
      <c r="BO72" s="16">
        <f t="shared" si="3"/>
        <v>25336.639999999996</v>
      </c>
    </row>
    <row r="73" spans="1:67" x14ac:dyDescent="0.4">
      <c r="A73" s="5" t="s">
        <v>14</v>
      </c>
      <c r="B73" s="5" t="s">
        <v>395</v>
      </c>
      <c r="C73" s="5">
        <v>471707</v>
      </c>
      <c r="D73" s="6"/>
      <c r="E73" s="5" t="s">
        <v>16</v>
      </c>
      <c r="F73" s="5" t="s">
        <v>396</v>
      </c>
      <c r="G73" s="5" t="s">
        <v>10</v>
      </c>
      <c r="H73" s="7" t="s">
        <v>7</v>
      </c>
      <c r="I73" s="7" t="s">
        <v>397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140</v>
      </c>
      <c r="AF73" s="7">
        <v>0</v>
      </c>
      <c r="AG73" s="8">
        <v>14000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25</v>
      </c>
      <c r="AX73" s="8">
        <v>3000</v>
      </c>
      <c r="AY73" s="7">
        <v>0</v>
      </c>
      <c r="AZ73" s="7">
        <v>0</v>
      </c>
      <c r="BA73" s="7">
        <v>0</v>
      </c>
      <c r="BB73" s="7">
        <v>0</v>
      </c>
      <c r="BC73" s="7">
        <v>176</v>
      </c>
      <c r="BD73" s="8">
        <v>21120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9">
        <v>1567.2</v>
      </c>
      <c r="BM73" s="10">
        <v>38120</v>
      </c>
      <c r="BN73" s="15">
        <f t="shared" si="2"/>
        <v>36552.800000000003</v>
      </c>
      <c r="BO73" s="16">
        <f t="shared" si="3"/>
        <v>25586.959999999999</v>
      </c>
    </row>
    <row r="74" spans="1:67" ht="19.2" x14ac:dyDescent="0.4">
      <c r="A74" s="5" t="s">
        <v>14</v>
      </c>
      <c r="B74" s="5" t="s">
        <v>164</v>
      </c>
      <c r="C74" s="5">
        <v>467470</v>
      </c>
      <c r="D74" s="6"/>
      <c r="E74" s="5" t="s">
        <v>16</v>
      </c>
      <c r="F74" s="5" t="s">
        <v>165</v>
      </c>
      <c r="G74" s="5" t="s">
        <v>34</v>
      </c>
      <c r="H74" s="7" t="s">
        <v>8</v>
      </c>
      <c r="I74" s="7" t="s">
        <v>166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</v>
      </c>
      <c r="AF74" s="8">
        <v>3000</v>
      </c>
      <c r="AG74" s="8">
        <v>6000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</v>
      </c>
      <c r="AR74" s="8">
        <v>3000</v>
      </c>
      <c r="AS74" s="7">
        <v>0</v>
      </c>
      <c r="AT74" s="7">
        <v>0</v>
      </c>
      <c r="AU74" s="7">
        <v>0</v>
      </c>
      <c r="AV74" s="7">
        <v>0</v>
      </c>
      <c r="AW74" s="7">
        <v>1</v>
      </c>
      <c r="AX74" s="8">
        <v>3750</v>
      </c>
      <c r="AY74" s="7">
        <v>0</v>
      </c>
      <c r="AZ74" s="7">
        <v>0</v>
      </c>
      <c r="BA74" s="7">
        <v>0</v>
      </c>
      <c r="BB74" s="7">
        <v>0</v>
      </c>
      <c r="BC74" s="7">
        <v>6</v>
      </c>
      <c r="BD74" s="8">
        <v>21600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1671</v>
      </c>
      <c r="BM74" s="10">
        <v>37350</v>
      </c>
      <c r="BN74" s="15">
        <f t="shared" si="2"/>
        <v>35679</v>
      </c>
      <c r="BO74" s="16">
        <f t="shared" si="3"/>
        <v>24975.3</v>
      </c>
    </row>
    <row r="75" spans="1:67" x14ac:dyDescent="0.4">
      <c r="A75" s="5" t="s">
        <v>14</v>
      </c>
      <c r="B75" s="5" t="s">
        <v>156</v>
      </c>
      <c r="C75" s="5">
        <v>433508</v>
      </c>
      <c r="D75" s="6"/>
      <c r="E75" s="5" t="s">
        <v>16</v>
      </c>
      <c r="F75" s="5" t="s">
        <v>157</v>
      </c>
      <c r="G75" s="5" t="s">
        <v>10</v>
      </c>
      <c r="H75" s="7" t="s">
        <v>7</v>
      </c>
      <c r="I75" s="7" t="s">
        <v>158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19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47</v>
      </c>
      <c r="AF75" s="8">
        <v>4700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272</v>
      </c>
      <c r="BD75" s="8">
        <v>32640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9">
        <v>1958.4</v>
      </c>
      <c r="BM75" s="10">
        <v>37340</v>
      </c>
      <c r="BN75" s="15">
        <f t="shared" si="2"/>
        <v>35381.599999999999</v>
      </c>
      <c r="BO75" s="16">
        <f t="shared" si="3"/>
        <v>24767.119999999999</v>
      </c>
    </row>
    <row r="76" spans="1:67" x14ac:dyDescent="0.4">
      <c r="A76" s="5" t="s">
        <v>14</v>
      </c>
      <c r="B76" s="5" t="s">
        <v>51</v>
      </c>
      <c r="C76" s="5">
        <v>369720</v>
      </c>
      <c r="D76" s="6"/>
      <c r="E76" s="5" t="s">
        <v>16</v>
      </c>
      <c r="F76" s="5" t="s">
        <v>52</v>
      </c>
      <c r="G76" s="5" t="s">
        <v>34</v>
      </c>
      <c r="H76" s="7" t="s">
        <v>8</v>
      </c>
      <c r="I76" s="7" t="s">
        <v>53</v>
      </c>
      <c r="J76" s="7">
        <v>0</v>
      </c>
      <c r="K76" s="7">
        <v>36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4</v>
      </c>
      <c r="T76" s="7">
        <v>11</v>
      </c>
      <c r="U76" s="7">
        <v>0</v>
      </c>
      <c r="V76" s="7">
        <v>0</v>
      </c>
      <c r="W76" s="7">
        <v>400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110</v>
      </c>
      <c r="AF76" s="8">
        <v>3700</v>
      </c>
      <c r="AG76" s="8">
        <v>7300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29</v>
      </c>
      <c r="AR76" s="8">
        <v>2900</v>
      </c>
      <c r="AS76" s="7">
        <v>0</v>
      </c>
      <c r="AT76" s="7">
        <v>0</v>
      </c>
      <c r="AU76" s="7">
        <v>0</v>
      </c>
      <c r="AV76" s="7">
        <v>0</v>
      </c>
      <c r="AW76" s="7">
        <v>69</v>
      </c>
      <c r="AX76" s="8">
        <v>8280</v>
      </c>
      <c r="AY76" s="7">
        <v>0</v>
      </c>
      <c r="AZ76" s="7">
        <v>0</v>
      </c>
      <c r="BA76" s="7">
        <v>0</v>
      </c>
      <c r="BB76" s="7">
        <v>0</v>
      </c>
      <c r="BC76" s="7">
        <v>118</v>
      </c>
      <c r="BD76" s="8">
        <v>14160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1677.6</v>
      </c>
      <c r="BM76" s="10">
        <v>36740</v>
      </c>
      <c r="BN76" s="15">
        <f t="shared" si="2"/>
        <v>35062.400000000001</v>
      </c>
      <c r="BO76" s="16">
        <f t="shared" si="3"/>
        <v>24543.68</v>
      </c>
    </row>
    <row r="77" spans="1:67" x14ac:dyDescent="0.4">
      <c r="A77" s="5" t="s">
        <v>14</v>
      </c>
      <c r="B77" s="5" t="s">
        <v>159</v>
      </c>
      <c r="C77" s="5">
        <v>376361</v>
      </c>
      <c r="D77" s="6"/>
      <c r="E77" s="5" t="s">
        <v>16</v>
      </c>
      <c r="F77" s="5" t="s">
        <v>47</v>
      </c>
      <c r="G77" s="5" t="s">
        <v>34</v>
      </c>
      <c r="H77" s="7" t="s">
        <v>8</v>
      </c>
      <c r="I77" s="7" t="s">
        <v>160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15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133</v>
      </c>
      <c r="AF77" s="8">
        <v>9720</v>
      </c>
      <c r="AG77" s="8">
        <v>5200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177</v>
      </c>
      <c r="BD77" s="8">
        <v>21240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9">
        <v>1274.4000000000001</v>
      </c>
      <c r="BM77" s="10">
        <v>36160</v>
      </c>
      <c r="BN77" s="15">
        <f t="shared" si="2"/>
        <v>34885.599999999999</v>
      </c>
      <c r="BO77" s="16">
        <f t="shared" si="3"/>
        <v>24419.919999999998</v>
      </c>
    </row>
    <row r="78" spans="1:67" x14ac:dyDescent="0.4">
      <c r="A78" s="5" t="s">
        <v>14</v>
      </c>
      <c r="B78" s="5" t="s">
        <v>248</v>
      </c>
      <c r="C78" s="5">
        <v>400251</v>
      </c>
      <c r="D78" s="6"/>
      <c r="E78" s="5" t="s">
        <v>16</v>
      </c>
      <c r="F78" s="5" t="s">
        <v>41</v>
      </c>
      <c r="G78" s="5" t="s">
        <v>34</v>
      </c>
      <c r="H78" s="7" t="s">
        <v>8</v>
      </c>
      <c r="I78" s="7" t="s">
        <v>249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4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70</v>
      </c>
      <c r="AF78" s="8">
        <v>3000</v>
      </c>
      <c r="AG78" s="8">
        <v>4000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87</v>
      </c>
      <c r="AX78" s="8">
        <v>10440</v>
      </c>
      <c r="AY78" s="7">
        <v>0</v>
      </c>
      <c r="AZ78" s="7">
        <v>0</v>
      </c>
      <c r="BA78" s="7">
        <v>0</v>
      </c>
      <c r="BB78" s="7">
        <v>0</v>
      </c>
      <c r="BC78" s="7">
        <v>124</v>
      </c>
      <c r="BD78" s="8">
        <v>14880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9">
        <v>1936.8</v>
      </c>
      <c r="BM78" s="10">
        <v>32320</v>
      </c>
      <c r="BN78" s="15">
        <f t="shared" si="2"/>
        <v>30383.200000000001</v>
      </c>
      <c r="BO78" s="16">
        <f t="shared" si="3"/>
        <v>21268.239999999998</v>
      </c>
    </row>
    <row r="79" spans="1:67" x14ac:dyDescent="0.4">
      <c r="A79" s="5" t="s">
        <v>14</v>
      </c>
      <c r="B79" s="5" t="s">
        <v>206</v>
      </c>
      <c r="C79" s="5">
        <v>421661</v>
      </c>
      <c r="D79" s="6"/>
      <c r="E79" s="5" t="s">
        <v>16</v>
      </c>
      <c r="F79" s="5" t="s">
        <v>207</v>
      </c>
      <c r="G79" s="5" t="s">
        <v>34</v>
      </c>
      <c r="H79" s="7" t="s">
        <v>8</v>
      </c>
      <c r="I79" s="7" t="s">
        <v>208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13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37</v>
      </c>
      <c r="AF79" s="8">
        <v>2700</v>
      </c>
      <c r="AG79" s="8">
        <v>1000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46</v>
      </c>
      <c r="AR79" s="8">
        <v>4600</v>
      </c>
      <c r="AS79" s="7">
        <v>0</v>
      </c>
      <c r="AT79" s="7">
        <v>0</v>
      </c>
      <c r="AU79" s="7">
        <v>0</v>
      </c>
      <c r="AV79" s="7">
        <v>0</v>
      </c>
      <c r="AW79" s="7">
        <v>2</v>
      </c>
      <c r="AX79" s="7">
        <v>240</v>
      </c>
      <c r="AY79" s="7">
        <v>0</v>
      </c>
      <c r="AZ79" s="7">
        <v>0</v>
      </c>
      <c r="BA79" s="7">
        <v>0</v>
      </c>
      <c r="BB79" s="7">
        <v>0</v>
      </c>
      <c r="BC79" s="7">
        <v>197</v>
      </c>
      <c r="BD79" s="8">
        <v>23640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9">
        <v>1442.4</v>
      </c>
      <c r="BM79" s="10">
        <v>32180</v>
      </c>
      <c r="BN79" s="15">
        <f t="shared" si="2"/>
        <v>30737.599999999999</v>
      </c>
      <c r="BO79" s="16">
        <f t="shared" si="3"/>
        <v>21516.319999999996</v>
      </c>
    </row>
    <row r="80" spans="1:67" x14ac:dyDescent="0.4">
      <c r="A80" s="5" t="s">
        <v>14</v>
      </c>
      <c r="B80" s="5" t="s">
        <v>180</v>
      </c>
      <c r="C80" s="5">
        <v>370192</v>
      </c>
      <c r="D80" s="6"/>
      <c r="E80" s="5" t="s">
        <v>16</v>
      </c>
      <c r="F80" s="5" t="s">
        <v>133</v>
      </c>
      <c r="G80" s="5" t="s">
        <v>34</v>
      </c>
      <c r="H80" s="7" t="s">
        <v>8</v>
      </c>
      <c r="I80" s="7" t="s">
        <v>181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7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67</v>
      </c>
      <c r="AF80" s="8">
        <v>6740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70</v>
      </c>
      <c r="AX80" s="8">
        <v>8400</v>
      </c>
      <c r="AY80" s="7">
        <v>0</v>
      </c>
      <c r="AZ80" s="7">
        <v>0</v>
      </c>
      <c r="BA80" s="7">
        <v>0</v>
      </c>
      <c r="BB80" s="7">
        <v>0</v>
      </c>
      <c r="BC80" s="7">
        <v>138</v>
      </c>
      <c r="BD80" s="8">
        <v>16560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9">
        <v>1833.6</v>
      </c>
      <c r="BM80" s="10">
        <v>31700</v>
      </c>
      <c r="BN80" s="15">
        <f t="shared" si="2"/>
        <v>29866.400000000001</v>
      </c>
      <c r="BO80" s="16">
        <f t="shared" si="3"/>
        <v>20906.48</v>
      </c>
    </row>
    <row r="81" spans="1:67" x14ac:dyDescent="0.4">
      <c r="A81" s="5" t="s">
        <v>14</v>
      </c>
      <c r="B81" s="5" t="s">
        <v>296</v>
      </c>
      <c r="C81" s="5">
        <v>377088</v>
      </c>
      <c r="D81" s="6"/>
      <c r="E81" s="5" t="s">
        <v>16</v>
      </c>
      <c r="F81" s="5" t="s">
        <v>297</v>
      </c>
      <c r="G81" s="5" t="s">
        <v>34</v>
      </c>
      <c r="H81" s="7" t="s">
        <v>8</v>
      </c>
      <c r="I81" s="7" t="s">
        <v>298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82</v>
      </c>
      <c r="AF81" s="8">
        <v>6100</v>
      </c>
      <c r="AG81" s="8">
        <v>2100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94</v>
      </c>
      <c r="AR81" s="8">
        <v>9400</v>
      </c>
      <c r="AS81" s="7">
        <v>0</v>
      </c>
      <c r="AT81" s="7">
        <v>0</v>
      </c>
      <c r="AU81" s="7">
        <v>0</v>
      </c>
      <c r="AV81" s="7">
        <v>0</v>
      </c>
      <c r="AW81" s="7">
        <v>11</v>
      </c>
      <c r="AX81" s="8">
        <v>1320</v>
      </c>
      <c r="AY81" s="7">
        <v>0</v>
      </c>
      <c r="AZ81" s="7">
        <v>0</v>
      </c>
      <c r="BA81" s="7">
        <v>0</v>
      </c>
      <c r="BB81" s="7">
        <v>0</v>
      </c>
      <c r="BC81" s="7">
        <v>103</v>
      </c>
      <c r="BD81" s="8">
        <v>12360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873.6</v>
      </c>
      <c r="BM81" s="10">
        <v>31280</v>
      </c>
      <c r="BN81" s="15">
        <f t="shared" si="2"/>
        <v>30406.400000000001</v>
      </c>
      <c r="BO81" s="16">
        <f t="shared" si="3"/>
        <v>21284.48</v>
      </c>
    </row>
    <row r="82" spans="1:67" x14ac:dyDescent="0.4">
      <c r="A82" s="5" t="s">
        <v>14</v>
      </c>
      <c r="B82" s="5" t="s">
        <v>57</v>
      </c>
      <c r="C82" s="5">
        <v>464776</v>
      </c>
      <c r="D82" s="6"/>
      <c r="E82" s="5" t="s">
        <v>16</v>
      </c>
      <c r="F82" s="5" t="s">
        <v>58</v>
      </c>
      <c r="G82" s="5" t="s">
        <v>421</v>
      </c>
      <c r="H82" s="7" t="s">
        <v>9</v>
      </c>
      <c r="I82" s="7" t="s">
        <v>59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128</v>
      </c>
      <c r="AF82" s="8">
        <v>11640</v>
      </c>
      <c r="AG82" s="8">
        <v>2800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49</v>
      </c>
      <c r="AX82" s="8">
        <v>5880</v>
      </c>
      <c r="AY82" s="7">
        <v>0</v>
      </c>
      <c r="AZ82" s="7">
        <v>0</v>
      </c>
      <c r="BA82" s="7">
        <v>0</v>
      </c>
      <c r="BB82" s="7">
        <v>0</v>
      </c>
      <c r="BC82" s="7">
        <v>76</v>
      </c>
      <c r="BD82" s="8">
        <v>9120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9">
        <v>1135.2</v>
      </c>
      <c r="BM82" s="10">
        <v>29440</v>
      </c>
      <c r="BN82" s="15">
        <f t="shared" si="2"/>
        <v>28304.799999999999</v>
      </c>
      <c r="BO82" s="16">
        <f t="shared" si="3"/>
        <v>19813.359999999997</v>
      </c>
    </row>
    <row r="83" spans="1:67" x14ac:dyDescent="0.4">
      <c r="A83" s="5" t="s">
        <v>14</v>
      </c>
      <c r="B83" s="5" t="s">
        <v>124</v>
      </c>
      <c r="C83" s="5">
        <v>386704</v>
      </c>
      <c r="D83" s="6"/>
      <c r="E83" s="5" t="s">
        <v>16</v>
      </c>
      <c r="F83" s="5" t="s">
        <v>125</v>
      </c>
      <c r="G83" s="5" t="s">
        <v>34</v>
      </c>
      <c r="H83" s="7" t="s">
        <v>8</v>
      </c>
      <c r="I83" s="7" t="s">
        <v>126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19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38</v>
      </c>
      <c r="AF83" s="7">
        <v>100</v>
      </c>
      <c r="AG83" s="8">
        <v>3700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66</v>
      </c>
      <c r="AR83" s="8">
        <v>2900</v>
      </c>
      <c r="AS83" s="8">
        <v>3700</v>
      </c>
      <c r="AT83" s="7">
        <v>0</v>
      </c>
      <c r="AU83" s="7">
        <v>0</v>
      </c>
      <c r="AV83" s="7">
        <v>0</v>
      </c>
      <c r="AW83" s="7">
        <v>99</v>
      </c>
      <c r="AX83" s="8">
        <v>11880</v>
      </c>
      <c r="AY83" s="7">
        <v>0</v>
      </c>
      <c r="AZ83" s="7">
        <v>0</v>
      </c>
      <c r="BA83" s="7">
        <v>0</v>
      </c>
      <c r="BB83" s="7">
        <v>0</v>
      </c>
      <c r="BC83" s="7">
        <v>59</v>
      </c>
      <c r="BD83" s="8">
        <v>7080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9">
        <v>1612.8</v>
      </c>
      <c r="BM83" s="10">
        <v>29360</v>
      </c>
      <c r="BN83" s="15">
        <f t="shared" si="2"/>
        <v>27747.200000000001</v>
      </c>
      <c r="BO83" s="16">
        <f t="shared" si="3"/>
        <v>19423.04</v>
      </c>
    </row>
    <row r="84" spans="1:67" x14ac:dyDescent="0.4">
      <c r="A84" s="5" t="s">
        <v>14</v>
      </c>
      <c r="B84" s="5" t="s">
        <v>239</v>
      </c>
      <c r="C84" s="5">
        <v>305522</v>
      </c>
      <c r="D84" s="6"/>
      <c r="E84" s="5" t="s">
        <v>16</v>
      </c>
      <c r="F84" s="5" t="s">
        <v>41</v>
      </c>
      <c r="G84" s="5" t="s">
        <v>34</v>
      </c>
      <c r="H84" s="7" t="s">
        <v>8</v>
      </c>
      <c r="I84" s="7" t="s">
        <v>240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115</v>
      </c>
      <c r="AF84" s="8">
        <v>9560</v>
      </c>
      <c r="AG84" s="8">
        <v>2100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3</v>
      </c>
      <c r="AX84" s="7">
        <v>348</v>
      </c>
      <c r="AY84" s="7">
        <v>0</v>
      </c>
      <c r="AZ84" s="7">
        <v>0</v>
      </c>
      <c r="BA84" s="7">
        <v>0</v>
      </c>
      <c r="BB84" s="7">
        <v>0</v>
      </c>
      <c r="BC84" s="7">
        <v>143</v>
      </c>
      <c r="BD84" s="8">
        <v>17160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9">
        <v>1064.4000000000001</v>
      </c>
      <c r="BM84" s="10">
        <v>29168</v>
      </c>
      <c r="BN84" s="15">
        <f t="shared" si="2"/>
        <v>28103.599999999999</v>
      </c>
      <c r="BO84" s="16">
        <f t="shared" si="3"/>
        <v>19672.519999999997</v>
      </c>
    </row>
    <row r="85" spans="1:67" ht="19.2" x14ac:dyDescent="0.4">
      <c r="A85" s="5" t="s">
        <v>14</v>
      </c>
      <c r="B85" s="5" t="s">
        <v>191</v>
      </c>
      <c r="C85" s="5">
        <v>467503</v>
      </c>
      <c r="D85" s="6"/>
      <c r="E85" s="5" t="s">
        <v>16</v>
      </c>
      <c r="F85" s="5" t="s">
        <v>165</v>
      </c>
      <c r="G85" s="5" t="s">
        <v>34</v>
      </c>
      <c r="H85" s="7" t="s">
        <v>8</v>
      </c>
      <c r="I85" s="7" t="s">
        <v>27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5</v>
      </c>
      <c r="AF85" s="8">
        <v>6400</v>
      </c>
      <c r="AG85" s="8">
        <v>7100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1</v>
      </c>
      <c r="AX85" s="8">
        <v>4000</v>
      </c>
      <c r="AY85" s="7">
        <v>0</v>
      </c>
      <c r="AZ85" s="7">
        <v>0</v>
      </c>
      <c r="BA85" s="7">
        <v>0</v>
      </c>
      <c r="BB85" s="7">
        <v>0</v>
      </c>
      <c r="BC85" s="7">
        <v>4</v>
      </c>
      <c r="BD85" s="8">
        <v>11280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9">
        <v>1076.8</v>
      </c>
      <c r="BM85" s="10">
        <v>28780</v>
      </c>
      <c r="BN85" s="15">
        <f t="shared" si="2"/>
        <v>27703.200000000001</v>
      </c>
      <c r="BO85" s="16">
        <f t="shared" si="3"/>
        <v>19392.239999999998</v>
      </c>
    </row>
    <row r="86" spans="1:67" x14ac:dyDescent="0.4">
      <c r="A86" s="5" t="s">
        <v>14</v>
      </c>
      <c r="B86" s="5" t="s">
        <v>258</v>
      </c>
      <c r="C86" s="5">
        <v>395192</v>
      </c>
      <c r="D86" s="6"/>
      <c r="E86" s="5" t="s">
        <v>16</v>
      </c>
      <c r="F86" s="5" t="s">
        <v>130</v>
      </c>
      <c r="G86" s="5" t="s">
        <v>34</v>
      </c>
      <c r="H86" s="7" t="s">
        <v>8</v>
      </c>
      <c r="I86" s="7" t="s">
        <v>259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14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229</v>
      </c>
      <c r="AF86" s="8">
        <v>5400</v>
      </c>
      <c r="AG86" s="8">
        <v>17500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18</v>
      </c>
      <c r="AR86" s="8">
        <v>1800</v>
      </c>
      <c r="AS86" s="7">
        <v>0</v>
      </c>
      <c r="AT86" s="7">
        <v>0</v>
      </c>
      <c r="AU86" s="7">
        <v>0</v>
      </c>
      <c r="AV86" s="7">
        <v>0</v>
      </c>
      <c r="AW86" s="7">
        <v>2</v>
      </c>
      <c r="AX86" s="7">
        <v>240</v>
      </c>
      <c r="AY86" s="7">
        <v>0</v>
      </c>
      <c r="AZ86" s="7">
        <v>0</v>
      </c>
      <c r="BA86" s="7">
        <v>0</v>
      </c>
      <c r="BB86" s="7">
        <v>0</v>
      </c>
      <c r="BC86" s="7">
        <v>28</v>
      </c>
      <c r="BD86" s="8">
        <v>3360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225.6</v>
      </c>
      <c r="BM86" s="10">
        <v>28300</v>
      </c>
      <c r="BN86" s="15">
        <f t="shared" si="2"/>
        <v>28074.400000000001</v>
      </c>
      <c r="BO86" s="16">
        <f t="shared" si="3"/>
        <v>19652.079999999998</v>
      </c>
    </row>
    <row r="87" spans="1:67" x14ac:dyDescent="0.4">
      <c r="A87" s="5" t="s">
        <v>14</v>
      </c>
      <c r="B87" s="5" t="s">
        <v>328</v>
      </c>
      <c r="C87" s="5">
        <v>278898</v>
      </c>
      <c r="D87" s="6"/>
      <c r="E87" s="5" t="s">
        <v>16</v>
      </c>
      <c r="F87" s="5" t="s">
        <v>329</v>
      </c>
      <c r="G87" s="5" t="s">
        <v>10</v>
      </c>
      <c r="H87" s="7" t="s">
        <v>7</v>
      </c>
      <c r="I87" s="7" t="s">
        <v>330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205</v>
      </c>
      <c r="AF87" s="8">
        <v>11700</v>
      </c>
      <c r="AG87" s="8">
        <v>8800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46</v>
      </c>
      <c r="AR87" s="8">
        <v>4600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26</v>
      </c>
      <c r="BD87" s="8">
        <v>3120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187.2</v>
      </c>
      <c r="BM87" s="10">
        <v>28220</v>
      </c>
      <c r="BN87" s="15">
        <f t="shared" si="2"/>
        <v>28032.799999999999</v>
      </c>
      <c r="BO87" s="16">
        <f t="shared" si="3"/>
        <v>19622.96</v>
      </c>
    </row>
    <row r="88" spans="1:67" x14ac:dyDescent="0.4">
      <c r="A88" s="5" t="s">
        <v>14</v>
      </c>
      <c r="B88" s="5" t="s">
        <v>223</v>
      </c>
      <c r="C88" s="5">
        <v>353981</v>
      </c>
      <c r="D88" s="6"/>
      <c r="E88" s="5" t="s">
        <v>16</v>
      </c>
      <c r="F88" s="5" t="s">
        <v>224</v>
      </c>
      <c r="G88" s="5" t="s">
        <v>34</v>
      </c>
      <c r="H88" s="7" t="s">
        <v>8</v>
      </c>
      <c r="I88" s="7" t="s">
        <v>225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9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98</v>
      </c>
      <c r="AF88" s="7">
        <v>0</v>
      </c>
      <c r="AG88" s="8">
        <v>9800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15</v>
      </c>
      <c r="AR88" s="8">
        <v>1500</v>
      </c>
      <c r="AS88" s="7">
        <v>0</v>
      </c>
      <c r="AT88" s="7">
        <v>0</v>
      </c>
      <c r="AU88" s="7">
        <v>0</v>
      </c>
      <c r="AV88" s="7">
        <v>0</v>
      </c>
      <c r="AW88" s="7">
        <v>87</v>
      </c>
      <c r="AX88" s="8">
        <v>10440</v>
      </c>
      <c r="AY88" s="7">
        <v>0</v>
      </c>
      <c r="AZ88" s="7">
        <v>0</v>
      </c>
      <c r="BA88" s="7">
        <v>0</v>
      </c>
      <c r="BB88" s="7">
        <v>0</v>
      </c>
      <c r="BC88" s="7">
        <v>51</v>
      </c>
      <c r="BD88" s="8">
        <v>6120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9">
        <v>1411.2</v>
      </c>
      <c r="BM88" s="10">
        <v>27860</v>
      </c>
      <c r="BN88" s="15">
        <f t="shared" si="2"/>
        <v>26448.799999999999</v>
      </c>
      <c r="BO88" s="16">
        <f t="shared" si="3"/>
        <v>18514.16</v>
      </c>
    </row>
    <row r="89" spans="1:67" x14ac:dyDescent="0.4">
      <c r="A89" s="5" t="s">
        <v>14</v>
      </c>
      <c r="B89" s="5" t="s">
        <v>184</v>
      </c>
      <c r="C89" s="5">
        <v>378409</v>
      </c>
      <c r="D89" s="6"/>
      <c r="E89" s="5" t="s">
        <v>16</v>
      </c>
      <c r="F89" s="5" t="s">
        <v>47</v>
      </c>
      <c r="G89" s="5" t="s">
        <v>34</v>
      </c>
      <c r="H89" s="7" t="s">
        <v>8</v>
      </c>
      <c r="I89" s="7" t="s">
        <v>185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12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228</v>
      </c>
      <c r="BD89" s="8">
        <v>27360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9">
        <v>1641.6</v>
      </c>
      <c r="BM89" s="10">
        <v>27360</v>
      </c>
      <c r="BN89" s="15">
        <f t="shared" si="2"/>
        <v>25718.400000000001</v>
      </c>
      <c r="BO89" s="16">
        <f t="shared" si="3"/>
        <v>18002.88</v>
      </c>
    </row>
    <row r="90" spans="1:67" x14ac:dyDescent="0.4">
      <c r="A90" s="5" t="s">
        <v>14</v>
      </c>
      <c r="B90" s="5" t="s">
        <v>431</v>
      </c>
      <c r="C90" s="5">
        <v>414343</v>
      </c>
      <c r="D90" s="6"/>
      <c r="E90" s="5" t="s">
        <v>16</v>
      </c>
      <c r="F90" s="5" t="s">
        <v>11</v>
      </c>
      <c r="G90" s="5" t="s">
        <v>10</v>
      </c>
      <c r="H90" s="7" t="s">
        <v>7</v>
      </c>
      <c r="I90" s="7" t="s">
        <v>202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7</v>
      </c>
      <c r="AF90" s="8">
        <v>26880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26880</v>
      </c>
      <c r="BN90" s="15">
        <f t="shared" si="2"/>
        <v>26880</v>
      </c>
      <c r="BO90" s="16">
        <f t="shared" si="3"/>
        <v>18816</v>
      </c>
    </row>
    <row r="91" spans="1:67" x14ac:dyDescent="0.4">
      <c r="A91" s="5" t="s">
        <v>14</v>
      </c>
      <c r="B91" s="5" t="s">
        <v>102</v>
      </c>
      <c r="C91" s="5">
        <v>394830</v>
      </c>
      <c r="D91" s="6"/>
      <c r="E91" s="5" t="s">
        <v>16</v>
      </c>
      <c r="F91" s="5" t="s">
        <v>41</v>
      </c>
      <c r="G91" s="5" t="s">
        <v>34</v>
      </c>
      <c r="H91" s="7" t="s">
        <v>8</v>
      </c>
      <c r="I91" s="7" t="s">
        <v>103</v>
      </c>
      <c r="J91" s="7">
        <v>0</v>
      </c>
      <c r="K91" s="7">
        <v>5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12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67</v>
      </c>
      <c r="AF91" s="7">
        <v>700</v>
      </c>
      <c r="AG91" s="8">
        <v>6000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161</v>
      </c>
      <c r="BD91" s="8">
        <v>19320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1159.2</v>
      </c>
      <c r="BM91" s="10">
        <v>26020</v>
      </c>
      <c r="BN91" s="15">
        <f t="shared" si="2"/>
        <v>24860.799999999999</v>
      </c>
      <c r="BO91" s="16">
        <f t="shared" si="3"/>
        <v>17402.559999999998</v>
      </c>
    </row>
    <row r="92" spans="1:67" x14ac:dyDescent="0.4">
      <c r="A92" s="5" t="s">
        <v>14</v>
      </c>
      <c r="B92" s="5" t="s">
        <v>241</v>
      </c>
      <c r="C92" s="5">
        <v>458561</v>
      </c>
      <c r="D92" s="6"/>
      <c r="E92" s="5" t="s">
        <v>16</v>
      </c>
      <c r="F92" s="5" t="s">
        <v>30</v>
      </c>
      <c r="G92" s="5" t="s">
        <v>10</v>
      </c>
      <c r="H92" s="7" t="s">
        <v>7</v>
      </c>
      <c r="I92" s="7" t="s">
        <v>200</v>
      </c>
      <c r="J92" s="7">
        <v>3</v>
      </c>
      <c r="K92" s="7">
        <v>0</v>
      </c>
      <c r="L92" s="7">
        <v>300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61</v>
      </c>
      <c r="AF92" s="7">
        <v>0</v>
      </c>
      <c r="AG92" s="8">
        <v>6100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41</v>
      </c>
      <c r="AR92" s="8">
        <v>4100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129</v>
      </c>
      <c r="BD92" s="8">
        <v>15480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928.8</v>
      </c>
      <c r="BM92" s="10">
        <v>25980</v>
      </c>
      <c r="BN92" s="15">
        <f t="shared" si="2"/>
        <v>25051.200000000001</v>
      </c>
      <c r="BO92" s="16">
        <f t="shared" si="3"/>
        <v>17535.84</v>
      </c>
    </row>
    <row r="93" spans="1:67" x14ac:dyDescent="0.4">
      <c r="A93" s="5" t="s">
        <v>14</v>
      </c>
      <c r="B93" s="5" t="s">
        <v>290</v>
      </c>
      <c r="C93" s="5">
        <v>445862</v>
      </c>
      <c r="D93" s="6"/>
      <c r="E93" s="5" t="s">
        <v>16</v>
      </c>
      <c r="F93" s="5" t="s">
        <v>47</v>
      </c>
      <c r="G93" s="5" t="s">
        <v>34</v>
      </c>
      <c r="H93" s="7" t="s">
        <v>8</v>
      </c>
      <c r="I93" s="7" t="s">
        <v>195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2</v>
      </c>
      <c r="AR93" s="8">
        <v>4400</v>
      </c>
      <c r="AS93" s="7">
        <v>0</v>
      </c>
      <c r="AT93" s="7">
        <v>0</v>
      </c>
      <c r="AU93" s="7">
        <v>0</v>
      </c>
      <c r="AV93" s="7">
        <v>0</v>
      </c>
      <c r="AW93" s="7">
        <v>2</v>
      </c>
      <c r="AX93" s="8">
        <v>5280</v>
      </c>
      <c r="AY93" s="7">
        <v>0</v>
      </c>
      <c r="AZ93" s="7">
        <v>0</v>
      </c>
      <c r="BA93" s="7">
        <v>0</v>
      </c>
      <c r="BB93" s="7">
        <v>0</v>
      </c>
      <c r="BC93" s="7">
        <v>6</v>
      </c>
      <c r="BD93" s="8">
        <v>15840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9">
        <v>1478.4</v>
      </c>
      <c r="BM93" s="10">
        <v>25520</v>
      </c>
      <c r="BN93" s="15">
        <f t="shared" si="2"/>
        <v>24041.599999999999</v>
      </c>
      <c r="BO93" s="16">
        <f t="shared" si="3"/>
        <v>16829.12</v>
      </c>
    </row>
    <row r="94" spans="1:67" x14ac:dyDescent="0.4">
      <c r="A94" s="5" t="s">
        <v>14</v>
      </c>
      <c r="B94" s="5" t="s">
        <v>188</v>
      </c>
      <c r="C94" s="5">
        <v>325640</v>
      </c>
      <c r="D94" s="6"/>
      <c r="E94" s="5" t="s">
        <v>16</v>
      </c>
      <c r="F94" s="5" t="s">
        <v>189</v>
      </c>
      <c r="G94" s="5" t="s">
        <v>10</v>
      </c>
      <c r="H94" s="7" t="s">
        <v>7</v>
      </c>
      <c r="I94" s="7" t="s">
        <v>190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2</v>
      </c>
      <c r="T94" s="7">
        <v>11</v>
      </c>
      <c r="U94" s="7">
        <v>0</v>
      </c>
      <c r="V94" s="7">
        <v>200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51</v>
      </c>
      <c r="AF94" s="7">
        <v>0</v>
      </c>
      <c r="AG94" s="8">
        <v>5100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7</v>
      </c>
      <c r="AX94" s="7">
        <v>840</v>
      </c>
      <c r="AY94" s="7">
        <v>0</v>
      </c>
      <c r="AZ94" s="7">
        <v>0</v>
      </c>
      <c r="BA94" s="7">
        <v>0</v>
      </c>
      <c r="BB94" s="7">
        <v>0</v>
      </c>
      <c r="BC94" s="7">
        <v>153</v>
      </c>
      <c r="BD94" s="8">
        <v>18360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1185.5999999999999</v>
      </c>
      <c r="BM94" s="10">
        <v>24500</v>
      </c>
      <c r="BN94" s="15">
        <f t="shared" si="2"/>
        <v>23314.400000000001</v>
      </c>
      <c r="BO94" s="16">
        <f t="shared" si="3"/>
        <v>16320.08</v>
      </c>
    </row>
    <row r="95" spans="1:67" x14ac:dyDescent="0.4">
      <c r="A95" s="5" t="s">
        <v>14</v>
      </c>
      <c r="B95" s="5" t="s">
        <v>253</v>
      </c>
      <c r="C95" s="5">
        <v>297776</v>
      </c>
      <c r="D95" s="6"/>
      <c r="E95" s="5" t="s">
        <v>16</v>
      </c>
      <c r="F95" s="5" t="s">
        <v>254</v>
      </c>
      <c r="G95" s="5" t="s">
        <v>421</v>
      </c>
      <c r="H95" s="7" t="s">
        <v>9</v>
      </c>
      <c r="I95" s="7" t="s">
        <v>255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3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48</v>
      </c>
      <c r="AF95" s="7">
        <v>0</v>
      </c>
      <c r="AG95" s="8">
        <v>4800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109</v>
      </c>
      <c r="AR95" s="8">
        <v>10700</v>
      </c>
      <c r="AS95" s="7">
        <v>200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73</v>
      </c>
      <c r="BD95" s="8">
        <v>8760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525.6</v>
      </c>
      <c r="BM95" s="10">
        <v>24460</v>
      </c>
      <c r="BN95" s="15">
        <f t="shared" si="2"/>
        <v>23934.400000000001</v>
      </c>
      <c r="BO95" s="16">
        <f t="shared" si="3"/>
        <v>16754.080000000002</v>
      </c>
    </row>
    <row r="96" spans="1:67" x14ac:dyDescent="0.4">
      <c r="A96" s="5" t="s">
        <v>14</v>
      </c>
      <c r="B96" s="5" t="s">
        <v>310</v>
      </c>
      <c r="C96" s="5">
        <v>431330</v>
      </c>
      <c r="D96" s="6"/>
      <c r="E96" s="5" t="s">
        <v>16</v>
      </c>
      <c r="F96" s="5" t="s">
        <v>264</v>
      </c>
      <c r="G96" s="5" t="s">
        <v>34</v>
      </c>
      <c r="H96" s="7" t="s">
        <v>8</v>
      </c>
      <c r="I96" s="7" t="s">
        <v>311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8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</v>
      </c>
      <c r="AF96" s="7">
        <v>0</v>
      </c>
      <c r="AG96" s="7">
        <v>200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196</v>
      </c>
      <c r="BD96" s="8">
        <v>23520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1411.2</v>
      </c>
      <c r="BM96" s="10">
        <v>23720</v>
      </c>
      <c r="BN96" s="15">
        <f t="shared" si="2"/>
        <v>22308.799999999999</v>
      </c>
      <c r="BO96" s="16">
        <f t="shared" si="3"/>
        <v>15616.159999999998</v>
      </c>
    </row>
    <row r="97" spans="1:67" x14ac:dyDescent="0.4">
      <c r="A97" s="5" t="s">
        <v>14</v>
      </c>
      <c r="B97" s="5" t="s">
        <v>194</v>
      </c>
      <c r="C97" s="5">
        <v>445861</v>
      </c>
      <c r="D97" s="6"/>
      <c r="E97" s="5" t="s">
        <v>16</v>
      </c>
      <c r="F97" s="5" t="s">
        <v>47</v>
      </c>
      <c r="G97" s="5" t="s">
        <v>34</v>
      </c>
      <c r="H97" s="7" t="s">
        <v>8</v>
      </c>
      <c r="I97" s="7" t="s">
        <v>195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6</v>
      </c>
      <c r="AF97" s="8">
        <v>16300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3</v>
      </c>
      <c r="AX97" s="8">
        <v>7320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732</v>
      </c>
      <c r="BM97" s="10">
        <v>23620</v>
      </c>
      <c r="BN97" s="15">
        <f t="shared" si="2"/>
        <v>22888</v>
      </c>
      <c r="BO97" s="16">
        <f t="shared" si="3"/>
        <v>16021.599999999999</v>
      </c>
    </row>
    <row r="98" spans="1:67" x14ac:dyDescent="0.4">
      <c r="A98" s="5" t="s">
        <v>14</v>
      </c>
      <c r="B98" s="5" t="s">
        <v>435</v>
      </c>
      <c r="C98" s="5">
        <v>410077</v>
      </c>
      <c r="D98" s="6"/>
      <c r="E98" s="5" t="s">
        <v>16</v>
      </c>
      <c r="F98" s="5" t="s">
        <v>436</v>
      </c>
      <c r="G98" s="5" t="s">
        <v>10</v>
      </c>
      <c r="H98" s="7" t="s">
        <v>7</v>
      </c>
      <c r="I98" s="7" t="s">
        <v>216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3</v>
      </c>
      <c r="AF98" s="8">
        <v>11520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2</v>
      </c>
      <c r="AX98" s="8">
        <v>7680</v>
      </c>
      <c r="AY98" s="7">
        <v>0</v>
      </c>
      <c r="AZ98" s="7">
        <v>0</v>
      </c>
      <c r="BA98" s="7">
        <v>0</v>
      </c>
      <c r="BB98" s="7">
        <v>0</v>
      </c>
      <c r="BC98" s="7">
        <v>1</v>
      </c>
      <c r="BD98" s="8">
        <v>3840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998.4</v>
      </c>
      <c r="BM98" s="10">
        <v>23040</v>
      </c>
      <c r="BN98" s="15">
        <f t="shared" si="2"/>
        <v>22041.599999999999</v>
      </c>
      <c r="BO98" s="16">
        <f t="shared" si="3"/>
        <v>15429.119999999997</v>
      </c>
    </row>
    <row r="99" spans="1:67" x14ac:dyDescent="0.4">
      <c r="A99" s="5" t="s">
        <v>14</v>
      </c>
      <c r="B99" s="5" t="s">
        <v>530</v>
      </c>
      <c r="C99" s="5">
        <v>463950</v>
      </c>
      <c r="D99" s="6"/>
      <c r="E99" s="5" t="s">
        <v>16</v>
      </c>
      <c r="F99" s="5" t="s">
        <v>531</v>
      </c>
      <c r="G99" s="5" t="s">
        <v>10</v>
      </c>
      <c r="H99" s="7" t="s">
        <v>7</v>
      </c>
      <c r="I99" s="7" t="s">
        <v>56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7</v>
      </c>
      <c r="AR99" s="8">
        <v>21700</v>
      </c>
      <c r="AS99" s="7">
        <v>700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22400</v>
      </c>
      <c r="BN99" s="15">
        <f t="shared" si="2"/>
        <v>22400</v>
      </c>
      <c r="BO99" s="16">
        <f t="shared" si="3"/>
        <v>15679.999999999998</v>
      </c>
    </row>
    <row r="100" spans="1:67" x14ac:dyDescent="0.4">
      <c r="A100" s="5" t="s">
        <v>14</v>
      </c>
      <c r="B100" s="5" t="s">
        <v>186</v>
      </c>
      <c r="C100" s="5">
        <v>423328</v>
      </c>
      <c r="D100" s="6"/>
      <c r="E100" s="5" t="s">
        <v>16</v>
      </c>
      <c r="F100" s="5" t="s">
        <v>30</v>
      </c>
      <c r="G100" s="5" t="s">
        <v>10</v>
      </c>
      <c r="H100" s="7" t="s">
        <v>7</v>
      </c>
      <c r="I100" s="7" t="s">
        <v>187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9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27</v>
      </c>
      <c r="AF100" s="7">
        <v>100</v>
      </c>
      <c r="AG100" s="8">
        <v>2600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117</v>
      </c>
      <c r="AR100" s="8">
        <v>11400</v>
      </c>
      <c r="AS100" s="7">
        <v>300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55</v>
      </c>
      <c r="BD100" s="8">
        <v>6600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396</v>
      </c>
      <c r="BM100" s="10">
        <v>21000</v>
      </c>
      <c r="BN100" s="15">
        <f t="shared" si="2"/>
        <v>20604</v>
      </c>
      <c r="BO100" s="16">
        <f t="shared" si="3"/>
        <v>14422.8</v>
      </c>
    </row>
    <row r="101" spans="1:67" x14ac:dyDescent="0.4">
      <c r="A101" s="5" t="s">
        <v>14</v>
      </c>
      <c r="B101" s="5" t="s">
        <v>226</v>
      </c>
      <c r="C101" s="5">
        <v>399878</v>
      </c>
      <c r="D101" s="6"/>
      <c r="E101" s="5" t="s">
        <v>16</v>
      </c>
      <c r="F101" s="5" t="s">
        <v>227</v>
      </c>
      <c r="G101" s="5" t="s">
        <v>34</v>
      </c>
      <c r="H101" s="7" t="s">
        <v>8</v>
      </c>
      <c r="I101" s="7" t="s">
        <v>228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76</v>
      </c>
      <c r="AF101" s="8">
        <v>7400</v>
      </c>
      <c r="AG101" s="7">
        <v>200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1</v>
      </c>
      <c r="AR101" s="7">
        <v>100</v>
      </c>
      <c r="AS101" s="7">
        <v>0</v>
      </c>
      <c r="AT101" s="7">
        <v>0</v>
      </c>
      <c r="AU101" s="7">
        <v>0</v>
      </c>
      <c r="AV101" s="7">
        <v>0</v>
      </c>
      <c r="AW101" s="7">
        <v>1</v>
      </c>
      <c r="AX101" s="7">
        <v>120</v>
      </c>
      <c r="AY101" s="7">
        <v>0</v>
      </c>
      <c r="AZ101" s="7">
        <v>0</v>
      </c>
      <c r="BA101" s="7">
        <v>0</v>
      </c>
      <c r="BB101" s="7">
        <v>0</v>
      </c>
      <c r="BC101" s="7">
        <v>101</v>
      </c>
      <c r="BD101" s="8">
        <v>12120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739.2</v>
      </c>
      <c r="BM101" s="10">
        <v>19940</v>
      </c>
      <c r="BN101" s="15">
        <f t="shared" si="2"/>
        <v>19200.8</v>
      </c>
      <c r="BO101" s="16">
        <f t="shared" si="3"/>
        <v>13440.56</v>
      </c>
    </row>
    <row r="102" spans="1:67" x14ac:dyDescent="0.4">
      <c r="A102" s="5" t="s">
        <v>14</v>
      </c>
      <c r="B102" s="5" t="s">
        <v>242</v>
      </c>
      <c r="C102" s="5">
        <v>251205</v>
      </c>
      <c r="D102" s="6"/>
      <c r="E102" s="5" t="s">
        <v>16</v>
      </c>
      <c r="F102" s="5" t="s">
        <v>66</v>
      </c>
      <c r="G102" s="5" t="s">
        <v>10</v>
      </c>
      <c r="H102" s="7" t="s">
        <v>7</v>
      </c>
      <c r="I102" s="7" t="s">
        <v>243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199</v>
      </c>
      <c r="AF102" s="8">
        <v>19900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19900</v>
      </c>
      <c r="BN102" s="15">
        <f t="shared" si="2"/>
        <v>19900</v>
      </c>
      <c r="BO102" s="16">
        <f t="shared" si="3"/>
        <v>13930</v>
      </c>
    </row>
    <row r="103" spans="1:67" x14ac:dyDescent="0.4">
      <c r="A103" s="5" t="s">
        <v>14</v>
      </c>
      <c r="B103" s="5" t="s">
        <v>212</v>
      </c>
      <c r="C103" s="5">
        <v>415992</v>
      </c>
      <c r="D103" s="6"/>
      <c r="E103" s="5" t="s">
        <v>16</v>
      </c>
      <c r="F103" s="5" t="s">
        <v>41</v>
      </c>
      <c r="G103" s="5" t="s">
        <v>34</v>
      </c>
      <c r="H103" s="7" t="s">
        <v>8</v>
      </c>
      <c r="I103" s="7" t="s">
        <v>213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7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29</v>
      </c>
      <c r="AF103" s="8">
        <v>1800</v>
      </c>
      <c r="AG103" s="8">
        <v>1100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138</v>
      </c>
      <c r="BD103" s="8">
        <v>16560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993.6</v>
      </c>
      <c r="BM103" s="10">
        <v>19460</v>
      </c>
      <c r="BN103" s="15">
        <f t="shared" si="2"/>
        <v>18466.400000000001</v>
      </c>
      <c r="BO103" s="16">
        <f t="shared" si="3"/>
        <v>12926.48</v>
      </c>
    </row>
    <row r="104" spans="1:67" x14ac:dyDescent="0.4">
      <c r="A104" s="5" t="s">
        <v>14</v>
      </c>
      <c r="B104" s="5" t="s">
        <v>305</v>
      </c>
      <c r="C104" s="5">
        <v>363413</v>
      </c>
      <c r="D104" s="6"/>
      <c r="E104" s="5" t="s">
        <v>16</v>
      </c>
      <c r="F104" s="5" t="s">
        <v>105</v>
      </c>
      <c r="G104" s="5" t="s">
        <v>34</v>
      </c>
      <c r="H104" s="7" t="s">
        <v>8</v>
      </c>
      <c r="I104" s="7" t="s">
        <v>306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24</v>
      </c>
      <c r="AF104" s="8">
        <v>2200</v>
      </c>
      <c r="AG104" s="7">
        <v>200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142</v>
      </c>
      <c r="BD104" s="8">
        <v>17040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1022.4</v>
      </c>
      <c r="BM104" s="10">
        <v>19440</v>
      </c>
      <c r="BN104" s="15">
        <f t="shared" si="2"/>
        <v>18417.599999999999</v>
      </c>
      <c r="BO104" s="16">
        <f t="shared" si="3"/>
        <v>12892.319999999998</v>
      </c>
    </row>
    <row r="105" spans="1:67" x14ac:dyDescent="0.4">
      <c r="A105" s="5" t="s">
        <v>14</v>
      </c>
      <c r="B105" s="5" t="s">
        <v>430</v>
      </c>
      <c r="C105" s="5">
        <v>476076</v>
      </c>
      <c r="D105" s="6"/>
      <c r="E105" s="5" t="s">
        <v>16</v>
      </c>
      <c r="F105" s="5" t="s">
        <v>221</v>
      </c>
      <c r="G105" s="5" t="s">
        <v>10</v>
      </c>
      <c r="H105" s="7" t="s">
        <v>7</v>
      </c>
      <c r="I105" s="7" t="s">
        <v>425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6</v>
      </c>
      <c r="AR105" s="8">
        <v>19000</v>
      </c>
      <c r="AS105" s="7">
        <v>200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19200</v>
      </c>
      <c r="BN105" s="15">
        <f t="shared" si="2"/>
        <v>19200</v>
      </c>
      <c r="BO105" s="16">
        <f t="shared" si="3"/>
        <v>13440</v>
      </c>
    </row>
    <row r="106" spans="1:67" x14ac:dyDescent="0.4">
      <c r="A106" s="5" t="s">
        <v>14</v>
      </c>
      <c r="B106" s="5" t="s">
        <v>351</v>
      </c>
      <c r="C106" s="5">
        <v>424589</v>
      </c>
      <c r="D106" s="6"/>
      <c r="E106" s="5" t="s">
        <v>16</v>
      </c>
      <c r="F106" s="5" t="s">
        <v>352</v>
      </c>
      <c r="G106" s="5" t="s">
        <v>421</v>
      </c>
      <c r="H106" s="7" t="s">
        <v>8</v>
      </c>
      <c r="I106" s="7" t="s">
        <v>353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9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8</v>
      </c>
      <c r="AF106" s="7">
        <v>0</v>
      </c>
      <c r="AG106" s="7">
        <v>800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7</v>
      </c>
      <c r="AX106" s="7">
        <v>840</v>
      </c>
      <c r="AY106" s="7">
        <v>0</v>
      </c>
      <c r="AZ106" s="7">
        <v>0</v>
      </c>
      <c r="BA106" s="7">
        <v>0</v>
      </c>
      <c r="BB106" s="7">
        <v>0</v>
      </c>
      <c r="BC106" s="7">
        <v>142</v>
      </c>
      <c r="BD106" s="8">
        <v>17040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1106.4000000000001</v>
      </c>
      <c r="BM106" s="10">
        <v>18680</v>
      </c>
      <c r="BN106" s="15">
        <f t="shared" si="2"/>
        <v>17573.599999999999</v>
      </c>
      <c r="BO106" s="16">
        <f t="shared" si="3"/>
        <v>12301.519999999999</v>
      </c>
    </row>
    <row r="107" spans="1:67" x14ac:dyDescent="0.4">
      <c r="A107" s="5" t="s">
        <v>14</v>
      </c>
      <c r="B107" s="5" t="s">
        <v>201</v>
      </c>
      <c r="C107" s="5">
        <v>458568</v>
      </c>
      <c r="D107" s="6"/>
      <c r="E107" s="5" t="s">
        <v>16</v>
      </c>
      <c r="F107" s="5" t="s">
        <v>30</v>
      </c>
      <c r="G107" s="5" t="s">
        <v>10</v>
      </c>
      <c r="H107" s="7" t="s">
        <v>7</v>
      </c>
      <c r="I107" s="7" t="s">
        <v>200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8">
        <v>1200</v>
      </c>
      <c r="AG107" s="7">
        <v>300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1</v>
      </c>
      <c r="AR107" s="8">
        <v>1700</v>
      </c>
      <c r="AS107" s="7">
        <v>0</v>
      </c>
      <c r="AT107" s="7">
        <v>0</v>
      </c>
      <c r="AU107" s="7">
        <v>0</v>
      </c>
      <c r="AV107" s="7">
        <v>0</v>
      </c>
      <c r="AW107" s="7">
        <v>1</v>
      </c>
      <c r="AX107" s="8">
        <v>3840</v>
      </c>
      <c r="AY107" s="7">
        <v>0</v>
      </c>
      <c r="AZ107" s="7">
        <v>0</v>
      </c>
      <c r="BA107" s="7">
        <v>0</v>
      </c>
      <c r="BB107" s="7">
        <v>0</v>
      </c>
      <c r="BC107" s="7">
        <v>3</v>
      </c>
      <c r="BD107" s="8">
        <v>11520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9">
        <v>1075.2</v>
      </c>
      <c r="BM107" s="10">
        <v>18560</v>
      </c>
      <c r="BN107" s="15">
        <f t="shared" si="2"/>
        <v>17484.8</v>
      </c>
      <c r="BO107" s="16">
        <f t="shared" si="3"/>
        <v>12239.359999999999</v>
      </c>
    </row>
    <row r="108" spans="1:67" x14ac:dyDescent="0.4">
      <c r="A108" s="5" t="s">
        <v>14</v>
      </c>
      <c r="B108" s="5" t="s">
        <v>256</v>
      </c>
      <c r="C108" s="5">
        <v>353788</v>
      </c>
      <c r="D108" s="6"/>
      <c r="E108" s="5" t="s">
        <v>16</v>
      </c>
      <c r="F108" s="5" t="s">
        <v>207</v>
      </c>
      <c r="G108" s="5" t="s">
        <v>34</v>
      </c>
      <c r="H108" s="7" t="s">
        <v>8</v>
      </c>
      <c r="I108" s="7" t="s">
        <v>257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6</v>
      </c>
      <c r="AF108" s="7">
        <v>0</v>
      </c>
      <c r="AG108" s="7">
        <v>600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142</v>
      </c>
      <c r="BD108" s="8">
        <v>17040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1022.4</v>
      </c>
      <c r="BM108" s="10">
        <v>17640</v>
      </c>
      <c r="BN108" s="15">
        <f t="shared" si="2"/>
        <v>16617.599999999999</v>
      </c>
      <c r="BO108" s="16">
        <f t="shared" si="3"/>
        <v>11632.319999999998</v>
      </c>
    </row>
    <row r="109" spans="1:67" x14ac:dyDescent="0.4">
      <c r="A109" s="5" t="s">
        <v>14</v>
      </c>
      <c r="B109" s="5" t="s">
        <v>278</v>
      </c>
      <c r="C109" s="5">
        <v>404148</v>
      </c>
      <c r="D109" s="6"/>
      <c r="E109" s="5" t="s">
        <v>16</v>
      </c>
      <c r="F109" s="5" t="s">
        <v>279</v>
      </c>
      <c r="G109" s="5" t="s">
        <v>34</v>
      </c>
      <c r="H109" s="7" t="s">
        <v>8</v>
      </c>
      <c r="I109" s="7" t="s">
        <v>280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12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46</v>
      </c>
      <c r="AF109" s="7">
        <v>0</v>
      </c>
      <c r="AG109" s="8">
        <v>4600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108</v>
      </c>
      <c r="BD109" s="8">
        <v>12960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777.6</v>
      </c>
      <c r="BM109" s="10">
        <v>17560</v>
      </c>
      <c r="BN109" s="15">
        <f t="shared" si="2"/>
        <v>16782.400000000001</v>
      </c>
      <c r="BO109" s="16">
        <f t="shared" si="3"/>
        <v>11747.68</v>
      </c>
    </row>
    <row r="110" spans="1:67" x14ac:dyDescent="0.4">
      <c r="A110" s="5" t="s">
        <v>14</v>
      </c>
      <c r="B110" s="5" t="s">
        <v>390</v>
      </c>
      <c r="C110" s="5">
        <v>413284</v>
      </c>
      <c r="D110" s="6"/>
      <c r="E110" s="5" t="s">
        <v>16</v>
      </c>
      <c r="F110" s="5" t="s">
        <v>254</v>
      </c>
      <c r="G110" s="5" t="s">
        <v>421</v>
      </c>
      <c r="H110" s="7" t="s">
        <v>7</v>
      </c>
      <c r="I110" s="7" t="s">
        <v>391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5</v>
      </c>
      <c r="AF110" s="8">
        <v>17500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17500</v>
      </c>
      <c r="BN110" s="15">
        <f t="shared" si="2"/>
        <v>17500</v>
      </c>
      <c r="BO110" s="16">
        <f t="shared" si="3"/>
        <v>12250</v>
      </c>
    </row>
    <row r="111" spans="1:67" x14ac:dyDescent="0.4">
      <c r="A111" s="5" t="s">
        <v>14</v>
      </c>
      <c r="B111" s="5" t="s">
        <v>214</v>
      </c>
      <c r="C111" s="5">
        <v>407733</v>
      </c>
      <c r="D111" s="6"/>
      <c r="E111" s="5" t="s">
        <v>16</v>
      </c>
      <c r="F111" s="5" t="s">
        <v>30</v>
      </c>
      <c r="G111" s="5" t="s">
        <v>10</v>
      </c>
      <c r="H111" s="7" t="s">
        <v>7</v>
      </c>
      <c r="I111" s="7" t="s">
        <v>215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5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99</v>
      </c>
      <c r="AF111" s="7">
        <v>0</v>
      </c>
      <c r="AG111" s="8">
        <v>9900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61</v>
      </c>
      <c r="BD111" s="8">
        <v>7320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439.2</v>
      </c>
      <c r="BM111" s="10">
        <v>17220</v>
      </c>
      <c r="BN111" s="15">
        <f t="shared" si="2"/>
        <v>16780.8</v>
      </c>
      <c r="BO111" s="16">
        <f t="shared" si="3"/>
        <v>11746.56</v>
      </c>
    </row>
    <row r="112" spans="1:67" x14ac:dyDescent="0.4">
      <c r="A112" s="5" t="s">
        <v>14</v>
      </c>
      <c r="B112" s="5" t="s">
        <v>398</v>
      </c>
      <c r="C112" s="5">
        <v>471701</v>
      </c>
      <c r="D112" s="6"/>
      <c r="E112" s="5" t="s">
        <v>16</v>
      </c>
      <c r="F112" s="5" t="s">
        <v>399</v>
      </c>
      <c r="G112" s="5" t="s">
        <v>411</v>
      </c>
      <c r="H112" s="7" t="s">
        <v>9</v>
      </c>
      <c r="I112" s="7" t="s">
        <v>400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61</v>
      </c>
      <c r="AF112" s="8">
        <v>1700</v>
      </c>
      <c r="AG112" s="8">
        <v>4400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3</v>
      </c>
      <c r="AX112" s="7">
        <v>360</v>
      </c>
      <c r="AY112" s="7">
        <v>0</v>
      </c>
      <c r="AZ112" s="7">
        <v>0</v>
      </c>
      <c r="BA112" s="7">
        <v>0</v>
      </c>
      <c r="BB112" s="7">
        <v>0</v>
      </c>
      <c r="BC112" s="7">
        <v>85</v>
      </c>
      <c r="BD112" s="8">
        <v>10200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648</v>
      </c>
      <c r="BM112" s="10">
        <v>16660</v>
      </c>
      <c r="BN112" s="15">
        <f t="shared" si="2"/>
        <v>16012</v>
      </c>
      <c r="BO112" s="16">
        <f t="shared" si="3"/>
        <v>11208.4</v>
      </c>
    </row>
    <row r="113" spans="1:67" x14ac:dyDescent="0.4">
      <c r="A113" s="5" t="s">
        <v>14</v>
      </c>
      <c r="B113" s="5" t="s">
        <v>100</v>
      </c>
      <c r="C113" s="5">
        <v>287641</v>
      </c>
      <c r="D113" s="6"/>
      <c r="E113" s="5" t="s">
        <v>16</v>
      </c>
      <c r="F113" s="5" t="s">
        <v>30</v>
      </c>
      <c r="G113" s="5" t="s">
        <v>10</v>
      </c>
      <c r="H113" s="7" t="s">
        <v>7</v>
      </c>
      <c r="I113" s="7" t="s">
        <v>101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5</v>
      </c>
      <c r="AF113" s="8">
        <v>15600</v>
      </c>
      <c r="AG113" s="7">
        <v>400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16000</v>
      </c>
      <c r="BN113" s="15">
        <f t="shared" si="2"/>
        <v>16000</v>
      </c>
      <c r="BO113" s="16">
        <f t="shared" si="3"/>
        <v>11200</v>
      </c>
    </row>
    <row r="114" spans="1:67" x14ac:dyDescent="0.4">
      <c r="A114" s="5" t="s">
        <v>14</v>
      </c>
      <c r="B114" s="5" t="s">
        <v>229</v>
      </c>
      <c r="C114" s="5">
        <v>382446</v>
      </c>
      <c r="D114" s="6"/>
      <c r="E114" s="5" t="s">
        <v>16</v>
      </c>
      <c r="F114" s="5" t="s">
        <v>52</v>
      </c>
      <c r="G114" s="5" t="s">
        <v>34</v>
      </c>
      <c r="H114" s="7" t="s">
        <v>8</v>
      </c>
      <c r="I114" s="7" t="s">
        <v>230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91</v>
      </c>
      <c r="AF114" s="8">
        <v>8800</v>
      </c>
      <c r="AG114" s="7">
        <v>300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55</v>
      </c>
      <c r="BD114" s="8">
        <v>6360</v>
      </c>
      <c r="BE114" s="7">
        <v>200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381.6</v>
      </c>
      <c r="BM114" s="10">
        <v>15660</v>
      </c>
      <c r="BN114" s="15">
        <f t="shared" si="2"/>
        <v>15278.4</v>
      </c>
      <c r="BO114" s="16">
        <f t="shared" si="3"/>
        <v>10694.88</v>
      </c>
    </row>
    <row r="115" spans="1:67" x14ac:dyDescent="0.4">
      <c r="A115" s="5" t="s">
        <v>14</v>
      </c>
      <c r="B115" s="5" t="s">
        <v>192</v>
      </c>
      <c r="C115" s="5">
        <v>402649</v>
      </c>
      <c r="D115" s="6"/>
      <c r="E115" s="5" t="s">
        <v>16</v>
      </c>
      <c r="F115" s="5" t="s">
        <v>41</v>
      </c>
      <c r="G115" s="5" t="s">
        <v>34</v>
      </c>
      <c r="H115" s="7" t="s">
        <v>8</v>
      </c>
      <c r="I115" s="7" t="s">
        <v>193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61</v>
      </c>
      <c r="AF115" s="8">
        <v>3600</v>
      </c>
      <c r="AG115" s="8">
        <v>2500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15</v>
      </c>
      <c r="AX115" s="8">
        <v>1800</v>
      </c>
      <c r="AY115" s="7">
        <v>0</v>
      </c>
      <c r="AZ115" s="7">
        <v>0</v>
      </c>
      <c r="BA115" s="7">
        <v>0</v>
      </c>
      <c r="BB115" s="7">
        <v>0</v>
      </c>
      <c r="BC115" s="7">
        <v>61</v>
      </c>
      <c r="BD115" s="8">
        <v>7320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619.20000000000005</v>
      </c>
      <c r="BM115" s="10">
        <v>15220</v>
      </c>
      <c r="BN115" s="15">
        <f t="shared" si="2"/>
        <v>14600.8</v>
      </c>
      <c r="BO115" s="16">
        <f t="shared" si="3"/>
        <v>10220.56</v>
      </c>
    </row>
    <row r="116" spans="1:67" x14ac:dyDescent="0.4">
      <c r="A116" s="5" t="s">
        <v>14</v>
      </c>
      <c r="B116" s="5" t="s">
        <v>271</v>
      </c>
      <c r="C116" s="5">
        <v>327548</v>
      </c>
      <c r="D116" s="6"/>
      <c r="E116" s="5" t="s">
        <v>16</v>
      </c>
      <c r="F116" s="5" t="s">
        <v>207</v>
      </c>
      <c r="G116" s="5" t="s">
        <v>34</v>
      </c>
      <c r="H116" s="7" t="s">
        <v>8</v>
      </c>
      <c r="I116" s="7" t="s">
        <v>272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75</v>
      </c>
      <c r="AF116" s="8">
        <v>1700</v>
      </c>
      <c r="AG116" s="8">
        <v>5800</v>
      </c>
      <c r="AH116" s="7">
        <v>0</v>
      </c>
      <c r="AI116" s="7">
        <v>0</v>
      </c>
      <c r="AJ116" s="7">
        <v>0</v>
      </c>
      <c r="AK116" s="7">
        <v>1</v>
      </c>
      <c r="AL116" s="7">
        <v>0</v>
      </c>
      <c r="AM116" s="7">
        <v>100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60</v>
      </c>
      <c r="BD116" s="8">
        <v>7200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432</v>
      </c>
      <c r="BM116" s="10">
        <v>14800</v>
      </c>
      <c r="BN116" s="15">
        <f t="shared" si="2"/>
        <v>14368</v>
      </c>
      <c r="BO116" s="16">
        <f t="shared" si="3"/>
        <v>10057.599999999999</v>
      </c>
    </row>
    <row r="117" spans="1:67" x14ac:dyDescent="0.4">
      <c r="A117" s="5" t="s">
        <v>14</v>
      </c>
      <c r="B117" s="5" t="s">
        <v>161</v>
      </c>
      <c r="C117" s="5">
        <v>423577</v>
      </c>
      <c r="D117" s="6"/>
      <c r="E117" s="5" t="s">
        <v>16</v>
      </c>
      <c r="F117" s="5" t="s">
        <v>162</v>
      </c>
      <c r="G117" s="5" t="s">
        <v>34</v>
      </c>
      <c r="H117" s="7" t="s">
        <v>8</v>
      </c>
      <c r="I117" s="7" t="s">
        <v>163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7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90</v>
      </c>
      <c r="AF117" s="8">
        <v>6600</v>
      </c>
      <c r="AG117" s="8">
        <v>2400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22</v>
      </c>
      <c r="AX117" s="8">
        <v>2640</v>
      </c>
      <c r="AY117" s="7">
        <v>0</v>
      </c>
      <c r="AZ117" s="7">
        <v>0</v>
      </c>
      <c r="BA117" s="7">
        <v>0</v>
      </c>
      <c r="BB117" s="7">
        <v>0</v>
      </c>
      <c r="BC117" s="7">
        <v>23</v>
      </c>
      <c r="BD117" s="8">
        <v>2760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429.6</v>
      </c>
      <c r="BM117" s="10">
        <v>14400</v>
      </c>
      <c r="BN117" s="15">
        <f t="shared" si="2"/>
        <v>13970.4</v>
      </c>
      <c r="BO117" s="16">
        <f t="shared" si="3"/>
        <v>9779.2799999999988</v>
      </c>
    </row>
    <row r="118" spans="1:67" x14ac:dyDescent="0.4">
      <c r="A118" s="5" t="s">
        <v>14</v>
      </c>
      <c r="B118" s="5" t="s">
        <v>220</v>
      </c>
      <c r="C118" s="5">
        <v>434558</v>
      </c>
      <c r="D118" s="6"/>
      <c r="E118" s="5" t="s">
        <v>16</v>
      </c>
      <c r="F118" s="5" t="s">
        <v>221</v>
      </c>
      <c r="G118" s="5" t="s">
        <v>10</v>
      </c>
      <c r="H118" s="7" t="s">
        <v>7</v>
      </c>
      <c r="I118" s="7" t="s">
        <v>222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4</v>
      </c>
      <c r="AF118" s="7">
        <v>420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135</v>
      </c>
      <c r="AR118" s="8">
        <v>13300</v>
      </c>
      <c r="AS118" s="7">
        <v>200</v>
      </c>
      <c r="AT118" s="7">
        <v>0</v>
      </c>
      <c r="AU118" s="7">
        <v>0</v>
      </c>
      <c r="AV118" s="7">
        <v>0</v>
      </c>
      <c r="AW118" s="7">
        <v>1</v>
      </c>
      <c r="AX118" s="7">
        <v>120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12</v>
      </c>
      <c r="BM118" s="10">
        <v>14040</v>
      </c>
      <c r="BN118" s="15">
        <f t="shared" si="2"/>
        <v>14028</v>
      </c>
      <c r="BO118" s="16">
        <f t="shared" si="3"/>
        <v>9819.5999999999985</v>
      </c>
    </row>
    <row r="119" spans="1:67" x14ac:dyDescent="0.4">
      <c r="A119" s="5" t="s">
        <v>14</v>
      </c>
      <c r="B119" s="5" t="s">
        <v>172</v>
      </c>
      <c r="C119" s="5">
        <v>429496</v>
      </c>
      <c r="D119" s="6"/>
      <c r="E119" s="5" t="s">
        <v>16</v>
      </c>
      <c r="F119" s="5" t="s">
        <v>173</v>
      </c>
      <c r="G119" s="5" t="s">
        <v>411</v>
      </c>
      <c r="H119" s="7" t="s">
        <v>7</v>
      </c>
      <c r="I119" s="7" t="s">
        <v>174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4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21</v>
      </c>
      <c r="AF119" s="8">
        <v>1700</v>
      </c>
      <c r="AG119" s="7">
        <v>400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85</v>
      </c>
      <c r="AX119" s="8">
        <v>9600</v>
      </c>
      <c r="AY119" s="7">
        <v>500</v>
      </c>
      <c r="AZ119" s="7">
        <v>0</v>
      </c>
      <c r="BA119" s="7">
        <v>0</v>
      </c>
      <c r="BB119" s="7">
        <v>0</v>
      </c>
      <c r="BC119" s="7">
        <v>10</v>
      </c>
      <c r="BD119" s="8">
        <v>1200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9">
        <v>1032</v>
      </c>
      <c r="BM119" s="10">
        <v>13400</v>
      </c>
      <c r="BN119" s="15">
        <f t="shared" si="2"/>
        <v>12368</v>
      </c>
      <c r="BO119" s="16">
        <f t="shared" si="3"/>
        <v>8657.5999999999985</v>
      </c>
    </row>
    <row r="120" spans="1:67" x14ac:dyDescent="0.4">
      <c r="A120" s="5" t="s">
        <v>14</v>
      </c>
      <c r="B120" s="5" t="s">
        <v>217</v>
      </c>
      <c r="C120" s="5">
        <v>434877</v>
      </c>
      <c r="D120" s="6"/>
      <c r="E120" s="5" t="s">
        <v>16</v>
      </c>
      <c r="F120" s="5" t="s">
        <v>218</v>
      </c>
      <c r="G120" s="5" t="s">
        <v>10</v>
      </c>
      <c r="H120" s="7" t="s">
        <v>7</v>
      </c>
      <c r="I120" s="7" t="s">
        <v>219</v>
      </c>
      <c r="J120" s="7">
        <v>3</v>
      </c>
      <c r="K120" s="7">
        <v>0</v>
      </c>
      <c r="L120" s="7">
        <v>300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8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11</v>
      </c>
      <c r="AF120" s="7">
        <v>480</v>
      </c>
      <c r="AG120" s="7">
        <v>700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105</v>
      </c>
      <c r="AR120" s="8">
        <v>10500</v>
      </c>
      <c r="AS120" s="7">
        <v>0</v>
      </c>
      <c r="AT120" s="7">
        <v>0</v>
      </c>
      <c r="AU120" s="7">
        <v>0</v>
      </c>
      <c r="AV120" s="7">
        <v>0</v>
      </c>
      <c r="AW120" s="7">
        <v>10</v>
      </c>
      <c r="AX120" s="8">
        <v>1200</v>
      </c>
      <c r="AY120" s="7">
        <v>0</v>
      </c>
      <c r="AZ120" s="7">
        <v>0</v>
      </c>
      <c r="BA120" s="7">
        <v>0</v>
      </c>
      <c r="BB120" s="7">
        <v>0</v>
      </c>
      <c r="BC120" s="7">
        <v>1</v>
      </c>
      <c r="BD120" s="7">
        <v>120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127.2</v>
      </c>
      <c r="BM120" s="10">
        <v>13300</v>
      </c>
      <c r="BN120" s="15">
        <f t="shared" si="2"/>
        <v>13172.8</v>
      </c>
      <c r="BO120" s="16">
        <f t="shared" si="3"/>
        <v>9220.9599999999991</v>
      </c>
    </row>
    <row r="121" spans="1:67" x14ac:dyDescent="0.4">
      <c r="A121" s="5" t="s">
        <v>14</v>
      </c>
      <c r="B121" s="5" t="s">
        <v>532</v>
      </c>
      <c r="C121" s="5">
        <v>408579</v>
      </c>
      <c r="D121" s="6"/>
      <c r="E121" s="5" t="s">
        <v>16</v>
      </c>
      <c r="F121" s="5" t="s">
        <v>30</v>
      </c>
      <c r="G121" s="5" t="s">
        <v>10</v>
      </c>
      <c r="H121" s="7" t="s">
        <v>7</v>
      </c>
      <c r="I121" s="7" t="s">
        <v>232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4</v>
      </c>
      <c r="AF121" s="7">
        <v>0</v>
      </c>
      <c r="AG121" s="8">
        <v>12800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12800</v>
      </c>
      <c r="BN121" s="15">
        <f t="shared" si="2"/>
        <v>12800</v>
      </c>
      <c r="BO121" s="16">
        <f t="shared" si="3"/>
        <v>8960</v>
      </c>
    </row>
    <row r="122" spans="1:67" x14ac:dyDescent="0.4">
      <c r="A122" s="5" t="s">
        <v>14</v>
      </c>
      <c r="B122" s="5" t="s">
        <v>533</v>
      </c>
      <c r="C122" s="5">
        <v>475999</v>
      </c>
      <c r="D122" s="6"/>
      <c r="E122" s="5" t="s">
        <v>16</v>
      </c>
      <c r="F122" s="5" t="s">
        <v>434</v>
      </c>
      <c r="G122" s="5" t="s">
        <v>10</v>
      </c>
      <c r="H122" s="7" t="s">
        <v>8</v>
      </c>
      <c r="I122" s="7" t="s">
        <v>425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4</v>
      </c>
      <c r="AR122" s="8">
        <v>12600</v>
      </c>
      <c r="AS122" s="7">
        <v>200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12800</v>
      </c>
      <c r="BN122" s="15">
        <f t="shared" si="2"/>
        <v>12800</v>
      </c>
      <c r="BO122" s="16">
        <f t="shared" si="3"/>
        <v>8960</v>
      </c>
    </row>
    <row r="123" spans="1:67" x14ac:dyDescent="0.4">
      <c r="A123" s="5" t="s">
        <v>14</v>
      </c>
      <c r="B123" s="5" t="s">
        <v>142</v>
      </c>
      <c r="C123" s="5">
        <v>367994</v>
      </c>
      <c r="D123" s="6"/>
      <c r="E123" s="5" t="s">
        <v>16</v>
      </c>
      <c r="F123" s="5" t="s">
        <v>33</v>
      </c>
      <c r="G123" s="5" t="s">
        <v>34</v>
      </c>
      <c r="H123" s="7" t="s">
        <v>8</v>
      </c>
      <c r="I123" s="7" t="s">
        <v>143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10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30</v>
      </c>
      <c r="AF123" s="8">
        <v>1880</v>
      </c>
      <c r="AG123" s="8">
        <v>1400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5</v>
      </c>
      <c r="AR123" s="7">
        <v>500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75</v>
      </c>
      <c r="BD123" s="8">
        <v>9000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540</v>
      </c>
      <c r="BM123" s="10">
        <v>12780</v>
      </c>
      <c r="BN123" s="15">
        <f t="shared" si="2"/>
        <v>12240</v>
      </c>
      <c r="BO123" s="16">
        <f t="shared" si="3"/>
        <v>8568</v>
      </c>
    </row>
    <row r="124" spans="1:67" x14ac:dyDescent="0.4">
      <c r="A124" s="5" t="s">
        <v>14</v>
      </c>
      <c r="B124" s="5" t="s">
        <v>343</v>
      </c>
      <c r="C124" s="5">
        <v>452403</v>
      </c>
      <c r="D124" s="6"/>
      <c r="E124" s="5" t="s">
        <v>16</v>
      </c>
      <c r="F124" s="5" t="s">
        <v>334</v>
      </c>
      <c r="G124" s="5" t="s">
        <v>34</v>
      </c>
      <c r="H124" s="7" t="s">
        <v>8</v>
      </c>
      <c r="I124" s="7" t="s">
        <v>344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2</v>
      </c>
      <c r="AF124" s="7">
        <v>0</v>
      </c>
      <c r="AG124" s="7">
        <v>200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101</v>
      </c>
      <c r="BD124" s="8">
        <v>12120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727.2</v>
      </c>
      <c r="BM124" s="10">
        <v>12320</v>
      </c>
      <c r="BN124" s="15">
        <f t="shared" si="2"/>
        <v>11592.8</v>
      </c>
      <c r="BO124" s="16">
        <f t="shared" si="3"/>
        <v>8114.9599999999991</v>
      </c>
    </row>
    <row r="125" spans="1:67" x14ac:dyDescent="0.4">
      <c r="A125" s="5" t="s">
        <v>14</v>
      </c>
      <c r="B125" s="5" t="s">
        <v>269</v>
      </c>
      <c r="C125" s="5">
        <v>358724</v>
      </c>
      <c r="D125" s="6"/>
      <c r="E125" s="5" t="s">
        <v>16</v>
      </c>
      <c r="F125" s="5" t="s">
        <v>270</v>
      </c>
      <c r="G125" s="5" t="s">
        <v>34</v>
      </c>
      <c r="H125" s="7" t="s">
        <v>8</v>
      </c>
      <c r="I125" s="7" t="s">
        <v>106</v>
      </c>
      <c r="J125" s="7">
        <v>6</v>
      </c>
      <c r="K125" s="7">
        <v>0</v>
      </c>
      <c r="L125" s="7">
        <v>600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5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7</v>
      </c>
      <c r="AX125" s="7">
        <v>938</v>
      </c>
      <c r="AY125" s="7">
        <v>0</v>
      </c>
      <c r="AZ125" s="7">
        <v>0</v>
      </c>
      <c r="BA125" s="7">
        <v>0</v>
      </c>
      <c r="BB125" s="7">
        <v>0</v>
      </c>
      <c r="BC125" s="7">
        <v>84</v>
      </c>
      <c r="BD125" s="8">
        <v>10080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698.6</v>
      </c>
      <c r="BM125" s="10">
        <v>11618</v>
      </c>
      <c r="BN125" s="15">
        <f t="shared" si="2"/>
        <v>10919.4</v>
      </c>
      <c r="BO125" s="16">
        <f t="shared" si="3"/>
        <v>7643.579999999999</v>
      </c>
    </row>
    <row r="126" spans="1:67" x14ac:dyDescent="0.4">
      <c r="A126" s="5" t="s">
        <v>14</v>
      </c>
      <c r="B126" s="5" t="s">
        <v>148</v>
      </c>
      <c r="C126" s="5">
        <v>422374</v>
      </c>
      <c r="D126" s="6"/>
      <c r="E126" s="5" t="s">
        <v>16</v>
      </c>
      <c r="F126" s="5" t="s">
        <v>149</v>
      </c>
      <c r="G126" s="5" t="s">
        <v>10</v>
      </c>
      <c r="H126" s="7" t="s">
        <v>7</v>
      </c>
      <c r="I126" s="7" t="s">
        <v>114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3</v>
      </c>
      <c r="BD126" s="8">
        <v>11520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691.2</v>
      </c>
      <c r="BM126" s="10">
        <v>11520</v>
      </c>
      <c r="BN126" s="15">
        <f t="shared" si="2"/>
        <v>10828.8</v>
      </c>
      <c r="BO126" s="16">
        <f t="shared" si="3"/>
        <v>7580.1599999999989</v>
      </c>
    </row>
    <row r="127" spans="1:67" x14ac:dyDescent="0.4">
      <c r="A127" s="5" t="s">
        <v>14</v>
      </c>
      <c r="B127" s="5" t="s">
        <v>317</v>
      </c>
      <c r="C127" s="5">
        <v>366144</v>
      </c>
      <c r="D127" s="6"/>
      <c r="E127" s="5" t="s">
        <v>16</v>
      </c>
      <c r="F127" s="5" t="s">
        <v>318</v>
      </c>
      <c r="G127" s="5" t="s">
        <v>34</v>
      </c>
      <c r="H127" s="7" t="s">
        <v>8</v>
      </c>
      <c r="I127" s="7" t="s">
        <v>319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2</v>
      </c>
      <c r="AF127" s="7">
        <v>0</v>
      </c>
      <c r="AG127" s="7">
        <v>200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13</v>
      </c>
      <c r="AX127" s="8">
        <v>1560</v>
      </c>
      <c r="AY127" s="7">
        <v>0</v>
      </c>
      <c r="AZ127" s="7">
        <v>0</v>
      </c>
      <c r="BA127" s="7">
        <v>0</v>
      </c>
      <c r="BB127" s="7">
        <v>0</v>
      </c>
      <c r="BC127" s="7">
        <v>80</v>
      </c>
      <c r="BD127" s="8">
        <v>9600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732</v>
      </c>
      <c r="BM127" s="10">
        <v>11360</v>
      </c>
      <c r="BN127" s="15">
        <f t="shared" si="2"/>
        <v>10628</v>
      </c>
      <c r="BO127" s="16">
        <f t="shared" si="3"/>
        <v>7439.5999999999995</v>
      </c>
    </row>
    <row r="128" spans="1:67" x14ac:dyDescent="0.4">
      <c r="A128" s="5" t="s">
        <v>14</v>
      </c>
      <c r="B128" s="5" t="s">
        <v>293</v>
      </c>
      <c r="C128" s="5">
        <v>391008</v>
      </c>
      <c r="D128" s="6"/>
      <c r="E128" s="5" t="s">
        <v>16</v>
      </c>
      <c r="F128" s="5" t="s">
        <v>125</v>
      </c>
      <c r="G128" s="5" t="s">
        <v>34</v>
      </c>
      <c r="H128" s="7" t="s">
        <v>8</v>
      </c>
      <c r="I128" s="7" t="s">
        <v>294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5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86</v>
      </c>
      <c r="BD128" s="8">
        <v>10320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619.20000000000005</v>
      </c>
      <c r="BM128" s="10">
        <v>10320</v>
      </c>
      <c r="BN128" s="15">
        <f t="shared" si="2"/>
        <v>9700.7999999999993</v>
      </c>
      <c r="BO128" s="16">
        <f t="shared" si="3"/>
        <v>6790.5599999999995</v>
      </c>
    </row>
    <row r="129" spans="1:67" x14ac:dyDescent="0.4">
      <c r="A129" s="5" t="s">
        <v>14</v>
      </c>
      <c r="B129" s="5" t="s">
        <v>203</v>
      </c>
      <c r="C129" s="5">
        <v>332138</v>
      </c>
      <c r="D129" s="6"/>
      <c r="E129" s="5" t="s">
        <v>16</v>
      </c>
      <c r="F129" s="5" t="s">
        <v>204</v>
      </c>
      <c r="G129" s="5" t="s">
        <v>34</v>
      </c>
      <c r="H129" s="7" t="s">
        <v>9</v>
      </c>
      <c r="I129" s="7" t="s">
        <v>205</v>
      </c>
      <c r="J129" s="7">
        <v>9</v>
      </c>
      <c r="K129" s="7">
        <v>0</v>
      </c>
      <c r="L129" s="7">
        <v>900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7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13</v>
      </c>
      <c r="AF129" s="7">
        <v>0</v>
      </c>
      <c r="AG129" s="8">
        <v>1300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68</v>
      </c>
      <c r="AR129" s="8">
        <v>6800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1</v>
      </c>
      <c r="BD129" s="7">
        <v>120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7.2</v>
      </c>
      <c r="BM129" s="10">
        <v>9120</v>
      </c>
      <c r="BN129" s="15">
        <f t="shared" si="2"/>
        <v>9112.7999999999993</v>
      </c>
      <c r="BO129" s="16">
        <f t="shared" si="3"/>
        <v>6378.9599999999991</v>
      </c>
    </row>
    <row r="130" spans="1:67" x14ac:dyDescent="0.4">
      <c r="A130" s="5" t="s">
        <v>14</v>
      </c>
      <c r="B130" s="5" t="s">
        <v>322</v>
      </c>
      <c r="C130" s="5">
        <v>157002</v>
      </c>
      <c r="D130" s="6" t="s">
        <v>323</v>
      </c>
      <c r="E130" s="5" t="s">
        <v>16</v>
      </c>
      <c r="F130" s="5" t="s">
        <v>30</v>
      </c>
      <c r="G130" s="5" t="s">
        <v>10</v>
      </c>
      <c r="H130" s="7" t="s">
        <v>7</v>
      </c>
      <c r="I130" s="7" t="s">
        <v>324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</v>
      </c>
      <c r="AF130" s="7">
        <v>0</v>
      </c>
      <c r="AG130" s="7">
        <v>200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20</v>
      </c>
      <c r="AR130" s="8">
        <v>1500</v>
      </c>
      <c r="AS130" s="7">
        <v>500</v>
      </c>
      <c r="AT130" s="7">
        <v>0</v>
      </c>
      <c r="AU130" s="7">
        <v>0</v>
      </c>
      <c r="AV130" s="7">
        <v>0</v>
      </c>
      <c r="AW130" s="7">
        <v>19</v>
      </c>
      <c r="AX130" s="8">
        <v>2280</v>
      </c>
      <c r="AY130" s="7">
        <v>0</v>
      </c>
      <c r="AZ130" s="7">
        <v>0</v>
      </c>
      <c r="BA130" s="7">
        <v>0</v>
      </c>
      <c r="BB130" s="7">
        <v>0</v>
      </c>
      <c r="BC130" s="7">
        <v>38</v>
      </c>
      <c r="BD130" s="8">
        <v>4560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501.6</v>
      </c>
      <c r="BM130" s="10">
        <v>9040</v>
      </c>
      <c r="BN130" s="15">
        <f t="shared" si="2"/>
        <v>8538.4</v>
      </c>
      <c r="BO130" s="16">
        <f t="shared" si="3"/>
        <v>5976.8799999999992</v>
      </c>
    </row>
    <row r="131" spans="1:67" x14ac:dyDescent="0.4">
      <c r="A131" s="5" t="s">
        <v>14</v>
      </c>
      <c r="B131" s="5" t="s">
        <v>337</v>
      </c>
      <c r="C131" s="5">
        <v>408191</v>
      </c>
      <c r="D131" s="6"/>
      <c r="E131" s="5" t="s">
        <v>16</v>
      </c>
      <c r="F131" s="5" t="s">
        <v>130</v>
      </c>
      <c r="G131" s="5" t="s">
        <v>34</v>
      </c>
      <c r="H131" s="7" t="s">
        <v>8</v>
      </c>
      <c r="I131" s="7" t="s">
        <v>232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4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12</v>
      </c>
      <c r="AF131" s="8">
        <v>1200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64</v>
      </c>
      <c r="BD131" s="8">
        <v>7680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460.8</v>
      </c>
      <c r="BM131" s="10">
        <v>8880</v>
      </c>
      <c r="BN131" s="15">
        <f t="shared" ref="BN131:BN185" si="4">BM131-BL131</f>
        <v>8419.2000000000007</v>
      </c>
      <c r="BO131" s="16">
        <f t="shared" ref="BO131:BO185" si="5">BN131*70%</f>
        <v>5893.4400000000005</v>
      </c>
    </row>
    <row r="132" spans="1:67" x14ac:dyDescent="0.4">
      <c r="A132" s="5" t="s">
        <v>14</v>
      </c>
      <c r="B132" s="5" t="s">
        <v>303</v>
      </c>
      <c r="C132" s="5">
        <v>467494</v>
      </c>
      <c r="D132" s="6"/>
      <c r="E132" s="5" t="s">
        <v>16</v>
      </c>
      <c r="F132" s="5" t="s">
        <v>304</v>
      </c>
      <c r="G132" s="5" t="s">
        <v>34</v>
      </c>
      <c r="H132" s="7" t="s">
        <v>8</v>
      </c>
      <c r="I132" s="7" t="s">
        <v>21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2</v>
      </c>
      <c r="BD132" s="8">
        <v>8640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518.4</v>
      </c>
      <c r="BM132" s="10">
        <v>8640</v>
      </c>
      <c r="BN132" s="15">
        <f t="shared" si="4"/>
        <v>8121.6</v>
      </c>
      <c r="BO132" s="16">
        <f t="shared" si="5"/>
        <v>5685.12</v>
      </c>
    </row>
    <row r="133" spans="1:67" x14ac:dyDescent="0.4">
      <c r="A133" s="5" t="s">
        <v>14</v>
      </c>
      <c r="B133" s="5" t="s">
        <v>295</v>
      </c>
      <c r="C133" s="5">
        <v>385169</v>
      </c>
      <c r="D133" s="6"/>
      <c r="E133" s="5" t="s">
        <v>16</v>
      </c>
      <c r="F133" s="5" t="s">
        <v>207</v>
      </c>
      <c r="G133" s="5" t="s">
        <v>34</v>
      </c>
      <c r="H133" s="7" t="s">
        <v>8</v>
      </c>
      <c r="I133" s="7" t="s">
        <v>289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5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24</v>
      </c>
      <c r="AR133" s="8">
        <v>2400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50</v>
      </c>
      <c r="BD133" s="8">
        <v>6000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360</v>
      </c>
      <c r="BM133" s="10">
        <v>8400</v>
      </c>
      <c r="BN133" s="15">
        <f t="shared" si="4"/>
        <v>8040</v>
      </c>
      <c r="BO133" s="16">
        <f t="shared" si="5"/>
        <v>5628</v>
      </c>
    </row>
    <row r="134" spans="1:67" x14ac:dyDescent="0.4">
      <c r="A134" s="5" t="s">
        <v>14</v>
      </c>
      <c r="B134" s="5" t="s">
        <v>299</v>
      </c>
      <c r="C134" s="5">
        <v>381684</v>
      </c>
      <c r="D134" s="6"/>
      <c r="E134" s="5" t="s">
        <v>16</v>
      </c>
      <c r="F134" s="5" t="s">
        <v>133</v>
      </c>
      <c r="G134" s="5" t="s">
        <v>34</v>
      </c>
      <c r="H134" s="7" t="s">
        <v>300</v>
      </c>
      <c r="I134" s="7" t="s">
        <v>134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8">
        <v>3800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1</v>
      </c>
      <c r="BD134" s="8">
        <v>4560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273.60000000000002</v>
      </c>
      <c r="BM134" s="10">
        <v>8360</v>
      </c>
      <c r="BN134" s="15">
        <f t="shared" si="4"/>
        <v>8086.4</v>
      </c>
      <c r="BO134" s="16">
        <f t="shared" si="5"/>
        <v>5660.48</v>
      </c>
    </row>
    <row r="135" spans="1:67" x14ac:dyDescent="0.4">
      <c r="A135" s="5" t="s">
        <v>14</v>
      </c>
      <c r="B135" s="5" t="s">
        <v>534</v>
      </c>
      <c r="C135" s="5">
        <v>469075</v>
      </c>
      <c r="D135" s="6"/>
      <c r="E135" s="5" t="s">
        <v>16</v>
      </c>
      <c r="F135" s="5" t="s">
        <v>58</v>
      </c>
      <c r="G135" s="5" t="s">
        <v>421</v>
      </c>
      <c r="H135" s="7" t="s">
        <v>9</v>
      </c>
      <c r="I135" s="7" t="s">
        <v>535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2</v>
      </c>
      <c r="AR135" s="8">
        <v>8200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0">
        <v>8200</v>
      </c>
      <c r="BN135" s="15">
        <f t="shared" si="4"/>
        <v>8200</v>
      </c>
      <c r="BO135" s="16">
        <f t="shared" si="5"/>
        <v>5740</v>
      </c>
    </row>
    <row r="136" spans="1:67" x14ac:dyDescent="0.4">
      <c r="A136" s="5" t="s">
        <v>14</v>
      </c>
      <c r="B136" s="5" t="s">
        <v>536</v>
      </c>
      <c r="C136" s="5">
        <v>441966</v>
      </c>
      <c r="D136" s="6"/>
      <c r="E136" s="5" t="s">
        <v>16</v>
      </c>
      <c r="F136" s="5" t="s">
        <v>108</v>
      </c>
      <c r="G136" s="5" t="s">
        <v>421</v>
      </c>
      <c r="H136" s="7" t="s">
        <v>8</v>
      </c>
      <c r="I136" s="7" t="s">
        <v>537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2</v>
      </c>
      <c r="AR136" s="8">
        <v>4800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1</v>
      </c>
      <c r="BD136" s="8">
        <v>2880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172.8</v>
      </c>
      <c r="BM136" s="10">
        <v>7680</v>
      </c>
      <c r="BN136" s="15">
        <f t="shared" si="4"/>
        <v>7507.2</v>
      </c>
      <c r="BO136" s="16">
        <f t="shared" si="5"/>
        <v>5255.04</v>
      </c>
    </row>
    <row r="137" spans="1:67" x14ac:dyDescent="0.4">
      <c r="A137" s="5" t="s">
        <v>14</v>
      </c>
      <c r="B137" s="5" t="s">
        <v>538</v>
      </c>
      <c r="C137" s="5">
        <v>475995</v>
      </c>
      <c r="D137" s="6"/>
      <c r="E137" s="5" t="s">
        <v>16</v>
      </c>
      <c r="F137" s="5" t="s">
        <v>55</v>
      </c>
      <c r="G137" s="5" t="s">
        <v>10</v>
      </c>
      <c r="H137" s="7" t="s">
        <v>7</v>
      </c>
      <c r="I137" s="7" t="s">
        <v>425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8">
        <v>1700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1</v>
      </c>
      <c r="AX137" s="8">
        <v>3840</v>
      </c>
      <c r="AY137" s="7">
        <v>0</v>
      </c>
      <c r="AZ137" s="7">
        <v>0</v>
      </c>
      <c r="BA137" s="7">
        <v>0</v>
      </c>
      <c r="BB137" s="7">
        <v>0</v>
      </c>
      <c r="BC137" s="7">
        <v>1</v>
      </c>
      <c r="BD137" s="8">
        <v>1800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492</v>
      </c>
      <c r="BM137" s="10">
        <v>7340</v>
      </c>
      <c r="BN137" s="15">
        <f t="shared" si="4"/>
        <v>6848</v>
      </c>
      <c r="BO137" s="16">
        <f t="shared" si="5"/>
        <v>4793.5999999999995</v>
      </c>
    </row>
    <row r="138" spans="1:67" x14ac:dyDescent="0.4">
      <c r="A138" s="5" t="s">
        <v>14</v>
      </c>
      <c r="B138" s="5" t="s">
        <v>539</v>
      </c>
      <c r="C138" s="5">
        <v>336995</v>
      </c>
      <c r="D138" s="6"/>
      <c r="E138" s="5" t="s">
        <v>16</v>
      </c>
      <c r="F138" s="5" t="s">
        <v>140</v>
      </c>
      <c r="G138" s="5" t="s">
        <v>34</v>
      </c>
      <c r="H138" s="7" t="s">
        <v>8</v>
      </c>
      <c r="I138" s="7" t="s">
        <v>540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6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39</v>
      </c>
      <c r="AF138" s="7">
        <v>0</v>
      </c>
      <c r="AG138" s="8">
        <v>3900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33</v>
      </c>
      <c r="AR138" s="8">
        <v>3300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1</v>
      </c>
      <c r="BD138" s="7">
        <v>120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7.2</v>
      </c>
      <c r="BM138" s="10">
        <v>7320</v>
      </c>
      <c r="BN138" s="15">
        <f t="shared" si="4"/>
        <v>7312.8</v>
      </c>
      <c r="BO138" s="16">
        <f t="shared" si="5"/>
        <v>5118.96</v>
      </c>
    </row>
    <row r="139" spans="1:67" x14ac:dyDescent="0.4">
      <c r="A139" s="5" t="s">
        <v>14</v>
      </c>
      <c r="B139" s="5" t="s">
        <v>356</v>
      </c>
      <c r="C139" s="5">
        <v>392658</v>
      </c>
      <c r="D139" s="6"/>
      <c r="E139" s="5" t="s">
        <v>16</v>
      </c>
      <c r="F139" s="5" t="s">
        <v>52</v>
      </c>
      <c r="G139" s="5" t="s">
        <v>34</v>
      </c>
      <c r="H139" s="7" t="s">
        <v>300</v>
      </c>
      <c r="I139" s="7" t="s">
        <v>282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8">
        <v>2500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2</v>
      </c>
      <c r="BD139" s="8">
        <v>4680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280.8</v>
      </c>
      <c r="BM139" s="10">
        <v>7180</v>
      </c>
      <c r="BN139" s="15">
        <f t="shared" si="4"/>
        <v>6899.2</v>
      </c>
      <c r="BO139" s="16">
        <f t="shared" si="5"/>
        <v>4829.4399999999996</v>
      </c>
    </row>
    <row r="140" spans="1:67" ht="19.2" x14ac:dyDescent="0.4">
      <c r="A140" s="5" t="s">
        <v>14</v>
      </c>
      <c r="B140" s="5" t="s">
        <v>231</v>
      </c>
      <c r="C140" s="5">
        <v>408593</v>
      </c>
      <c r="D140" s="6"/>
      <c r="E140" s="5" t="s">
        <v>16</v>
      </c>
      <c r="F140" s="5" t="s">
        <v>78</v>
      </c>
      <c r="G140" s="5" t="s">
        <v>10</v>
      </c>
      <c r="H140" s="7" t="s">
        <v>7</v>
      </c>
      <c r="I140" s="7" t="s">
        <v>232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8">
        <v>3840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</v>
      </c>
      <c r="AR140" s="8">
        <v>3200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0">
        <v>7040</v>
      </c>
      <c r="BN140" s="15">
        <f t="shared" si="4"/>
        <v>7040</v>
      </c>
      <c r="BO140" s="16">
        <f t="shared" si="5"/>
        <v>4928</v>
      </c>
    </row>
    <row r="141" spans="1:67" x14ac:dyDescent="0.4">
      <c r="A141" s="5" t="s">
        <v>14</v>
      </c>
      <c r="B141" s="5" t="s">
        <v>275</v>
      </c>
      <c r="C141" s="5">
        <v>381070</v>
      </c>
      <c r="D141" s="6"/>
      <c r="E141" s="5" t="s">
        <v>16</v>
      </c>
      <c r="F141" s="5" t="s">
        <v>276</v>
      </c>
      <c r="G141" s="5" t="s">
        <v>34</v>
      </c>
      <c r="H141" s="7" t="s">
        <v>8</v>
      </c>
      <c r="I141" s="7" t="s">
        <v>277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45</v>
      </c>
      <c r="AF141" s="8">
        <v>4500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4</v>
      </c>
      <c r="AR141" s="7">
        <v>400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17</v>
      </c>
      <c r="BD141" s="8">
        <v>2040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122.4</v>
      </c>
      <c r="BM141" s="10">
        <v>6940</v>
      </c>
      <c r="BN141" s="15">
        <f t="shared" si="4"/>
        <v>6817.6</v>
      </c>
      <c r="BO141" s="16">
        <f t="shared" si="5"/>
        <v>4772.32</v>
      </c>
    </row>
    <row r="142" spans="1:67" x14ac:dyDescent="0.4">
      <c r="A142" s="5" t="s">
        <v>14</v>
      </c>
      <c r="B142" s="5" t="s">
        <v>196</v>
      </c>
      <c r="C142" s="5">
        <v>371774</v>
      </c>
      <c r="D142" s="6"/>
      <c r="E142" s="5" t="s">
        <v>16</v>
      </c>
      <c r="F142" s="5" t="s">
        <v>197</v>
      </c>
      <c r="G142" s="5" t="s">
        <v>10</v>
      </c>
      <c r="H142" s="7" t="s">
        <v>7</v>
      </c>
      <c r="I142" s="7" t="s">
        <v>198</v>
      </c>
      <c r="J142" s="7">
        <v>0</v>
      </c>
      <c r="K142" s="7">
        <v>15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12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25</v>
      </c>
      <c r="AF142" s="8">
        <v>2500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1</v>
      </c>
      <c r="AR142" s="7">
        <v>100</v>
      </c>
      <c r="AS142" s="7">
        <v>0</v>
      </c>
      <c r="AT142" s="7">
        <v>0</v>
      </c>
      <c r="AU142" s="7">
        <v>0</v>
      </c>
      <c r="AV142" s="7">
        <v>0</v>
      </c>
      <c r="AW142" s="7">
        <v>33</v>
      </c>
      <c r="AX142" s="8">
        <v>3960</v>
      </c>
      <c r="AY142" s="7">
        <v>0</v>
      </c>
      <c r="AZ142" s="7">
        <v>0</v>
      </c>
      <c r="BA142" s="7">
        <v>0</v>
      </c>
      <c r="BB142" s="7">
        <v>0</v>
      </c>
      <c r="BC142" s="7">
        <v>1</v>
      </c>
      <c r="BD142" s="7">
        <v>120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403.2</v>
      </c>
      <c r="BM142" s="10">
        <v>6680</v>
      </c>
      <c r="BN142" s="15">
        <f t="shared" si="4"/>
        <v>6276.8</v>
      </c>
      <c r="BO142" s="16">
        <f t="shared" si="5"/>
        <v>4393.76</v>
      </c>
    </row>
    <row r="143" spans="1:67" x14ac:dyDescent="0.4">
      <c r="A143" s="5" t="s">
        <v>14</v>
      </c>
      <c r="B143" s="5" t="s">
        <v>541</v>
      </c>
      <c r="C143" s="5">
        <v>399402</v>
      </c>
      <c r="D143" s="6"/>
      <c r="E143" s="5" t="s">
        <v>16</v>
      </c>
      <c r="F143" s="5" t="s">
        <v>41</v>
      </c>
      <c r="G143" s="5" t="s">
        <v>34</v>
      </c>
      <c r="H143" s="7" t="s">
        <v>300</v>
      </c>
      <c r="I143" s="7" t="s">
        <v>542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2</v>
      </c>
      <c r="AF143" s="8">
        <v>6000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6000</v>
      </c>
      <c r="BN143" s="15">
        <f t="shared" si="4"/>
        <v>6000</v>
      </c>
      <c r="BO143" s="16">
        <f t="shared" si="5"/>
        <v>4200</v>
      </c>
    </row>
    <row r="144" spans="1:67" ht="19.2" x14ac:dyDescent="0.4">
      <c r="A144" s="5" t="s">
        <v>14</v>
      </c>
      <c r="B144" s="5" t="s">
        <v>447</v>
      </c>
      <c r="C144" s="5">
        <v>421814</v>
      </c>
      <c r="D144" s="6"/>
      <c r="E144" s="5" t="s">
        <v>16</v>
      </c>
      <c r="F144" s="5" t="s">
        <v>41</v>
      </c>
      <c r="G144" s="5" t="s">
        <v>34</v>
      </c>
      <c r="H144" s="7" t="s">
        <v>300</v>
      </c>
      <c r="I144" s="7" t="s">
        <v>193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2</v>
      </c>
      <c r="AF144" s="8">
        <v>5800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0">
        <v>5800</v>
      </c>
      <c r="BN144" s="15">
        <f t="shared" si="4"/>
        <v>5800</v>
      </c>
      <c r="BO144" s="16">
        <f t="shared" si="5"/>
        <v>4059.9999999999995</v>
      </c>
    </row>
    <row r="145" spans="1:67" x14ac:dyDescent="0.4">
      <c r="A145" s="5" t="s">
        <v>14</v>
      </c>
      <c r="B145" s="5" t="s">
        <v>320</v>
      </c>
      <c r="C145" s="5">
        <v>358202</v>
      </c>
      <c r="D145" s="6"/>
      <c r="E145" s="5" t="s">
        <v>16</v>
      </c>
      <c r="F145" s="5" t="s">
        <v>264</v>
      </c>
      <c r="G145" s="5" t="s">
        <v>34</v>
      </c>
      <c r="H145" s="7" t="s">
        <v>8</v>
      </c>
      <c r="I145" s="7" t="s">
        <v>321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46</v>
      </c>
      <c r="BD145" s="8">
        <v>5520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331.2</v>
      </c>
      <c r="BM145" s="10">
        <v>5520</v>
      </c>
      <c r="BN145" s="15">
        <f t="shared" si="4"/>
        <v>5188.8</v>
      </c>
      <c r="BO145" s="16">
        <f t="shared" si="5"/>
        <v>3632.16</v>
      </c>
    </row>
    <row r="146" spans="1:67" x14ac:dyDescent="0.4">
      <c r="A146" s="5" t="s">
        <v>14</v>
      </c>
      <c r="B146" s="5" t="s">
        <v>287</v>
      </c>
      <c r="C146" s="5">
        <v>355320</v>
      </c>
      <c r="D146" s="6"/>
      <c r="E146" s="5" t="s">
        <v>16</v>
      </c>
      <c r="F146" s="5" t="s">
        <v>288</v>
      </c>
      <c r="G146" s="5" t="s">
        <v>34</v>
      </c>
      <c r="H146" s="7" t="s">
        <v>8</v>
      </c>
      <c r="I146" s="7" t="s">
        <v>289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5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55</v>
      </c>
      <c r="AF146" s="8">
        <v>1000</v>
      </c>
      <c r="AG146" s="8">
        <v>4500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0">
        <v>5500</v>
      </c>
      <c r="BN146" s="15">
        <f t="shared" si="4"/>
        <v>5500</v>
      </c>
      <c r="BO146" s="16">
        <f t="shared" si="5"/>
        <v>3849.9999999999995</v>
      </c>
    </row>
    <row r="147" spans="1:67" x14ac:dyDescent="0.4">
      <c r="A147" s="5" t="s">
        <v>14</v>
      </c>
      <c r="B147" s="5" t="s">
        <v>291</v>
      </c>
      <c r="C147" s="5">
        <v>427091</v>
      </c>
      <c r="D147" s="6"/>
      <c r="E147" s="5" t="s">
        <v>16</v>
      </c>
      <c r="F147" s="5" t="s">
        <v>41</v>
      </c>
      <c r="G147" s="5" t="s">
        <v>34</v>
      </c>
      <c r="H147" s="7" t="s">
        <v>8</v>
      </c>
      <c r="I147" s="7" t="s">
        <v>292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47</v>
      </c>
      <c r="AF147" s="7">
        <v>0</v>
      </c>
      <c r="AG147" s="8">
        <v>4700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1</v>
      </c>
      <c r="AX147" s="7">
        <v>120</v>
      </c>
      <c r="AY147" s="7">
        <v>0</v>
      </c>
      <c r="AZ147" s="7">
        <v>0</v>
      </c>
      <c r="BA147" s="7">
        <v>0</v>
      </c>
      <c r="BB147" s="7">
        <v>0</v>
      </c>
      <c r="BC147" s="7">
        <v>2</v>
      </c>
      <c r="BD147" s="7">
        <v>240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26.4</v>
      </c>
      <c r="BM147" s="10">
        <v>5060</v>
      </c>
      <c r="BN147" s="15">
        <f t="shared" si="4"/>
        <v>5033.6000000000004</v>
      </c>
      <c r="BO147" s="16">
        <f t="shared" si="5"/>
        <v>3523.52</v>
      </c>
    </row>
    <row r="148" spans="1:67" x14ac:dyDescent="0.4">
      <c r="A148" s="5" t="s">
        <v>14</v>
      </c>
      <c r="B148" s="5" t="s">
        <v>325</v>
      </c>
      <c r="C148" s="5">
        <v>406872</v>
      </c>
      <c r="D148" s="6"/>
      <c r="E148" s="5" t="s">
        <v>16</v>
      </c>
      <c r="F148" s="5" t="s">
        <v>326</v>
      </c>
      <c r="G148" s="5" t="s">
        <v>421</v>
      </c>
      <c r="H148" s="7" t="s">
        <v>9</v>
      </c>
      <c r="I148" s="7" t="s">
        <v>327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32</v>
      </c>
      <c r="AF148" s="8">
        <v>3840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3</v>
      </c>
      <c r="BD148" s="7">
        <v>360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21.6</v>
      </c>
      <c r="BM148" s="10">
        <v>4200</v>
      </c>
      <c r="BN148" s="15">
        <f t="shared" si="4"/>
        <v>4178.3999999999996</v>
      </c>
      <c r="BO148" s="16">
        <f t="shared" si="5"/>
        <v>2924.8799999999997</v>
      </c>
    </row>
    <row r="149" spans="1:67" x14ac:dyDescent="0.4">
      <c r="A149" s="5" t="s">
        <v>14</v>
      </c>
      <c r="B149" s="5" t="s">
        <v>437</v>
      </c>
      <c r="C149" s="5">
        <v>350655</v>
      </c>
      <c r="D149" s="6"/>
      <c r="E149" s="5" t="s">
        <v>16</v>
      </c>
      <c r="F149" s="5" t="s">
        <v>264</v>
      </c>
      <c r="G149" s="5" t="s">
        <v>34</v>
      </c>
      <c r="H149" s="7" t="s">
        <v>8</v>
      </c>
      <c r="I149" s="7" t="s">
        <v>438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35</v>
      </c>
      <c r="BD149" s="8">
        <v>4200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252</v>
      </c>
      <c r="BM149" s="10">
        <v>4200</v>
      </c>
      <c r="BN149" s="15">
        <f t="shared" si="4"/>
        <v>3948</v>
      </c>
      <c r="BO149" s="16">
        <f t="shared" si="5"/>
        <v>2763.6</v>
      </c>
    </row>
    <row r="150" spans="1:67" x14ac:dyDescent="0.4">
      <c r="A150" s="5" t="s">
        <v>14</v>
      </c>
      <c r="B150" s="5" t="s">
        <v>335</v>
      </c>
      <c r="C150" s="5">
        <v>469950</v>
      </c>
      <c r="D150" s="6"/>
      <c r="E150" s="5" t="s">
        <v>16</v>
      </c>
      <c r="F150" s="5" t="s">
        <v>304</v>
      </c>
      <c r="G150" s="5" t="s">
        <v>34</v>
      </c>
      <c r="H150" s="7" t="s">
        <v>8</v>
      </c>
      <c r="I150" s="7" t="s">
        <v>336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41</v>
      </c>
      <c r="AF150" s="7">
        <v>0</v>
      </c>
      <c r="AG150" s="8">
        <v>4100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0">
        <v>4100</v>
      </c>
      <c r="BN150" s="15">
        <f t="shared" si="4"/>
        <v>4100</v>
      </c>
      <c r="BO150" s="16">
        <f t="shared" si="5"/>
        <v>2870</v>
      </c>
    </row>
    <row r="151" spans="1:67" x14ac:dyDescent="0.4">
      <c r="A151" s="5" t="s">
        <v>14</v>
      </c>
      <c r="B151" s="5" t="s">
        <v>543</v>
      </c>
      <c r="C151" s="5">
        <v>383717</v>
      </c>
      <c r="D151" s="6"/>
      <c r="E151" s="5" t="s">
        <v>16</v>
      </c>
      <c r="F151" s="5" t="s">
        <v>264</v>
      </c>
      <c r="G151" s="5" t="s">
        <v>34</v>
      </c>
      <c r="H151" s="7" t="s">
        <v>300</v>
      </c>
      <c r="I151" s="7" t="s">
        <v>131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8">
        <v>4000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0">
        <v>4000</v>
      </c>
      <c r="BN151" s="15">
        <f t="shared" si="4"/>
        <v>4000</v>
      </c>
      <c r="BO151" s="16">
        <f t="shared" si="5"/>
        <v>2800</v>
      </c>
    </row>
    <row r="152" spans="1:67" x14ac:dyDescent="0.4">
      <c r="A152" s="5" t="s">
        <v>14</v>
      </c>
      <c r="B152" s="5" t="s">
        <v>544</v>
      </c>
      <c r="C152" s="5">
        <v>457958</v>
      </c>
      <c r="D152" s="6"/>
      <c r="E152" s="5" t="s">
        <v>16</v>
      </c>
      <c r="F152" s="5" t="s">
        <v>334</v>
      </c>
      <c r="G152" s="5" t="s">
        <v>34</v>
      </c>
      <c r="H152" s="7" t="s">
        <v>8</v>
      </c>
      <c r="I152" s="7" t="s">
        <v>545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1</v>
      </c>
      <c r="BD152" s="8">
        <v>3960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237.6</v>
      </c>
      <c r="BM152" s="10">
        <v>3960</v>
      </c>
      <c r="BN152" s="15">
        <f t="shared" si="4"/>
        <v>3722.4</v>
      </c>
      <c r="BO152" s="16">
        <f t="shared" si="5"/>
        <v>2605.6799999999998</v>
      </c>
    </row>
    <row r="153" spans="1:67" x14ac:dyDescent="0.4">
      <c r="A153" s="5" t="s">
        <v>14</v>
      </c>
      <c r="B153" s="5" t="s">
        <v>301</v>
      </c>
      <c r="C153" s="5">
        <v>382325</v>
      </c>
      <c r="D153" s="6"/>
      <c r="E153" s="5" t="s">
        <v>16</v>
      </c>
      <c r="F153" s="5" t="s">
        <v>33</v>
      </c>
      <c r="G153" s="5" t="s">
        <v>34</v>
      </c>
      <c r="H153" s="7" t="s">
        <v>8</v>
      </c>
      <c r="I153" s="7" t="s">
        <v>302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3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32</v>
      </c>
      <c r="BD153" s="8">
        <v>3840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230.4</v>
      </c>
      <c r="BM153" s="10">
        <v>3840</v>
      </c>
      <c r="BN153" s="15">
        <f t="shared" si="4"/>
        <v>3609.6</v>
      </c>
      <c r="BO153" s="16">
        <f t="shared" si="5"/>
        <v>2526.7199999999998</v>
      </c>
    </row>
    <row r="154" spans="1:67" x14ac:dyDescent="0.4">
      <c r="A154" s="5" t="s">
        <v>14</v>
      </c>
      <c r="B154" s="5" t="s">
        <v>433</v>
      </c>
      <c r="C154" s="5">
        <v>475889</v>
      </c>
      <c r="D154" s="6"/>
      <c r="E154" s="5" t="s">
        <v>16</v>
      </c>
      <c r="F154" s="5" t="s">
        <v>176</v>
      </c>
      <c r="G154" s="5" t="s">
        <v>10</v>
      </c>
      <c r="H154" s="7" t="s">
        <v>7</v>
      </c>
      <c r="I154" s="7" t="s">
        <v>425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1</v>
      </c>
      <c r="AX154" s="8">
        <v>3840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384</v>
      </c>
      <c r="BM154" s="10">
        <v>3840</v>
      </c>
      <c r="BN154" s="15">
        <f t="shared" si="4"/>
        <v>3456</v>
      </c>
      <c r="BO154" s="16">
        <f t="shared" si="5"/>
        <v>2419.1999999999998</v>
      </c>
    </row>
    <row r="155" spans="1:67" x14ac:dyDescent="0.4">
      <c r="A155" s="5" t="s">
        <v>14</v>
      </c>
      <c r="B155" s="5" t="s">
        <v>416</v>
      </c>
      <c r="C155" s="5">
        <v>473173</v>
      </c>
      <c r="D155" s="6"/>
      <c r="E155" s="5" t="s">
        <v>16</v>
      </c>
      <c r="F155" s="5" t="s">
        <v>399</v>
      </c>
      <c r="G155" s="5" t="s">
        <v>411</v>
      </c>
      <c r="H155" s="7" t="s">
        <v>9</v>
      </c>
      <c r="I155" s="7" t="s">
        <v>412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1</v>
      </c>
      <c r="AF155" s="7">
        <v>0</v>
      </c>
      <c r="AG155" s="8">
        <v>3700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3700</v>
      </c>
      <c r="BN155" s="15">
        <f t="shared" si="4"/>
        <v>3700</v>
      </c>
      <c r="BO155" s="16">
        <f t="shared" si="5"/>
        <v>2590</v>
      </c>
    </row>
    <row r="156" spans="1:67" x14ac:dyDescent="0.4">
      <c r="A156" s="5" t="s">
        <v>14</v>
      </c>
      <c r="B156" s="5" t="s">
        <v>408</v>
      </c>
      <c r="C156" s="5">
        <v>360192</v>
      </c>
      <c r="D156" s="6"/>
      <c r="E156" s="5" t="s">
        <v>16</v>
      </c>
      <c r="F156" s="5" t="s">
        <v>374</v>
      </c>
      <c r="G156" s="5" t="s">
        <v>34</v>
      </c>
      <c r="H156" s="7" t="s">
        <v>8</v>
      </c>
      <c r="I156" s="7" t="s">
        <v>409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30</v>
      </c>
      <c r="BD156" s="8">
        <v>3600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216</v>
      </c>
      <c r="BM156" s="10">
        <v>3600</v>
      </c>
      <c r="BN156" s="15">
        <f t="shared" si="4"/>
        <v>3384</v>
      </c>
      <c r="BO156" s="16">
        <f t="shared" si="5"/>
        <v>2368.7999999999997</v>
      </c>
    </row>
    <row r="157" spans="1:67" x14ac:dyDescent="0.4">
      <c r="A157" s="5" t="s">
        <v>14</v>
      </c>
      <c r="B157" s="5" t="s">
        <v>139</v>
      </c>
      <c r="C157" s="5">
        <v>399034</v>
      </c>
      <c r="D157" s="6"/>
      <c r="E157" s="5" t="s">
        <v>16</v>
      </c>
      <c r="F157" s="5" t="s">
        <v>140</v>
      </c>
      <c r="G157" s="5" t="s">
        <v>34</v>
      </c>
      <c r="H157" s="7" t="s">
        <v>8</v>
      </c>
      <c r="I157" s="7" t="s">
        <v>141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30</v>
      </c>
      <c r="BD157" s="8">
        <v>3600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216</v>
      </c>
      <c r="BM157" s="10">
        <v>3600</v>
      </c>
      <c r="BN157" s="15">
        <f t="shared" si="4"/>
        <v>3384</v>
      </c>
      <c r="BO157" s="16">
        <f t="shared" si="5"/>
        <v>2368.7999999999997</v>
      </c>
    </row>
    <row r="158" spans="1:67" ht="19.2" x14ac:dyDescent="0.4">
      <c r="A158" s="5" t="s">
        <v>14</v>
      </c>
      <c r="B158" s="5" t="s">
        <v>401</v>
      </c>
      <c r="C158" s="5">
        <v>470379</v>
      </c>
      <c r="D158" s="6"/>
      <c r="E158" s="5" t="s">
        <v>16</v>
      </c>
      <c r="F158" s="5" t="s">
        <v>75</v>
      </c>
      <c r="G158" s="5" t="s">
        <v>421</v>
      </c>
      <c r="H158" s="7" t="s">
        <v>7</v>
      </c>
      <c r="I158" s="7" t="s">
        <v>18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1</v>
      </c>
      <c r="AF158" s="7">
        <v>0</v>
      </c>
      <c r="AG158" s="8">
        <v>1000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1</v>
      </c>
      <c r="AR158" s="8">
        <v>2500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3500</v>
      </c>
      <c r="BN158" s="15">
        <f t="shared" si="4"/>
        <v>3500</v>
      </c>
      <c r="BO158" s="16">
        <f t="shared" si="5"/>
        <v>2450</v>
      </c>
    </row>
    <row r="159" spans="1:67" x14ac:dyDescent="0.4">
      <c r="A159" s="5" t="s">
        <v>14</v>
      </c>
      <c r="B159" s="5" t="s">
        <v>233</v>
      </c>
      <c r="C159" s="5">
        <v>429534</v>
      </c>
      <c r="D159" s="6"/>
      <c r="E159" s="5" t="s">
        <v>16</v>
      </c>
      <c r="F159" s="5" t="s">
        <v>173</v>
      </c>
      <c r="G159" s="5" t="s">
        <v>411</v>
      </c>
      <c r="H159" s="7" t="s">
        <v>7</v>
      </c>
      <c r="I159" s="7" t="s">
        <v>234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1</v>
      </c>
      <c r="BD159" s="8">
        <v>3360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201.6</v>
      </c>
      <c r="BM159" s="10">
        <v>3360</v>
      </c>
      <c r="BN159" s="15">
        <f t="shared" si="4"/>
        <v>3158.4</v>
      </c>
      <c r="BO159" s="16">
        <f t="shared" si="5"/>
        <v>2210.88</v>
      </c>
    </row>
    <row r="160" spans="1:67" ht="19.2" x14ac:dyDescent="0.4">
      <c r="A160" s="5" t="s">
        <v>14</v>
      </c>
      <c r="B160" s="5" t="s">
        <v>410</v>
      </c>
      <c r="C160" s="5">
        <v>473172</v>
      </c>
      <c r="D160" s="6"/>
      <c r="E160" s="5" t="s">
        <v>16</v>
      </c>
      <c r="F160" s="5" t="s">
        <v>399</v>
      </c>
      <c r="G160" s="5" t="s">
        <v>411</v>
      </c>
      <c r="H160" s="7" t="s">
        <v>9</v>
      </c>
      <c r="I160" s="7" t="s">
        <v>412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0</v>
      </c>
      <c r="AG160" s="8">
        <v>1800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1</v>
      </c>
      <c r="BD160" s="8">
        <v>1080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64.8</v>
      </c>
      <c r="BM160" s="10">
        <v>2880</v>
      </c>
      <c r="BN160" s="15">
        <f t="shared" si="4"/>
        <v>2815.2</v>
      </c>
      <c r="BO160" s="16">
        <f t="shared" si="5"/>
        <v>1970.6399999999996</v>
      </c>
    </row>
    <row r="161" spans="1:67" x14ac:dyDescent="0.4">
      <c r="A161" s="5" t="s">
        <v>14</v>
      </c>
      <c r="B161" s="5" t="s">
        <v>441</v>
      </c>
      <c r="C161" s="5">
        <v>467498</v>
      </c>
      <c r="D161" s="6"/>
      <c r="E161" s="5" t="s">
        <v>16</v>
      </c>
      <c r="F161" s="5" t="s">
        <v>304</v>
      </c>
      <c r="G161" s="5" t="s">
        <v>34</v>
      </c>
      <c r="H161" s="7" t="s">
        <v>8</v>
      </c>
      <c r="I161" s="7" t="s">
        <v>21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1</v>
      </c>
      <c r="BD161" s="8">
        <v>2160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129.6</v>
      </c>
      <c r="BM161" s="10">
        <v>2160</v>
      </c>
      <c r="BN161" s="15">
        <f t="shared" si="4"/>
        <v>2030.4</v>
      </c>
      <c r="BO161" s="16">
        <f t="shared" si="5"/>
        <v>1421.28</v>
      </c>
    </row>
    <row r="162" spans="1:67" x14ac:dyDescent="0.4">
      <c r="A162" s="5" t="s">
        <v>14</v>
      </c>
      <c r="B162" s="5" t="s">
        <v>546</v>
      </c>
      <c r="C162" s="5">
        <v>441962</v>
      </c>
      <c r="D162" s="6"/>
      <c r="E162" s="5" t="s">
        <v>16</v>
      </c>
      <c r="F162" s="5" t="s">
        <v>443</v>
      </c>
      <c r="G162" s="5" t="s">
        <v>421</v>
      </c>
      <c r="H162" s="7" t="s">
        <v>8</v>
      </c>
      <c r="I162" s="7" t="s">
        <v>547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1</v>
      </c>
      <c r="AF162" s="8">
        <v>2000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0">
        <v>2000</v>
      </c>
      <c r="BN162" s="15">
        <f t="shared" si="4"/>
        <v>2000</v>
      </c>
      <c r="BO162" s="16">
        <f t="shared" si="5"/>
        <v>1400</v>
      </c>
    </row>
    <row r="163" spans="1:67" x14ac:dyDescent="0.4">
      <c r="A163" s="5" t="s">
        <v>14</v>
      </c>
      <c r="B163" s="5" t="s">
        <v>386</v>
      </c>
      <c r="C163" s="5">
        <v>392578</v>
      </c>
      <c r="D163" s="6"/>
      <c r="E163" s="5" t="s">
        <v>16</v>
      </c>
      <c r="F163" s="5" t="s">
        <v>264</v>
      </c>
      <c r="G163" s="5" t="s">
        <v>34</v>
      </c>
      <c r="H163" s="7" t="s">
        <v>300</v>
      </c>
      <c r="I163" s="7" t="s">
        <v>372</v>
      </c>
      <c r="J163" s="7">
        <v>0</v>
      </c>
      <c r="K163" s="7">
        <v>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6</v>
      </c>
      <c r="AF163" s="7">
        <v>600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9</v>
      </c>
      <c r="BD163" s="8">
        <v>1080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64.8</v>
      </c>
      <c r="BM163" s="10">
        <v>1680</v>
      </c>
      <c r="BN163" s="15">
        <f t="shared" si="4"/>
        <v>1615.2</v>
      </c>
      <c r="BO163" s="16">
        <f t="shared" si="5"/>
        <v>1130.6399999999999</v>
      </c>
    </row>
    <row r="164" spans="1:67" x14ac:dyDescent="0.4">
      <c r="A164" s="5" t="s">
        <v>14</v>
      </c>
      <c r="B164" s="5" t="s">
        <v>238</v>
      </c>
      <c r="C164" s="5">
        <v>356295</v>
      </c>
      <c r="D164" s="6"/>
      <c r="E164" s="5" t="s">
        <v>16</v>
      </c>
      <c r="F164" s="5" t="s">
        <v>41</v>
      </c>
      <c r="G164" s="5" t="s">
        <v>34</v>
      </c>
      <c r="H164" s="7" t="s">
        <v>8</v>
      </c>
      <c r="I164" s="7" t="s">
        <v>205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3</v>
      </c>
      <c r="AF164" s="7">
        <v>300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5</v>
      </c>
      <c r="AR164" s="7">
        <v>500</v>
      </c>
      <c r="AS164" s="7">
        <v>0</v>
      </c>
      <c r="AT164" s="7">
        <v>0</v>
      </c>
      <c r="AU164" s="7">
        <v>0</v>
      </c>
      <c r="AV164" s="7">
        <v>0</v>
      </c>
      <c r="AW164" s="7">
        <v>7</v>
      </c>
      <c r="AX164" s="7">
        <v>840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84</v>
      </c>
      <c r="BM164" s="10">
        <v>1640</v>
      </c>
      <c r="BN164" s="15">
        <f t="shared" si="4"/>
        <v>1556</v>
      </c>
      <c r="BO164" s="16">
        <f t="shared" si="5"/>
        <v>1089.1999999999998</v>
      </c>
    </row>
    <row r="165" spans="1:67" x14ac:dyDescent="0.4">
      <c r="A165" s="5" t="s">
        <v>14</v>
      </c>
      <c r="B165" s="5" t="s">
        <v>170</v>
      </c>
      <c r="C165" s="5">
        <v>382640</v>
      </c>
      <c r="D165" s="6"/>
      <c r="E165" s="5" t="s">
        <v>16</v>
      </c>
      <c r="F165" s="5" t="s">
        <v>149</v>
      </c>
      <c r="G165" s="5" t="s">
        <v>10</v>
      </c>
      <c r="H165" s="7" t="s">
        <v>7</v>
      </c>
      <c r="I165" s="7" t="s">
        <v>171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13</v>
      </c>
      <c r="AF165" s="7">
        <v>0</v>
      </c>
      <c r="AG165" s="8">
        <v>1300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1</v>
      </c>
      <c r="AR165" s="7">
        <v>100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1</v>
      </c>
      <c r="BD165" s="7">
        <v>120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7.2</v>
      </c>
      <c r="BM165" s="10">
        <v>1520</v>
      </c>
      <c r="BN165" s="15">
        <f t="shared" si="4"/>
        <v>1512.8</v>
      </c>
      <c r="BO165" s="16">
        <f t="shared" si="5"/>
        <v>1058.9599999999998</v>
      </c>
    </row>
    <row r="166" spans="1:67" ht="19.2" x14ac:dyDescent="0.4">
      <c r="A166" s="5" t="s">
        <v>14</v>
      </c>
      <c r="B166" s="5" t="s">
        <v>548</v>
      </c>
      <c r="C166" s="5">
        <v>424572</v>
      </c>
      <c r="D166" s="6"/>
      <c r="E166" s="5" t="s">
        <v>16</v>
      </c>
      <c r="F166" s="5" t="s">
        <v>549</v>
      </c>
      <c r="G166" s="5" t="s">
        <v>34</v>
      </c>
      <c r="H166" s="7" t="s">
        <v>300</v>
      </c>
      <c r="I166" s="7" t="s">
        <v>550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8">
        <v>1200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10">
        <v>1200</v>
      </c>
      <c r="BN166" s="15">
        <f t="shared" si="4"/>
        <v>1200</v>
      </c>
      <c r="BO166" s="16">
        <f t="shared" si="5"/>
        <v>840</v>
      </c>
    </row>
    <row r="167" spans="1:67" x14ac:dyDescent="0.4">
      <c r="A167" s="5" t="s">
        <v>14</v>
      </c>
      <c r="B167" s="5" t="s">
        <v>209</v>
      </c>
      <c r="C167" s="5">
        <v>393598</v>
      </c>
      <c r="D167" s="6"/>
      <c r="E167" s="5" t="s">
        <v>16</v>
      </c>
      <c r="F167" s="5" t="s">
        <v>210</v>
      </c>
      <c r="G167" s="5" t="s">
        <v>34</v>
      </c>
      <c r="H167" s="7" t="s">
        <v>8</v>
      </c>
      <c r="I167" s="7" t="s">
        <v>211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12</v>
      </c>
      <c r="AF167" s="7">
        <v>0</v>
      </c>
      <c r="AG167" s="8">
        <v>1200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0">
        <v>1200</v>
      </c>
      <c r="BN167" s="15">
        <f t="shared" si="4"/>
        <v>1200</v>
      </c>
      <c r="BO167" s="16">
        <f t="shared" si="5"/>
        <v>840</v>
      </c>
    </row>
    <row r="168" spans="1:67" x14ac:dyDescent="0.4">
      <c r="A168" s="5" t="s">
        <v>14</v>
      </c>
      <c r="B168" s="5" t="s">
        <v>345</v>
      </c>
      <c r="C168" s="5">
        <v>387687</v>
      </c>
      <c r="D168" s="6"/>
      <c r="E168" s="5" t="s">
        <v>16</v>
      </c>
      <c r="F168" s="5" t="s">
        <v>120</v>
      </c>
      <c r="G168" s="5" t="s">
        <v>34</v>
      </c>
      <c r="H168" s="7" t="s">
        <v>8</v>
      </c>
      <c r="I168" s="7" t="s">
        <v>346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6</v>
      </c>
      <c r="AX168" s="7">
        <v>720</v>
      </c>
      <c r="AY168" s="7">
        <v>0</v>
      </c>
      <c r="AZ168" s="7">
        <v>0</v>
      </c>
      <c r="BA168" s="7">
        <v>0</v>
      </c>
      <c r="BB168" s="7">
        <v>0</v>
      </c>
      <c r="BC168" s="7">
        <v>3</v>
      </c>
      <c r="BD168" s="7">
        <v>360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93.6</v>
      </c>
      <c r="BM168" s="10">
        <v>1080</v>
      </c>
      <c r="BN168" s="15">
        <f t="shared" si="4"/>
        <v>986.4</v>
      </c>
      <c r="BO168" s="16">
        <f t="shared" si="5"/>
        <v>690.4799999999999</v>
      </c>
    </row>
    <row r="169" spans="1:67" x14ac:dyDescent="0.4">
      <c r="A169" s="5" t="s">
        <v>14</v>
      </c>
      <c r="B169" s="5" t="s">
        <v>338</v>
      </c>
      <c r="C169" s="5">
        <v>429538</v>
      </c>
      <c r="D169" s="6"/>
      <c r="E169" s="5" t="s">
        <v>16</v>
      </c>
      <c r="F169" s="5" t="s">
        <v>173</v>
      </c>
      <c r="G169" s="5" t="s">
        <v>411</v>
      </c>
      <c r="H169" s="7" t="s">
        <v>7</v>
      </c>
      <c r="I169" s="7" t="s">
        <v>234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</v>
      </c>
      <c r="AF169" s="8">
        <v>1000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0">
        <v>1000</v>
      </c>
      <c r="BN169" s="15">
        <f t="shared" si="4"/>
        <v>1000</v>
      </c>
      <c r="BO169" s="16">
        <f t="shared" si="5"/>
        <v>700</v>
      </c>
    </row>
    <row r="170" spans="1:67" x14ac:dyDescent="0.4">
      <c r="A170" s="5" t="s">
        <v>14</v>
      </c>
      <c r="B170" s="5" t="s">
        <v>551</v>
      </c>
      <c r="C170" s="5">
        <v>299970</v>
      </c>
      <c r="D170" s="6"/>
      <c r="E170" s="5" t="s">
        <v>16</v>
      </c>
      <c r="F170" s="5" t="s">
        <v>329</v>
      </c>
      <c r="G170" s="5" t="s">
        <v>10</v>
      </c>
      <c r="H170" s="7" t="s">
        <v>7</v>
      </c>
      <c r="I170" s="7" t="s">
        <v>552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1</v>
      </c>
      <c r="AC170" s="7">
        <v>900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11">
        <v>900</v>
      </c>
      <c r="BN170" s="15">
        <f t="shared" si="4"/>
        <v>900</v>
      </c>
      <c r="BO170" s="16">
        <f t="shared" si="5"/>
        <v>630</v>
      </c>
    </row>
    <row r="171" spans="1:67" x14ac:dyDescent="0.4">
      <c r="A171" s="5" t="s">
        <v>14</v>
      </c>
      <c r="B171" s="5" t="s">
        <v>313</v>
      </c>
      <c r="C171" s="5">
        <v>389960</v>
      </c>
      <c r="D171" s="6"/>
      <c r="E171" s="5" t="s">
        <v>16</v>
      </c>
      <c r="F171" s="5" t="s">
        <v>108</v>
      </c>
      <c r="G171" s="5" t="s">
        <v>421</v>
      </c>
      <c r="H171" s="7" t="s">
        <v>9</v>
      </c>
      <c r="I171" s="7" t="s">
        <v>314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3</v>
      </c>
      <c r="AF171" s="7">
        <v>200</v>
      </c>
      <c r="AG171" s="7">
        <v>100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1</v>
      </c>
      <c r="BD171" s="7">
        <v>120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7.2</v>
      </c>
      <c r="BM171" s="11">
        <v>420</v>
      </c>
      <c r="BN171" s="15">
        <f t="shared" si="4"/>
        <v>412.8</v>
      </c>
      <c r="BO171" s="16">
        <f t="shared" si="5"/>
        <v>288.95999999999998</v>
      </c>
    </row>
    <row r="172" spans="1:67" x14ac:dyDescent="0.4">
      <c r="A172" s="5" t="s">
        <v>14</v>
      </c>
      <c r="B172" s="5" t="s">
        <v>387</v>
      </c>
      <c r="C172" s="5">
        <v>467500</v>
      </c>
      <c r="D172" s="6"/>
      <c r="E172" s="5" t="s">
        <v>16</v>
      </c>
      <c r="F172" s="5" t="s">
        <v>304</v>
      </c>
      <c r="G172" s="5" t="s">
        <v>34</v>
      </c>
      <c r="H172" s="7" t="s">
        <v>8</v>
      </c>
      <c r="I172" s="7" t="s">
        <v>21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1</v>
      </c>
      <c r="BD172" s="7">
        <v>360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21.6</v>
      </c>
      <c r="BM172" s="11">
        <v>360</v>
      </c>
      <c r="BN172" s="15">
        <f t="shared" si="4"/>
        <v>338.4</v>
      </c>
      <c r="BO172" s="16">
        <f t="shared" si="5"/>
        <v>236.87999999999997</v>
      </c>
    </row>
    <row r="173" spans="1:67" x14ac:dyDescent="0.4">
      <c r="A173" s="5" t="s">
        <v>14</v>
      </c>
      <c r="B173" s="5" t="s">
        <v>383</v>
      </c>
      <c r="C173" s="5">
        <v>407003</v>
      </c>
      <c r="D173" s="6"/>
      <c r="E173" s="5" t="s">
        <v>16</v>
      </c>
      <c r="F173" s="5" t="s">
        <v>340</v>
      </c>
      <c r="G173" s="5" t="s">
        <v>34</v>
      </c>
      <c r="H173" s="7" t="s">
        <v>300</v>
      </c>
      <c r="I173" s="7" t="s">
        <v>384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2</v>
      </c>
      <c r="AF173" s="7">
        <v>200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1</v>
      </c>
      <c r="AX173" s="7">
        <v>120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12</v>
      </c>
      <c r="BM173" s="11">
        <v>320</v>
      </c>
      <c r="BN173" s="15">
        <f t="shared" si="4"/>
        <v>308</v>
      </c>
      <c r="BO173" s="16">
        <f t="shared" si="5"/>
        <v>215.6</v>
      </c>
    </row>
    <row r="174" spans="1:67" x14ac:dyDescent="0.4">
      <c r="A174" s="5" t="s">
        <v>14</v>
      </c>
      <c r="B174" s="5" t="s">
        <v>167</v>
      </c>
      <c r="C174" s="5">
        <v>387822</v>
      </c>
      <c r="D174" s="6"/>
      <c r="E174" s="5" t="s">
        <v>16</v>
      </c>
      <c r="F174" s="5" t="s">
        <v>168</v>
      </c>
      <c r="G174" s="5" t="s">
        <v>34</v>
      </c>
      <c r="H174" s="7" t="s">
        <v>8</v>
      </c>
      <c r="I174" s="7" t="s">
        <v>169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3</v>
      </c>
      <c r="AF174" s="7">
        <v>0</v>
      </c>
      <c r="AG174" s="7">
        <v>300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1">
        <v>300</v>
      </c>
      <c r="BN174" s="15">
        <f t="shared" si="4"/>
        <v>300</v>
      </c>
      <c r="BO174" s="16">
        <f t="shared" si="5"/>
        <v>210</v>
      </c>
    </row>
    <row r="175" spans="1:67" x14ac:dyDescent="0.4">
      <c r="A175" s="5" t="s">
        <v>14</v>
      </c>
      <c r="B175" s="5" t="s">
        <v>331</v>
      </c>
      <c r="C175" s="5">
        <v>388508</v>
      </c>
      <c r="D175" s="6"/>
      <c r="E175" s="5" t="s">
        <v>16</v>
      </c>
      <c r="F175" s="5" t="s">
        <v>332</v>
      </c>
      <c r="G175" s="5" t="s">
        <v>421</v>
      </c>
      <c r="H175" s="7" t="s">
        <v>7</v>
      </c>
      <c r="I175" s="7" t="s">
        <v>333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3</v>
      </c>
      <c r="AF175" s="7">
        <v>300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1">
        <v>300</v>
      </c>
      <c r="BN175" s="15">
        <f t="shared" si="4"/>
        <v>300</v>
      </c>
      <c r="BO175" s="16">
        <f t="shared" si="5"/>
        <v>210</v>
      </c>
    </row>
    <row r="176" spans="1:67" x14ac:dyDescent="0.4">
      <c r="A176" s="5" t="s">
        <v>14</v>
      </c>
      <c r="B176" s="5" t="s">
        <v>553</v>
      </c>
      <c r="C176" s="5">
        <v>450457</v>
      </c>
      <c r="D176" s="6"/>
      <c r="E176" s="5" t="s">
        <v>16</v>
      </c>
      <c r="F176" s="5" t="s">
        <v>554</v>
      </c>
      <c r="G176" s="5" t="s">
        <v>10</v>
      </c>
      <c r="H176" s="7" t="s">
        <v>7</v>
      </c>
      <c r="I176" s="7" t="s">
        <v>555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2</v>
      </c>
      <c r="AF176" s="7">
        <v>0</v>
      </c>
      <c r="AG176" s="7">
        <v>200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1">
        <v>200</v>
      </c>
      <c r="BN176" s="15">
        <f t="shared" si="4"/>
        <v>200</v>
      </c>
      <c r="BO176" s="16">
        <f t="shared" si="5"/>
        <v>140</v>
      </c>
    </row>
    <row r="177" spans="1:67" x14ac:dyDescent="0.4">
      <c r="A177" s="5" t="s">
        <v>14</v>
      </c>
      <c r="B177" s="5" t="s">
        <v>377</v>
      </c>
      <c r="C177" s="5">
        <v>447222</v>
      </c>
      <c r="D177" s="6"/>
      <c r="E177" s="5" t="s">
        <v>16</v>
      </c>
      <c r="F177" s="5" t="s">
        <v>264</v>
      </c>
      <c r="G177" s="5" t="s">
        <v>34</v>
      </c>
      <c r="H177" s="7" t="s">
        <v>8</v>
      </c>
      <c r="I177" s="7" t="s">
        <v>378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2</v>
      </c>
      <c r="AF177" s="7">
        <v>200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1">
        <v>200</v>
      </c>
      <c r="BN177" s="15">
        <f t="shared" si="4"/>
        <v>200</v>
      </c>
      <c r="BO177" s="16">
        <f t="shared" si="5"/>
        <v>140</v>
      </c>
    </row>
    <row r="178" spans="1:67" x14ac:dyDescent="0.4">
      <c r="A178" s="5" t="s">
        <v>14</v>
      </c>
      <c r="B178" s="5" t="s">
        <v>250</v>
      </c>
      <c r="C178" s="5">
        <v>434853</v>
      </c>
      <c r="D178" s="6"/>
      <c r="E178" s="5" t="s">
        <v>16</v>
      </c>
      <c r="F178" s="5" t="s">
        <v>251</v>
      </c>
      <c r="G178" s="5" t="s">
        <v>10</v>
      </c>
      <c r="H178" s="7" t="s">
        <v>7</v>
      </c>
      <c r="I178" s="7" t="s">
        <v>252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1</v>
      </c>
      <c r="AF178" s="7">
        <v>120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1">
        <v>120</v>
      </c>
      <c r="BN178" s="15">
        <f t="shared" si="4"/>
        <v>120</v>
      </c>
      <c r="BO178" s="16">
        <f t="shared" si="5"/>
        <v>84</v>
      </c>
    </row>
    <row r="179" spans="1:67" x14ac:dyDescent="0.4">
      <c r="A179" s="5" t="s">
        <v>14</v>
      </c>
      <c r="B179" s="5" t="s">
        <v>342</v>
      </c>
      <c r="C179" s="5">
        <v>356294</v>
      </c>
      <c r="D179" s="6"/>
      <c r="E179" s="5" t="s">
        <v>16</v>
      </c>
      <c r="F179" s="5" t="s">
        <v>41</v>
      </c>
      <c r="G179" s="5" t="s">
        <v>34</v>
      </c>
      <c r="H179" s="7" t="s">
        <v>8</v>
      </c>
      <c r="I179" s="7" t="s">
        <v>205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1</v>
      </c>
      <c r="BD179" s="7">
        <v>120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7.2</v>
      </c>
      <c r="BM179" s="11">
        <v>120</v>
      </c>
      <c r="BN179" s="15">
        <f t="shared" si="4"/>
        <v>112.8</v>
      </c>
      <c r="BO179" s="16">
        <f t="shared" si="5"/>
        <v>78.959999999999994</v>
      </c>
    </row>
    <row r="180" spans="1:67" x14ac:dyDescent="0.4">
      <c r="A180" s="5" t="s">
        <v>14</v>
      </c>
      <c r="B180" s="5" t="s">
        <v>556</v>
      </c>
      <c r="C180" s="5">
        <v>420277</v>
      </c>
      <c r="D180" s="6"/>
      <c r="E180" s="5" t="s">
        <v>16</v>
      </c>
      <c r="F180" s="5" t="s">
        <v>264</v>
      </c>
      <c r="G180" s="5" t="s">
        <v>34</v>
      </c>
      <c r="H180" s="7" t="s">
        <v>8</v>
      </c>
      <c r="I180" s="7" t="s">
        <v>274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1</v>
      </c>
      <c r="AX180" s="7">
        <v>120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12</v>
      </c>
      <c r="BM180" s="11">
        <v>120</v>
      </c>
      <c r="BN180" s="15">
        <f t="shared" si="4"/>
        <v>108</v>
      </c>
      <c r="BO180" s="16">
        <f t="shared" si="5"/>
        <v>75.599999999999994</v>
      </c>
    </row>
    <row r="181" spans="1:67" ht="19.2" x14ac:dyDescent="0.4">
      <c r="A181" s="5" t="s">
        <v>14</v>
      </c>
      <c r="B181" s="5" t="s">
        <v>402</v>
      </c>
      <c r="C181" s="5">
        <v>472228</v>
      </c>
      <c r="D181" s="6"/>
      <c r="E181" s="5" t="s">
        <v>16</v>
      </c>
      <c r="F181" s="5" t="s">
        <v>403</v>
      </c>
      <c r="G181" s="5" t="s">
        <v>421</v>
      </c>
      <c r="H181" s="7" t="s">
        <v>8</v>
      </c>
      <c r="I181" s="7" t="s">
        <v>404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1</v>
      </c>
      <c r="AF181" s="7">
        <v>120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11">
        <v>120</v>
      </c>
      <c r="BN181" s="15">
        <f t="shared" si="4"/>
        <v>120</v>
      </c>
      <c r="BO181" s="16">
        <f t="shared" si="5"/>
        <v>84</v>
      </c>
    </row>
    <row r="182" spans="1:67" x14ac:dyDescent="0.4">
      <c r="A182" s="5" t="s">
        <v>14</v>
      </c>
      <c r="B182" s="5" t="s">
        <v>315</v>
      </c>
      <c r="C182" s="5">
        <v>332935</v>
      </c>
      <c r="D182" s="6"/>
      <c r="E182" s="5" t="s">
        <v>16</v>
      </c>
      <c r="F182" s="5" t="s">
        <v>264</v>
      </c>
      <c r="G182" s="5" t="s">
        <v>34</v>
      </c>
      <c r="H182" s="7" t="s">
        <v>8</v>
      </c>
      <c r="I182" s="7" t="s">
        <v>316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1</v>
      </c>
      <c r="AX182" s="7">
        <v>120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12</v>
      </c>
      <c r="BM182" s="11">
        <v>120</v>
      </c>
      <c r="BN182" s="15">
        <f t="shared" si="4"/>
        <v>108</v>
      </c>
      <c r="BO182" s="16">
        <f t="shared" si="5"/>
        <v>75.599999999999994</v>
      </c>
    </row>
    <row r="183" spans="1:67" x14ac:dyDescent="0.4">
      <c r="A183" s="5" t="s">
        <v>14</v>
      </c>
      <c r="B183" s="5" t="s">
        <v>266</v>
      </c>
      <c r="C183" s="5">
        <v>417258</v>
      </c>
      <c r="D183" s="6"/>
      <c r="E183" s="5" t="s">
        <v>16</v>
      </c>
      <c r="F183" s="5" t="s">
        <v>267</v>
      </c>
      <c r="G183" s="5" t="s">
        <v>34</v>
      </c>
      <c r="H183" s="7" t="s">
        <v>8</v>
      </c>
      <c r="I183" s="7" t="s">
        <v>268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1</v>
      </c>
      <c r="BD183" s="7">
        <v>120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7.2</v>
      </c>
      <c r="BM183" s="11">
        <v>120</v>
      </c>
      <c r="BN183" s="15">
        <f t="shared" si="4"/>
        <v>112.8</v>
      </c>
      <c r="BO183" s="16">
        <f t="shared" si="5"/>
        <v>78.959999999999994</v>
      </c>
    </row>
    <row r="184" spans="1:67" ht="19.2" x14ac:dyDescent="0.4">
      <c r="A184" s="5" t="s">
        <v>14</v>
      </c>
      <c r="B184" s="5" t="s">
        <v>150</v>
      </c>
      <c r="C184" s="5">
        <v>428319</v>
      </c>
      <c r="D184" s="6"/>
      <c r="E184" s="5" t="s">
        <v>16</v>
      </c>
      <c r="F184" s="5" t="s">
        <v>96</v>
      </c>
      <c r="G184" s="5" t="s">
        <v>10</v>
      </c>
      <c r="H184" s="7" t="s">
        <v>7</v>
      </c>
      <c r="I184" s="7" t="s">
        <v>109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1</v>
      </c>
      <c r="BD184" s="7">
        <v>120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7.2</v>
      </c>
      <c r="BM184" s="11">
        <v>120</v>
      </c>
      <c r="BN184" s="15">
        <f t="shared" si="4"/>
        <v>112.8</v>
      </c>
      <c r="BO184" s="16">
        <f t="shared" si="5"/>
        <v>78.959999999999994</v>
      </c>
    </row>
    <row r="185" spans="1:67" x14ac:dyDescent="0.4">
      <c r="A185" s="5" t="s">
        <v>14</v>
      </c>
      <c r="B185" s="5" t="s">
        <v>557</v>
      </c>
      <c r="C185" s="5">
        <v>408471</v>
      </c>
      <c r="D185" s="6"/>
      <c r="E185" s="5" t="s">
        <v>16</v>
      </c>
      <c r="F185" s="5" t="s">
        <v>207</v>
      </c>
      <c r="G185" s="5" t="s">
        <v>34</v>
      </c>
      <c r="H185" s="7" t="s">
        <v>8</v>
      </c>
      <c r="I185" s="7" t="s">
        <v>558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1</v>
      </c>
      <c r="AF185" s="7">
        <v>0</v>
      </c>
      <c r="AG185" s="7">
        <v>100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11">
        <v>100</v>
      </c>
      <c r="BN185" s="15">
        <f t="shared" si="4"/>
        <v>100</v>
      </c>
      <c r="BO185" s="16">
        <f t="shared" si="5"/>
        <v>70</v>
      </c>
    </row>
    <row r="186" spans="1:67" x14ac:dyDescent="0.4">
      <c r="A186" s="5" t="s">
        <v>14</v>
      </c>
      <c r="B186" s="5" t="s">
        <v>260</v>
      </c>
      <c r="C186" s="5">
        <v>428860</v>
      </c>
      <c r="D186" s="6"/>
      <c r="E186" s="5" t="s">
        <v>16</v>
      </c>
      <c r="F186" s="5" t="s">
        <v>261</v>
      </c>
      <c r="G186" s="5" t="s">
        <v>10</v>
      </c>
      <c r="H186" s="7" t="s">
        <v>7</v>
      </c>
      <c r="I186" s="7" t="s">
        <v>262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1</v>
      </c>
      <c r="AF186" s="7">
        <v>100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1">
        <v>100</v>
      </c>
      <c r="BN186" s="15">
        <f t="shared" ref="BN186:BN249" si="6">BM186-BL186</f>
        <v>100</v>
      </c>
      <c r="BO186" s="16">
        <f t="shared" ref="BO186:BO249" si="7">BN186*70%</f>
        <v>70</v>
      </c>
    </row>
    <row r="187" spans="1:67" x14ac:dyDescent="0.4">
      <c r="A187" s="5" t="s">
        <v>14</v>
      </c>
      <c r="B187" s="5" t="s">
        <v>448</v>
      </c>
      <c r="C187" s="5">
        <v>434544</v>
      </c>
      <c r="D187" s="6"/>
      <c r="E187" s="5" t="s">
        <v>16</v>
      </c>
      <c r="F187" s="5" t="s">
        <v>173</v>
      </c>
      <c r="G187" s="5" t="s">
        <v>411</v>
      </c>
      <c r="H187" s="7" t="s">
        <v>300</v>
      </c>
      <c r="I187" s="7" t="s">
        <v>449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1</v>
      </c>
      <c r="AF187" s="7">
        <v>100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11">
        <v>100</v>
      </c>
      <c r="BN187" s="15">
        <f t="shared" si="6"/>
        <v>100</v>
      </c>
      <c r="BO187" s="16">
        <f t="shared" si="7"/>
        <v>70</v>
      </c>
    </row>
    <row r="188" spans="1:67" x14ac:dyDescent="0.4">
      <c r="A188" s="5" t="s">
        <v>14</v>
      </c>
      <c r="B188" s="5" t="s">
        <v>263</v>
      </c>
      <c r="C188" s="5">
        <v>407159</v>
      </c>
      <c r="D188" s="6"/>
      <c r="E188" s="5" t="s">
        <v>16</v>
      </c>
      <c r="F188" s="5" t="s">
        <v>264</v>
      </c>
      <c r="G188" s="5" t="s">
        <v>34</v>
      </c>
      <c r="H188" s="7" t="s">
        <v>8</v>
      </c>
      <c r="I188" s="7" t="s">
        <v>265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100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11">
        <v>100</v>
      </c>
      <c r="BN188" s="15">
        <f t="shared" si="6"/>
        <v>100</v>
      </c>
      <c r="BO188" s="16">
        <f t="shared" si="7"/>
        <v>70</v>
      </c>
    </row>
    <row r="189" spans="1:67" ht="19.2" x14ac:dyDescent="0.4">
      <c r="A189" s="5" t="s">
        <v>454</v>
      </c>
      <c r="B189" s="5" t="s">
        <v>15</v>
      </c>
      <c r="C189" s="5">
        <v>465248</v>
      </c>
      <c r="D189" s="6"/>
      <c r="E189" s="5" t="s">
        <v>16</v>
      </c>
      <c r="F189" s="5" t="s">
        <v>17</v>
      </c>
      <c r="G189" s="5" t="s">
        <v>421</v>
      </c>
      <c r="H189" s="7" t="s">
        <v>9</v>
      </c>
      <c r="I189" s="7" t="s">
        <v>18</v>
      </c>
      <c r="J189" s="7">
        <v>15</v>
      </c>
      <c r="K189" s="8">
        <v>21508</v>
      </c>
      <c r="L189" s="8">
        <v>1500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8">
        <v>11431</v>
      </c>
      <c r="AF189" s="8">
        <v>730980</v>
      </c>
      <c r="AG189" s="8">
        <v>503300</v>
      </c>
      <c r="AH189" s="7">
        <v>0</v>
      </c>
      <c r="AI189" s="7">
        <v>0</v>
      </c>
      <c r="AJ189" s="7">
        <v>0</v>
      </c>
      <c r="AK189" s="7">
        <v>6</v>
      </c>
      <c r="AL189" s="7">
        <v>0</v>
      </c>
      <c r="AM189" s="7">
        <v>600</v>
      </c>
      <c r="AN189" s="7">
        <v>0</v>
      </c>
      <c r="AO189" s="7">
        <v>0</v>
      </c>
      <c r="AP189" s="7">
        <v>0</v>
      </c>
      <c r="AQ189" s="8">
        <v>2966</v>
      </c>
      <c r="AR189" s="8">
        <v>289100</v>
      </c>
      <c r="AS189" s="8">
        <v>7500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76</v>
      </c>
      <c r="BD189" s="8">
        <v>9120</v>
      </c>
      <c r="BE189" s="7">
        <v>0</v>
      </c>
      <c r="BF189" s="7">
        <v>0</v>
      </c>
      <c r="BG189" s="7">
        <v>0</v>
      </c>
      <c r="BH189" s="7">
        <v>0</v>
      </c>
      <c r="BI189" s="8">
        <v>2838</v>
      </c>
      <c r="BJ189" s="8">
        <v>340440</v>
      </c>
      <c r="BK189" s="7">
        <v>100</v>
      </c>
      <c r="BL189" s="9">
        <v>17569.2</v>
      </c>
      <c r="BM189" s="10">
        <v>1882640</v>
      </c>
      <c r="BN189" s="15">
        <f t="shared" si="6"/>
        <v>1865070.8</v>
      </c>
      <c r="BO189" s="16">
        <f t="shared" si="7"/>
        <v>1305549.56</v>
      </c>
    </row>
    <row r="190" spans="1:67" ht="19.2" x14ac:dyDescent="0.4">
      <c r="A190" s="5" t="s">
        <v>454</v>
      </c>
      <c r="B190" s="5" t="s">
        <v>426</v>
      </c>
      <c r="C190" s="5">
        <v>476783</v>
      </c>
      <c r="D190" s="6"/>
      <c r="E190" s="5" t="s">
        <v>16</v>
      </c>
      <c r="F190" s="5" t="s">
        <v>427</v>
      </c>
      <c r="G190" s="5" t="s">
        <v>34</v>
      </c>
      <c r="H190" s="7" t="s">
        <v>8</v>
      </c>
      <c r="I190" s="7" t="s">
        <v>428</v>
      </c>
      <c r="J190" s="8">
        <v>2044</v>
      </c>
      <c r="K190" s="8">
        <v>6955</v>
      </c>
      <c r="L190" s="8">
        <v>204400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8">
        <v>6232</v>
      </c>
      <c r="AF190" s="8">
        <v>510920</v>
      </c>
      <c r="AG190" s="8">
        <v>178200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8">
        <v>1007</v>
      </c>
      <c r="AR190" s="8">
        <v>96600</v>
      </c>
      <c r="AS190" s="8">
        <v>4100</v>
      </c>
      <c r="AT190" s="7">
        <v>0</v>
      </c>
      <c r="AU190" s="7">
        <v>0</v>
      </c>
      <c r="AV190" s="7">
        <v>0</v>
      </c>
      <c r="AW190" s="7">
        <v>2</v>
      </c>
      <c r="AX190" s="7">
        <v>240</v>
      </c>
      <c r="AY190" s="7">
        <v>0</v>
      </c>
      <c r="AZ190" s="7">
        <v>0</v>
      </c>
      <c r="BA190" s="7">
        <v>0</v>
      </c>
      <c r="BB190" s="7">
        <v>0</v>
      </c>
      <c r="BC190" s="7">
        <v>99</v>
      </c>
      <c r="BD190" s="8">
        <v>11880</v>
      </c>
      <c r="BE190" s="7">
        <v>0</v>
      </c>
      <c r="BF190" s="7">
        <v>0</v>
      </c>
      <c r="BG190" s="7">
        <v>0</v>
      </c>
      <c r="BH190" s="7">
        <v>0</v>
      </c>
      <c r="BI190" s="8">
        <v>2283</v>
      </c>
      <c r="BJ190" s="8">
        <v>273960</v>
      </c>
      <c r="BK190" s="7">
        <v>0</v>
      </c>
      <c r="BL190" s="9">
        <v>14434.8</v>
      </c>
      <c r="BM190" s="10">
        <v>1280300</v>
      </c>
      <c r="BN190" s="15">
        <f t="shared" si="6"/>
        <v>1265865.2</v>
      </c>
      <c r="BO190" s="16">
        <f t="shared" si="7"/>
        <v>886105.6399999999</v>
      </c>
    </row>
    <row r="191" spans="1:67" ht="19.2" x14ac:dyDescent="0.4">
      <c r="A191" s="5" t="s">
        <v>454</v>
      </c>
      <c r="B191" s="5" t="s">
        <v>393</v>
      </c>
      <c r="C191" s="5">
        <v>472512</v>
      </c>
      <c r="D191" s="6"/>
      <c r="E191" s="5" t="s">
        <v>16</v>
      </c>
      <c r="F191" s="5" t="s">
        <v>39</v>
      </c>
      <c r="G191" s="5" t="s">
        <v>10</v>
      </c>
      <c r="H191" s="7" t="s">
        <v>7</v>
      </c>
      <c r="I191" s="7" t="s">
        <v>521</v>
      </c>
      <c r="J191" s="7">
        <v>0</v>
      </c>
      <c r="K191" s="8">
        <v>29740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101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8">
        <v>5179</v>
      </c>
      <c r="AF191" s="8">
        <v>435820</v>
      </c>
      <c r="AG191" s="8">
        <v>135100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8">
        <v>1472</v>
      </c>
      <c r="AR191" s="8">
        <v>140900</v>
      </c>
      <c r="AS191" s="8">
        <v>6300</v>
      </c>
      <c r="AT191" s="7">
        <v>0</v>
      </c>
      <c r="AU191" s="7">
        <v>0</v>
      </c>
      <c r="AV191" s="7">
        <v>0</v>
      </c>
      <c r="AW191" s="7">
        <v>1</v>
      </c>
      <c r="AX191" s="7">
        <v>120</v>
      </c>
      <c r="AY191" s="7">
        <v>0</v>
      </c>
      <c r="AZ191" s="7">
        <v>0</v>
      </c>
      <c r="BA191" s="7">
        <v>0</v>
      </c>
      <c r="BB191" s="7">
        <v>0</v>
      </c>
      <c r="BC191" s="7">
        <v>42</v>
      </c>
      <c r="BD191" s="8">
        <v>5040</v>
      </c>
      <c r="BE191" s="7">
        <v>0</v>
      </c>
      <c r="BF191" s="7">
        <v>0</v>
      </c>
      <c r="BG191" s="7">
        <v>0</v>
      </c>
      <c r="BH191" s="7">
        <v>0</v>
      </c>
      <c r="BI191" s="8">
        <v>1963</v>
      </c>
      <c r="BJ191" s="8">
        <v>235080</v>
      </c>
      <c r="BK191" s="7">
        <v>400</v>
      </c>
      <c r="BL191" s="9">
        <v>12068.4</v>
      </c>
      <c r="BM191" s="10">
        <v>958760</v>
      </c>
      <c r="BN191" s="15">
        <f t="shared" si="6"/>
        <v>946691.6</v>
      </c>
      <c r="BO191" s="16">
        <f t="shared" si="7"/>
        <v>662684.12</v>
      </c>
    </row>
    <row r="192" spans="1:67" ht="19.2" x14ac:dyDescent="0.4">
      <c r="A192" s="5" t="s">
        <v>454</v>
      </c>
      <c r="B192" s="5" t="s">
        <v>522</v>
      </c>
      <c r="C192" s="5">
        <v>478890</v>
      </c>
      <c r="D192" s="6"/>
      <c r="E192" s="5" t="s">
        <v>16</v>
      </c>
      <c r="F192" s="5" t="s">
        <v>443</v>
      </c>
      <c r="G192" s="5" t="s">
        <v>421</v>
      </c>
      <c r="H192" s="7" t="s">
        <v>8</v>
      </c>
      <c r="I192" s="7" t="s">
        <v>523</v>
      </c>
      <c r="J192" s="8">
        <v>1177</v>
      </c>
      <c r="K192" s="7">
        <v>0</v>
      </c>
      <c r="L192" s="8">
        <v>117700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8">
        <v>2820</v>
      </c>
      <c r="AF192" s="8">
        <v>241360</v>
      </c>
      <c r="AG192" s="8">
        <v>71000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494</v>
      </c>
      <c r="AR192" s="8">
        <v>49200</v>
      </c>
      <c r="AS192" s="7">
        <v>200</v>
      </c>
      <c r="AT192" s="7">
        <v>0</v>
      </c>
      <c r="AU192" s="7">
        <v>0</v>
      </c>
      <c r="AV192" s="7">
        <v>0</v>
      </c>
      <c r="AW192" s="7">
        <v>36</v>
      </c>
      <c r="AX192" s="8">
        <v>4320</v>
      </c>
      <c r="AY192" s="7">
        <v>0</v>
      </c>
      <c r="AZ192" s="7">
        <v>0</v>
      </c>
      <c r="BA192" s="7">
        <v>0</v>
      </c>
      <c r="BB192" s="7">
        <v>0</v>
      </c>
      <c r="BC192" s="7">
        <v>30</v>
      </c>
      <c r="BD192" s="8">
        <v>3120</v>
      </c>
      <c r="BE192" s="7">
        <v>400</v>
      </c>
      <c r="BF192" s="7">
        <v>0</v>
      </c>
      <c r="BG192" s="7">
        <v>0</v>
      </c>
      <c r="BH192" s="7">
        <v>0</v>
      </c>
      <c r="BI192" s="7">
        <v>982</v>
      </c>
      <c r="BJ192" s="8">
        <v>117840</v>
      </c>
      <c r="BK192" s="7">
        <v>0</v>
      </c>
      <c r="BL192" s="9">
        <v>6511.2</v>
      </c>
      <c r="BM192" s="10">
        <v>605140</v>
      </c>
      <c r="BN192" s="15">
        <f t="shared" si="6"/>
        <v>598628.80000000005</v>
      </c>
      <c r="BO192" s="16">
        <f t="shared" si="7"/>
        <v>419040.16000000003</v>
      </c>
    </row>
    <row r="193" spans="1:67" ht="19.2" x14ac:dyDescent="0.4">
      <c r="A193" s="5" t="s">
        <v>454</v>
      </c>
      <c r="B193" s="5" t="s">
        <v>29</v>
      </c>
      <c r="C193" s="5">
        <v>369220</v>
      </c>
      <c r="D193" s="6"/>
      <c r="E193" s="5" t="s">
        <v>16</v>
      </c>
      <c r="F193" s="5" t="s">
        <v>30</v>
      </c>
      <c r="G193" s="5" t="s">
        <v>10</v>
      </c>
      <c r="H193" s="7" t="s">
        <v>7</v>
      </c>
      <c r="I193" s="7" t="s">
        <v>31</v>
      </c>
      <c r="J193" s="7">
        <v>0</v>
      </c>
      <c r="K193" s="7">
        <v>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92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8">
        <v>1961</v>
      </c>
      <c r="AF193" s="8">
        <v>214400</v>
      </c>
      <c r="AG193" s="8">
        <v>14600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472</v>
      </c>
      <c r="AR193" s="8">
        <v>46200</v>
      </c>
      <c r="AS193" s="8">
        <v>1000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511</v>
      </c>
      <c r="BJ193" s="8">
        <v>61320</v>
      </c>
      <c r="BK193" s="7">
        <v>0</v>
      </c>
      <c r="BL193" s="9">
        <v>3066</v>
      </c>
      <c r="BM193" s="10">
        <v>337520</v>
      </c>
      <c r="BN193" s="15">
        <f t="shared" si="6"/>
        <v>334454</v>
      </c>
      <c r="BO193" s="16">
        <f t="shared" si="7"/>
        <v>234117.8</v>
      </c>
    </row>
    <row r="194" spans="1:67" ht="19.2" x14ac:dyDescent="0.4">
      <c r="A194" s="5" t="s">
        <v>454</v>
      </c>
      <c r="B194" s="5" t="s">
        <v>28</v>
      </c>
      <c r="C194" s="5">
        <v>414278</v>
      </c>
      <c r="D194" s="6"/>
      <c r="E194" s="5" t="s">
        <v>16</v>
      </c>
      <c r="F194" s="5" t="s">
        <v>11</v>
      </c>
      <c r="G194" s="5" t="s">
        <v>10</v>
      </c>
      <c r="H194" s="7" t="s">
        <v>8</v>
      </c>
      <c r="I194" s="7" t="s">
        <v>425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54</v>
      </c>
      <c r="AF194" s="8">
        <v>191220</v>
      </c>
      <c r="AG194" s="8">
        <v>8700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1</v>
      </c>
      <c r="AX194" s="7">
        <v>240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17</v>
      </c>
      <c r="BJ194" s="8">
        <v>65040</v>
      </c>
      <c r="BK194" s="7">
        <v>0</v>
      </c>
      <c r="BL194" s="9">
        <v>3276</v>
      </c>
      <c r="BM194" s="10">
        <v>265200</v>
      </c>
      <c r="BN194" s="15">
        <f t="shared" si="6"/>
        <v>261924</v>
      </c>
      <c r="BO194" s="16">
        <f t="shared" si="7"/>
        <v>183346.8</v>
      </c>
    </row>
    <row r="195" spans="1:67" ht="19.2" x14ac:dyDescent="0.4">
      <c r="A195" s="5" t="s">
        <v>454</v>
      </c>
      <c r="B195" s="5" t="s">
        <v>38</v>
      </c>
      <c r="C195" s="5">
        <v>454534</v>
      </c>
      <c r="D195" s="6"/>
      <c r="E195" s="5" t="s">
        <v>16</v>
      </c>
      <c r="F195" s="5" t="s">
        <v>39</v>
      </c>
      <c r="G195" s="5" t="s">
        <v>10</v>
      </c>
      <c r="H195" s="7" t="s">
        <v>7</v>
      </c>
      <c r="I195" s="7" t="s">
        <v>524</v>
      </c>
      <c r="J195" s="7">
        <v>0</v>
      </c>
      <c r="K195" s="8">
        <v>2140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11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8">
        <v>1144</v>
      </c>
      <c r="AF195" s="8">
        <v>80560</v>
      </c>
      <c r="AG195" s="8">
        <v>45300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472</v>
      </c>
      <c r="AR195" s="8">
        <v>45400</v>
      </c>
      <c r="AS195" s="8">
        <v>1800</v>
      </c>
      <c r="AT195" s="7">
        <v>0</v>
      </c>
      <c r="AU195" s="7">
        <v>0</v>
      </c>
      <c r="AV195" s="7">
        <v>0</v>
      </c>
      <c r="AW195" s="7">
        <v>4</v>
      </c>
      <c r="AX195" s="7">
        <v>480</v>
      </c>
      <c r="AY195" s="7">
        <v>0</v>
      </c>
      <c r="AZ195" s="7">
        <v>0</v>
      </c>
      <c r="BA195" s="7">
        <v>0</v>
      </c>
      <c r="BB195" s="7">
        <v>0</v>
      </c>
      <c r="BC195" s="7">
        <v>8</v>
      </c>
      <c r="BD195" s="7">
        <v>960</v>
      </c>
      <c r="BE195" s="7">
        <v>0</v>
      </c>
      <c r="BF195" s="7">
        <v>0</v>
      </c>
      <c r="BG195" s="7">
        <v>0</v>
      </c>
      <c r="BH195" s="7">
        <v>0</v>
      </c>
      <c r="BI195" s="7">
        <v>312</v>
      </c>
      <c r="BJ195" s="8">
        <v>37440</v>
      </c>
      <c r="BK195" s="7">
        <v>0</v>
      </c>
      <c r="BL195" s="9">
        <v>1977.6</v>
      </c>
      <c r="BM195" s="10">
        <v>211940</v>
      </c>
      <c r="BN195" s="15">
        <f t="shared" si="6"/>
        <v>209962.4</v>
      </c>
      <c r="BO195" s="16">
        <f t="shared" si="7"/>
        <v>146973.68</v>
      </c>
    </row>
    <row r="196" spans="1:67" ht="19.2" x14ac:dyDescent="0.4">
      <c r="A196" s="5" t="s">
        <v>454</v>
      </c>
      <c r="B196" s="5" t="s">
        <v>36</v>
      </c>
      <c r="C196" s="5">
        <v>178856</v>
      </c>
      <c r="D196" s="6"/>
      <c r="E196" s="5" t="s">
        <v>16</v>
      </c>
      <c r="F196" s="5" t="s">
        <v>30</v>
      </c>
      <c r="G196" s="5" t="s">
        <v>10</v>
      </c>
      <c r="H196" s="7" t="s">
        <v>9</v>
      </c>
      <c r="I196" s="7" t="s">
        <v>37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282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8">
        <v>1035</v>
      </c>
      <c r="AF196" s="8">
        <v>80820</v>
      </c>
      <c r="AG196" s="8">
        <v>33700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674</v>
      </c>
      <c r="BJ196" s="8">
        <v>80880</v>
      </c>
      <c r="BK196" s="7">
        <v>0</v>
      </c>
      <c r="BL196" s="9">
        <v>4044</v>
      </c>
      <c r="BM196" s="10">
        <v>195400</v>
      </c>
      <c r="BN196" s="15">
        <f t="shared" si="6"/>
        <v>191356</v>
      </c>
      <c r="BO196" s="16">
        <f t="shared" si="7"/>
        <v>133949.19999999998</v>
      </c>
    </row>
    <row r="197" spans="1:67" ht="19.2" x14ac:dyDescent="0.4">
      <c r="A197" s="5" t="s">
        <v>454</v>
      </c>
      <c r="B197" s="5" t="s">
        <v>423</v>
      </c>
      <c r="C197" s="5">
        <v>476035</v>
      </c>
      <c r="D197" s="6"/>
      <c r="E197" s="5" t="s">
        <v>16</v>
      </c>
      <c r="F197" s="5" t="s">
        <v>424</v>
      </c>
      <c r="G197" s="5" t="s">
        <v>421</v>
      </c>
      <c r="H197" s="7" t="s">
        <v>9</v>
      </c>
      <c r="I197" s="7" t="s">
        <v>425</v>
      </c>
      <c r="J197" s="7">
        <v>124</v>
      </c>
      <c r="K197" s="8">
        <v>2633</v>
      </c>
      <c r="L197" s="8">
        <v>12400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811</v>
      </c>
      <c r="AF197" s="8">
        <v>75720</v>
      </c>
      <c r="AG197" s="8">
        <v>16900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363</v>
      </c>
      <c r="AR197" s="8">
        <v>35500</v>
      </c>
      <c r="AS197" s="7">
        <v>800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233</v>
      </c>
      <c r="BJ197" s="8">
        <v>27960</v>
      </c>
      <c r="BK197" s="7">
        <v>0</v>
      </c>
      <c r="BL197" s="9">
        <v>1398</v>
      </c>
      <c r="BM197" s="10">
        <v>169280</v>
      </c>
      <c r="BN197" s="15">
        <f t="shared" si="6"/>
        <v>167882</v>
      </c>
      <c r="BO197" s="16">
        <f t="shared" si="7"/>
        <v>117517.4</v>
      </c>
    </row>
    <row r="198" spans="1:67" ht="19.2" x14ac:dyDescent="0.4">
      <c r="A198" s="5" t="s">
        <v>454</v>
      </c>
      <c r="B198" s="5" t="s">
        <v>525</v>
      </c>
      <c r="C198" s="5">
        <v>476788</v>
      </c>
      <c r="D198" s="6"/>
      <c r="E198" s="5" t="s">
        <v>16</v>
      </c>
      <c r="F198" s="5" t="s">
        <v>526</v>
      </c>
      <c r="G198" s="5" t="s">
        <v>10</v>
      </c>
      <c r="H198" s="7" t="s">
        <v>7</v>
      </c>
      <c r="I198" s="7" t="s">
        <v>422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27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736</v>
      </c>
      <c r="AF198" s="8">
        <v>62820</v>
      </c>
      <c r="AG198" s="8">
        <v>17000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89</v>
      </c>
      <c r="AR198" s="8">
        <v>8700</v>
      </c>
      <c r="AS198" s="7">
        <v>200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436</v>
      </c>
      <c r="BJ198" s="8">
        <v>52320</v>
      </c>
      <c r="BK198" s="7">
        <v>0</v>
      </c>
      <c r="BL198" s="9">
        <v>2616</v>
      </c>
      <c r="BM198" s="10">
        <v>141040</v>
      </c>
      <c r="BN198" s="15">
        <f t="shared" si="6"/>
        <v>138424</v>
      </c>
      <c r="BO198" s="16">
        <f t="shared" si="7"/>
        <v>96896.799999999988</v>
      </c>
    </row>
    <row r="199" spans="1:67" ht="19.2" x14ac:dyDescent="0.4">
      <c r="A199" s="5" t="s">
        <v>454</v>
      </c>
      <c r="B199" s="5" t="s">
        <v>40</v>
      </c>
      <c r="C199" s="5">
        <v>457807</v>
      </c>
      <c r="D199" s="6"/>
      <c r="E199" s="5" t="s">
        <v>16</v>
      </c>
      <c r="F199" s="5" t="s">
        <v>41</v>
      </c>
      <c r="G199" s="5" t="s">
        <v>34</v>
      </c>
      <c r="H199" s="7" t="s">
        <v>8</v>
      </c>
      <c r="I199" s="7" t="s">
        <v>420</v>
      </c>
      <c r="J199" s="7">
        <v>60</v>
      </c>
      <c r="K199" s="8">
        <v>4406</v>
      </c>
      <c r="L199" s="8">
        <v>6000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41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490</v>
      </c>
      <c r="AF199" s="8">
        <v>36300</v>
      </c>
      <c r="AG199" s="8">
        <v>18400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167</v>
      </c>
      <c r="AR199" s="8">
        <v>16700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13</v>
      </c>
      <c r="BD199" s="8">
        <v>1560</v>
      </c>
      <c r="BE199" s="7">
        <v>0</v>
      </c>
      <c r="BF199" s="7">
        <v>0</v>
      </c>
      <c r="BG199" s="7">
        <v>0</v>
      </c>
      <c r="BH199" s="7">
        <v>0</v>
      </c>
      <c r="BI199" s="7">
        <v>362</v>
      </c>
      <c r="BJ199" s="8">
        <v>43440</v>
      </c>
      <c r="BK199" s="7">
        <v>0</v>
      </c>
      <c r="BL199" s="9">
        <v>2265.6</v>
      </c>
      <c r="BM199" s="10">
        <v>122400</v>
      </c>
      <c r="BN199" s="15">
        <f t="shared" si="6"/>
        <v>120134.39999999999</v>
      </c>
      <c r="BO199" s="16">
        <f t="shared" si="7"/>
        <v>84094.079999999987</v>
      </c>
    </row>
    <row r="200" spans="1:67" ht="19.2" x14ac:dyDescent="0.4">
      <c r="A200" s="5" t="s">
        <v>454</v>
      </c>
      <c r="B200" s="5" t="s">
        <v>42</v>
      </c>
      <c r="C200" s="5">
        <v>321812</v>
      </c>
      <c r="D200" s="6"/>
      <c r="E200" s="5" t="s">
        <v>16</v>
      </c>
      <c r="F200" s="5" t="s">
        <v>30</v>
      </c>
      <c r="G200" s="5" t="s">
        <v>10</v>
      </c>
      <c r="H200" s="7" t="s">
        <v>7</v>
      </c>
      <c r="I200" s="7" t="s">
        <v>43</v>
      </c>
      <c r="J200" s="7">
        <v>0</v>
      </c>
      <c r="K200" s="7">
        <v>8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29</v>
      </c>
      <c r="T200" s="7">
        <v>36</v>
      </c>
      <c r="U200" s="7">
        <v>0</v>
      </c>
      <c r="V200" s="8">
        <v>2900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951</v>
      </c>
      <c r="AF200" s="8">
        <v>93100</v>
      </c>
      <c r="AG200" s="8">
        <v>16300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48</v>
      </c>
      <c r="AR200" s="8">
        <v>4800</v>
      </c>
      <c r="AS200" s="7">
        <v>0</v>
      </c>
      <c r="AT200" s="7">
        <v>0</v>
      </c>
      <c r="AU200" s="7">
        <v>0</v>
      </c>
      <c r="AV200" s="7">
        <v>0</v>
      </c>
      <c r="AW200" s="7">
        <v>1</v>
      </c>
      <c r="AX200" s="7">
        <v>120</v>
      </c>
      <c r="AY200" s="7">
        <v>0</v>
      </c>
      <c r="AZ200" s="7">
        <v>0</v>
      </c>
      <c r="BA200" s="7">
        <v>0</v>
      </c>
      <c r="BB200" s="7">
        <v>0</v>
      </c>
      <c r="BC200" s="7">
        <v>18</v>
      </c>
      <c r="BD200" s="8">
        <v>2160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141.6</v>
      </c>
      <c r="BM200" s="10">
        <v>119380</v>
      </c>
      <c r="BN200" s="15">
        <f t="shared" si="6"/>
        <v>119238.39999999999</v>
      </c>
      <c r="BO200" s="16">
        <f t="shared" si="7"/>
        <v>83466.87999999999</v>
      </c>
    </row>
    <row r="201" spans="1:67" ht="19.2" x14ac:dyDescent="0.4">
      <c r="A201" s="5" t="s">
        <v>454</v>
      </c>
      <c r="B201" s="5" t="s">
        <v>60</v>
      </c>
      <c r="C201" s="5">
        <v>245889</v>
      </c>
      <c r="D201" s="6"/>
      <c r="E201" s="5" t="s">
        <v>16</v>
      </c>
      <c r="F201" s="5" t="s">
        <v>30</v>
      </c>
      <c r="G201" s="5" t="s">
        <v>10</v>
      </c>
      <c r="H201" s="7" t="s">
        <v>7</v>
      </c>
      <c r="I201" s="7" t="s">
        <v>61</v>
      </c>
      <c r="J201" s="7">
        <v>4</v>
      </c>
      <c r="K201" s="7">
        <v>0</v>
      </c>
      <c r="L201" s="7">
        <v>400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31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469</v>
      </c>
      <c r="AF201" s="8">
        <v>53040</v>
      </c>
      <c r="AG201" s="8">
        <v>2700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215</v>
      </c>
      <c r="AR201" s="8">
        <v>21100</v>
      </c>
      <c r="AS201" s="7">
        <v>400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346</v>
      </c>
      <c r="BJ201" s="8">
        <v>41520</v>
      </c>
      <c r="BK201" s="7">
        <v>0</v>
      </c>
      <c r="BL201" s="9">
        <v>2076</v>
      </c>
      <c r="BM201" s="10">
        <v>119160</v>
      </c>
      <c r="BN201" s="15">
        <f t="shared" si="6"/>
        <v>117084</v>
      </c>
      <c r="BO201" s="16">
        <f t="shared" si="7"/>
        <v>81958.799999999988</v>
      </c>
    </row>
    <row r="202" spans="1:67" ht="19.2" x14ac:dyDescent="0.4">
      <c r="A202" s="5" t="s">
        <v>454</v>
      </c>
      <c r="B202" s="5" t="s">
        <v>44</v>
      </c>
      <c r="C202" s="5">
        <v>324335</v>
      </c>
      <c r="D202" s="6"/>
      <c r="E202" s="5" t="s">
        <v>16</v>
      </c>
      <c r="F202" s="5" t="s">
        <v>30</v>
      </c>
      <c r="G202" s="5" t="s">
        <v>10</v>
      </c>
      <c r="H202" s="7" t="s">
        <v>9</v>
      </c>
      <c r="I202" s="7" t="s">
        <v>45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8</v>
      </c>
      <c r="AF202" s="7">
        <v>0</v>
      </c>
      <c r="AG202" s="8">
        <v>2000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2</v>
      </c>
      <c r="AR202" s="8">
        <v>6400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29</v>
      </c>
      <c r="BJ202" s="8">
        <v>108360</v>
      </c>
      <c r="BK202" s="7">
        <v>500</v>
      </c>
      <c r="BL202" s="9">
        <v>5418</v>
      </c>
      <c r="BM202" s="10">
        <v>117260</v>
      </c>
      <c r="BN202" s="15">
        <f t="shared" si="6"/>
        <v>111842</v>
      </c>
      <c r="BO202" s="16">
        <f t="shared" si="7"/>
        <v>78289.399999999994</v>
      </c>
    </row>
    <row r="203" spans="1:67" ht="19.2" x14ac:dyDescent="0.4">
      <c r="A203" s="5" t="s">
        <v>454</v>
      </c>
      <c r="B203" s="5" t="s">
        <v>25</v>
      </c>
      <c r="C203" s="5">
        <v>449889</v>
      </c>
      <c r="D203" s="6"/>
      <c r="E203" s="5" t="s">
        <v>16</v>
      </c>
      <c r="F203" s="5" t="s">
        <v>26</v>
      </c>
      <c r="G203" s="5" t="s">
        <v>10</v>
      </c>
      <c r="H203" s="7" t="s">
        <v>7</v>
      </c>
      <c r="I203" s="7" t="s">
        <v>27</v>
      </c>
      <c r="J203" s="7">
        <v>1</v>
      </c>
      <c r="K203" s="7">
        <v>144</v>
      </c>
      <c r="L203" s="7">
        <v>100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22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250</v>
      </c>
      <c r="AF203" s="8">
        <v>26500</v>
      </c>
      <c r="AG203" s="8">
        <v>2900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366</v>
      </c>
      <c r="AR203" s="8">
        <v>35700</v>
      </c>
      <c r="AS203" s="7">
        <v>900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20</v>
      </c>
      <c r="BJ203" s="8">
        <v>2400</v>
      </c>
      <c r="BK203" s="7">
        <v>0</v>
      </c>
      <c r="BL203" s="7">
        <v>120</v>
      </c>
      <c r="BM203" s="10">
        <v>68500</v>
      </c>
      <c r="BN203" s="15">
        <f t="shared" si="6"/>
        <v>68380</v>
      </c>
      <c r="BO203" s="16">
        <f t="shared" si="7"/>
        <v>47866</v>
      </c>
    </row>
    <row r="204" spans="1:67" ht="19.2" x14ac:dyDescent="0.4">
      <c r="A204" s="5" t="s">
        <v>454</v>
      </c>
      <c r="B204" s="5" t="s">
        <v>447</v>
      </c>
      <c r="C204" s="5">
        <v>421814</v>
      </c>
      <c r="D204" s="6"/>
      <c r="E204" s="5" t="s">
        <v>16</v>
      </c>
      <c r="F204" s="5" t="s">
        <v>41</v>
      </c>
      <c r="G204" s="5" t="s">
        <v>34</v>
      </c>
      <c r="H204" s="7" t="s">
        <v>300</v>
      </c>
      <c r="I204" s="7" t="s">
        <v>193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6</v>
      </c>
      <c r="AF204" s="8">
        <v>9860</v>
      </c>
      <c r="AG204" s="8">
        <v>8700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8</v>
      </c>
      <c r="AR204" s="8">
        <v>23000</v>
      </c>
      <c r="AS204" s="7">
        <v>200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6</v>
      </c>
      <c r="BJ204" s="8">
        <v>20880</v>
      </c>
      <c r="BK204" s="7">
        <v>0</v>
      </c>
      <c r="BL204" s="9">
        <v>1044</v>
      </c>
      <c r="BM204" s="10">
        <v>62640</v>
      </c>
      <c r="BN204" s="15">
        <f t="shared" si="6"/>
        <v>61596</v>
      </c>
      <c r="BO204" s="16">
        <f t="shared" si="7"/>
        <v>43117.2</v>
      </c>
    </row>
    <row r="205" spans="1:67" ht="19.2" x14ac:dyDescent="0.4">
      <c r="A205" s="5" t="s">
        <v>454</v>
      </c>
      <c r="B205" s="5" t="s">
        <v>74</v>
      </c>
      <c r="C205" s="5">
        <v>465250</v>
      </c>
      <c r="D205" s="6"/>
      <c r="E205" s="5" t="s">
        <v>16</v>
      </c>
      <c r="F205" s="5" t="s">
        <v>75</v>
      </c>
      <c r="G205" s="5" t="s">
        <v>421</v>
      </c>
      <c r="H205" s="7" t="s">
        <v>7</v>
      </c>
      <c r="I205" s="7" t="s">
        <v>76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343</v>
      </c>
      <c r="AF205" s="8">
        <v>36120</v>
      </c>
      <c r="AG205" s="8">
        <v>4200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168</v>
      </c>
      <c r="AR205" s="8">
        <v>16200</v>
      </c>
      <c r="AS205" s="7">
        <v>600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10">
        <v>57120</v>
      </c>
      <c r="BN205" s="15">
        <f t="shared" si="6"/>
        <v>57120</v>
      </c>
      <c r="BO205" s="16">
        <f t="shared" si="7"/>
        <v>39984</v>
      </c>
    </row>
    <row r="206" spans="1:67" ht="19.2" x14ac:dyDescent="0.4">
      <c r="A206" s="5" t="s">
        <v>454</v>
      </c>
      <c r="B206" s="5" t="s">
        <v>360</v>
      </c>
      <c r="C206" s="5">
        <v>428126</v>
      </c>
      <c r="D206" s="6"/>
      <c r="E206" s="5" t="s">
        <v>16</v>
      </c>
      <c r="F206" s="5" t="s">
        <v>47</v>
      </c>
      <c r="G206" s="5" t="s">
        <v>34</v>
      </c>
      <c r="H206" s="7" t="s">
        <v>300</v>
      </c>
      <c r="I206" s="7" t="s">
        <v>361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10</v>
      </c>
      <c r="AF206" s="8">
        <v>15400</v>
      </c>
      <c r="AG206" s="8">
        <v>21000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4</v>
      </c>
      <c r="AR206" s="8">
        <v>14000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10">
        <v>50400</v>
      </c>
      <c r="BN206" s="15">
        <f t="shared" si="6"/>
        <v>50400</v>
      </c>
      <c r="BO206" s="16">
        <f t="shared" si="7"/>
        <v>35280</v>
      </c>
    </row>
    <row r="207" spans="1:67" ht="19.2" x14ac:dyDescent="0.4">
      <c r="A207" s="5" t="s">
        <v>454</v>
      </c>
      <c r="B207" s="5" t="s">
        <v>19</v>
      </c>
      <c r="C207" s="5">
        <v>463799</v>
      </c>
      <c r="D207" s="6"/>
      <c r="E207" s="5" t="s">
        <v>16</v>
      </c>
      <c r="F207" s="5" t="s">
        <v>20</v>
      </c>
      <c r="G207" s="5" t="s">
        <v>10</v>
      </c>
      <c r="H207" s="7" t="s">
        <v>7</v>
      </c>
      <c r="I207" s="7" t="s">
        <v>21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390</v>
      </c>
      <c r="AF207" s="8">
        <v>46800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10">
        <v>46800</v>
      </c>
      <c r="BN207" s="15">
        <f t="shared" si="6"/>
        <v>46800</v>
      </c>
      <c r="BO207" s="16">
        <f t="shared" si="7"/>
        <v>32759.999999999996</v>
      </c>
    </row>
    <row r="208" spans="1:67" ht="19.2" x14ac:dyDescent="0.4">
      <c r="A208" s="5" t="s">
        <v>454</v>
      </c>
      <c r="B208" s="5" t="s">
        <v>62</v>
      </c>
      <c r="C208" s="5">
        <v>386960</v>
      </c>
      <c r="D208" s="6"/>
      <c r="E208" s="5" t="s">
        <v>16</v>
      </c>
      <c r="F208" s="5" t="s">
        <v>63</v>
      </c>
      <c r="G208" s="5" t="s">
        <v>10</v>
      </c>
      <c r="H208" s="7" t="s">
        <v>7</v>
      </c>
      <c r="I208" s="7" t="s">
        <v>64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22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398</v>
      </c>
      <c r="AF208" s="8">
        <v>34140</v>
      </c>
      <c r="AG208" s="8">
        <v>6100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59</v>
      </c>
      <c r="AR208" s="8">
        <v>5400</v>
      </c>
      <c r="AS208" s="7">
        <v>500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10">
        <v>46140</v>
      </c>
      <c r="BN208" s="15">
        <f t="shared" si="6"/>
        <v>46140</v>
      </c>
      <c r="BO208" s="16">
        <f t="shared" si="7"/>
        <v>32297.999999999996</v>
      </c>
    </row>
    <row r="209" spans="1:67" ht="19.2" x14ac:dyDescent="0.4">
      <c r="A209" s="5" t="s">
        <v>454</v>
      </c>
      <c r="B209" s="5" t="s">
        <v>390</v>
      </c>
      <c r="C209" s="5">
        <v>413284</v>
      </c>
      <c r="D209" s="6"/>
      <c r="E209" s="5" t="s">
        <v>16</v>
      </c>
      <c r="F209" s="5" t="s">
        <v>254</v>
      </c>
      <c r="G209" s="5" t="s">
        <v>421</v>
      </c>
      <c r="H209" s="7" t="s">
        <v>7</v>
      </c>
      <c r="I209" s="7" t="s">
        <v>391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11</v>
      </c>
      <c r="AF209" s="8">
        <v>36720</v>
      </c>
      <c r="AG209" s="8">
        <v>6500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1</v>
      </c>
      <c r="BD209" s="8">
        <v>1200</v>
      </c>
      <c r="BE209" s="7">
        <v>0</v>
      </c>
      <c r="BF209" s="7">
        <v>0</v>
      </c>
      <c r="BG209" s="7">
        <v>0</v>
      </c>
      <c r="BH209" s="7">
        <v>0</v>
      </c>
      <c r="BI209" s="7">
        <v>1</v>
      </c>
      <c r="BJ209" s="7">
        <v>480</v>
      </c>
      <c r="BK209" s="7">
        <v>0</v>
      </c>
      <c r="BL209" s="7">
        <v>96</v>
      </c>
      <c r="BM209" s="10">
        <v>44900</v>
      </c>
      <c r="BN209" s="15">
        <f t="shared" si="6"/>
        <v>44804</v>
      </c>
      <c r="BO209" s="16">
        <f t="shared" si="7"/>
        <v>31362.799999999999</v>
      </c>
    </row>
    <row r="210" spans="1:67" ht="19.2" x14ac:dyDescent="0.4">
      <c r="A210" s="5" t="s">
        <v>454</v>
      </c>
      <c r="B210" s="5" t="s">
        <v>559</v>
      </c>
      <c r="C210" s="5">
        <v>411933</v>
      </c>
      <c r="D210" s="6"/>
      <c r="E210" s="5" t="s">
        <v>16</v>
      </c>
      <c r="F210" s="5" t="s">
        <v>125</v>
      </c>
      <c r="G210" s="5" t="s">
        <v>34</v>
      </c>
      <c r="H210" s="7" t="s">
        <v>300</v>
      </c>
      <c r="I210" s="7" t="s">
        <v>560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5</v>
      </c>
      <c r="AC210" s="8">
        <v>14400</v>
      </c>
      <c r="AD210" s="7">
        <v>0</v>
      </c>
      <c r="AE210" s="7">
        <v>5</v>
      </c>
      <c r="AF210" s="8">
        <v>12600</v>
      </c>
      <c r="AG210" s="8">
        <v>3000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3</v>
      </c>
      <c r="AR210" s="8">
        <v>8500</v>
      </c>
      <c r="AS210" s="7">
        <v>500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2</v>
      </c>
      <c r="BG210" s="8">
        <v>5760</v>
      </c>
      <c r="BH210" s="7">
        <v>0</v>
      </c>
      <c r="BI210" s="7">
        <v>0</v>
      </c>
      <c r="BJ210" s="7">
        <v>0</v>
      </c>
      <c r="BK210" s="7">
        <v>0</v>
      </c>
      <c r="BL210" s="7">
        <v>288</v>
      </c>
      <c r="BM210" s="10">
        <v>44760</v>
      </c>
      <c r="BN210" s="15">
        <f t="shared" si="6"/>
        <v>44472</v>
      </c>
      <c r="BO210" s="16">
        <f t="shared" si="7"/>
        <v>31130.399999999998</v>
      </c>
    </row>
    <row r="211" spans="1:67" ht="19.2" x14ac:dyDescent="0.4">
      <c r="A211" s="5" t="s">
        <v>454</v>
      </c>
      <c r="B211" s="5" t="s">
        <v>132</v>
      </c>
      <c r="C211" s="5">
        <v>359912</v>
      </c>
      <c r="D211" s="6"/>
      <c r="E211" s="5" t="s">
        <v>16</v>
      </c>
      <c r="F211" s="5" t="s">
        <v>133</v>
      </c>
      <c r="G211" s="5" t="s">
        <v>34</v>
      </c>
      <c r="H211" s="7" t="s">
        <v>8</v>
      </c>
      <c r="I211" s="7" t="s">
        <v>394</v>
      </c>
      <c r="J211" s="7">
        <v>0</v>
      </c>
      <c r="K211" s="7">
        <v>44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13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233</v>
      </c>
      <c r="AF211" s="8">
        <v>18120</v>
      </c>
      <c r="AG211" s="8">
        <v>7900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16</v>
      </c>
      <c r="AR211" s="8">
        <v>1600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101</v>
      </c>
      <c r="BJ211" s="8">
        <v>12120</v>
      </c>
      <c r="BK211" s="7">
        <v>0</v>
      </c>
      <c r="BL211" s="7">
        <v>606</v>
      </c>
      <c r="BM211" s="10">
        <v>39740</v>
      </c>
      <c r="BN211" s="15">
        <f t="shared" si="6"/>
        <v>39134</v>
      </c>
      <c r="BO211" s="16">
        <f t="shared" si="7"/>
        <v>27393.8</v>
      </c>
    </row>
    <row r="212" spans="1:67" ht="19.2" x14ac:dyDescent="0.4">
      <c r="A212" s="5" t="s">
        <v>454</v>
      </c>
      <c r="B212" s="5" t="s">
        <v>253</v>
      </c>
      <c r="C212" s="5">
        <v>297776</v>
      </c>
      <c r="D212" s="6"/>
      <c r="E212" s="5" t="s">
        <v>16</v>
      </c>
      <c r="F212" s="5" t="s">
        <v>254</v>
      </c>
      <c r="G212" s="5" t="s">
        <v>421</v>
      </c>
      <c r="H212" s="7" t="s">
        <v>9</v>
      </c>
      <c r="I212" s="7" t="s">
        <v>255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17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316</v>
      </c>
      <c r="AF212" s="8">
        <v>35640</v>
      </c>
      <c r="AG212" s="8">
        <v>1900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3</v>
      </c>
      <c r="AR212" s="7">
        <v>300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10">
        <v>37840</v>
      </c>
      <c r="BN212" s="15">
        <f t="shared" si="6"/>
        <v>37840</v>
      </c>
      <c r="BO212" s="16">
        <f t="shared" si="7"/>
        <v>26488</v>
      </c>
    </row>
    <row r="213" spans="1:67" ht="19.2" x14ac:dyDescent="0.4">
      <c r="A213" s="5" t="s">
        <v>454</v>
      </c>
      <c r="B213" s="5" t="s">
        <v>68</v>
      </c>
      <c r="C213" s="5">
        <v>442274</v>
      </c>
      <c r="D213" s="6"/>
      <c r="E213" s="5" t="s">
        <v>16</v>
      </c>
      <c r="F213" s="5" t="s">
        <v>69</v>
      </c>
      <c r="G213" s="5" t="s">
        <v>10</v>
      </c>
      <c r="H213" s="7" t="s">
        <v>7</v>
      </c>
      <c r="I213" s="7" t="s">
        <v>70</v>
      </c>
      <c r="J213" s="7">
        <v>1</v>
      </c>
      <c r="K213" s="7">
        <v>1</v>
      </c>
      <c r="L213" s="7">
        <v>100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309</v>
      </c>
      <c r="AF213" s="8">
        <v>37080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1</v>
      </c>
      <c r="BJ213" s="7">
        <v>120</v>
      </c>
      <c r="BK213" s="7">
        <v>0</v>
      </c>
      <c r="BL213" s="7">
        <v>6</v>
      </c>
      <c r="BM213" s="10">
        <v>37300</v>
      </c>
      <c r="BN213" s="15">
        <f t="shared" si="6"/>
        <v>37294</v>
      </c>
      <c r="BO213" s="16">
        <f t="shared" si="7"/>
        <v>26105.8</v>
      </c>
    </row>
    <row r="214" spans="1:67" ht="19.2" x14ac:dyDescent="0.4">
      <c r="A214" s="5" t="s">
        <v>454</v>
      </c>
      <c r="B214" s="5" t="s">
        <v>369</v>
      </c>
      <c r="C214" s="5">
        <v>383234</v>
      </c>
      <c r="D214" s="6"/>
      <c r="E214" s="5" t="s">
        <v>16</v>
      </c>
      <c r="F214" s="5" t="s">
        <v>130</v>
      </c>
      <c r="G214" s="5" t="s">
        <v>34</v>
      </c>
      <c r="H214" s="7" t="s">
        <v>300</v>
      </c>
      <c r="I214" s="7" t="s">
        <v>131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6</v>
      </c>
      <c r="AF214" s="8">
        <v>10880</v>
      </c>
      <c r="AG214" s="8">
        <v>7500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4</v>
      </c>
      <c r="BJ214" s="8">
        <v>13440</v>
      </c>
      <c r="BK214" s="7">
        <v>500</v>
      </c>
      <c r="BL214" s="7">
        <v>672</v>
      </c>
      <c r="BM214" s="10">
        <v>32320</v>
      </c>
      <c r="BN214" s="15">
        <f t="shared" si="6"/>
        <v>31648</v>
      </c>
      <c r="BO214" s="16">
        <f t="shared" si="7"/>
        <v>22153.599999999999</v>
      </c>
    </row>
    <row r="215" spans="1:67" ht="19.2" x14ac:dyDescent="0.4">
      <c r="A215" s="5" t="s">
        <v>454</v>
      </c>
      <c r="B215" s="5" t="s">
        <v>533</v>
      </c>
      <c r="C215" s="5">
        <v>475999</v>
      </c>
      <c r="D215" s="6"/>
      <c r="E215" s="5" t="s">
        <v>16</v>
      </c>
      <c r="F215" s="5" t="s">
        <v>434</v>
      </c>
      <c r="G215" s="5" t="s">
        <v>10</v>
      </c>
      <c r="H215" s="7" t="s">
        <v>8</v>
      </c>
      <c r="I215" s="7" t="s">
        <v>425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7</v>
      </c>
      <c r="AF215" s="8">
        <v>26880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10">
        <v>26880</v>
      </c>
      <c r="BN215" s="15">
        <f t="shared" si="6"/>
        <v>26880</v>
      </c>
      <c r="BO215" s="16">
        <f t="shared" si="7"/>
        <v>18816</v>
      </c>
    </row>
    <row r="216" spans="1:67" ht="19.2" x14ac:dyDescent="0.4">
      <c r="A216" s="5" t="s">
        <v>454</v>
      </c>
      <c r="B216" s="5" t="s">
        <v>178</v>
      </c>
      <c r="C216" s="5">
        <v>316658</v>
      </c>
      <c r="D216" s="6"/>
      <c r="E216" s="5" t="s">
        <v>16</v>
      </c>
      <c r="F216" s="5" t="s">
        <v>66</v>
      </c>
      <c r="G216" s="5" t="s">
        <v>10</v>
      </c>
      <c r="H216" s="7" t="s">
        <v>7</v>
      </c>
      <c r="I216" s="7" t="s">
        <v>179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132</v>
      </c>
      <c r="AF216" s="8">
        <v>15640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93</v>
      </c>
      <c r="BJ216" s="8">
        <v>11160</v>
      </c>
      <c r="BK216" s="7">
        <v>0</v>
      </c>
      <c r="BL216" s="7">
        <v>558</v>
      </c>
      <c r="BM216" s="10">
        <v>26800</v>
      </c>
      <c r="BN216" s="15">
        <f t="shared" si="6"/>
        <v>26242</v>
      </c>
      <c r="BO216" s="16">
        <f t="shared" si="7"/>
        <v>18369.399999999998</v>
      </c>
    </row>
    <row r="217" spans="1:67" ht="19.2" x14ac:dyDescent="0.4">
      <c r="A217" s="5" t="s">
        <v>454</v>
      </c>
      <c r="B217" s="5" t="s">
        <v>46</v>
      </c>
      <c r="C217" s="5">
        <v>412919</v>
      </c>
      <c r="D217" s="6"/>
      <c r="E217" s="5" t="s">
        <v>16</v>
      </c>
      <c r="F217" s="5" t="s">
        <v>47</v>
      </c>
      <c r="G217" s="5" t="s">
        <v>34</v>
      </c>
      <c r="H217" s="7" t="s">
        <v>8</v>
      </c>
      <c r="I217" s="7" t="s">
        <v>48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13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138</v>
      </c>
      <c r="AF217" s="8">
        <v>3880</v>
      </c>
      <c r="AG217" s="8">
        <v>10100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18</v>
      </c>
      <c r="AR217" s="8">
        <v>1800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87</v>
      </c>
      <c r="BJ217" s="8">
        <v>10440</v>
      </c>
      <c r="BK217" s="7">
        <v>0</v>
      </c>
      <c r="BL217" s="7">
        <v>522</v>
      </c>
      <c r="BM217" s="10">
        <v>26220</v>
      </c>
      <c r="BN217" s="15">
        <f t="shared" si="6"/>
        <v>25698</v>
      </c>
      <c r="BO217" s="16">
        <f t="shared" si="7"/>
        <v>17988.599999999999</v>
      </c>
    </row>
    <row r="218" spans="1:67" ht="19.2" x14ac:dyDescent="0.4">
      <c r="A218" s="5" t="s">
        <v>454</v>
      </c>
      <c r="B218" s="5" t="s">
        <v>299</v>
      </c>
      <c r="C218" s="5">
        <v>381684</v>
      </c>
      <c r="D218" s="6"/>
      <c r="E218" s="5" t="s">
        <v>16</v>
      </c>
      <c r="F218" s="5" t="s">
        <v>133</v>
      </c>
      <c r="G218" s="5" t="s">
        <v>34</v>
      </c>
      <c r="H218" s="7" t="s">
        <v>300</v>
      </c>
      <c r="I218" s="7" t="s">
        <v>134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3</v>
      </c>
      <c r="AF218" s="8">
        <v>9120</v>
      </c>
      <c r="AG218" s="8">
        <v>3800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1</v>
      </c>
      <c r="AR218" s="8">
        <v>3800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2</v>
      </c>
      <c r="BJ218" s="8">
        <v>9120</v>
      </c>
      <c r="BK218" s="7">
        <v>0</v>
      </c>
      <c r="BL218" s="7">
        <v>456</v>
      </c>
      <c r="BM218" s="10">
        <v>25840</v>
      </c>
      <c r="BN218" s="15">
        <f t="shared" si="6"/>
        <v>25384</v>
      </c>
      <c r="BO218" s="16">
        <f t="shared" si="7"/>
        <v>17768.8</v>
      </c>
    </row>
    <row r="219" spans="1:67" ht="19.2" x14ac:dyDescent="0.4">
      <c r="A219" s="5" t="s">
        <v>454</v>
      </c>
      <c r="B219" s="5" t="s">
        <v>129</v>
      </c>
      <c r="C219" s="5">
        <v>383229</v>
      </c>
      <c r="D219" s="6"/>
      <c r="E219" s="5" t="s">
        <v>16</v>
      </c>
      <c r="F219" s="5" t="s">
        <v>130</v>
      </c>
      <c r="G219" s="5" t="s">
        <v>34</v>
      </c>
      <c r="H219" s="7" t="s">
        <v>8</v>
      </c>
      <c r="I219" s="7" t="s">
        <v>131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8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87</v>
      </c>
      <c r="AF219" s="8">
        <v>1280</v>
      </c>
      <c r="AG219" s="8">
        <v>7500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132</v>
      </c>
      <c r="BJ219" s="8">
        <v>15840</v>
      </c>
      <c r="BK219" s="7">
        <v>0</v>
      </c>
      <c r="BL219" s="7">
        <v>792</v>
      </c>
      <c r="BM219" s="10">
        <v>24620</v>
      </c>
      <c r="BN219" s="15">
        <f t="shared" si="6"/>
        <v>23828</v>
      </c>
      <c r="BO219" s="16">
        <f t="shared" si="7"/>
        <v>16679.599999999999</v>
      </c>
    </row>
    <row r="220" spans="1:67" ht="19.2" x14ac:dyDescent="0.4">
      <c r="A220" s="5" t="s">
        <v>454</v>
      </c>
      <c r="B220" s="5" t="s">
        <v>192</v>
      </c>
      <c r="C220" s="5">
        <v>402649</v>
      </c>
      <c r="D220" s="6"/>
      <c r="E220" s="5" t="s">
        <v>16</v>
      </c>
      <c r="F220" s="5" t="s">
        <v>41</v>
      </c>
      <c r="G220" s="5" t="s">
        <v>34</v>
      </c>
      <c r="H220" s="7" t="s">
        <v>8</v>
      </c>
      <c r="I220" s="7" t="s">
        <v>193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16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84</v>
      </c>
      <c r="AF220" s="7">
        <v>360</v>
      </c>
      <c r="AG220" s="8">
        <v>8100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9</v>
      </c>
      <c r="AR220" s="7">
        <v>900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114</v>
      </c>
      <c r="BJ220" s="8">
        <v>13680</v>
      </c>
      <c r="BK220" s="7">
        <v>0</v>
      </c>
      <c r="BL220" s="7">
        <v>684</v>
      </c>
      <c r="BM220" s="10">
        <v>23040</v>
      </c>
      <c r="BN220" s="15">
        <f t="shared" si="6"/>
        <v>22356</v>
      </c>
      <c r="BO220" s="16">
        <f t="shared" si="7"/>
        <v>15649.199999999999</v>
      </c>
    </row>
    <row r="221" spans="1:67" ht="19.2" x14ac:dyDescent="0.4">
      <c r="A221" s="5" t="s">
        <v>454</v>
      </c>
      <c r="B221" s="5" t="s">
        <v>398</v>
      </c>
      <c r="C221" s="5">
        <v>471701</v>
      </c>
      <c r="D221" s="6"/>
      <c r="E221" s="5" t="s">
        <v>16</v>
      </c>
      <c r="F221" s="5" t="s">
        <v>399</v>
      </c>
      <c r="G221" s="5" t="s">
        <v>411</v>
      </c>
      <c r="H221" s="7" t="s">
        <v>9</v>
      </c>
      <c r="I221" s="7" t="s">
        <v>400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194</v>
      </c>
      <c r="AF221" s="8">
        <v>8160</v>
      </c>
      <c r="AG221" s="8">
        <v>12600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15</v>
      </c>
      <c r="BJ221" s="8">
        <v>1800</v>
      </c>
      <c r="BK221" s="7">
        <v>0</v>
      </c>
      <c r="BL221" s="7">
        <v>90</v>
      </c>
      <c r="BM221" s="10">
        <v>22560</v>
      </c>
      <c r="BN221" s="15">
        <f t="shared" si="6"/>
        <v>22470</v>
      </c>
      <c r="BO221" s="16">
        <f t="shared" si="7"/>
        <v>15728.999999999998</v>
      </c>
    </row>
    <row r="222" spans="1:67" ht="19.2" x14ac:dyDescent="0.4">
      <c r="A222" s="5" t="s">
        <v>454</v>
      </c>
      <c r="B222" s="5" t="s">
        <v>386</v>
      </c>
      <c r="C222" s="5">
        <v>392578</v>
      </c>
      <c r="D222" s="6"/>
      <c r="E222" s="5" t="s">
        <v>16</v>
      </c>
      <c r="F222" s="5" t="s">
        <v>264</v>
      </c>
      <c r="G222" s="5" t="s">
        <v>34</v>
      </c>
      <c r="H222" s="7" t="s">
        <v>300</v>
      </c>
      <c r="I222" s="7" t="s">
        <v>372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10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182</v>
      </c>
      <c r="AF222" s="8">
        <v>20880</v>
      </c>
      <c r="AG222" s="7">
        <v>100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5</v>
      </c>
      <c r="AR222" s="7">
        <v>500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10">
        <v>21480</v>
      </c>
      <c r="BN222" s="15">
        <f t="shared" si="6"/>
        <v>21480</v>
      </c>
      <c r="BO222" s="16">
        <f t="shared" si="7"/>
        <v>15035.999999999998</v>
      </c>
    </row>
    <row r="223" spans="1:67" ht="19.2" x14ac:dyDescent="0.4">
      <c r="A223" s="5" t="s">
        <v>454</v>
      </c>
      <c r="B223" s="5" t="s">
        <v>150</v>
      </c>
      <c r="C223" s="5">
        <v>428319</v>
      </c>
      <c r="D223" s="6"/>
      <c r="E223" s="5" t="s">
        <v>16</v>
      </c>
      <c r="F223" s="5" t="s">
        <v>96</v>
      </c>
      <c r="G223" s="5" t="s">
        <v>10</v>
      </c>
      <c r="H223" s="7" t="s">
        <v>7</v>
      </c>
      <c r="I223" s="7" t="s">
        <v>109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3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175</v>
      </c>
      <c r="AF223" s="8">
        <v>21000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10">
        <v>21000</v>
      </c>
      <c r="BN223" s="15">
        <f t="shared" si="6"/>
        <v>21000</v>
      </c>
      <c r="BO223" s="16">
        <f t="shared" si="7"/>
        <v>14699.999999999998</v>
      </c>
    </row>
    <row r="224" spans="1:67" ht="19.2" x14ac:dyDescent="0.4">
      <c r="A224" s="5" t="s">
        <v>454</v>
      </c>
      <c r="B224" s="5" t="s">
        <v>401</v>
      </c>
      <c r="C224" s="5">
        <v>470379</v>
      </c>
      <c r="D224" s="6"/>
      <c r="E224" s="5" t="s">
        <v>16</v>
      </c>
      <c r="F224" s="5" t="s">
        <v>75</v>
      </c>
      <c r="G224" s="5" t="s">
        <v>421</v>
      </c>
      <c r="H224" s="7" t="s">
        <v>7</v>
      </c>
      <c r="I224" s="7" t="s">
        <v>18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5</v>
      </c>
      <c r="AF224" s="8">
        <v>21000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10">
        <v>21000</v>
      </c>
      <c r="BN224" s="15">
        <f t="shared" si="6"/>
        <v>21000</v>
      </c>
      <c r="BO224" s="16">
        <f t="shared" si="7"/>
        <v>14699.999999999998</v>
      </c>
    </row>
    <row r="225" spans="1:67" ht="19.2" x14ac:dyDescent="0.4">
      <c r="A225" s="5" t="s">
        <v>454</v>
      </c>
      <c r="B225" s="5" t="s">
        <v>54</v>
      </c>
      <c r="C225" s="5">
        <v>463946</v>
      </c>
      <c r="D225" s="6"/>
      <c r="E225" s="5" t="s">
        <v>16</v>
      </c>
      <c r="F225" s="5" t="s">
        <v>55</v>
      </c>
      <c r="G225" s="5" t="s">
        <v>10</v>
      </c>
      <c r="H225" s="7" t="s">
        <v>7</v>
      </c>
      <c r="I225" s="7" t="s">
        <v>56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9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170</v>
      </c>
      <c r="AF225" s="8">
        <v>20400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4</v>
      </c>
      <c r="AR225" s="7">
        <v>400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10">
        <v>20800</v>
      </c>
      <c r="BN225" s="15">
        <f t="shared" si="6"/>
        <v>20800</v>
      </c>
      <c r="BO225" s="16">
        <f t="shared" si="7"/>
        <v>14559.999999999998</v>
      </c>
    </row>
    <row r="226" spans="1:67" ht="19.2" x14ac:dyDescent="0.4">
      <c r="A226" s="5" t="s">
        <v>454</v>
      </c>
      <c r="B226" s="5" t="s">
        <v>285</v>
      </c>
      <c r="C226" s="5">
        <v>391329</v>
      </c>
      <c r="D226" s="6"/>
      <c r="E226" s="5" t="s">
        <v>16</v>
      </c>
      <c r="F226" s="5" t="s">
        <v>66</v>
      </c>
      <c r="G226" s="5" t="s">
        <v>10</v>
      </c>
      <c r="H226" s="7" t="s">
        <v>7</v>
      </c>
      <c r="I226" s="7" t="s">
        <v>286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5</v>
      </c>
      <c r="AF226" s="8">
        <v>19200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10">
        <v>19200</v>
      </c>
      <c r="BN226" s="15">
        <f t="shared" si="6"/>
        <v>19200</v>
      </c>
      <c r="BO226" s="16">
        <f t="shared" si="7"/>
        <v>13440</v>
      </c>
    </row>
    <row r="227" spans="1:67" ht="19.2" x14ac:dyDescent="0.4">
      <c r="A227" s="5" t="s">
        <v>454</v>
      </c>
      <c r="B227" s="5" t="s">
        <v>366</v>
      </c>
      <c r="C227" s="5">
        <v>446880</v>
      </c>
      <c r="D227" s="6"/>
      <c r="E227" s="5" t="s">
        <v>16</v>
      </c>
      <c r="F227" s="5" t="s">
        <v>264</v>
      </c>
      <c r="G227" s="5" t="s">
        <v>34</v>
      </c>
      <c r="H227" s="7" t="s">
        <v>300</v>
      </c>
      <c r="I227" s="7" t="s">
        <v>311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3</v>
      </c>
      <c r="AF227" s="8">
        <v>7000</v>
      </c>
      <c r="AG227" s="8">
        <v>1000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1</v>
      </c>
      <c r="AR227" s="8">
        <v>3500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2</v>
      </c>
      <c r="BJ227" s="8">
        <v>7200</v>
      </c>
      <c r="BK227" s="7">
        <v>0</v>
      </c>
      <c r="BL227" s="7">
        <v>360</v>
      </c>
      <c r="BM227" s="10">
        <v>18700</v>
      </c>
      <c r="BN227" s="15">
        <f t="shared" si="6"/>
        <v>18340</v>
      </c>
      <c r="BO227" s="16">
        <f t="shared" si="7"/>
        <v>12838</v>
      </c>
    </row>
    <row r="228" spans="1:67" ht="19.2" x14ac:dyDescent="0.4">
      <c r="A228" s="5" t="s">
        <v>454</v>
      </c>
      <c r="B228" s="5" t="s">
        <v>413</v>
      </c>
      <c r="C228" s="5">
        <v>473531</v>
      </c>
      <c r="D228" s="6"/>
      <c r="E228" s="5" t="s">
        <v>16</v>
      </c>
      <c r="F228" s="5" t="s">
        <v>414</v>
      </c>
      <c r="G228" s="5" t="s">
        <v>34</v>
      </c>
      <c r="H228" s="7" t="s">
        <v>300</v>
      </c>
      <c r="I228" s="7" t="s">
        <v>415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2</v>
      </c>
      <c r="AF228" s="8">
        <v>3600</v>
      </c>
      <c r="AG228" s="8">
        <v>3000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3</v>
      </c>
      <c r="BJ228" s="8">
        <v>10800</v>
      </c>
      <c r="BK228" s="7">
        <v>0</v>
      </c>
      <c r="BL228" s="7">
        <v>540</v>
      </c>
      <c r="BM228" s="10">
        <v>17400</v>
      </c>
      <c r="BN228" s="15">
        <f t="shared" si="6"/>
        <v>16860</v>
      </c>
      <c r="BO228" s="16">
        <f t="shared" si="7"/>
        <v>11802</v>
      </c>
    </row>
    <row r="229" spans="1:67" ht="19.2" x14ac:dyDescent="0.4">
      <c r="A229" s="5" t="s">
        <v>454</v>
      </c>
      <c r="B229" s="5" t="s">
        <v>233</v>
      </c>
      <c r="C229" s="5">
        <v>429534</v>
      </c>
      <c r="D229" s="6"/>
      <c r="E229" s="5" t="s">
        <v>16</v>
      </c>
      <c r="F229" s="5" t="s">
        <v>173</v>
      </c>
      <c r="G229" s="5" t="s">
        <v>411</v>
      </c>
      <c r="H229" s="7" t="s">
        <v>7</v>
      </c>
      <c r="I229" s="7" t="s">
        <v>234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6</v>
      </c>
      <c r="AF229" s="8">
        <v>9900</v>
      </c>
      <c r="AG229" s="8">
        <v>6900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10">
        <v>16800</v>
      </c>
      <c r="BN229" s="15">
        <f t="shared" si="6"/>
        <v>16800</v>
      </c>
      <c r="BO229" s="16">
        <f t="shared" si="7"/>
        <v>11760</v>
      </c>
    </row>
    <row r="230" spans="1:67" ht="19.2" x14ac:dyDescent="0.4">
      <c r="A230" s="5" t="s">
        <v>454</v>
      </c>
      <c r="B230" s="5" t="s">
        <v>358</v>
      </c>
      <c r="C230" s="5">
        <v>458432</v>
      </c>
      <c r="D230" s="6"/>
      <c r="E230" s="5" t="s">
        <v>16</v>
      </c>
      <c r="F230" s="5" t="s">
        <v>130</v>
      </c>
      <c r="G230" s="5" t="s">
        <v>34</v>
      </c>
      <c r="H230" s="7" t="s">
        <v>300</v>
      </c>
      <c r="I230" s="7" t="s">
        <v>359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3</v>
      </c>
      <c r="AF230" s="7">
        <v>0</v>
      </c>
      <c r="AG230" s="8">
        <v>6500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3</v>
      </c>
      <c r="BJ230" s="8">
        <v>10200</v>
      </c>
      <c r="BK230" s="7">
        <v>0</v>
      </c>
      <c r="BL230" s="7">
        <v>510</v>
      </c>
      <c r="BM230" s="10">
        <v>16700</v>
      </c>
      <c r="BN230" s="15">
        <f t="shared" si="6"/>
        <v>16190</v>
      </c>
      <c r="BO230" s="16">
        <f t="shared" si="7"/>
        <v>11333</v>
      </c>
    </row>
    <row r="231" spans="1:67" ht="19.2" x14ac:dyDescent="0.4">
      <c r="A231" s="5" t="s">
        <v>454</v>
      </c>
      <c r="B231" s="5" t="s">
        <v>83</v>
      </c>
      <c r="C231" s="5">
        <v>370935</v>
      </c>
      <c r="D231" s="6"/>
      <c r="E231" s="5" t="s">
        <v>16</v>
      </c>
      <c r="F231" s="5" t="s">
        <v>30</v>
      </c>
      <c r="G231" s="5" t="s">
        <v>10</v>
      </c>
      <c r="H231" s="7" t="s">
        <v>7</v>
      </c>
      <c r="I231" s="7" t="s">
        <v>84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5</v>
      </c>
      <c r="AF231" s="8">
        <v>3840</v>
      </c>
      <c r="AG231" s="8">
        <v>12800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10">
        <v>16640</v>
      </c>
      <c r="BN231" s="15">
        <f t="shared" si="6"/>
        <v>16640</v>
      </c>
      <c r="BO231" s="16">
        <f t="shared" si="7"/>
        <v>11648</v>
      </c>
    </row>
    <row r="232" spans="1:67" ht="19.2" x14ac:dyDescent="0.4">
      <c r="A232" s="5" t="s">
        <v>454</v>
      </c>
      <c r="B232" s="5" t="s">
        <v>159</v>
      </c>
      <c r="C232" s="5">
        <v>376361</v>
      </c>
      <c r="D232" s="6"/>
      <c r="E232" s="5" t="s">
        <v>16</v>
      </c>
      <c r="F232" s="5" t="s">
        <v>47</v>
      </c>
      <c r="G232" s="5" t="s">
        <v>34</v>
      </c>
      <c r="H232" s="7" t="s">
        <v>8</v>
      </c>
      <c r="I232" s="7" t="s">
        <v>160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2</v>
      </c>
      <c r="T232" s="7">
        <v>10</v>
      </c>
      <c r="U232" s="7">
        <v>0</v>
      </c>
      <c r="V232" s="7">
        <v>200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36</v>
      </c>
      <c r="AF232" s="8">
        <v>2760</v>
      </c>
      <c r="AG232" s="8">
        <v>1300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56</v>
      </c>
      <c r="AR232" s="8">
        <v>5600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7</v>
      </c>
      <c r="BD232" s="7">
        <v>840</v>
      </c>
      <c r="BE232" s="7">
        <v>0</v>
      </c>
      <c r="BF232" s="7">
        <v>0</v>
      </c>
      <c r="BG232" s="7">
        <v>0</v>
      </c>
      <c r="BH232" s="7">
        <v>0</v>
      </c>
      <c r="BI232" s="7">
        <v>46</v>
      </c>
      <c r="BJ232" s="8">
        <v>5520</v>
      </c>
      <c r="BK232" s="7">
        <v>0</v>
      </c>
      <c r="BL232" s="7">
        <v>326.39999999999998</v>
      </c>
      <c r="BM232" s="10">
        <v>16220</v>
      </c>
      <c r="BN232" s="15">
        <f t="shared" si="6"/>
        <v>15893.6</v>
      </c>
      <c r="BO232" s="16">
        <f t="shared" si="7"/>
        <v>11125.52</v>
      </c>
    </row>
    <row r="233" spans="1:67" ht="19.2" x14ac:dyDescent="0.4">
      <c r="A233" s="5" t="s">
        <v>454</v>
      </c>
      <c r="B233" s="5" t="s">
        <v>451</v>
      </c>
      <c r="C233" s="5">
        <v>424575</v>
      </c>
      <c r="D233" s="6"/>
      <c r="E233" s="5" t="s">
        <v>16</v>
      </c>
      <c r="F233" s="5" t="s">
        <v>41</v>
      </c>
      <c r="G233" s="5" t="s">
        <v>34</v>
      </c>
      <c r="H233" s="7" t="s">
        <v>300</v>
      </c>
      <c r="I233" s="7" t="s">
        <v>452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5</v>
      </c>
      <c r="AF233" s="8">
        <v>6800</v>
      </c>
      <c r="AG233" s="8">
        <v>2700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3</v>
      </c>
      <c r="AR233" s="8">
        <v>6500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10">
        <v>16000</v>
      </c>
      <c r="BN233" s="15">
        <f t="shared" si="6"/>
        <v>16000</v>
      </c>
      <c r="BO233" s="16">
        <f t="shared" si="7"/>
        <v>11200</v>
      </c>
    </row>
    <row r="234" spans="1:67" ht="19.2" x14ac:dyDescent="0.4">
      <c r="A234" s="5" t="s">
        <v>454</v>
      </c>
      <c r="B234" s="5" t="s">
        <v>199</v>
      </c>
      <c r="C234" s="5">
        <v>458566</v>
      </c>
      <c r="D234" s="6"/>
      <c r="E234" s="5" t="s">
        <v>16</v>
      </c>
      <c r="F234" s="5" t="s">
        <v>30</v>
      </c>
      <c r="G234" s="5" t="s">
        <v>10</v>
      </c>
      <c r="H234" s="7" t="s">
        <v>7</v>
      </c>
      <c r="I234" s="7" t="s">
        <v>200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4</v>
      </c>
      <c r="BJ234" s="8">
        <v>15360</v>
      </c>
      <c r="BK234" s="7">
        <v>0</v>
      </c>
      <c r="BL234" s="7">
        <v>768</v>
      </c>
      <c r="BM234" s="10">
        <v>15360</v>
      </c>
      <c r="BN234" s="15">
        <f t="shared" si="6"/>
        <v>14592</v>
      </c>
      <c r="BO234" s="16">
        <f t="shared" si="7"/>
        <v>10214.4</v>
      </c>
    </row>
    <row r="235" spans="1:67" ht="19.2" x14ac:dyDescent="0.4">
      <c r="A235" s="5" t="s">
        <v>454</v>
      </c>
      <c r="B235" s="5" t="s">
        <v>88</v>
      </c>
      <c r="C235" s="5">
        <v>364724</v>
      </c>
      <c r="D235" s="6"/>
      <c r="E235" s="5" t="s">
        <v>16</v>
      </c>
      <c r="F235" s="5" t="s">
        <v>89</v>
      </c>
      <c r="G235" s="5" t="s">
        <v>10</v>
      </c>
      <c r="H235" s="7" t="s">
        <v>7</v>
      </c>
      <c r="I235" s="7" t="s">
        <v>90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1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35</v>
      </c>
      <c r="AF235" s="8">
        <v>3860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94</v>
      </c>
      <c r="BJ235" s="8">
        <v>11280</v>
      </c>
      <c r="BK235" s="7">
        <v>0</v>
      </c>
      <c r="BL235" s="7">
        <v>564</v>
      </c>
      <c r="BM235" s="10">
        <v>15140</v>
      </c>
      <c r="BN235" s="15">
        <f t="shared" si="6"/>
        <v>14576</v>
      </c>
      <c r="BO235" s="16">
        <f t="shared" si="7"/>
        <v>10203.199999999999</v>
      </c>
    </row>
    <row r="236" spans="1:67" ht="19.2" x14ac:dyDescent="0.4">
      <c r="A236" s="5" t="s">
        <v>454</v>
      </c>
      <c r="B236" s="5" t="s">
        <v>246</v>
      </c>
      <c r="C236" s="5">
        <v>469072</v>
      </c>
      <c r="D236" s="6"/>
      <c r="E236" s="5" t="s">
        <v>16</v>
      </c>
      <c r="F236" s="5" t="s">
        <v>165</v>
      </c>
      <c r="G236" s="5" t="s">
        <v>34</v>
      </c>
      <c r="H236" s="7" t="s">
        <v>8</v>
      </c>
      <c r="I236" s="7" t="s">
        <v>247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118</v>
      </c>
      <c r="AF236" s="8">
        <v>13000</v>
      </c>
      <c r="AG236" s="7">
        <v>800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9</v>
      </c>
      <c r="BJ236" s="8">
        <v>1080</v>
      </c>
      <c r="BK236" s="7">
        <v>0</v>
      </c>
      <c r="BL236" s="7">
        <v>54</v>
      </c>
      <c r="BM236" s="10">
        <v>14880</v>
      </c>
      <c r="BN236" s="15">
        <f t="shared" si="6"/>
        <v>14826</v>
      </c>
      <c r="BO236" s="16">
        <f t="shared" si="7"/>
        <v>10378.199999999999</v>
      </c>
    </row>
    <row r="237" spans="1:67" ht="19.2" x14ac:dyDescent="0.4">
      <c r="A237" s="5" t="s">
        <v>454</v>
      </c>
      <c r="B237" s="5" t="s">
        <v>561</v>
      </c>
      <c r="C237" s="5">
        <v>423579</v>
      </c>
      <c r="D237" s="6"/>
      <c r="E237" s="5" t="s">
        <v>16</v>
      </c>
      <c r="F237" s="5" t="s">
        <v>162</v>
      </c>
      <c r="G237" s="5" t="s">
        <v>34</v>
      </c>
      <c r="H237" s="7" t="s">
        <v>300</v>
      </c>
      <c r="I237" s="7" t="s">
        <v>163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2</v>
      </c>
      <c r="T237" s="7">
        <v>0</v>
      </c>
      <c r="U237" s="7">
        <v>0</v>
      </c>
      <c r="V237" s="7">
        <v>0</v>
      </c>
      <c r="W237" s="8">
        <v>7200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2</v>
      </c>
      <c r="AR237" s="8">
        <v>7000</v>
      </c>
      <c r="AS237" s="7">
        <v>200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10">
        <v>14400</v>
      </c>
      <c r="BN237" s="15">
        <f t="shared" si="6"/>
        <v>14400</v>
      </c>
      <c r="BO237" s="16">
        <f t="shared" si="7"/>
        <v>10080</v>
      </c>
    </row>
    <row r="238" spans="1:67" ht="19.2" x14ac:dyDescent="0.4">
      <c r="A238" s="5" t="s">
        <v>454</v>
      </c>
      <c r="B238" s="5" t="s">
        <v>188</v>
      </c>
      <c r="C238" s="5">
        <v>325640</v>
      </c>
      <c r="D238" s="6"/>
      <c r="E238" s="5" t="s">
        <v>16</v>
      </c>
      <c r="F238" s="5" t="s">
        <v>189</v>
      </c>
      <c r="G238" s="5" t="s">
        <v>10</v>
      </c>
      <c r="H238" s="7" t="s">
        <v>7</v>
      </c>
      <c r="I238" s="7" t="s">
        <v>190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9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80</v>
      </c>
      <c r="AF238" s="8">
        <v>4500</v>
      </c>
      <c r="AG238" s="8">
        <v>3500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49</v>
      </c>
      <c r="AR238" s="8">
        <v>4900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10">
        <v>12900</v>
      </c>
      <c r="BN238" s="15">
        <f t="shared" si="6"/>
        <v>12900</v>
      </c>
      <c r="BO238" s="16">
        <f t="shared" si="7"/>
        <v>9030</v>
      </c>
    </row>
    <row r="239" spans="1:67" ht="19.2" x14ac:dyDescent="0.4">
      <c r="A239" s="5" t="s">
        <v>454</v>
      </c>
      <c r="B239" s="5" t="s">
        <v>380</v>
      </c>
      <c r="C239" s="5">
        <v>410142</v>
      </c>
      <c r="D239" s="6"/>
      <c r="E239" s="5" t="s">
        <v>16</v>
      </c>
      <c r="F239" s="5" t="s">
        <v>63</v>
      </c>
      <c r="G239" s="5" t="s">
        <v>10</v>
      </c>
      <c r="H239" s="7" t="s">
        <v>7</v>
      </c>
      <c r="I239" s="7" t="s">
        <v>216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4</v>
      </c>
      <c r="AF239" s="7">
        <v>0</v>
      </c>
      <c r="AG239" s="8">
        <v>12800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10">
        <v>12800</v>
      </c>
      <c r="BN239" s="15">
        <f t="shared" si="6"/>
        <v>12800</v>
      </c>
      <c r="BO239" s="16">
        <f t="shared" si="7"/>
        <v>8960</v>
      </c>
    </row>
    <row r="240" spans="1:67" ht="19.2" x14ac:dyDescent="0.4">
      <c r="A240" s="5" t="s">
        <v>454</v>
      </c>
      <c r="B240" s="5" t="s">
        <v>71</v>
      </c>
      <c r="C240" s="5">
        <v>219203</v>
      </c>
      <c r="D240" s="6"/>
      <c r="E240" s="5" t="s">
        <v>16</v>
      </c>
      <c r="F240" s="5" t="s">
        <v>72</v>
      </c>
      <c r="G240" s="5" t="s">
        <v>10</v>
      </c>
      <c r="H240" s="7" t="s">
        <v>7</v>
      </c>
      <c r="I240" s="7" t="s">
        <v>73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95</v>
      </c>
      <c r="AC240" s="8">
        <v>9500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27</v>
      </c>
      <c r="BG240" s="8">
        <v>3240</v>
      </c>
      <c r="BH240" s="7">
        <v>0</v>
      </c>
      <c r="BI240" s="7">
        <v>0</v>
      </c>
      <c r="BJ240" s="7">
        <v>0</v>
      </c>
      <c r="BK240" s="7">
        <v>0</v>
      </c>
      <c r="BL240" s="7">
        <v>162</v>
      </c>
      <c r="BM240" s="10">
        <v>12740</v>
      </c>
      <c r="BN240" s="15">
        <f t="shared" si="6"/>
        <v>12578</v>
      </c>
      <c r="BO240" s="16">
        <f t="shared" si="7"/>
        <v>8804.5999999999985</v>
      </c>
    </row>
    <row r="241" spans="1:67" ht="19.2" x14ac:dyDescent="0.4">
      <c r="A241" s="5" t="s">
        <v>454</v>
      </c>
      <c r="B241" s="5" t="s">
        <v>381</v>
      </c>
      <c r="C241" s="5">
        <v>426259</v>
      </c>
      <c r="D241" s="6"/>
      <c r="E241" s="5" t="s">
        <v>16</v>
      </c>
      <c r="F241" s="5" t="s">
        <v>130</v>
      </c>
      <c r="G241" s="5" t="s">
        <v>34</v>
      </c>
      <c r="H241" s="7" t="s">
        <v>300</v>
      </c>
      <c r="I241" s="7" t="s">
        <v>382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2</v>
      </c>
      <c r="AF241" s="7">
        <v>0</v>
      </c>
      <c r="AG241" s="8">
        <v>5300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3</v>
      </c>
      <c r="BJ241" s="8">
        <v>7080</v>
      </c>
      <c r="BK241" s="7">
        <v>0</v>
      </c>
      <c r="BL241" s="7">
        <v>354</v>
      </c>
      <c r="BM241" s="10">
        <v>12380</v>
      </c>
      <c r="BN241" s="15">
        <f t="shared" si="6"/>
        <v>12026</v>
      </c>
      <c r="BO241" s="16">
        <f t="shared" si="7"/>
        <v>8418.1999999999989</v>
      </c>
    </row>
    <row r="242" spans="1:67" ht="19.2" x14ac:dyDescent="0.4">
      <c r="A242" s="5" t="s">
        <v>454</v>
      </c>
      <c r="B242" s="5" t="s">
        <v>167</v>
      </c>
      <c r="C242" s="5">
        <v>387822</v>
      </c>
      <c r="D242" s="6"/>
      <c r="E242" s="5" t="s">
        <v>16</v>
      </c>
      <c r="F242" s="5" t="s">
        <v>168</v>
      </c>
      <c r="G242" s="5" t="s">
        <v>34</v>
      </c>
      <c r="H242" s="7" t="s">
        <v>8</v>
      </c>
      <c r="I242" s="7" t="s">
        <v>169</v>
      </c>
      <c r="J242" s="7">
        <v>0</v>
      </c>
      <c r="K242" s="7">
        <v>3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4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111</v>
      </c>
      <c r="AF242" s="8">
        <v>7200</v>
      </c>
      <c r="AG242" s="8">
        <v>5100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10">
        <v>12300</v>
      </c>
      <c r="BN242" s="15">
        <f t="shared" si="6"/>
        <v>12300</v>
      </c>
      <c r="BO242" s="16">
        <f t="shared" si="7"/>
        <v>8610</v>
      </c>
    </row>
    <row r="243" spans="1:67" ht="19.2" x14ac:dyDescent="0.4">
      <c r="A243" s="5" t="s">
        <v>454</v>
      </c>
      <c r="B243" s="5" t="s">
        <v>375</v>
      </c>
      <c r="C243" s="5">
        <v>444217</v>
      </c>
      <c r="D243" s="6"/>
      <c r="E243" s="5" t="s">
        <v>16</v>
      </c>
      <c r="F243" s="5" t="s">
        <v>130</v>
      </c>
      <c r="G243" s="5" t="s">
        <v>34</v>
      </c>
      <c r="H243" s="7" t="s">
        <v>300</v>
      </c>
      <c r="I243" s="7" t="s">
        <v>376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4</v>
      </c>
      <c r="AF243" s="8">
        <v>12000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10">
        <v>12000</v>
      </c>
      <c r="BN243" s="15">
        <f t="shared" si="6"/>
        <v>12000</v>
      </c>
      <c r="BO243" s="16">
        <f t="shared" si="7"/>
        <v>8400</v>
      </c>
    </row>
    <row r="244" spans="1:67" ht="19.2" x14ac:dyDescent="0.4">
      <c r="A244" s="5" t="s">
        <v>454</v>
      </c>
      <c r="B244" s="5" t="s">
        <v>223</v>
      </c>
      <c r="C244" s="5">
        <v>353981</v>
      </c>
      <c r="D244" s="6"/>
      <c r="E244" s="5" t="s">
        <v>16</v>
      </c>
      <c r="F244" s="5" t="s">
        <v>224</v>
      </c>
      <c r="G244" s="5" t="s">
        <v>34</v>
      </c>
      <c r="H244" s="7" t="s">
        <v>8</v>
      </c>
      <c r="I244" s="7" t="s">
        <v>225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9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92</v>
      </c>
      <c r="AF244" s="8">
        <v>11040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2</v>
      </c>
      <c r="BJ244" s="7">
        <v>240</v>
      </c>
      <c r="BK244" s="7">
        <v>0</v>
      </c>
      <c r="BL244" s="7">
        <v>12</v>
      </c>
      <c r="BM244" s="10">
        <v>11280</v>
      </c>
      <c r="BN244" s="15">
        <f t="shared" si="6"/>
        <v>11268</v>
      </c>
      <c r="BO244" s="16">
        <f t="shared" si="7"/>
        <v>7887.5999999999995</v>
      </c>
    </row>
    <row r="245" spans="1:67" ht="19.2" x14ac:dyDescent="0.4">
      <c r="A245" s="5" t="s">
        <v>454</v>
      </c>
      <c r="B245" s="5" t="s">
        <v>328</v>
      </c>
      <c r="C245" s="5">
        <v>278898</v>
      </c>
      <c r="D245" s="6"/>
      <c r="E245" s="5" t="s">
        <v>16</v>
      </c>
      <c r="F245" s="5" t="s">
        <v>329</v>
      </c>
      <c r="G245" s="5" t="s">
        <v>10</v>
      </c>
      <c r="H245" s="7" t="s">
        <v>7</v>
      </c>
      <c r="I245" s="7" t="s">
        <v>330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4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109</v>
      </c>
      <c r="AF245" s="8">
        <v>10500</v>
      </c>
      <c r="AG245" s="7">
        <v>400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10">
        <v>10900</v>
      </c>
      <c r="BN245" s="15">
        <f t="shared" si="6"/>
        <v>10900</v>
      </c>
      <c r="BO245" s="16">
        <f t="shared" si="7"/>
        <v>7629.9999999999991</v>
      </c>
    </row>
    <row r="246" spans="1:67" ht="19.2" x14ac:dyDescent="0.4">
      <c r="A246" s="5" t="s">
        <v>454</v>
      </c>
      <c r="B246" s="5" t="s">
        <v>354</v>
      </c>
      <c r="C246" s="5">
        <v>454879</v>
      </c>
      <c r="D246" s="6"/>
      <c r="E246" s="5" t="s">
        <v>16</v>
      </c>
      <c r="F246" s="5" t="s">
        <v>210</v>
      </c>
      <c r="G246" s="5" t="s">
        <v>34</v>
      </c>
      <c r="H246" s="7" t="s">
        <v>300</v>
      </c>
      <c r="I246" s="7" t="s">
        <v>355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3</v>
      </c>
      <c r="AF246" s="7">
        <v>0</v>
      </c>
      <c r="AG246" s="8">
        <v>10800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10">
        <v>10800</v>
      </c>
      <c r="BN246" s="15">
        <f t="shared" si="6"/>
        <v>10800</v>
      </c>
      <c r="BO246" s="16">
        <f t="shared" si="7"/>
        <v>7559.9999999999991</v>
      </c>
    </row>
    <row r="247" spans="1:67" ht="19.2" x14ac:dyDescent="0.4">
      <c r="A247" s="5" t="s">
        <v>454</v>
      </c>
      <c r="B247" s="5" t="s">
        <v>65</v>
      </c>
      <c r="C247" s="5">
        <v>387417</v>
      </c>
      <c r="D247" s="6"/>
      <c r="E247" s="5" t="s">
        <v>16</v>
      </c>
      <c r="F247" s="5" t="s">
        <v>66</v>
      </c>
      <c r="G247" s="5" t="s">
        <v>10</v>
      </c>
      <c r="H247" s="7" t="s">
        <v>7</v>
      </c>
      <c r="I247" s="7" t="s">
        <v>67</v>
      </c>
      <c r="J247" s="7">
        <v>0</v>
      </c>
      <c r="K247" s="7">
        <v>293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3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40</v>
      </c>
      <c r="AF247" s="8">
        <v>3800</v>
      </c>
      <c r="AG247" s="7">
        <v>400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52</v>
      </c>
      <c r="BJ247" s="8">
        <v>6240</v>
      </c>
      <c r="BK247" s="7">
        <v>0</v>
      </c>
      <c r="BL247" s="7">
        <v>312</v>
      </c>
      <c r="BM247" s="10">
        <v>10440</v>
      </c>
      <c r="BN247" s="15">
        <f t="shared" si="6"/>
        <v>10128</v>
      </c>
      <c r="BO247" s="16">
        <f t="shared" si="7"/>
        <v>7089.5999999999995</v>
      </c>
    </row>
    <row r="248" spans="1:67" ht="19.2" x14ac:dyDescent="0.4">
      <c r="A248" s="5" t="s">
        <v>454</v>
      </c>
      <c r="B248" s="5" t="s">
        <v>119</v>
      </c>
      <c r="C248" s="5">
        <v>390809</v>
      </c>
      <c r="D248" s="6"/>
      <c r="E248" s="5" t="s">
        <v>16</v>
      </c>
      <c r="F248" s="5" t="s">
        <v>120</v>
      </c>
      <c r="G248" s="5" t="s">
        <v>34</v>
      </c>
      <c r="H248" s="7" t="s">
        <v>8</v>
      </c>
      <c r="I248" s="7" t="s">
        <v>35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82</v>
      </c>
      <c r="BJ248" s="8">
        <v>9840</v>
      </c>
      <c r="BK248" s="7">
        <v>0</v>
      </c>
      <c r="BL248" s="7">
        <v>492</v>
      </c>
      <c r="BM248" s="10">
        <v>9840</v>
      </c>
      <c r="BN248" s="15">
        <f t="shared" si="6"/>
        <v>9348</v>
      </c>
      <c r="BO248" s="16">
        <f t="shared" si="7"/>
        <v>6543.5999999999995</v>
      </c>
    </row>
    <row r="249" spans="1:67" ht="19.2" x14ac:dyDescent="0.4">
      <c r="A249" s="5" t="s">
        <v>454</v>
      </c>
      <c r="B249" s="5" t="s">
        <v>107</v>
      </c>
      <c r="C249" s="5">
        <v>428379</v>
      </c>
      <c r="D249" s="6"/>
      <c r="E249" s="5" t="s">
        <v>16</v>
      </c>
      <c r="F249" s="5" t="s">
        <v>108</v>
      </c>
      <c r="G249" s="5" t="s">
        <v>421</v>
      </c>
      <c r="H249" s="7" t="s">
        <v>8</v>
      </c>
      <c r="I249" s="7" t="s">
        <v>109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64</v>
      </c>
      <c r="AF249" s="8">
        <v>7680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18</v>
      </c>
      <c r="BJ249" s="8">
        <v>2160</v>
      </c>
      <c r="BK249" s="7">
        <v>0</v>
      </c>
      <c r="BL249" s="7">
        <v>108</v>
      </c>
      <c r="BM249" s="10">
        <v>9840</v>
      </c>
      <c r="BN249" s="15">
        <f t="shared" si="6"/>
        <v>9732</v>
      </c>
      <c r="BO249" s="16">
        <f t="shared" si="7"/>
        <v>6812.4</v>
      </c>
    </row>
    <row r="250" spans="1:67" ht="19.2" x14ac:dyDescent="0.4">
      <c r="A250" s="5" t="s">
        <v>454</v>
      </c>
      <c r="B250" s="5" t="s">
        <v>182</v>
      </c>
      <c r="C250" s="5">
        <v>359006</v>
      </c>
      <c r="D250" s="6"/>
      <c r="E250" s="5" t="s">
        <v>16</v>
      </c>
      <c r="F250" s="5" t="s">
        <v>130</v>
      </c>
      <c r="G250" s="5" t="s">
        <v>34</v>
      </c>
      <c r="H250" s="7" t="s">
        <v>8</v>
      </c>
      <c r="I250" s="7" t="s">
        <v>183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6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46</v>
      </c>
      <c r="AF250" s="7">
        <v>0</v>
      </c>
      <c r="AG250" s="8">
        <v>4600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42</v>
      </c>
      <c r="BJ250" s="8">
        <v>4440</v>
      </c>
      <c r="BK250" s="7">
        <v>500</v>
      </c>
      <c r="BL250" s="7">
        <v>222</v>
      </c>
      <c r="BM250" s="10">
        <v>9540</v>
      </c>
      <c r="BN250" s="15">
        <f t="shared" ref="BN250:BN313" si="8">BM250-BL250</f>
        <v>9318</v>
      </c>
      <c r="BO250" s="16">
        <f t="shared" ref="BO250:BO313" si="9">BN250*70%</f>
        <v>6522.5999999999995</v>
      </c>
    </row>
    <row r="251" spans="1:67" ht="19.2" x14ac:dyDescent="0.4">
      <c r="A251" s="5" t="s">
        <v>454</v>
      </c>
      <c r="B251" s="5" t="s">
        <v>362</v>
      </c>
      <c r="C251" s="5">
        <v>397392</v>
      </c>
      <c r="D251" s="6"/>
      <c r="E251" s="5" t="s">
        <v>16</v>
      </c>
      <c r="F251" s="5" t="s">
        <v>130</v>
      </c>
      <c r="G251" s="5" t="s">
        <v>34</v>
      </c>
      <c r="H251" s="7" t="s">
        <v>300</v>
      </c>
      <c r="I251" s="7" t="s">
        <v>363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4</v>
      </c>
      <c r="AF251" s="7">
        <v>0</v>
      </c>
      <c r="AG251" s="8">
        <v>8300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1</v>
      </c>
      <c r="BJ251" s="7">
        <v>600</v>
      </c>
      <c r="BK251" s="7">
        <v>0</v>
      </c>
      <c r="BL251" s="7">
        <v>30</v>
      </c>
      <c r="BM251" s="10">
        <v>8900</v>
      </c>
      <c r="BN251" s="15">
        <f t="shared" si="8"/>
        <v>8870</v>
      </c>
      <c r="BO251" s="16">
        <f t="shared" si="9"/>
        <v>6209</v>
      </c>
    </row>
    <row r="252" spans="1:67" ht="19.2" x14ac:dyDescent="0.4">
      <c r="A252" s="5" t="s">
        <v>454</v>
      </c>
      <c r="B252" s="5" t="s">
        <v>450</v>
      </c>
      <c r="C252" s="5">
        <v>414124</v>
      </c>
      <c r="D252" s="6"/>
      <c r="E252" s="5" t="s">
        <v>16</v>
      </c>
      <c r="F252" s="5" t="s">
        <v>41</v>
      </c>
      <c r="G252" s="5" t="s">
        <v>34</v>
      </c>
      <c r="H252" s="7" t="s">
        <v>300</v>
      </c>
      <c r="I252" s="7" t="s">
        <v>202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1</v>
      </c>
      <c r="AF252" s="8">
        <v>3000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1</v>
      </c>
      <c r="AR252" s="8">
        <v>2500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1</v>
      </c>
      <c r="BJ252" s="8">
        <v>3000</v>
      </c>
      <c r="BK252" s="7">
        <v>0</v>
      </c>
      <c r="BL252" s="7">
        <v>150</v>
      </c>
      <c r="BM252" s="10">
        <v>8500</v>
      </c>
      <c r="BN252" s="15">
        <f t="shared" si="8"/>
        <v>8350</v>
      </c>
      <c r="BO252" s="16">
        <f t="shared" si="9"/>
        <v>5845</v>
      </c>
    </row>
    <row r="253" spans="1:67" ht="19.2" x14ac:dyDescent="0.4">
      <c r="A253" s="5" t="s">
        <v>454</v>
      </c>
      <c r="B253" s="5" t="s">
        <v>410</v>
      </c>
      <c r="C253" s="5">
        <v>473172</v>
      </c>
      <c r="D253" s="6"/>
      <c r="E253" s="5" t="s">
        <v>16</v>
      </c>
      <c r="F253" s="5" t="s">
        <v>399</v>
      </c>
      <c r="G253" s="5" t="s">
        <v>411</v>
      </c>
      <c r="H253" s="7" t="s">
        <v>9</v>
      </c>
      <c r="I253" s="7" t="s">
        <v>412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3</v>
      </c>
      <c r="AF253" s="7">
        <v>0</v>
      </c>
      <c r="AG253" s="8">
        <v>8100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10">
        <v>8100</v>
      </c>
      <c r="BN253" s="15">
        <f t="shared" si="8"/>
        <v>8100</v>
      </c>
      <c r="BO253" s="16">
        <f t="shared" si="9"/>
        <v>5670</v>
      </c>
    </row>
    <row r="254" spans="1:67" ht="19.2" x14ac:dyDescent="0.4">
      <c r="A254" s="5" t="s">
        <v>454</v>
      </c>
      <c r="B254" s="5" t="s">
        <v>562</v>
      </c>
      <c r="C254" s="5">
        <v>360524</v>
      </c>
      <c r="D254" s="6"/>
      <c r="E254" s="5" t="s">
        <v>16</v>
      </c>
      <c r="F254" s="5" t="s">
        <v>41</v>
      </c>
      <c r="G254" s="5" t="s">
        <v>34</v>
      </c>
      <c r="H254" s="7" t="s">
        <v>300</v>
      </c>
      <c r="I254" s="7" t="s">
        <v>409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2</v>
      </c>
      <c r="AF254" s="8">
        <v>8000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10">
        <v>8000</v>
      </c>
      <c r="BN254" s="15">
        <f t="shared" si="8"/>
        <v>8000</v>
      </c>
      <c r="BO254" s="16">
        <f t="shared" si="9"/>
        <v>5600</v>
      </c>
    </row>
    <row r="255" spans="1:67" ht="19.2" x14ac:dyDescent="0.4">
      <c r="A255" s="5" t="s">
        <v>454</v>
      </c>
      <c r="B255" s="5" t="s">
        <v>563</v>
      </c>
      <c r="C255" s="5">
        <v>428123</v>
      </c>
      <c r="D255" s="6"/>
      <c r="E255" s="5" t="s">
        <v>16</v>
      </c>
      <c r="F255" s="5" t="s">
        <v>270</v>
      </c>
      <c r="G255" s="5" t="s">
        <v>34</v>
      </c>
      <c r="H255" s="7" t="s">
        <v>300</v>
      </c>
      <c r="I255" s="7" t="s">
        <v>82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1</v>
      </c>
      <c r="AF255" s="8">
        <v>3960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1</v>
      </c>
      <c r="BJ255" s="8">
        <v>3960</v>
      </c>
      <c r="BK255" s="7">
        <v>0</v>
      </c>
      <c r="BL255" s="7">
        <v>198</v>
      </c>
      <c r="BM255" s="10">
        <v>7920</v>
      </c>
      <c r="BN255" s="15">
        <f t="shared" si="8"/>
        <v>7722</v>
      </c>
      <c r="BO255" s="16">
        <f t="shared" si="9"/>
        <v>5405.4</v>
      </c>
    </row>
    <row r="256" spans="1:67" ht="19.2" x14ac:dyDescent="0.4">
      <c r="A256" s="5" t="s">
        <v>454</v>
      </c>
      <c r="B256" s="5" t="s">
        <v>206</v>
      </c>
      <c r="C256" s="5">
        <v>421661</v>
      </c>
      <c r="D256" s="6"/>
      <c r="E256" s="5" t="s">
        <v>16</v>
      </c>
      <c r="F256" s="5" t="s">
        <v>207</v>
      </c>
      <c r="G256" s="5" t="s">
        <v>34</v>
      </c>
      <c r="H256" s="7" t="s">
        <v>8</v>
      </c>
      <c r="I256" s="7" t="s">
        <v>208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6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14</v>
      </c>
      <c r="AF256" s="7">
        <v>0</v>
      </c>
      <c r="AG256" s="8">
        <v>1400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54</v>
      </c>
      <c r="BJ256" s="8">
        <v>6480</v>
      </c>
      <c r="BK256" s="7">
        <v>0</v>
      </c>
      <c r="BL256" s="7">
        <v>324</v>
      </c>
      <c r="BM256" s="10">
        <v>7880</v>
      </c>
      <c r="BN256" s="15">
        <f t="shared" si="8"/>
        <v>7556</v>
      </c>
      <c r="BO256" s="16">
        <f t="shared" si="9"/>
        <v>5289.2</v>
      </c>
    </row>
    <row r="257" spans="1:67" ht="19.2" x14ac:dyDescent="0.4">
      <c r="A257" s="5" t="s">
        <v>454</v>
      </c>
      <c r="B257" s="5" t="s">
        <v>95</v>
      </c>
      <c r="C257" s="5">
        <v>395179</v>
      </c>
      <c r="D257" s="6"/>
      <c r="E257" s="5" t="s">
        <v>16</v>
      </c>
      <c r="F257" s="5" t="s">
        <v>96</v>
      </c>
      <c r="G257" s="5" t="s">
        <v>10</v>
      </c>
      <c r="H257" s="7" t="s">
        <v>7</v>
      </c>
      <c r="I257" s="7" t="s">
        <v>97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2</v>
      </c>
      <c r="AF257" s="8">
        <v>7680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10">
        <v>7680</v>
      </c>
      <c r="BN257" s="15">
        <f t="shared" si="8"/>
        <v>7680</v>
      </c>
      <c r="BO257" s="16">
        <f t="shared" si="9"/>
        <v>5376</v>
      </c>
    </row>
    <row r="258" spans="1:67" ht="19.2" x14ac:dyDescent="0.4">
      <c r="A258" s="5" t="s">
        <v>454</v>
      </c>
      <c r="B258" s="5" t="s">
        <v>115</v>
      </c>
      <c r="C258" s="5">
        <v>415710</v>
      </c>
      <c r="D258" s="6"/>
      <c r="E258" s="5" t="s">
        <v>16</v>
      </c>
      <c r="F258" s="5" t="s">
        <v>52</v>
      </c>
      <c r="G258" s="5" t="s">
        <v>34</v>
      </c>
      <c r="H258" s="7" t="s">
        <v>8</v>
      </c>
      <c r="I258" s="7" t="s">
        <v>116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64</v>
      </c>
      <c r="AF258" s="8">
        <v>7680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10">
        <v>7680</v>
      </c>
      <c r="BN258" s="15">
        <f t="shared" si="8"/>
        <v>7680</v>
      </c>
      <c r="BO258" s="16">
        <f t="shared" si="9"/>
        <v>5376</v>
      </c>
    </row>
    <row r="259" spans="1:67" ht="19.2" x14ac:dyDescent="0.4">
      <c r="A259" s="5" t="s">
        <v>454</v>
      </c>
      <c r="B259" s="5" t="s">
        <v>357</v>
      </c>
      <c r="C259" s="5">
        <v>425648</v>
      </c>
      <c r="D259" s="6"/>
      <c r="E259" s="5" t="s">
        <v>16</v>
      </c>
      <c r="F259" s="5" t="s">
        <v>227</v>
      </c>
      <c r="G259" s="5" t="s">
        <v>34</v>
      </c>
      <c r="H259" s="7" t="s">
        <v>300</v>
      </c>
      <c r="I259" s="7" t="s">
        <v>228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2</v>
      </c>
      <c r="BJ259" s="8">
        <v>7680</v>
      </c>
      <c r="BK259" s="7">
        <v>0</v>
      </c>
      <c r="BL259" s="7">
        <v>384</v>
      </c>
      <c r="BM259" s="10">
        <v>7680</v>
      </c>
      <c r="BN259" s="15">
        <f t="shared" si="8"/>
        <v>7296</v>
      </c>
      <c r="BO259" s="16">
        <f t="shared" si="9"/>
        <v>5107.2</v>
      </c>
    </row>
    <row r="260" spans="1:67" ht="19.2" x14ac:dyDescent="0.4">
      <c r="A260" s="5" t="s">
        <v>454</v>
      </c>
      <c r="B260" s="5" t="s">
        <v>429</v>
      </c>
      <c r="C260" s="5">
        <v>476003</v>
      </c>
      <c r="D260" s="6"/>
      <c r="E260" s="5" t="s">
        <v>16</v>
      </c>
      <c r="F260" s="5" t="s">
        <v>30</v>
      </c>
      <c r="G260" s="5" t="s">
        <v>10</v>
      </c>
      <c r="H260" s="7" t="s">
        <v>8</v>
      </c>
      <c r="I260" s="7" t="s">
        <v>425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2</v>
      </c>
      <c r="AF260" s="8">
        <v>7680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10">
        <v>7680</v>
      </c>
      <c r="BN260" s="15">
        <f t="shared" si="8"/>
        <v>7680</v>
      </c>
      <c r="BO260" s="16">
        <f t="shared" si="9"/>
        <v>5376</v>
      </c>
    </row>
    <row r="261" spans="1:67" ht="19.2" x14ac:dyDescent="0.4">
      <c r="A261" s="5" t="s">
        <v>454</v>
      </c>
      <c r="B261" s="5" t="s">
        <v>364</v>
      </c>
      <c r="C261" s="5">
        <v>431802</v>
      </c>
      <c r="D261" s="6"/>
      <c r="E261" s="5" t="s">
        <v>16</v>
      </c>
      <c r="F261" s="5" t="s">
        <v>130</v>
      </c>
      <c r="G261" s="5" t="s">
        <v>34</v>
      </c>
      <c r="H261" s="7" t="s">
        <v>300</v>
      </c>
      <c r="I261" s="7" t="s">
        <v>365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2</v>
      </c>
      <c r="AF261" s="7">
        <v>0</v>
      </c>
      <c r="AG261" s="8">
        <v>2800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1</v>
      </c>
      <c r="AR261" s="8">
        <v>2400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1</v>
      </c>
      <c r="BJ261" s="8">
        <v>2400</v>
      </c>
      <c r="BK261" s="7">
        <v>0</v>
      </c>
      <c r="BL261" s="7">
        <v>120</v>
      </c>
      <c r="BM261" s="10">
        <v>7600</v>
      </c>
      <c r="BN261" s="15">
        <f t="shared" si="8"/>
        <v>7480</v>
      </c>
      <c r="BO261" s="16">
        <f t="shared" si="9"/>
        <v>5236</v>
      </c>
    </row>
    <row r="262" spans="1:67" ht="19.2" x14ac:dyDescent="0.4">
      <c r="A262" s="5" t="s">
        <v>454</v>
      </c>
      <c r="B262" s="5" t="s">
        <v>564</v>
      </c>
      <c r="C262" s="5">
        <v>401516</v>
      </c>
      <c r="D262" s="6"/>
      <c r="E262" s="5" t="s">
        <v>16</v>
      </c>
      <c r="F262" s="5" t="s">
        <v>264</v>
      </c>
      <c r="G262" s="5" t="s">
        <v>34</v>
      </c>
      <c r="H262" s="7" t="s">
        <v>300</v>
      </c>
      <c r="I262" s="7" t="s">
        <v>45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57</v>
      </c>
      <c r="AF262" s="8">
        <v>6840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7</v>
      </c>
      <c r="AR262" s="7">
        <v>700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10">
        <v>7540</v>
      </c>
      <c r="BN262" s="15">
        <f t="shared" si="8"/>
        <v>7540</v>
      </c>
      <c r="BO262" s="16">
        <f t="shared" si="9"/>
        <v>5278</v>
      </c>
    </row>
    <row r="263" spans="1:67" ht="19.2" x14ac:dyDescent="0.4">
      <c r="A263" s="5" t="s">
        <v>454</v>
      </c>
      <c r="B263" s="5" t="s">
        <v>258</v>
      </c>
      <c r="C263" s="5">
        <v>395192</v>
      </c>
      <c r="D263" s="6"/>
      <c r="E263" s="5" t="s">
        <v>16</v>
      </c>
      <c r="F263" s="5" t="s">
        <v>130</v>
      </c>
      <c r="G263" s="5" t="s">
        <v>34</v>
      </c>
      <c r="H263" s="7" t="s">
        <v>8</v>
      </c>
      <c r="I263" s="7" t="s">
        <v>259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5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59</v>
      </c>
      <c r="AF263" s="8">
        <v>6720</v>
      </c>
      <c r="AG263" s="7">
        <v>300</v>
      </c>
      <c r="AH263" s="7">
        <v>0</v>
      </c>
      <c r="AI263" s="7">
        <v>0</v>
      </c>
      <c r="AJ263" s="7">
        <v>0</v>
      </c>
      <c r="AK263" s="7">
        <v>1</v>
      </c>
      <c r="AL263" s="7">
        <v>0</v>
      </c>
      <c r="AM263" s="7">
        <v>100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2</v>
      </c>
      <c r="BJ263" s="7">
        <v>240</v>
      </c>
      <c r="BK263" s="7">
        <v>0</v>
      </c>
      <c r="BL263" s="7">
        <v>12</v>
      </c>
      <c r="BM263" s="10">
        <v>7360</v>
      </c>
      <c r="BN263" s="15">
        <f t="shared" si="8"/>
        <v>7348</v>
      </c>
      <c r="BO263" s="16">
        <f t="shared" si="9"/>
        <v>5143.5999999999995</v>
      </c>
    </row>
    <row r="264" spans="1:67" ht="19.2" x14ac:dyDescent="0.4">
      <c r="A264" s="5" t="s">
        <v>454</v>
      </c>
      <c r="B264" s="5" t="s">
        <v>392</v>
      </c>
      <c r="C264" s="5">
        <v>387972</v>
      </c>
      <c r="D264" s="6"/>
      <c r="E264" s="5" t="s">
        <v>16</v>
      </c>
      <c r="F264" s="5" t="s">
        <v>33</v>
      </c>
      <c r="G264" s="5" t="s">
        <v>34</v>
      </c>
      <c r="H264" s="7" t="s">
        <v>300</v>
      </c>
      <c r="I264" s="7" t="s">
        <v>143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2</v>
      </c>
      <c r="AF264" s="8">
        <v>3840</v>
      </c>
      <c r="AG264" s="8">
        <v>3200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10">
        <v>7040</v>
      </c>
      <c r="BN264" s="15">
        <f t="shared" si="8"/>
        <v>7040</v>
      </c>
      <c r="BO264" s="16">
        <f t="shared" si="9"/>
        <v>4928</v>
      </c>
    </row>
    <row r="265" spans="1:67" ht="19.2" x14ac:dyDescent="0.4">
      <c r="A265" s="5" t="s">
        <v>454</v>
      </c>
      <c r="B265" s="5" t="s">
        <v>309</v>
      </c>
      <c r="C265" s="5">
        <v>418302</v>
      </c>
      <c r="D265" s="6"/>
      <c r="E265" s="5" t="s">
        <v>16</v>
      </c>
      <c r="F265" s="5" t="s">
        <v>33</v>
      </c>
      <c r="G265" s="5" t="s">
        <v>34</v>
      </c>
      <c r="H265" s="7" t="s">
        <v>300</v>
      </c>
      <c r="I265" s="7" t="s">
        <v>35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2</v>
      </c>
      <c r="AR265" s="8">
        <v>7000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10">
        <v>7000</v>
      </c>
      <c r="BN265" s="15">
        <f t="shared" si="8"/>
        <v>7000</v>
      </c>
      <c r="BO265" s="16">
        <f t="shared" si="9"/>
        <v>4900</v>
      </c>
    </row>
    <row r="266" spans="1:67" ht="19.2" x14ac:dyDescent="0.4">
      <c r="A266" s="5" t="s">
        <v>454</v>
      </c>
      <c r="B266" s="5" t="s">
        <v>196</v>
      </c>
      <c r="C266" s="5">
        <v>371774</v>
      </c>
      <c r="D266" s="6"/>
      <c r="E266" s="5" t="s">
        <v>16</v>
      </c>
      <c r="F266" s="5" t="s">
        <v>197</v>
      </c>
      <c r="G266" s="5" t="s">
        <v>10</v>
      </c>
      <c r="H266" s="7" t="s">
        <v>7</v>
      </c>
      <c r="I266" s="7" t="s">
        <v>198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70</v>
      </c>
      <c r="AR266" s="8">
        <v>7000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10">
        <v>7000</v>
      </c>
      <c r="BN266" s="15">
        <f t="shared" si="8"/>
        <v>7000</v>
      </c>
      <c r="BO266" s="16">
        <f t="shared" si="9"/>
        <v>4900</v>
      </c>
    </row>
    <row r="267" spans="1:67" ht="19.2" x14ac:dyDescent="0.4">
      <c r="A267" s="5" t="s">
        <v>454</v>
      </c>
      <c r="B267" s="5" t="s">
        <v>445</v>
      </c>
      <c r="C267" s="5">
        <v>431797</v>
      </c>
      <c r="D267" s="6"/>
      <c r="E267" s="5" t="s">
        <v>16</v>
      </c>
      <c r="F267" s="5" t="s">
        <v>130</v>
      </c>
      <c r="G267" s="5" t="s">
        <v>34</v>
      </c>
      <c r="H267" s="7" t="s">
        <v>300</v>
      </c>
      <c r="I267" s="7" t="s">
        <v>446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2</v>
      </c>
      <c r="BJ267" s="8">
        <v>6720</v>
      </c>
      <c r="BK267" s="7">
        <v>0</v>
      </c>
      <c r="BL267" s="7">
        <v>336</v>
      </c>
      <c r="BM267" s="10">
        <v>6720</v>
      </c>
      <c r="BN267" s="15">
        <f t="shared" si="8"/>
        <v>6384</v>
      </c>
      <c r="BO267" s="16">
        <f t="shared" si="9"/>
        <v>4468.7999999999993</v>
      </c>
    </row>
    <row r="268" spans="1:67" ht="19.2" x14ac:dyDescent="0.4">
      <c r="A268" s="5" t="s">
        <v>454</v>
      </c>
      <c r="B268" s="5" t="s">
        <v>248</v>
      </c>
      <c r="C268" s="5">
        <v>400251</v>
      </c>
      <c r="D268" s="6"/>
      <c r="E268" s="5" t="s">
        <v>16</v>
      </c>
      <c r="F268" s="5" t="s">
        <v>41</v>
      </c>
      <c r="G268" s="5" t="s">
        <v>34</v>
      </c>
      <c r="H268" s="7" t="s">
        <v>8</v>
      </c>
      <c r="I268" s="7" t="s">
        <v>249</v>
      </c>
      <c r="J268" s="7">
        <v>0</v>
      </c>
      <c r="K268" s="7">
        <v>1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3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65</v>
      </c>
      <c r="AF268" s="8">
        <v>1140</v>
      </c>
      <c r="AG268" s="8">
        <v>5400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1</v>
      </c>
      <c r="BJ268" s="7">
        <v>120</v>
      </c>
      <c r="BK268" s="7">
        <v>0</v>
      </c>
      <c r="BL268" s="7">
        <v>6</v>
      </c>
      <c r="BM268" s="10">
        <v>6660</v>
      </c>
      <c r="BN268" s="15">
        <f t="shared" si="8"/>
        <v>6654</v>
      </c>
      <c r="BO268" s="16">
        <f t="shared" si="9"/>
        <v>4657.7999999999993</v>
      </c>
    </row>
    <row r="269" spans="1:67" ht="19.2" x14ac:dyDescent="0.4">
      <c r="A269" s="5" t="s">
        <v>454</v>
      </c>
      <c r="B269" s="5" t="s">
        <v>310</v>
      </c>
      <c r="C269" s="5">
        <v>431330</v>
      </c>
      <c r="D269" s="6"/>
      <c r="E269" s="5" t="s">
        <v>16</v>
      </c>
      <c r="F269" s="5" t="s">
        <v>264</v>
      </c>
      <c r="G269" s="5" t="s">
        <v>34</v>
      </c>
      <c r="H269" s="7" t="s">
        <v>8</v>
      </c>
      <c r="I269" s="7" t="s">
        <v>311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62</v>
      </c>
      <c r="AF269" s="8">
        <v>6140</v>
      </c>
      <c r="AG269" s="7">
        <v>100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1</v>
      </c>
      <c r="AR269" s="7">
        <v>100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10">
        <v>6340</v>
      </c>
      <c r="BN269" s="15">
        <f t="shared" si="8"/>
        <v>6340</v>
      </c>
      <c r="BO269" s="16">
        <f t="shared" si="9"/>
        <v>4438</v>
      </c>
    </row>
    <row r="270" spans="1:67" ht="19.2" x14ac:dyDescent="0.4">
      <c r="A270" s="5" t="s">
        <v>454</v>
      </c>
      <c r="B270" s="5" t="s">
        <v>256</v>
      </c>
      <c r="C270" s="5">
        <v>353788</v>
      </c>
      <c r="D270" s="6"/>
      <c r="E270" s="5" t="s">
        <v>16</v>
      </c>
      <c r="F270" s="5" t="s">
        <v>207</v>
      </c>
      <c r="G270" s="5" t="s">
        <v>34</v>
      </c>
      <c r="H270" s="7" t="s">
        <v>8</v>
      </c>
      <c r="I270" s="7" t="s">
        <v>257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5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53</v>
      </c>
      <c r="AF270" s="8">
        <v>6240</v>
      </c>
      <c r="AG270" s="7">
        <v>100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10">
        <v>6340</v>
      </c>
      <c r="BN270" s="15">
        <f t="shared" si="8"/>
        <v>6340</v>
      </c>
      <c r="BO270" s="16">
        <f t="shared" si="9"/>
        <v>4438</v>
      </c>
    </row>
    <row r="271" spans="1:67" ht="19.2" x14ac:dyDescent="0.4">
      <c r="A271" s="5" t="s">
        <v>454</v>
      </c>
      <c r="B271" s="5" t="s">
        <v>388</v>
      </c>
      <c r="C271" s="5">
        <v>380275</v>
      </c>
      <c r="D271" s="6"/>
      <c r="E271" s="5" t="s">
        <v>16</v>
      </c>
      <c r="F271" s="5" t="s">
        <v>41</v>
      </c>
      <c r="G271" s="5" t="s">
        <v>34</v>
      </c>
      <c r="H271" s="7" t="s">
        <v>300</v>
      </c>
      <c r="I271" s="7" t="s">
        <v>389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35</v>
      </c>
      <c r="AF271" s="8">
        <v>2300</v>
      </c>
      <c r="AG271" s="8">
        <v>1500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4</v>
      </c>
      <c r="AR271" s="7">
        <v>400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16</v>
      </c>
      <c r="BJ271" s="8">
        <v>1920</v>
      </c>
      <c r="BK271" s="7">
        <v>0</v>
      </c>
      <c r="BL271" s="7">
        <v>96</v>
      </c>
      <c r="BM271" s="10">
        <v>6120</v>
      </c>
      <c r="BN271" s="15">
        <f t="shared" si="8"/>
        <v>6024</v>
      </c>
      <c r="BO271" s="16">
        <f t="shared" si="9"/>
        <v>4216.8</v>
      </c>
    </row>
    <row r="272" spans="1:67" ht="19.2" x14ac:dyDescent="0.4">
      <c r="A272" s="5" t="s">
        <v>454</v>
      </c>
      <c r="B272" s="5" t="s">
        <v>164</v>
      </c>
      <c r="C272" s="5">
        <v>467470</v>
      </c>
      <c r="D272" s="6"/>
      <c r="E272" s="5" t="s">
        <v>16</v>
      </c>
      <c r="F272" s="5" t="s">
        <v>165</v>
      </c>
      <c r="G272" s="5" t="s">
        <v>34</v>
      </c>
      <c r="H272" s="7" t="s">
        <v>8</v>
      </c>
      <c r="I272" s="7" t="s">
        <v>166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1</v>
      </c>
      <c r="AF272" s="7">
        <v>0</v>
      </c>
      <c r="AG272" s="8">
        <v>3000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1</v>
      </c>
      <c r="AR272" s="8">
        <v>2800</v>
      </c>
      <c r="AS272" s="7">
        <v>200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10">
        <v>6000</v>
      </c>
      <c r="BN272" s="15">
        <f t="shared" si="8"/>
        <v>6000</v>
      </c>
      <c r="BO272" s="16">
        <f t="shared" si="9"/>
        <v>4200</v>
      </c>
    </row>
    <row r="273" spans="1:67" ht="19.2" x14ac:dyDescent="0.4">
      <c r="A273" s="5" t="s">
        <v>454</v>
      </c>
      <c r="B273" s="5" t="s">
        <v>239</v>
      </c>
      <c r="C273" s="5">
        <v>305522</v>
      </c>
      <c r="D273" s="6"/>
      <c r="E273" s="5" t="s">
        <v>16</v>
      </c>
      <c r="F273" s="5" t="s">
        <v>41</v>
      </c>
      <c r="G273" s="5" t="s">
        <v>34</v>
      </c>
      <c r="H273" s="7" t="s">
        <v>8</v>
      </c>
      <c r="I273" s="7" t="s">
        <v>240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51</v>
      </c>
      <c r="AF273" s="8">
        <v>5000</v>
      </c>
      <c r="AG273" s="7">
        <v>800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10">
        <v>5800</v>
      </c>
      <c r="BN273" s="15">
        <f t="shared" si="8"/>
        <v>5800</v>
      </c>
      <c r="BO273" s="16">
        <f t="shared" si="9"/>
        <v>4059.9999999999995</v>
      </c>
    </row>
    <row r="274" spans="1:67" ht="19.2" x14ac:dyDescent="0.4">
      <c r="A274" s="5" t="s">
        <v>454</v>
      </c>
      <c r="B274" s="5" t="s">
        <v>104</v>
      </c>
      <c r="C274" s="5">
        <v>359539</v>
      </c>
      <c r="D274" s="6"/>
      <c r="E274" s="5" t="s">
        <v>16</v>
      </c>
      <c r="F274" s="5" t="s">
        <v>105</v>
      </c>
      <c r="G274" s="5" t="s">
        <v>34</v>
      </c>
      <c r="H274" s="7" t="s">
        <v>8</v>
      </c>
      <c r="I274" s="7" t="s">
        <v>106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26</v>
      </c>
      <c r="AF274" s="8">
        <v>3120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20</v>
      </c>
      <c r="BJ274" s="8">
        <v>2400</v>
      </c>
      <c r="BK274" s="7">
        <v>0</v>
      </c>
      <c r="BL274" s="7">
        <v>120</v>
      </c>
      <c r="BM274" s="10">
        <v>5520</v>
      </c>
      <c r="BN274" s="15">
        <f t="shared" si="8"/>
        <v>5400</v>
      </c>
      <c r="BO274" s="16">
        <f t="shared" si="9"/>
        <v>3779.9999999999995</v>
      </c>
    </row>
    <row r="275" spans="1:67" ht="19.2" x14ac:dyDescent="0.4">
      <c r="A275" s="5" t="s">
        <v>454</v>
      </c>
      <c r="B275" s="5" t="s">
        <v>442</v>
      </c>
      <c r="C275" s="5">
        <v>451412</v>
      </c>
      <c r="D275" s="6"/>
      <c r="E275" s="5" t="s">
        <v>16</v>
      </c>
      <c r="F275" s="5" t="s">
        <v>443</v>
      </c>
      <c r="G275" s="5" t="s">
        <v>421</v>
      </c>
      <c r="H275" s="7" t="s">
        <v>8</v>
      </c>
      <c r="I275" s="7" t="s">
        <v>444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42</v>
      </c>
      <c r="AF275" s="8">
        <v>5040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3</v>
      </c>
      <c r="BJ275" s="7">
        <v>360</v>
      </c>
      <c r="BK275" s="7">
        <v>0</v>
      </c>
      <c r="BL275" s="7">
        <v>18</v>
      </c>
      <c r="BM275" s="10">
        <v>5400</v>
      </c>
      <c r="BN275" s="15">
        <f t="shared" si="8"/>
        <v>5382</v>
      </c>
      <c r="BO275" s="16">
        <f t="shared" si="9"/>
        <v>3767.3999999999996</v>
      </c>
    </row>
    <row r="276" spans="1:67" ht="19.2" x14ac:dyDescent="0.4">
      <c r="A276" s="5" t="s">
        <v>454</v>
      </c>
      <c r="B276" s="5" t="s">
        <v>296</v>
      </c>
      <c r="C276" s="5">
        <v>377088</v>
      </c>
      <c r="D276" s="6"/>
      <c r="E276" s="5" t="s">
        <v>16</v>
      </c>
      <c r="F276" s="5" t="s">
        <v>297</v>
      </c>
      <c r="G276" s="5" t="s">
        <v>34</v>
      </c>
      <c r="H276" s="7" t="s">
        <v>8</v>
      </c>
      <c r="I276" s="7" t="s">
        <v>298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7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40</v>
      </c>
      <c r="AF276" s="8">
        <v>4340</v>
      </c>
      <c r="AG276" s="7">
        <v>200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7</v>
      </c>
      <c r="BJ276" s="7">
        <v>840</v>
      </c>
      <c r="BK276" s="7">
        <v>0</v>
      </c>
      <c r="BL276" s="7">
        <v>42</v>
      </c>
      <c r="BM276" s="10">
        <v>5380</v>
      </c>
      <c r="BN276" s="15">
        <f t="shared" si="8"/>
        <v>5338</v>
      </c>
      <c r="BO276" s="16">
        <f t="shared" si="9"/>
        <v>3736.6</v>
      </c>
    </row>
    <row r="277" spans="1:67" ht="19.2" x14ac:dyDescent="0.4">
      <c r="A277" s="5" t="s">
        <v>454</v>
      </c>
      <c r="B277" s="5" t="s">
        <v>377</v>
      </c>
      <c r="C277" s="5">
        <v>447222</v>
      </c>
      <c r="D277" s="6"/>
      <c r="E277" s="5" t="s">
        <v>16</v>
      </c>
      <c r="F277" s="5" t="s">
        <v>264</v>
      </c>
      <c r="G277" s="5" t="s">
        <v>34</v>
      </c>
      <c r="H277" s="7" t="s">
        <v>8</v>
      </c>
      <c r="I277" s="7" t="s">
        <v>378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44</v>
      </c>
      <c r="BJ277" s="8">
        <v>5280</v>
      </c>
      <c r="BK277" s="7">
        <v>0</v>
      </c>
      <c r="BL277" s="7">
        <v>264</v>
      </c>
      <c r="BM277" s="10">
        <v>5280</v>
      </c>
      <c r="BN277" s="15">
        <f t="shared" si="8"/>
        <v>5016</v>
      </c>
      <c r="BO277" s="16">
        <f t="shared" si="9"/>
        <v>3511.2</v>
      </c>
    </row>
    <row r="278" spans="1:67" ht="19.2" x14ac:dyDescent="0.4">
      <c r="A278" s="5" t="s">
        <v>454</v>
      </c>
      <c r="B278" s="5" t="s">
        <v>124</v>
      </c>
      <c r="C278" s="5">
        <v>386704</v>
      </c>
      <c r="D278" s="6"/>
      <c r="E278" s="5" t="s">
        <v>16</v>
      </c>
      <c r="F278" s="5" t="s">
        <v>125</v>
      </c>
      <c r="G278" s="5" t="s">
        <v>34</v>
      </c>
      <c r="H278" s="7" t="s">
        <v>8</v>
      </c>
      <c r="I278" s="7" t="s">
        <v>126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28</v>
      </c>
      <c r="AF278" s="7">
        <v>200</v>
      </c>
      <c r="AG278" s="8">
        <v>2600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24</v>
      </c>
      <c r="AR278" s="8">
        <v>2200</v>
      </c>
      <c r="AS278" s="7">
        <v>200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10">
        <v>5200</v>
      </c>
      <c r="BN278" s="15">
        <f t="shared" si="8"/>
        <v>5200</v>
      </c>
      <c r="BO278" s="16">
        <f t="shared" si="9"/>
        <v>3639.9999999999995</v>
      </c>
    </row>
    <row r="279" spans="1:67" ht="19.2" x14ac:dyDescent="0.4">
      <c r="A279" s="5" t="s">
        <v>454</v>
      </c>
      <c r="B279" s="5" t="s">
        <v>51</v>
      </c>
      <c r="C279" s="5">
        <v>369720</v>
      </c>
      <c r="D279" s="6"/>
      <c r="E279" s="5" t="s">
        <v>16</v>
      </c>
      <c r="F279" s="5" t="s">
        <v>52</v>
      </c>
      <c r="G279" s="5" t="s">
        <v>34</v>
      </c>
      <c r="H279" s="7" t="s">
        <v>8</v>
      </c>
      <c r="I279" s="7" t="s">
        <v>53</v>
      </c>
      <c r="J279" s="7">
        <v>0</v>
      </c>
      <c r="K279" s="7">
        <v>11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4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43</v>
      </c>
      <c r="AF279" s="8">
        <v>3480</v>
      </c>
      <c r="AG279" s="8">
        <v>1400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1</v>
      </c>
      <c r="BJ279" s="7">
        <v>120</v>
      </c>
      <c r="BK279" s="7">
        <v>0</v>
      </c>
      <c r="BL279" s="7">
        <v>6</v>
      </c>
      <c r="BM279" s="10">
        <v>5000</v>
      </c>
      <c r="BN279" s="15">
        <f t="shared" si="8"/>
        <v>4994</v>
      </c>
      <c r="BO279" s="16">
        <f t="shared" si="9"/>
        <v>3495.7999999999997</v>
      </c>
    </row>
    <row r="280" spans="1:67" ht="19.2" x14ac:dyDescent="0.4">
      <c r="A280" s="5" t="s">
        <v>454</v>
      </c>
      <c r="B280" s="5" t="s">
        <v>534</v>
      </c>
      <c r="C280" s="5">
        <v>469075</v>
      </c>
      <c r="D280" s="6"/>
      <c r="E280" s="5" t="s">
        <v>16</v>
      </c>
      <c r="F280" s="5" t="s">
        <v>58</v>
      </c>
      <c r="G280" s="5" t="s">
        <v>421</v>
      </c>
      <c r="H280" s="7" t="s">
        <v>9</v>
      </c>
      <c r="I280" s="7" t="s">
        <v>535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1</v>
      </c>
      <c r="AF280" s="8">
        <v>4920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10">
        <v>4920</v>
      </c>
      <c r="BN280" s="15">
        <f t="shared" si="8"/>
        <v>4920</v>
      </c>
      <c r="BO280" s="16">
        <f t="shared" si="9"/>
        <v>3444</v>
      </c>
    </row>
    <row r="281" spans="1:67" ht="19.2" x14ac:dyDescent="0.4">
      <c r="A281" s="5" t="s">
        <v>454</v>
      </c>
      <c r="B281" s="5" t="s">
        <v>448</v>
      </c>
      <c r="C281" s="5">
        <v>434544</v>
      </c>
      <c r="D281" s="6"/>
      <c r="E281" s="5" t="s">
        <v>16</v>
      </c>
      <c r="F281" s="5" t="s">
        <v>173</v>
      </c>
      <c r="G281" s="5" t="s">
        <v>411</v>
      </c>
      <c r="H281" s="7" t="s">
        <v>300</v>
      </c>
      <c r="I281" s="7" t="s">
        <v>449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3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49</v>
      </c>
      <c r="AF281" s="7">
        <v>0</v>
      </c>
      <c r="AG281" s="8">
        <v>4900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10">
        <v>4900</v>
      </c>
      <c r="BN281" s="15">
        <f t="shared" si="8"/>
        <v>4900</v>
      </c>
      <c r="BO281" s="16">
        <f t="shared" si="9"/>
        <v>3430</v>
      </c>
    </row>
    <row r="282" spans="1:67" ht="19.2" x14ac:dyDescent="0.4">
      <c r="A282" s="5" t="s">
        <v>454</v>
      </c>
      <c r="B282" s="5" t="s">
        <v>370</v>
      </c>
      <c r="C282" s="5">
        <v>384110</v>
      </c>
      <c r="D282" s="6"/>
      <c r="E282" s="5" t="s">
        <v>16</v>
      </c>
      <c r="F282" s="5" t="s">
        <v>340</v>
      </c>
      <c r="G282" s="5" t="s">
        <v>34</v>
      </c>
      <c r="H282" s="7" t="s">
        <v>300</v>
      </c>
      <c r="I282" s="7" t="s">
        <v>371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1</v>
      </c>
      <c r="AF282" s="8">
        <v>4800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10">
        <v>4800</v>
      </c>
      <c r="BN282" s="15">
        <f t="shared" si="8"/>
        <v>4800</v>
      </c>
      <c r="BO282" s="16">
        <f t="shared" si="9"/>
        <v>3360</v>
      </c>
    </row>
    <row r="283" spans="1:67" ht="19.2" x14ac:dyDescent="0.4">
      <c r="A283" s="5" t="s">
        <v>454</v>
      </c>
      <c r="B283" s="5" t="s">
        <v>32</v>
      </c>
      <c r="C283" s="5">
        <v>395270</v>
      </c>
      <c r="D283" s="6"/>
      <c r="E283" s="5" t="s">
        <v>16</v>
      </c>
      <c r="F283" s="5" t="s">
        <v>33</v>
      </c>
      <c r="G283" s="5" t="s">
        <v>34</v>
      </c>
      <c r="H283" s="7" t="s">
        <v>8</v>
      </c>
      <c r="I283" s="7" t="s">
        <v>35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5</v>
      </c>
      <c r="T283" s="7">
        <v>1</v>
      </c>
      <c r="U283" s="7">
        <v>0</v>
      </c>
      <c r="V283" s="7">
        <v>500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25</v>
      </c>
      <c r="AF283" s="8">
        <v>2760</v>
      </c>
      <c r="AG283" s="7">
        <v>200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3</v>
      </c>
      <c r="AR283" s="7">
        <v>300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8</v>
      </c>
      <c r="BJ283" s="7">
        <v>960</v>
      </c>
      <c r="BK283" s="7">
        <v>0</v>
      </c>
      <c r="BL283" s="7">
        <v>48</v>
      </c>
      <c r="BM283" s="10">
        <v>4720</v>
      </c>
      <c r="BN283" s="15">
        <f t="shared" si="8"/>
        <v>4672</v>
      </c>
      <c r="BO283" s="16">
        <f t="shared" si="9"/>
        <v>3270.3999999999996</v>
      </c>
    </row>
    <row r="284" spans="1:67" ht="19.2" x14ac:dyDescent="0.4">
      <c r="A284" s="5" t="s">
        <v>454</v>
      </c>
      <c r="B284" s="5" t="s">
        <v>154</v>
      </c>
      <c r="C284" s="5">
        <v>394079</v>
      </c>
      <c r="D284" s="6"/>
      <c r="E284" s="5" t="s">
        <v>16</v>
      </c>
      <c r="F284" s="5" t="s">
        <v>52</v>
      </c>
      <c r="G284" s="5" t="s">
        <v>34</v>
      </c>
      <c r="H284" s="7" t="s">
        <v>8</v>
      </c>
      <c r="I284" s="7" t="s">
        <v>155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39</v>
      </c>
      <c r="AF284" s="8">
        <v>4680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10">
        <v>4680</v>
      </c>
      <c r="BN284" s="15">
        <f t="shared" si="8"/>
        <v>4680</v>
      </c>
      <c r="BO284" s="16">
        <f t="shared" si="9"/>
        <v>3276</v>
      </c>
    </row>
    <row r="285" spans="1:67" ht="19.2" x14ac:dyDescent="0.4">
      <c r="A285" s="5" t="s">
        <v>454</v>
      </c>
      <c r="B285" s="5" t="s">
        <v>565</v>
      </c>
      <c r="C285" s="5">
        <v>428129</v>
      </c>
      <c r="D285" s="6"/>
      <c r="E285" s="5" t="s">
        <v>16</v>
      </c>
      <c r="F285" s="5" t="s">
        <v>47</v>
      </c>
      <c r="G285" s="5" t="s">
        <v>34</v>
      </c>
      <c r="H285" s="7" t="s">
        <v>300</v>
      </c>
      <c r="I285" s="7" t="s">
        <v>361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3</v>
      </c>
      <c r="AF285" s="8">
        <v>3080</v>
      </c>
      <c r="AG285" s="8">
        <v>1400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10">
        <v>4480</v>
      </c>
      <c r="BN285" s="15">
        <f t="shared" si="8"/>
        <v>4480</v>
      </c>
      <c r="BO285" s="16">
        <f t="shared" si="9"/>
        <v>3136</v>
      </c>
    </row>
    <row r="286" spans="1:67" ht="19.2" x14ac:dyDescent="0.4">
      <c r="A286" s="5" t="s">
        <v>454</v>
      </c>
      <c r="B286" s="5" t="s">
        <v>408</v>
      </c>
      <c r="C286" s="5">
        <v>360192</v>
      </c>
      <c r="D286" s="6"/>
      <c r="E286" s="5" t="s">
        <v>16</v>
      </c>
      <c r="F286" s="5" t="s">
        <v>374</v>
      </c>
      <c r="G286" s="5" t="s">
        <v>34</v>
      </c>
      <c r="H286" s="7" t="s">
        <v>8</v>
      </c>
      <c r="I286" s="7" t="s">
        <v>409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4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8</v>
      </c>
      <c r="AF286" s="7">
        <v>840</v>
      </c>
      <c r="AG286" s="7">
        <v>100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35</v>
      </c>
      <c r="AR286" s="8">
        <v>3500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10">
        <v>4440</v>
      </c>
      <c r="BN286" s="15">
        <f t="shared" si="8"/>
        <v>4440</v>
      </c>
      <c r="BO286" s="16">
        <f t="shared" si="9"/>
        <v>3108</v>
      </c>
    </row>
    <row r="287" spans="1:67" ht="19.2" x14ac:dyDescent="0.4">
      <c r="A287" s="5" t="s">
        <v>454</v>
      </c>
      <c r="B287" s="5" t="s">
        <v>49</v>
      </c>
      <c r="C287" s="5">
        <v>459997</v>
      </c>
      <c r="D287" s="6"/>
      <c r="E287" s="5" t="s">
        <v>16</v>
      </c>
      <c r="F287" s="5" t="s">
        <v>50</v>
      </c>
      <c r="G287" s="5" t="s">
        <v>10</v>
      </c>
      <c r="H287" s="7" t="s">
        <v>7</v>
      </c>
      <c r="I287" s="7" t="s">
        <v>527</v>
      </c>
      <c r="J287" s="7">
        <v>0</v>
      </c>
      <c r="K287" s="7">
        <v>275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19</v>
      </c>
      <c r="AF287" s="7">
        <v>220</v>
      </c>
      <c r="AG287" s="8">
        <v>1700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25</v>
      </c>
      <c r="AR287" s="8">
        <v>2500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10">
        <v>4420</v>
      </c>
      <c r="BN287" s="15">
        <f t="shared" si="8"/>
        <v>4420</v>
      </c>
      <c r="BO287" s="16">
        <f t="shared" si="9"/>
        <v>3094</v>
      </c>
    </row>
    <row r="288" spans="1:67" ht="19.2" x14ac:dyDescent="0.4">
      <c r="A288" s="5" t="s">
        <v>454</v>
      </c>
      <c r="B288" s="5" t="s">
        <v>295</v>
      </c>
      <c r="C288" s="5">
        <v>385169</v>
      </c>
      <c r="D288" s="6"/>
      <c r="E288" s="5" t="s">
        <v>16</v>
      </c>
      <c r="F288" s="5" t="s">
        <v>207</v>
      </c>
      <c r="G288" s="5" t="s">
        <v>34</v>
      </c>
      <c r="H288" s="7" t="s">
        <v>8</v>
      </c>
      <c r="I288" s="7" t="s">
        <v>289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36</v>
      </c>
      <c r="AF288" s="8">
        <v>4320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10">
        <v>4320</v>
      </c>
      <c r="BN288" s="15">
        <f t="shared" si="8"/>
        <v>4320</v>
      </c>
      <c r="BO288" s="16">
        <f t="shared" si="9"/>
        <v>3024</v>
      </c>
    </row>
    <row r="289" spans="1:67" ht="19.2" x14ac:dyDescent="0.4">
      <c r="A289" s="5" t="s">
        <v>454</v>
      </c>
      <c r="B289" s="5" t="s">
        <v>417</v>
      </c>
      <c r="C289" s="5">
        <v>388551</v>
      </c>
      <c r="D289" s="6"/>
      <c r="E289" s="5" t="s">
        <v>16</v>
      </c>
      <c r="F289" s="5" t="s">
        <v>133</v>
      </c>
      <c r="G289" s="5" t="s">
        <v>34</v>
      </c>
      <c r="H289" s="7" t="s">
        <v>300</v>
      </c>
      <c r="I289" s="7" t="s">
        <v>418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8">
        <v>4000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10">
        <v>4000</v>
      </c>
      <c r="BN289" s="15">
        <f t="shared" si="8"/>
        <v>4000</v>
      </c>
      <c r="BO289" s="16">
        <f t="shared" si="9"/>
        <v>2800</v>
      </c>
    </row>
    <row r="290" spans="1:67" ht="19.2" x14ac:dyDescent="0.4">
      <c r="A290" s="5" t="s">
        <v>454</v>
      </c>
      <c r="B290" s="5" t="s">
        <v>238</v>
      </c>
      <c r="C290" s="5">
        <v>356295</v>
      </c>
      <c r="D290" s="6"/>
      <c r="E290" s="5" t="s">
        <v>16</v>
      </c>
      <c r="F290" s="5" t="s">
        <v>41</v>
      </c>
      <c r="G290" s="5" t="s">
        <v>34</v>
      </c>
      <c r="H290" s="7" t="s">
        <v>8</v>
      </c>
      <c r="I290" s="7" t="s">
        <v>205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33</v>
      </c>
      <c r="BJ290" s="8">
        <v>3960</v>
      </c>
      <c r="BK290" s="7">
        <v>0</v>
      </c>
      <c r="BL290" s="7">
        <v>198</v>
      </c>
      <c r="BM290" s="10">
        <v>3960</v>
      </c>
      <c r="BN290" s="15">
        <f t="shared" si="8"/>
        <v>3762</v>
      </c>
      <c r="BO290" s="16">
        <f t="shared" si="9"/>
        <v>2633.3999999999996</v>
      </c>
    </row>
    <row r="291" spans="1:67" ht="19.2" x14ac:dyDescent="0.4">
      <c r="A291" s="5" t="s">
        <v>454</v>
      </c>
      <c r="B291" s="5" t="s">
        <v>191</v>
      </c>
      <c r="C291" s="5">
        <v>467503</v>
      </c>
      <c r="D291" s="6"/>
      <c r="E291" s="5" t="s">
        <v>16</v>
      </c>
      <c r="F291" s="5" t="s">
        <v>165</v>
      </c>
      <c r="G291" s="5" t="s">
        <v>34</v>
      </c>
      <c r="H291" s="7" t="s">
        <v>8</v>
      </c>
      <c r="I291" s="7" t="s">
        <v>27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1</v>
      </c>
      <c r="AF291" s="8">
        <v>3840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10">
        <v>3840</v>
      </c>
      <c r="BN291" s="15">
        <f t="shared" si="8"/>
        <v>3840</v>
      </c>
      <c r="BO291" s="16">
        <f t="shared" si="9"/>
        <v>2688</v>
      </c>
    </row>
    <row r="292" spans="1:67" ht="19.2" x14ac:dyDescent="0.4">
      <c r="A292" s="5" t="s">
        <v>454</v>
      </c>
      <c r="B292" s="5" t="s">
        <v>209</v>
      </c>
      <c r="C292" s="5">
        <v>393598</v>
      </c>
      <c r="D292" s="6"/>
      <c r="E292" s="5" t="s">
        <v>16</v>
      </c>
      <c r="F292" s="5" t="s">
        <v>210</v>
      </c>
      <c r="G292" s="5" t="s">
        <v>34</v>
      </c>
      <c r="H292" s="7" t="s">
        <v>8</v>
      </c>
      <c r="I292" s="7" t="s">
        <v>211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4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1</v>
      </c>
      <c r="AF292" s="7">
        <v>100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37</v>
      </c>
      <c r="AR292" s="8">
        <v>3700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10">
        <v>3800</v>
      </c>
      <c r="BN292" s="15">
        <f t="shared" si="8"/>
        <v>3800</v>
      </c>
      <c r="BO292" s="16">
        <f t="shared" si="9"/>
        <v>2660</v>
      </c>
    </row>
    <row r="293" spans="1:67" ht="19.2" x14ac:dyDescent="0.4">
      <c r="A293" s="5" t="s">
        <v>454</v>
      </c>
      <c r="B293" s="5" t="s">
        <v>180</v>
      </c>
      <c r="C293" s="5">
        <v>370192</v>
      </c>
      <c r="D293" s="6"/>
      <c r="E293" s="5" t="s">
        <v>16</v>
      </c>
      <c r="F293" s="5" t="s">
        <v>133</v>
      </c>
      <c r="G293" s="5" t="s">
        <v>34</v>
      </c>
      <c r="H293" s="7" t="s">
        <v>8</v>
      </c>
      <c r="I293" s="7" t="s">
        <v>181</v>
      </c>
      <c r="J293" s="7">
        <v>0</v>
      </c>
      <c r="K293" s="7">
        <v>5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17</v>
      </c>
      <c r="AF293" s="7">
        <v>0</v>
      </c>
      <c r="AG293" s="8">
        <v>1700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16</v>
      </c>
      <c r="BJ293" s="8">
        <v>1920</v>
      </c>
      <c r="BK293" s="7">
        <v>0</v>
      </c>
      <c r="BL293" s="7">
        <v>96</v>
      </c>
      <c r="BM293" s="10">
        <v>3620</v>
      </c>
      <c r="BN293" s="15">
        <f t="shared" si="8"/>
        <v>3524</v>
      </c>
      <c r="BO293" s="16">
        <f t="shared" si="9"/>
        <v>2466.7999999999997</v>
      </c>
    </row>
    <row r="294" spans="1:67" ht="19.2" x14ac:dyDescent="0.4">
      <c r="A294" s="5" t="s">
        <v>454</v>
      </c>
      <c r="B294" s="5" t="s">
        <v>144</v>
      </c>
      <c r="C294" s="5">
        <v>328404</v>
      </c>
      <c r="D294" s="6"/>
      <c r="E294" s="5" t="s">
        <v>16</v>
      </c>
      <c r="F294" s="5" t="s">
        <v>33</v>
      </c>
      <c r="G294" s="5" t="s">
        <v>34</v>
      </c>
      <c r="H294" s="7" t="s">
        <v>8</v>
      </c>
      <c r="I294" s="7" t="s">
        <v>145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10</v>
      </c>
      <c r="T294" s="7">
        <v>0</v>
      </c>
      <c r="U294" s="7">
        <v>0</v>
      </c>
      <c r="V294" s="8">
        <v>1000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26</v>
      </c>
      <c r="AR294" s="8">
        <v>2400</v>
      </c>
      <c r="AS294" s="7">
        <v>200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10">
        <v>3600</v>
      </c>
      <c r="BN294" s="15">
        <f t="shared" si="8"/>
        <v>3600</v>
      </c>
      <c r="BO294" s="16">
        <f t="shared" si="9"/>
        <v>2520</v>
      </c>
    </row>
    <row r="295" spans="1:67" ht="19.2" x14ac:dyDescent="0.4">
      <c r="A295" s="5" t="s">
        <v>454</v>
      </c>
      <c r="B295" s="5" t="s">
        <v>22</v>
      </c>
      <c r="C295" s="5">
        <v>445688</v>
      </c>
      <c r="D295" s="6"/>
      <c r="E295" s="5" t="s">
        <v>16</v>
      </c>
      <c r="F295" s="5" t="s">
        <v>23</v>
      </c>
      <c r="G295" s="5" t="s">
        <v>10</v>
      </c>
      <c r="H295" s="7" t="s">
        <v>7</v>
      </c>
      <c r="I295" s="7" t="s">
        <v>24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10</v>
      </c>
      <c r="AF295" s="7">
        <v>0</v>
      </c>
      <c r="AG295" s="8">
        <v>1000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21</v>
      </c>
      <c r="BJ295" s="8">
        <v>2520</v>
      </c>
      <c r="BK295" s="7">
        <v>0</v>
      </c>
      <c r="BL295" s="7">
        <v>126</v>
      </c>
      <c r="BM295" s="10">
        <v>3520</v>
      </c>
      <c r="BN295" s="15">
        <f t="shared" si="8"/>
        <v>3394</v>
      </c>
      <c r="BO295" s="16">
        <f t="shared" si="9"/>
        <v>2375.7999999999997</v>
      </c>
    </row>
    <row r="296" spans="1:67" ht="19.2" x14ac:dyDescent="0.4">
      <c r="A296" s="5" t="s">
        <v>454</v>
      </c>
      <c r="B296" s="5" t="s">
        <v>566</v>
      </c>
      <c r="C296" s="5">
        <v>414678</v>
      </c>
      <c r="D296" s="6"/>
      <c r="E296" s="5" t="s">
        <v>16</v>
      </c>
      <c r="F296" s="5" t="s">
        <v>140</v>
      </c>
      <c r="G296" s="5" t="s">
        <v>34</v>
      </c>
      <c r="H296" s="7" t="s">
        <v>300</v>
      </c>
      <c r="I296" s="7" t="s">
        <v>141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8">
        <v>3500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10">
        <v>3500</v>
      </c>
      <c r="BN296" s="15">
        <f t="shared" si="8"/>
        <v>3500</v>
      </c>
      <c r="BO296" s="16">
        <f t="shared" si="9"/>
        <v>2450</v>
      </c>
    </row>
    <row r="297" spans="1:67" ht="19.2" x14ac:dyDescent="0.4">
      <c r="A297" s="5" t="s">
        <v>454</v>
      </c>
      <c r="B297" s="5" t="s">
        <v>57</v>
      </c>
      <c r="C297" s="5">
        <v>464776</v>
      </c>
      <c r="D297" s="6"/>
      <c r="E297" s="5" t="s">
        <v>16</v>
      </c>
      <c r="F297" s="5" t="s">
        <v>58</v>
      </c>
      <c r="G297" s="5" t="s">
        <v>421</v>
      </c>
      <c r="H297" s="7" t="s">
        <v>9</v>
      </c>
      <c r="I297" s="7" t="s">
        <v>59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4</v>
      </c>
      <c r="AF297" s="7">
        <v>480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23</v>
      </c>
      <c r="AR297" s="8">
        <v>2300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5</v>
      </c>
      <c r="BJ297" s="7">
        <v>600</v>
      </c>
      <c r="BK297" s="7">
        <v>0</v>
      </c>
      <c r="BL297" s="7">
        <v>30</v>
      </c>
      <c r="BM297" s="10">
        <v>3380</v>
      </c>
      <c r="BN297" s="15">
        <f t="shared" si="8"/>
        <v>3350</v>
      </c>
      <c r="BO297" s="16">
        <f t="shared" si="9"/>
        <v>2345</v>
      </c>
    </row>
    <row r="298" spans="1:67" ht="19.2" x14ac:dyDescent="0.4">
      <c r="A298" s="5" t="s">
        <v>454</v>
      </c>
      <c r="B298" s="5" t="s">
        <v>226</v>
      </c>
      <c r="C298" s="5">
        <v>399878</v>
      </c>
      <c r="D298" s="6"/>
      <c r="E298" s="5" t="s">
        <v>16</v>
      </c>
      <c r="F298" s="5" t="s">
        <v>227</v>
      </c>
      <c r="G298" s="5" t="s">
        <v>34</v>
      </c>
      <c r="H298" s="7" t="s">
        <v>8</v>
      </c>
      <c r="I298" s="7" t="s">
        <v>228</v>
      </c>
      <c r="J298" s="7">
        <v>0</v>
      </c>
      <c r="K298" s="7">
        <v>3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1</v>
      </c>
      <c r="AF298" s="7">
        <v>100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1</v>
      </c>
      <c r="AR298" s="7">
        <v>100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26</v>
      </c>
      <c r="BJ298" s="8">
        <v>3120</v>
      </c>
      <c r="BK298" s="7">
        <v>0</v>
      </c>
      <c r="BL298" s="7">
        <v>156</v>
      </c>
      <c r="BM298" s="10">
        <v>3320</v>
      </c>
      <c r="BN298" s="15">
        <f t="shared" si="8"/>
        <v>3164</v>
      </c>
      <c r="BO298" s="16">
        <f t="shared" si="9"/>
        <v>2214.7999999999997</v>
      </c>
    </row>
    <row r="299" spans="1:67" ht="19.2" x14ac:dyDescent="0.4">
      <c r="A299" s="5" t="s">
        <v>454</v>
      </c>
      <c r="B299" s="5" t="s">
        <v>77</v>
      </c>
      <c r="C299" s="5">
        <v>387942</v>
      </c>
      <c r="D299" s="6"/>
      <c r="E299" s="5" t="s">
        <v>16</v>
      </c>
      <c r="F299" s="5" t="s">
        <v>78</v>
      </c>
      <c r="G299" s="5" t="s">
        <v>10</v>
      </c>
      <c r="H299" s="7" t="s">
        <v>7</v>
      </c>
      <c r="I299" s="7" t="s">
        <v>79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28</v>
      </c>
      <c r="AF299" s="8">
        <v>2880</v>
      </c>
      <c r="AG299" s="7">
        <v>400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10">
        <v>3280</v>
      </c>
      <c r="BN299" s="15">
        <f t="shared" si="8"/>
        <v>3280</v>
      </c>
      <c r="BO299" s="16">
        <f t="shared" si="9"/>
        <v>2296</v>
      </c>
    </row>
    <row r="300" spans="1:67" ht="19.2" x14ac:dyDescent="0.4">
      <c r="A300" s="5" t="s">
        <v>454</v>
      </c>
      <c r="B300" s="5" t="s">
        <v>367</v>
      </c>
      <c r="C300" s="5">
        <v>377683</v>
      </c>
      <c r="D300" s="6"/>
      <c r="E300" s="5" t="s">
        <v>16</v>
      </c>
      <c r="F300" s="5" t="s">
        <v>33</v>
      </c>
      <c r="G300" s="5" t="s">
        <v>34</v>
      </c>
      <c r="H300" s="7" t="s">
        <v>300</v>
      </c>
      <c r="I300" s="7" t="s">
        <v>368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1</v>
      </c>
      <c r="AF300" s="8">
        <v>3000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10">
        <v>3000</v>
      </c>
      <c r="BN300" s="15">
        <f t="shared" si="8"/>
        <v>3000</v>
      </c>
      <c r="BO300" s="16">
        <f t="shared" si="9"/>
        <v>2100</v>
      </c>
    </row>
    <row r="301" spans="1:67" ht="19.2" x14ac:dyDescent="0.4">
      <c r="A301" s="5" t="s">
        <v>454</v>
      </c>
      <c r="B301" s="5" t="s">
        <v>528</v>
      </c>
      <c r="C301" s="5">
        <v>473533</v>
      </c>
      <c r="D301" s="6"/>
      <c r="E301" s="5" t="s">
        <v>16</v>
      </c>
      <c r="F301" s="5" t="s">
        <v>440</v>
      </c>
      <c r="G301" s="5" t="s">
        <v>10</v>
      </c>
      <c r="H301" s="7" t="s">
        <v>7</v>
      </c>
      <c r="I301" s="7" t="s">
        <v>521</v>
      </c>
      <c r="J301" s="7">
        <v>8</v>
      </c>
      <c r="K301" s="7">
        <v>0</v>
      </c>
      <c r="L301" s="7">
        <v>800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7</v>
      </c>
      <c r="AF301" s="7">
        <v>840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12</v>
      </c>
      <c r="AR301" s="8">
        <v>1200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10">
        <v>2840</v>
      </c>
      <c r="BN301" s="15">
        <f t="shared" si="8"/>
        <v>2840</v>
      </c>
      <c r="BO301" s="16">
        <f t="shared" si="9"/>
        <v>1987.9999999999998</v>
      </c>
    </row>
    <row r="302" spans="1:67" ht="19.2" x14ac:dyDescent="0.4">
      <c r="A302" s="5" t="s">
        <v>454</v>
      </c>
      <c r="B302" s="5" t="s">
        <v>373</v>
      </c>
      <c r="C302" s="5">
        <v>387975</v>
      </c>
      <c r="D302" s="6"/>
      <c r="E302" s="5" t="s">
        <v>16</v>
      </c>
      <c r="F302" s="5" t="s">
        <v>152</v>
      </c>
      <c r="G302" s="5" t="s">
        <v>34</v>
      </c>
      <c r="H302" s="7" t="s">
        <v>300</v>
      </c>
      <c r="I302" s="7" t="s">
        <v>143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1</v>
      </c>
      <c r="AF302" s="8">
        <v>2800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10">
        <v>2800</v>
      </c>
      <c r="BN302" s="15">
        <f t="shared" si="8"/>
        <v>2800</v>
      </c>
      <c r="BO302" s="16">
        <f t="shared" si="9"/>
        <v>1959.9999999999998</v>
      </c>
    </row>
    <row r="303" spans="1:67" ht="19.2" x14ac:dyDescent="0.4">
      <c r="A303" s="5" t="s">
        <v>454</v>
      </c>
      <c r="B303" s="5" t="s">
        <v>419</v>
      </c>
      <c r="C303" s="5">
        <v>428408</v>
      </c>
      <c r="D303" s="6"/>
      <c r="E303" s="5" t="s">
        <v>16</v>
      </c>
      <c r="F303" s="5" t="s">
        <v>41</v>
      </c>
      <c r="G303" s="5" t="s">
        <v>34</v>
      </c>
      <c r="H303" s="7" t="s">
        <v>300</v>
      </c>
      <c r="I303" s="7" t="s">
        <v>213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1</v>
      </c>
      <c r="AF303" s="7">
        <v>0</v>
      </c>
      <c r="AG303" s="8">
        <v>2600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10">
        <v>2600</v>
      </c>
      <c r="BN303" s="15">
        <f t="shared" si="8"/>
        <v>2600</v>
      </c>
      <c r="BO303" s="16">
        <f t="shared" si="9"/>
        <v>1819.9999999999998</v>
      </c>
    </row>
    <row r="304" spans="1:67" ht="19.2" x14ac:dyDescent="0.4">
      <c r="A304" s="5" t="s">
        <v>454</v>
      </c>
      <c r="B304" s="5" t="s">
        <v>142</v>
      </c>
      <c r="C304" s="5">
        <v>367994</v>
      </c>
      <c r="D304" s="6"/>
      <c r="E304" s="5" t="s">
        <v>16</v>
      </c>
      <c r="F304" s="5" t="s">
        <v>33</v>
      </c>
      <c r="G304" s="5" t="s">
        <v>34</v>
      </c>
      <c r="H304" s="7" t="s">
        <v>8</v>
      </c>
      <c r="I304" s="7" t="s">
        <v>143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5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24</v>
      </c>
      <c r="AF304" s="7">
        <v>120</v>
      </c>
      <c r="AG304" s="8">
        <v>2300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10">
        <v>2420</v>
      </c>
      <c r="BN304" s="15">
        <f t="shared" si="8"/>
        <v>2420</v>
      </c>
      <c r="BO304" s="16">
        <f t="shared" si="9"/>
        <v>1694</v>
      </c>
    </row>
    <row r="305" spans="1:67" ht="19.2" x14ac:dyDescent="0.4">
      <c r="A305" s="5" t="s">
        <v>454</v>
      </c>
      <c r="B305" s="5" t="s">
        <v>235</v>
      </c>
      <c r="C305" s="5">
        <v>351033</v>
      </c>
      <c r="D305" s="6" t="s">
        <v>236</v>
      </c>
      <c r="E305" s="5" t="s">
        <v>16</v>
      </c>
      <c r="F305" s="5" t="s">
        <v>30</v>
      </c>
      <c r="G305" s="5" t="s">
        <v>10</v>
      </c>
      <c r="H305" s="7" t="s">
        <v>7</v>
      </c>
      <c r="I305" s="7" t="s">
        <v>237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20</v>
      </c>
      <c r="AF305" s="8">
        <v>2400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10">
        <v>2400</v>
      </c>
      <c r="BN305" s="15">
        <f t="shared" si="8"/>
        <v>2400</v>
      </c>
      <c r="BO305" s="16">
        <f t="shared" si="9"/>
        <v>1680</v>
      </c>
    </row>
    <row r="306" spans="1:67" ht="19.2" x14ac:dyDescent="0.4">
      <c r="A306" s="5" t="s">
        <v>454</v>
      </c>
      <c r="B306" s="5" t="s">
        <v>305</v>
      </c>
      <c r="C306" s="5">
        <v>363413</v>
      </c>
      <c r="D306" s="6"/>
      <c r="E306" s="5" t="s">
        <v>16</v>
      </c>
      <c r="F306" s="5" t="s">
        <v>105</v>
      </c>
      <c r="G306" s="5" t="s">
        <v>34</v>
      </c>
      <c r="H306" s="7" t="s">
        <v>8</v>
      </c>
      <c r="I306" s="7" t="s">
        <v>306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23</v>
      </c>
      <c r="AR306" s="8">
        <v>2300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10">
        <v>2300</v>
      </c>
      <c r="BN306" s="15">
        <f t="shared" si="8"/>
        <v>2300</v>
      </c>
      <c r="BO306" s="16">
        <f t="shared" si="9"/>
        <v>1610</v>
      </c>
    </row>
    <row r="307" spans="1:67" ht="19.2" x14ac:dyDescent="0.4">
      <c r="A307" s="5" t="s">
        <v>454</v>
      </c>
      <c r="B307" s="5" t="s">
        <v>385</v>
      </c>
      <c r="C307" s="5">
        <v>383236</v>
      </c>
      <c r="D307" s="6"/>
      <c r="E307" s="5" t="s">
        <v>16</v>
      </c>
      <c r="F307" s="5" t="s">
        <v>130</v>
      </c>
      <c r="G307" s="5" t="s">
        <v>34</v>
      </c>
      <c r="H307" s="7" t="s">
        <v>300</v>
      </c>
      <c r="I307" s="7" t="s">
        <v>131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3</v>
      </c>
      <c r="AF307" s="7">
        <v>480</v>
      </c>
      <c r="AG307" s="7">
        <v>800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2</v>
      </c>
      <c r="BJ307" s="7">
        <v>960</v>
      </c>
      <c r="BK307" s="7">
        <v>0</v>
      </c>
      <c r="BL307" s="7">
        <v>48</v>
      </c>
      <c r="BM307" s="10">
        <v>2240</v>
      </c>
      <c r="BN307" s="15">
        <f t="shared" si="8"/>
        <v>2192</v>
      </c>
      <c r="BO307" s="16">
        <f t="shared" si="9"/>
        <v>1534.3999999999999</v>
      </c>
    </row>
    <row r="308" spans="1:67" ht="19.2" x14ac:dyDescent="0.4">
      <c r="A308" s="5" t="s">
        <v>454</v>
      </c>
      <c r="B308" s="5" t="s">
        <v>85</v>
      </c>
      <c r="C308" s="5">
        <v>422032</v>
      </c>
      <c r="D308" s="6"/>
      <c r="E308" s="5" t="s">
        <v>16</v>
      </c>
      <c r="F308" s="5" t="s">
        <v>86</v>
      </c>
      <c r="G308" s="5" t="s">
        <v>10</v>
      </c>
      <c r="H308" s="7" t="s">
        <v>9</v>
      </c>
      <c r="I308" s="7" t="s">
        <v>87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8</v>
      </c>
      <c r="AF308" s="7">
        <v>940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10</v>
      </c>
      <c r="BJ308" s="8">
        <v>1200</v>
      </c>
      <c r="BK308" s="7">
        <v>0</v>
      </c>
      <c r="BL308" s="7">
        <v>60</v>
      </c>
      <c r="BM308" s="10">
        <v>2140</v>
      </c>
      <c r="BN308" s="15">
        <f t="shared" si="8"/>
        <v>2080</v>
      </c>
      <c r="BO308" s="16">
        <f t="shared" si="9"/>
        <v>1456</v>
      </c>
    </row>
    <row r="309" spans="1:67" ht="19.2" x14ac:dyDescent="0.4">
      <c r="A309" s="5" t="s">
        <v>454</v>
      </c>
      <c r="B309" s="5" t="s">
        <v>242</v>
      </c>
      <c r="C309" s="5">
        <v>251205</v>
      </c>
      <c r="D309" s="6"/>
      <c r="E309" s="5" t="s">
        <v>16</v>
      </c>
      <c r="F309" s="5" t="s">
        <v>66</v>
      </c>
      <c r="G309" s="5" t="s">
        <v>10</v>
      </c>
      <c r="H309" s="7" t="s">
        <v>7</v>
      </c>
      <c r="I309" s="7" t="s">
        <v>243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21</v>
      </c>
      <c r="AF309" s="8">
        <v>2100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10">
        <v>2100</v>
      </c>
      <c r="BN309" s="15">
        <f t="shared" si="8"/>
        <v>2100</v>
      </c>
      <c r="BO309" s="16">
        <f t="shared" si="9"/>
        <v>1470</v>
      </c>
    </row>
    <row r="310" spans="1:67" ht="19.2" x14ac:dyDescent="0.4">
      <c r="A310" s="5" t="s">
        <v>454</v>
      </c>
      <c r="B310" s="5" t="s">
        <v>283</v>
      </c>
      <c r="C310" s="5">
        <v>328894</v>
      </c>
      <c r="D310" s="6"/>
      <c r="E310" s="5" t="s">
        <v>16</v>
      </c>
      <c r="F310" s="5" t="s">
        <v>207</v>
      </c>
      <c r="G310" s="5" t="s">
        <v>34</v>
      </c>
      <c r="H310" s="7" t="s">
        <v>8</v>
      </c>
      <c r="I310" s="7" t="s">
        <v>284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17</v>
      </c>
      <c r="AF310" s="8">
        <v>1920</v>
      </c>
      <c r="AG310" s="7">
        <v>100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10">
        <v>2020</v>
      </c>
      <c r="BN310" s="15">
        <f t="shared" si="8"/>
        <v>2020</v>
      </c>
      <c r="BO310" s="16">
        <f t="shared" si="9"/>
        <v>1414</v>
      </c>
    </row>
    <row r="311" spans="1:67" ht="19.2" x14ac:dyDescent="0.4">
      <c r="A311" s="5" t="s">
        <v>454</v>
      </c>
      <c r="B311" s="5" t="s">
        <v>546</v>
      </c>
      <c r="C311" s="5">
        <v>441962</v>
      </c>
      <c r="D311" s="6"/>
      <c r="E311" s="5" t="s">
        <v>16</v>
      </c>
      <c r="F311" s="5" t="s">
        <v>443</v>
      </c>
      <c r="G311" s="5" t="s">
        <v>421</v>
      </c>
      <c r="H311" s="7" t="s">
        <v>8</v>
      </c>
      <c r="I311" s="7" t="s">
        <v>547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1</v>
      </c>
      <c r="AF311" s="7">
        <v>0</v>
      </c>
      <c r="AG311" s="7">
        <v>200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1</v>
      </c>
      <c r="AR311" s="8">
        <v>1800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10">
        <v>2000</v>
      </c>
      <c r="BN311" s="15">
        <f t="shared" si="8"/>
        <v>2000</v>
      </c>
      <c r="BO311" s="16">
        <f t="shared" si="9"/>
        <v>1400</v>
      </c>
    </row>
    <row r="312" spans="1:67" ht="19.2" x14ac:dyDescent="0.4">
      <c r="A312" s="5" t="s">
        <v>454</v>
      </c>
      <c r="B312" s="5" t="s">
        <v>184</v>
      </c>
      <c r="C312" s="5">
        <v>378409</v>
      </c>
      <c r="D312" s="6"/>
      <c r="E312" s="5" t="s">
        <v>16</v>
      </c>
      <c r="F312" s="5" t="s">
        <v>47</v>
      </c>
      <c r="G312" s="5" t="s">
        <v>34</v>
      </c>
      <c r="H312" s="7" t="s">
        <v>8</v>
      </c>
      <c r="I312" s="7" t="s">
        <v>185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1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9</v>
      </c>
      <c r="AF312" s="7">
        <v>0</v>
      </c>
      <c r="AG312" s="7">
        <v>900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4</v>
      </c>
      <c r="BJ312" s="7">
        <v>480</v>
      </c>
      <c r="BK312" s="7">
        <v>0</v>
      </c>
      <c r="BL312" s="7">
        <v>24</v>
      </c>
      <c r="BM312" s="10">
        <v>1380</v>
      </c>
      <c r="BN312" s="15">
        <f t="shared" si="8"/>
        <v>1356</v>
      </c>
      <c r="BO312" s="16">
        <f t="shared" si="9"/>
        <v>949.19999999999993</v>
      </c>
    </row>
    <row r="313" spans="1:67" ht="19.2" x14ac:dyDescent="0.4">
      <c r="A313" s="5" t="s">
        <v>454</v>
      </c>
      <c r="B313" s="5" t="s">
        <v>137</v>
      </c>
      <c r="C313" s="5">
        <v>337887</v>
      </c>
      <c r="D313" s="6"/>
      <c r="E313" s="5" t="s">
        <v>16</v>
      </c>
      <c r="F313" s="5" t="s">
        <v>133</v>
      </c>
      <c r="G313" s="5" t="s">
        <v>34</v>
      </c>
      <c r="H313" s="7" t="s">
        <v>8</v>
      </c>
      <c r="I313" s="7" t="s">
        <v>138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8</v>
      </c>
      <c r="AF313" s="7">
        <v>960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4</v>
      </c>
      <c r="AR313" s="7">
        <v>200</v>
      </c>
      <c r="AS313" s="7">
        <v>200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10">
        <v>1360</v>
      </c>
      <c r="BN313" s="15">
        <f t="shared" si="8"/>
        <v>1360</v>
      </c>
      <c r="BO313" s="16">
        <f t="shared" si="9"/>
        <v>951.99999999999989</v>
      </c>
    </row>
    <row r="314" spans="1:67" ht="19.2" x14ac:dyDescent="0.4">
      <c r="A314" s="5" t="s">
        <v>454</v>
      </c>
      <c r="B314" s="5" t="s">
        <v>312</v>
      </c>
      <c r="C314" s="5">
        <v>414120</v>
      </c>
      <c r="D314" s="6"/>
      <c r="E314" s="5" t="s">
        <v>16</v>
      </c>
      <c r="F314" s="5" t="s">
        <v>41</v>
      </c>
      <c r="G314" s="5" t="s">
        <v>34</v>
      </c>
      <c r="H314" s="7" t="s">
        <v>8</v>
      </c>
      <c r="I314" s="7" t="s">
        <v>202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11</v>
      </c>
      <c r="BJ314" s="8">
        <v>1320</v>
      </c>
      <c r="BK314" s="7">
        <v>0</v>
      </c>
      <c r="BL314" s="7">
        <v>66</v>
      </c>
      <c r="BM314" s="10">
        <v>1320</v>
      </c>
      <c r="BN314" s="15">
        <f t="shared" ref="BN314:BN377" si="10">BM314-BL314</f>
        <v>1254</v>
      </c>
      <c r="BO314" s="16">
        <f t="shared" ref="BO314:BO377" si="11">BN314*70%</f>
        <v>877.8</v>
      </c>
    </row>
    <row r="315" spans="1:67" ht="19.2" x14ac:dyDescent="0.4">
      <c r="A315" s="5" t="s">
        <v>454</v>
      </c>
      <c r="B315" s="5" t="s">
        <v>229</v>
      </c>
      <c r="C315" s="5">
        <v>382446</v>
      </c>
      <c r="D315" s="6"/>
      <c r="E315" s="5" t="s">
        <v>16</v>
      </c>
      <c r="F315" s="5" t="s">
        <v>52</v>
      </c>
      <c r="G315" s="5" t="s">
        <v>34</v>
      </c>
      <c r="H315" s="7" t="s">
        <v>8</v>
      </c>
      <c r="I315" s="7" t="s">
        <v>230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2</v>
      </c>
      <c r="AF315" s="7">
        <v>0</v>
      </c>
      <c r="AG315" s="7">
        <v>200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11</v>
      </c>
      <c r="AR315" s="8">
        <v>1100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10">
        <v>1300</v>
      </c>
      <c r="BN315" s="15">
        <f t="shared" si="10"/>
        <v>1300</v>
      </c>
      <c r="BO315" s="16">
        <f t="shared" si="11"/>
        <v>909.99999999999989</v>
      </c>
    </row>
    <row r="316" spans="1:67" ht="19.2" x14ac:dyDescent="0.4">
      <c r="A316" s="5" t="s">
        <v>454</v>
      </c>
      <c r="B316" s="5" t="s">
        <v>151</v>
      </c>
      <c r="C316" s="5">
        <v>350894</v>
      </c>
      <c r="D316" s="6"/>
      <c r="E316" s="5" t="s">
        <v>16</v>
      </c>
      <c r="F316" s="5" t="s">
        <v>152</v>
      </c>
      <c r="G316" s="5" t="s">
        <v>34</v>
      </c>
      <c r="H316" s="7" t="s">
        <v>8</v>
      </c>
      <c r="I316" s="7" t="s">
        <v>153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13</v>
      </c>
      <c r="AF316" s="8">
        <v>1300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10">
        <v>1300</v>
      </c>
      <c r="BN316" s="15">
        <f t="shared" si="10"/>
        <v>1300</v>
      </c>
      <c r="BO316" s="16">
        <f t="shared" si="11"/>
        <v>909.99999999999989</v>
      </c>
    </row>
    <row r="317" spans="1:67" ht="19.2" x14ac:dyDescent="0.4">
      <c r="A317" s="5" t="s">
        <v>454</v>
      </c>
      <c r="B317" s="5" t="s">
        <v>317</v>
      </c>
      <c r="C317" s="5">
        <v>366144</v>
      </c>
      <c r="D317" s="6"/>
      <c r="E317" s="5" t="s">
        <v>16</v>
      </c>
      <c r="F317" s="5" t="s">
        <v>318</v>
      </c>
      <c r="G317" s="5" t="s">
        <v>34</v>
      </c>
      <c r="H317" s="7" t="s">
        <v>8</v>
      </c>
      <c r="I317" s="7" t="s">
        <v>319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6</v>
      </c>
      <c r="AF317" s="7">
        <v>720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5</v>
      </c>
      <c r="AR317" s="7">
        <v>500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10">
        <v>1220</v>
      </c>
      <c r="BN317" s="15">
        <f t="shared" si="10"/>
        <v>1220</v>
      </c>
      <c r="BO317" s="16">
        <f t="shared" si="11"/>
        <v>854</v>
      </c>
    </row>
    <row r="318" spans="1:67" ht="19.2" x14ac:dyDescent="0.4">
      <c r="A318" s="5" t="s">
        <v>454</v>
      </c>
      <c r="B318" s="5" t="s">
        <v>567</v>
      </c>
      <c r="C318" s="5">
        <v>431800</v>
      </c>
      <c r="D318" s="6"/>
      <c r="E318" s="5" t="s">
        <v>16</v>
      </c>
      <c r="F318" s="5" t="s">
        <v>130</v>
      </c>
      <c r="G318" s="5" t="s">
        <v>34</v>
      </c>
      <c r="H318" s="7" t="s">
        <v>300</v>
      </c>
      <c r="I318" s="7" t="s">
        <v>446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1</v>
      </c>
      <c r="BJ318" s="8">
        <v>1200</v>
      </c>
      <c r="BK318" s="7">
        <v>0</v>
      </c>
      <c r="BL318" s="7">
        <v>60</v>
      </c>
      <c r="BM318" s="10">
        <v>1200</v>
      </c>
      <c r="BN318" s="15">
        <f t="shared" si="10"/>
        <v>1140</v>
      </c>
      <c r="BO318" s="16">
        <f t="shared" si="11"/>
        <v>798</v>
      </c>
    </row>
    <row r="319" spans="1:67" ht="19.2" x14ac:dyDescent="0.4">
      <c r="A319" s="5" t="s">
        <v>454</v>
      </c>
      <c r="B319" s="5" t="s">
        <v>80</v>
      </c>
      <c r="C319" s="5">
        <v>429621</v>
      </c>
      <c r="D319" s="6"/>
      <c r="E319" s="5" t="s">
        <v>16</v>
      </c>
      <c r="F319" s="5" t="s">
        <v>81</v>
      </c>
      <c r="G319" s="5" t="s">
        <v>421</v>
      </c>
      <c r="H319" s="7" t="s">
        <v>8</v>
      </c>
      <c r="I319" s="7" t="s">
        <v>82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10</v>
      </c>
      <c r="AF319" s="8">
        <v>1200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10">
        <v>1200</v>
      </c>
      <c r="BN319" s="15">
        <f t="shared" si="10"/>
        <v>1200</v>
      </c>
      <c r="BO319" s="16">
        <f t="shared" si="11"/>
        <v>840</v>
      </c>
    </row>
    <row r="320" spans="1:67" ht="19.2" x14ac:dyDescent="0.4">
      <c r="A320" s="5" t="s">
        <v>454</v>
      </c>
      <c r="B320" s="5" t="s">
        <v>379</v>
      </c>
      <c r="C320" s="5">
        <v>425649</v>
      </c>
      <c r="D320" s="6"/>
      <c r="E320" s="5" t="s">
        <v>16</v>
      </c>
      <c r="F320" s="5" t="s">
        <v>227</v>
      </c>
      <c r="G320" s="5" t="s">
        <v>34</v>
      </c>
      <c r="H320" s="7" t="s">
        <v>300</v>
      </c>
      <c r="I320" s="7" t="s">
        <v>228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1</v>
      </c>
      <c r="AF320" s="8">
        <v>1100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10">
        <v>1100</v>
      </c>
      <c r="BN320" s="15">
        <f t="shared" si="10"/>
        <v>1100</v>
      </c>
      <c r="BO320" s="16">
        <f t="shared" si="11"/>
        <v>770</v>
      </c>
    </row>
    <row r="321" spans="1:67" ht="19.2" x14ac:dyDescent="0.4">
      <c r="A321" s="5" t="s">
        <v>454</v>
      </c>
      <c r="B321" s="5" t="s">
        <v>313</v>
      </c>
      <c r="C321" s="5">
        <v>389960</v>
      </c>
      <c r="D321" s="6"/>
      <c r="E321" s="5" t="s">
        <v>16</v>
      </c>
      <c r="F321" s="5" t="s">
        <v>108</v>
      </c>
      <c r="G321" s="5" t="s">
        <v>421</v>
      </c>
      <c r="H321" s="7" t="s">
        <v>9</v>
      </c>
      <c r="I321" s="7" t="s">
        <v>314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11</v>
      </c>
      <c r="AF321" s="7">
        <v>0</v>
      </c>
      <c r="AG321" s="8">
        <v>1100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10">
        <v>1100</v>
      </c>
      <c r="BN321" s="15">
        <f t="shared" si="10"/>
        <v>1100</v>
      </c>
      <c r="BO321" s="16">
        <f t="shared" si="11"/>
        <v>770</v>
      </c>
    </row>
    <row r="322" spans="1:67" ht="19.2" x14ac:dyDescent="0.4">
      <c r="A322" s="5" t="s">
        <v>454</v>
      </c>
      <c r="B322" s="5" t="s">
        <v>568</v>
      </c>
      <c r="C322" s="5">
        <v>464146</v>
      </c>
      <c r="D322" s="6"/>
      <c r="E322" s="5" t="s">
        <v>16</v>
      </c>
      <c r="F322" s="5" t="s">
        <v>210</v>
      </c>
      <c r="G322" s="5" t="s">
        <v>34</v>
      </c>
      <c r="H322" s="7" t="s">
        <v>300</v>
      </c>
      <c r="I322" s="7" t="s">
        <v>211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1</v>
      </c>
      <c r="AF322" s="7">
        <v>500</v>
      </c>
      <c r="AG322" s="7">
        <v>600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10">
        <v>1100</v>
      </c>
      <c r="BN322" s="15">
        <f t="shared" si="10"/>
        <v>1100</v>
      </c>
      <c r="BO322" s="16">
        <f t="shared" si="11"/>
        <v>770</v>
      </c>
    </row>
    <row r="323" spans="1:67" ht="19.2" x14ac:dyDescent="0.4">
      <c r="A323" s="5" t="s">
        <v>454</v>
      </c>
      <c r="B323" s="5" t="s">
        <v>569</v>
      </c>
      <c r="C323" s="5">
        <v>426261</v>
      </c>
      <c r="D323" s="6"/>
      <c r="E323" s="5" t="s">
        <v>16</v>
      </c>
      <c r="F323" s="5" t="s">
        <v>130</v>
      </c>
      <c r="G323" s="5" t="s">
        <v>34</v>
      </c>
      <c r="H323" s="7" t="s">
        <v>300</v>
      </c>
      <c r="I323" s="7" t="s">
        <v>382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1</v>
      </c>
      <c r="AF323" s="7">
        <v>0</v>
      </c>
      <c r="AG323" s="7">
        <v>500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1</v>
      </c>
      <c r="BJ323" s="7">
        <v>600</v>
      </c>
      <c r="BK323" s="7">
        <v>0</v>
      </c>
      <c r="BL323" s="7">
        <v>30</v>
      </c>
      <c r="BM323" s="10">
        <v>1100</v>
      </c>
      <c r="BN323" s="15">
        <f t="shared" si="10"/>
        <v>1070</v>
      </c>
      <c r="BO323" s="16">
        <f t="shared" si="11"/>
        <v>749</v>
      </c>
    </row>
    <row r="324" spans="1:67" ht="19.2" x14ac:dyDescent="0.4">
      <c r="A324" s="5" t="s">
        <v>454</v>
      </c>
      <c r="B324" s="5" t="s">
        <v>338</v>
      </c>
      <c r="C324" s="5">
        <v>429538</v>
      </c>
      <c r="D324" s="6"/>
      <c r="E324" s="5" t="s">
        <v>16</v>
      </c>
      <c r="F324" s="5" t="s">
        <v>173</v>
      </c>
      <c r="G324" s="5" t="s">
        <v>411</v>
      </c>
      <c r="H324" s="7" t="s">
        <v>7</v>
      </c>
      <c r="I324" s="7" t="s">
        <v>234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1</v>
      </c>
      <c r="AF324" s="8">
        <v>1000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10">
        <v>1000</v>
      </c>
      <c r="BN324" s="15">
        <f t="shared" si="10"/>
        <v>1000</v>
      </c>
      <c r="BO324" s="16">
        <f t="shared" si="11"/>
        <v>700</v>
      </c>
    </row>
    <row r="325" spans="1:67" ht="19.2" x14ac:dyDescent="0.4">
      <c r="A325" s="5" t="s">
        <v>454</v>
      </c>
      <c r="B325" s="5" t="s">
        <v>172</v>
      </c>
      <c r="C325" s="5">
        <v>429496</v>
      </c>
      <c r="D325" s="6"/>
      <c r="E325" s="5" t="s">
        <v>16</v>
      </c>
      <c r="F325" s="5" t="s">
        <v>173</v>
      </c>
      <c r="G325" s="5" t="s">
        <v>411</v>
      </c>
      <c r="H325" s="7" t="s">
        <v>7</v>
      </c>
      <c r="I325" s="7" t="s">
        <v>174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10</v>
      </c>
      <c r="AF325" s="8">
        <v>1000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10">
        <v>1000</v>
      </c>
      <c r="BN325" s="15">
        <f t="shared" si="10"/>
        <v>1000</v>
      </c>
      <c r="BO325" s="16">
        <f t="shared" si="11"/>
        <v>700</v>
      </c>
    </row>
    <row r="326" spans="1:67" ht="19.2" x14ac:dyDescent="0.4">
      <c r="A326" s="5" t="s">
        <v>454</v>
      </c>
      <c r="B326" s="5" t="s">
        <v>325</v>
      </c>
      <c r="C326" s="5">
        <v>406872</v>
      </c>
      <c r="D326" s="6"/>
      <c r="E326" s="5" t="s">
        <v>16</v>
      </c>
      <c r="F326" s="5" t="s">
        <v>326</v>
      </c>
      <c r="G326" s="5" t="s">
        <v>421</v>
      </c>
      <c r="H326" s="7" t="s">
        <v>9</v>
      </c>
      <c r="I326" s="7" t="s">
        <v>327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10</v>
      </c>
      <c r="AF326" s="8">
        <v>1000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10">
        <v>1000</v>
      </c>
      <c r="BN326" s="15">
        <f t="shared" si="10"/>
        <v>1000</v>
      </c>
      <c r="BO326" s="16">
        <f t="shared" si="11"/>
        <v>700</v>
      </c>
    </row>
    <row r="327" spans="1:67" ht="19.2" x14ac:dyDescent="0.4">
      <c r="A327" s="5" t="s">
        <v>454</v>
      </c>
      <c r="B327" s="5" t="s">
        <v>383</v>
      </c>
      <c r="C327" s="5">
        <v>407003</v>
      </c>
      <c r="D327" s="6"/>
      <c r="E327" s="5" t="s">
        <v>16</v>
      </c>
      <c r="F327" s="5" t="s">
        <v>340</v>
      </c>
      <c r="G327" s="5" t="s">
        <v>34</v>
      </c>
      <c r="H327" s="7" t="s">
        <v>300</v>
      </c>
      <c r="I327" s="7" t="s">
        <v>384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7</v>
      </c>
      <c r="AF327" s="7">
        <v>840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11">
        <v>840</v>
      </c>
      <c r="BN327" s="15">
        <f t="shared" si="10"/>
        <v>840</v>
      </c>
      <c r="BO327" s="16">
        <f t="shared" si="11"/>
        <v>588</v>
      </c>
    </row>
    <row r="328" spans="1:67" ht="19.2" x14ac:dyDescent="0.4">
      <c r="A328" s="5" t="s">
        <v>454</v>
      </c>
      <c r="B328" s="5" t="s">
        <v>339</v>
      </c>
      <c r="C328" s="5">
        <v>384107</v>
      </c>
      <c r="D328" s="6"/>
      <c r="E328" s="5" t="s">
        <v>16</v>
      </c>
      <c r="F328" s="5" t="s">
        <v>340</v>
      </c>
      <c r="G328" s="5" t="s">
        <v>34</v>
      </c>
      <c r="H328" s="7" t="s">
        <v>300</v>
      </c>
      <c r="I328" s="7" t="s">
        <v>341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6</v>
      </c>
      <c r="AF328" s="7">
        <v>700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11">
        <v>700</v>
      </c>
      <c r="BN328" s="15">
        <f t="shared" si="10"/>
        <v>700</v>
      </c>
      <c r="BO328" s="16">
        <f t="shared" si="11"/>
        <v>489.99999999999994</v>
      </c>
    </row>
    <row r="329" spans="1:67" ht="19.2" x14ac:dyDescent="0.4">
      <c r="A329" s="5" t="s">
        <v>454</v>
      </c>
      <c r="B329" s="5" t="s">
        <v>570</v>
      </c>
      <c r="C329" s="5">
        <v>397393</v>
      </c>
      <c r="D329" s="6"/>
      <c r="E329" s="5" t="s">
        <v>16</v>
      </c>
      <c r="F329" s="5" t="s">
        <v>130</v>
      </c>
      <c r="G329" s="5" t="s">
        <v>34</v>
      </c>
      <c r="H329" s="7" t="s">
        <v>300</v>
      </c>
      <c r="I329" s="7" t="s">
        <v>571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2</v>
      </c>
      <c r="AF329" s="7">
        <v>120</v>
      </c>
      <c r="AG329" s="7">
        <v>500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11">
        <v>620</v>
      </c>
      <c r="BN329" s="15">
        <f t="shared" si="10"/>
        <v>620</v>
      </c>
      <c r="BO329" s="16">
        <f t="shared" si="11"/>
        <v>434</v>
      </c>
    </row>
    <row r="330" spans="1:67" ht="19.2" x14ac:dyDescent="0.4">
      <c r="A330" s="5" t="s">
        <v>454</v>
      </c>
      <c r="B330" s="5" t="s">
        <v>320</v>
      </c>
      <c r="C330" s="5">
        <v>358202</v>
      </c>
      <c r="D330" s="6"/>
      <c r="E330" s="5" t="s">
        <v>16</v>
      </c>
      <c r="F330" s="5" t="s">
        <v>264</v>
      </c>
      <c r="G330" s="5" t="s">
        <v>34</v>
      </c>
      <c r="H330" s="7" t="s">
        <v>8</v>
      </c>
      <c r="I330" s="7" t="s">
        <v>321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5</v>
      </c>
      <c r="BJ330" s="7">
        <v>600</v>
      </c>
      <c r="BK330" s="7">
        <v>0</v>
      </c>
      <c r="BL330" s="7">
        <v>30</v>
      </c>
      <c r="BM330" s="11">
        <v>600</v>
      </c>
      <c r="BN330" s="15">
        <f t="shared" si="10"/>
        <v>570</v>
      </c>
      <c r="BO330" s="16">
        <f t="shared" si="11"/>
        <v>399</v>
      </c>
    </row>
    <row r="331" spans="1:67" ht="19.2" x14ac:dyDescent="0.4">
      <c r="A331" s="5" t="s">
        <v>454</v>
      </c>
      <c r="B331" s="5" t="s">
        <v>572</v>
      </c>
      <c r="C331" s="5">
        <v>414684</v>
      </c>
      <c r="D331" s="6"/>
      <c r="E331" s="5" t="s">
        <v>16</v>
      </c>
      <c r="F331" s="5" t="s">
        <v>140</v>
      </c>
      <c r="G331" s="5" t="s">
        <v>34</v>
      </c>
      <c r="H331" s="7" t="s">
        <v>300</v>
      </c>
      <c r="I331" s="7" t="s">
        <v>141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</v>
      </c>
      <c r="AF331" s="7">
        <v>600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11">
        <v>600</v>
      </c>
      <c r="BN331" s="15">
        <f t="shared" si="10"/>
        <v>600</v>
      </c>
      <c r="BO331" s="16">
        <f t="shared" si="11"/>
        <v>420</v>
      </c>
    </row>
    <row r="332" spans="1:67" ht="19.2" x14ac:dyDescent="0.4">
      <c r="A332" s="5" t="s">
        <v>454</v>
      </c>
      <c r="B332" s="5" t="s">
        <v>573</v>
      </c>
      <c r="C332" s="5">
        <v>383716</v>
      </c>
      <c r="D332" s="6"/>
      <c r="E332" s="5" t="s">
        <v>16</v>
      </c>
      <c r="F332" s="5" t="s">
        <v>264</v>
      </c>
      <c r="G332" s="5" t="s">
        <v>34</v>
      </c>
      <c r="H332" s="7" t="s">
        <v>300</v>
      </c>
      <c r="I332" s="7" t="s">
        <v>341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2</v>
      </c>
      <c r="AF332" s="7">
        <v>0</v>
      </c>
      <c r="AG332" s="7">
        <v>200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3</v>
      </c>
      <c r="BJ332" s="7">
        <v>360</v>
      </c>
      <c r="BK332" s="7">
        <v>0</v>
      </c>
      <c r="BL332" s="7">
        <v>18</v>
      </c>
      <c r="BM332" s="11">
        <v>560</v>
      </c>
      <c r="BN332" s="15">
        <f t="shared" si="10"/>
        <v>542</v>
      </c>
      <c r="BO332" s="16">
        <f t="shared" si="11"/>
        <v>379.4</v>
      </c>
    </row>
    <row r="333" spans="1:67" ht="19.2" x14ac:dyDescent="0.4">
      <c r="A333" s="5" t="s">
        <v>454</v>
      </c>
      <c r="B333" s="5" t="s">
        <v>161</v>
      </c>
      <c r="C333" s="5">
        <v>423577</v>
      </c>
      <c r="D333" s="6"/>
      <c r="E333" s="5" t="s">
        <v>16</v>
      </c>
      <c r="F333" s="5" t="s">
        <v>162</v>
      </c>
      <c r="G333" s="5" t="s">
        <v>34</v>
      </c>
      <c r="H333" s="7" t="s">
        <v>8</v>
      </c>
      <c r="I333" s="7" t="s">
        <v>163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5</v>
      </c>
      <c r="AR333" s="7">
        <v>500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11">
        <v>500</v>
      </c>
      <c r="BN333" s="15">
        <f t="shared" si="10"/>
        <v>500</v>
      </c>
      <c r="BO333" s="16">
        <f t="shared" si="11"/>
        <v>350</v>
      </c>
    </row>
    <row r="334" spans="1:67" ht="19.2" x14ac:dyDescent="0.4">
      <c r="A334" s="5" t="s">
        <v>454</v>
      </c>
      <c r="B334" s="5" t="s">
        <v>203</v>
      </c>
      <c r="C334" s="5">
        <v>332138</v>
      </c>
      <c r="D334" s="6"/>
      <c r="E334" s="5" t="s">
        <v>16</v>
      </c>
      <c r="F334" s="5" t="s">
        <v>204</v>
      </c>
      <c r="G334" s="5" t="s">
        <v>34</v>
      </c>
      <c r="H334" s="7" t="s">
        <v>9</v>
      </c>
      <c r="I334" s="7" t="s">
        <v>205</v>
      </c>
      <c r="J334" s="7">
        <v>4</v>
      </c>
      <c r="K334" s="7">
        <v>0</v>
      </c>
      <c r="L334" s="7">
        <v>400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11">
        <v>400</v>
      </c>
      <c r="BN334" s="15">
        <f t="shared" si="10"/>
        <v>400</v>
      </c>
      <c r="BO334" s="16">
        <f t="shared" si="11"/>
        <v>280</v>
      </c>
    </row>
    <row r="335" spans="1:67" ht="19.2" x14ac:dyDescent="0.4">
      <c r="A335" s="5" t="s">
        <v>454</v>
      </c>
      <c r="B335" s="5" t="s">
        <v>214</v>
      </c>
      <c r="C335" s="5">
        <v>407733</v>
      </c>
      <c r="D335" s="6"/>
      <c r="E335" s="5" t="s">
        <v>16</v>
      </c>
      <c r="F335" s="5" t="s">
        <v>30</v>
      </c>
      <c r="G335" s="5" t="s">
        <v>10</v>
      </c>
      <c r="H335" s="7" t="s">
        <v>7</v>
      </c>
      <c r="I335" s="7" t="s">
        <v>215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4</v>
      </c>
      <c r="AF335" s="7">
        <v>0</v>
      </c>
      <c r="AG335" s="7">
        <v>400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11">
        <v>400</v>
      </c>
      <c r="BN335" s="15">
        <f t="shared" si="10"/>
        <v>400</v>
      </c>
      <c r="BO335" s="16">
        <f t="shared" si="11"/>
        <v>280</v>
      </c>
    </row>
    <row r="336" spans="1:67" ht="19.2" x14ac:dyDescent="0.4">
      <c r="A336" s="5" t="s">
        <v>454</v>
      </c>
      <c r="B336" s="5" t="s">
        <v>453</v>
      </c>
      <c r="C336" s="5">
        <v>392659</v>
      </c>
      <c r="D336" s="6"/>
      <c r="E336" s="5" t="s">
        <v>16</v>
      </c>
      <c r="F336" s="5" t="s">
        <v>52</v>
      </c>
      <c r="G336" s="5" t="s">
        <v>34</v>
      </c>
      <c r="H336" s="7" t="s">
        <v>300</v>
      </c>
      <c r="I336" s="7" t="s">
        <v>282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1</v>
      </c>
      <c r="AF336" s="7">
        <v>360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11">
        <v>360</v>
      </c>
      <c r="BN336" s="15">
        <f t="shared" si="10"/>
        <v>360</v>
      </c>
      <c r="BO336" s="16">
        <f t="shared" si="11"/>
        <v>251.99999999999997</v>
      </c>
    </row>
    <row r="337" spans="1:67" ht="19.2" x14ac:dyDescent="0.4">
      <c r="A337" s="5" t="s">
        <v>454</v>
      </c>
      <c r="B337" s="5" t="s">
        <v>269</v>
      </c>
      <c r="C337" s="5">
        <v>358724</v>
      </c>
      <c r="D337" s="6"/>
      <c r="E337" s="5" t="s">
        <v>16</v>
      </c>
      <c r="F337" s="5" t="s">
        <v>270</v>
      </c>
      <c r="G337" s="5" t="s">
        <v>34</v>
      </c>
      <c r="H337" s="7" t="s">
        <v>8</v>
      </c>
      <c r="I337" s="7" t="s">
        <v>106</v>
      </c>
      <c r="J337" s="7">
        <v>3</v>
      </c>
      <c r="K337" s="7">
        <v>0</v>
      </c>
      <c r="L337" s="7">
        <v>300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  <c r="BL337" s="7">
        <v>0</v>
      </c>
      <c r="BM337" s="11">
        <v>300</v>
      </c>
      <c r="BN337" s="15">
        <f t="shared" si="10"/>
        <v>300</v>
      </c>
      <c r="BO337" s="16">
        <f t="shared" si="11"/>
        <v>210</v>
      </c>
    </row>
    <row r="338" spans="1:67" ht="19.2" x14ac:dyDescent="0.4">
      <c r="A338" s="5" t="s">
        <v>454</v>
      </c>
      <c r="B338" s="5" t="s">
        <v>301</v>
      </c>
      <c r="C338" s="5">
        <v>382325</v>
      </c>
      <c r="D338" s="6"/>
      <c r="E338" s="5" t="s">
        <v>16</v>
      </c>
      <c r="F338" s="5" t="s">
        <v>33</v>
      </c>
      <c r="G338" s="5" t="s">
        <v>34</v>
      </c>
      <c r="H338" s="7" t="s">
        <v>8</v>
      </c>
      <c r="I338" s="7" t="s">
        <v>302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2</v>
      </c>
      <c r="AF338" s="7">
        <v>220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11">
        <v>220</v>
      </c>
      <c r="BN338" s="15">
        <f t="shared" si="10"/>
        <v>220</v>
      </c>
      <c r="BO338" s="16">
        <f t="shared" si="11"/>
        <v>154</v>
      </c>
    </row>
    <row r="339" spans="1:67" ht="19.2" x14ac:dyDescent="0.4">
      <c r="A339" s="5" t="s">
        <v>454</v>
      </c>
      <c r="B339" s="5" t="s">
        <v>574</v>
      </c>
      <c r="C339" s="5">
        <v>351129</v>
      </c>
      <c r="D339" s="6"/>
      <c r="E339" s="5" t="s">
        <v>16</v>
      </c>
      <c r="F339" s="5" t="s">
        <v>458</v>
      </c>
      <c r="G339" s="5" t="s">
        <v>34</v>
      </c>
      <c r="H339" s="7" t="s">
        <v>8</v>
      </c>
      <c r="I339" s="7" t="s">
        <v>575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2</v>
      </c>
      <c r="AF339" s="7">
        <v>0</v>
      </c>
      <c r="AG339" s="7">
        <v>200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11">
        <v>200</v>
      </c>
      <c r="BN339" s="15">
        <f t="shared" si="10"/>
        <v>200</v>
      </c>
      <c r="BO339" s="16">
        <f t="shared" si="11"/>
        <v>140</v>
      </c>
    </row>
    <row r="340" spans="1:67" ht="19.2" x14ac:dyDescent="0.4">
      <c r="A340" s="5" t="s">
        <v>454</v>
      </c>
      <c r="B340" s="5" t="s">
        <v>102</v>
      </c>
      <c r="C340" s="5">
        <v>394830</v>
      </c>
      <c r="D340" s="6"/>
      <c r="E340" s="5" t="s">
        <v>16</v>
      </c>
      <c r="F340" s="5" t="s">
        <v>41</v>
      </c>
      <c r="G340" s="5" t="s">
        <v>34</v>
      </c>
      <c r="H340" s="7" t="s">
        <v>8</v>
      </c>
      <c r="I340" s="7" t="s">
        <v>103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1</v>
      </c>
      <c r="BJ340" s="7">
        <v>120</v>
      </c>
      <c r="BK340" s="7">
        <v>0</v>
      </c>
      <c r="BL340" s="7">
        <v>6</v>
      </c>
      <c r="BM340" s="11">
        <v>120</v>
      </c>
      <c r="BN340" s="15">
        <f t="shared" si="10"/>
        <v>114</v>
      </c>
      <c r="BO340" s="16">
        <f t="shared" si="11"/>
        <v>79.8</v>
      </c>
    </row>
    <row r="341" spans="1:67" ht="19.2" x14ac:dyDescent="0.4">
      <c r="A341" s="5" t="s">
        <v>454</v>
      </c>
      <c r="B341" s="5" t="s">
        <v>337</v>
      </c>
      <c r="C341" s="5">
        <v>408191</v>
      </c>
      <c r="D341" s="6"/>
      <c r="E341" s="5" t="s">
        <v>16</v>
      </c>
      <c r="F341" s="5" t="s">
        <v>130</v>
      </c>
      <c r="G341" s="5" t="s">
        <v>34</v>
      </c>
      <c r="H341" s="7" t="s">
        <v>8</v>
      </c>
      <c r="I341" s="7" t="s">
        <v>232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1</v>
      </c>
      <c r="BJ341" s="7">
        <v>120</v>
      </c>
      <c r="BK341" s="7">
        <v>0</v>
      </c>
      <c r="BL341" s="7">
        <v>6</v>
      </c>
      <c r="BM341" s="11">
        <v>120</v>
      </c>
      <c r="BN341" s="15">
        <f t="shared" si="10"/>
        <v>114</v>
      </c>
      <c r="BO341" s="16">
        <f t="shared" si="11"/>
        <v>79.8</v>
      </c>
    </row>
    <row r="342" spans="1:67" ht="19.2" x14ac:dyDescent="0.4">
      <c r="A342" s="5" t="s">
        <v>454</v>
      </c>
      <c r="B342" s="5" t="s">
        <v>263</v>
      </c>
      <c r="C342" s="5">
        <v>407159</v>
      </c>
      <c r="D342" s="6"/>
      <c r="E342" s="5" t="s">
        <v>16</v>
      </c>
      <c r="F342" s="5" t="s">
        <v>264</v>
      </c>
      <c r="G342" s="5" t="s">
        <v>34</v>
      </c>
      <c r="H342" s="7" t="s">
        <v>8</v>
      </c>
      <c r="I342" s="7" t="s">
        <v>265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1</v>
      </c>
      <c r="AF342" s="7">
        <v>120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11">
        <v>120</v>
      </c>
      <c r="BN342" s="15">
        <f t="shared" si="10"/>
        <v>120</v>
      </c>
      <c r="BO342" s="16">
        <f t="shared" si="11"/>
        <v>84</v>
      </c>
    </row>
    <row r="343" spans="1:67" ht="19.2" x14ac:dyDescent="0.4">
      <c r="A343" s="5" t="s">
        <v>454</v>
      </c>
      <c r="B343" s="5" t="s">
        <v>278</v>
      </c>
      <c r="C343" s="5">
        <v>404148</v>
      </c>
      <c r="D343" s="6"/>
      <c r="E343" s="5" t="s">
        <v>16</v>
      </c>
      <c r="F343" s="5" t="s">
        <v>279</v>
      </c>
      <c r="G343" s="5" t="s">
        <v>34</v>
      </c>
      <c r="H343" s="7" t="s">
        <v>8</v>
      </c>
      <c r="I343" s="7" t="s">
        <v>280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1</v>
      </c>
      <c r="AR343" s="7">
        <v>100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11">
        <v>100</v>
      </c>
      <c r="BN343" s="15">
        <f t="shared" si="10"/>
        <v>100</v>
      </c>
      <c r="BO343" s="16">
        <f t="shared" si="11"/>
        <v>70</v>
      </c>
    </row>
    <row r="344" spans="1:67" ht="19.2" x14ac:dyDescent="0.4">
      <c r="A344" s="5" t="s">
        <v>454</v>
      </c>
      <c r="B344" s="5" t="s">
        <v>241</v>
      </c>
      <c r="C344" s="5">
        <v>458561</v>
      </c>
      <c r="D344" s="6"/>
      <c r="E344" s="5" t="s">
        <v>16</v>
      </c>
      <c r="F344" s="5" t="s">
        <v>30</v>
      </c>
      <c r="G344" s="5" t="s">
        <v>10</v>
      </c>
      <c r="H344" s="7" t="s">
        <v>7</v>
      </c>
      <c r="I344" s="7" t="s">
        <v>200</v>
      </c>
      <c r="J344" s="7">
        <v>1</v>
      </c>
      <c r="K344" s="7">
        <v>0</v>
      </c>
      <c r="L344" s="7">
        <v>100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11">
        <v>100</v>
      </c>
      <c r="BN344" s="15">
        <f t="shared" si="10"/>
        <v>100</v>
      </c>
      <c r="BO344" s="16">
        <f t="shared" si="11"/>
        <v>70</v>
      </c>
    </row>
    <row r="345" spans="1:67" ht="19.2" x14ac:dyDescent="0.4">
      <c r="A345" s="5" t="s">
        <v>454</v>
      </c>
      <c r="B345" s="5" t="s">
        <v>217</v>
      </c>
      <c r="C345" s="5">
        <v>434877</v>
      </c>
      <c r="D345" s="6"/>
      <c r="E345" s="5" t="s">
        <v>16</v>
      </c>
      <c r="F345" s="5" t="s">
        <v>218</v>
      </c>
      <c r="G345" s="5" t="s">
        <v>10</v>
      </c>
      <c r="H345" s="7" t="s">
        <v>7</v>
      </c>
      <c r="I345" s="7" t="s">
        <v>219</v>
      </c>
      <c r="J345" s="7">
        <v>1</v>
      </c>
      <c r="K345" s="7">
        <v>0</v>
      </c>
      <c r="L345" s="7">
        <v>100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11">
        <v>100</v>
      </c>
      <c r="BN345" s="15">
        <f t="shared" si="10"/>
        <v>100</v>
      </c>
      <c r="BO345" s="16">
        <f t="shared" si="11"/>
        <v>70</v>
      </c>
    </row>
    <row r="346" spans="1:67" ht="19.2" x14ac:dyDescent="0.4">
      <c r="A346" s="5" t="s">
        <v>454</v>
      </c>
      <c r="B346" s="5" t="s">
        <v>91</v>
      </c>
      <c r="C346" s="5">
        <v>462353</v>
      </c>
      <c r="D346" s="6"/>
      <c r="E346" s="5" t="s">
        <v>16</v>
      </c>
      <c r="F346" s="5" t="s">
        <v>39</v>
      </c>
      <c r="G346" s="5" t="s">
        <v>10</v>
      </c>
      <c r="H346" s="7" t="s">
        <v>7</v>
      </c>
      <c r="I346" s="7" t="s">
        <v>92</v>
      </c>
      <c r="J346" s="7">
        <v>1</v>
      </c>
      <c r="K346" s="7">
        <v>0</v>
      </c>
      <c r="L346" s="7">
        <v>100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11">
        <v>100</v>
      </c>
      <c r="BN346" s="15">
        <f t="shared" si="10"/>
        <v>100</v>
      </c>
      <c r="BO346" s="16">
        <f t="shared" si="11"/>
        <v>70</v>
      </c>
    </row>
    <row r="347" spans="1:67" ht="19.2" x14ac:dyDescent="0.4">
      <c r="A347" s="5" t="s">
        <v>454</v>
      </c>
      <c r="B347" s="5" t="s">
        <v>250</v>
      </c>
      <c r="C347" s="5">
        <v>434853</v>
      </c>
      <c r="D347" s="6"/>
      <c r="E347" s="5" t="s">
        <v>16</v>
      </c>
      <c r="F347" s="5" t="s">
        <v>251</v>
      </c>
      <c r="G347" s="5" t="s">
        <v>10</v>
      </c>
      <c r="H347" s="7" t="s">
        <v>7</v>
      </c>
      <c r="I347" s="7" t="s">
        <v>252</v>
      </c>
      <c r="J347" s="7">
        <v>1</v>
      </c>
      <c r="K347" s="7">
        <v>0</v>
      </c>
      <c r="L347" s="7">
        <v>100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11">
        <v>100</v>
      </c>
      <c r="BN347" s="15">
        <f t="shared" si="10"/>
        <v>100</v>
      </c>
      <c r="BO347" s="16">
        <f t="shared" si="11"/>
        <v>70</v>
      </c>
    </row>
    <row r="348" spans="1:67" ht="19.2" x14ac:dyDescent="0.4">
      <c r="A348" s="5" t="s">
        <v>454</v>
      </c>
      <c r="B348" s="5" t="s">
        <v>93</v>
      </c>
      <c r="C348" s="5">
        <v>211158</v>
      </c>
      <c r="D348" s="6"/>
      <c r="E348" s="5" t="s">
        <v>16</v>
      </c>
      <c r="F348" s="5" t="s">
        <v>30</v>
      </c>
      <c r="G348" s="5" t="s">
        <v>10</v>
      </c>
      <c r="H348" s="7" t="s">
        <v>7</v>
      </c>
      <c r="I348" s="7" t="s">
        <v>94</v>
      </c>
      <c r="J348" s="7">
        <v>1</v>
      </c>
      <c r="K348" s="7">
        <v>0</v>
      </c>
      <c r="L348" s="7">
        <v>100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11">
        <v>100</v>
      </c>
      <c r="BN348" s="15">
        <f t="shared" si="10"/>
        <v>100</v>
      </c>
      <c r="BO348" s="16">
        <f t="shared" si="11"/>
        <v>70</v>
      </c>
    </row>
    <row r="349" spans="1:67" ht="19.2" x14ac:dyDescent="0.4">
      <c r="A349" s="5" t="s">
        <v>454</v>
      </c>
      <c r="B349" s="5" t="s">
        <v>348</v>
      </c>
      <c r="C349" s="5">
        <v>321027</v>
      </c>
      <c r="D349" s="6"/>
      <c r="E349" s="5" t="s">
        <v>16</v>
      </c>
      <c r="F349" s="5" t="s">
        <v>349</v>
      </c>
      <c r="G349" s="5" t="s">
        <v>34</v>
      </c>
      <c r="H349" s="7" t="s">
        <v>7</v>
      </c>
      <c r="I349" s="7" t="s">
        <v>350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1</v>
      </c>
      <c r="AF349" s="7">
        <v>0</v>
      </c>
      <c r="AG349" s="7">
        <v>100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11">
        <v>100</v>
      </c>
      <c r="BN349" s="15">
        <f t="shared" si="10"/>
        <v>100</v>
      </c>
      <c r="BO349" s="16">
        <f t="shared" si="11"/>
        <v>70</v>
      </c>
    </row>
    <row r="350" spans="1:67" ht="19.2" x14ac:dyDescent="0.4">
      <c r="A350" s="5" t="s">
        <v>454</v>
      </c>
      <c r="B350" s="5" t="s">
        <v>98</v>
      </c>
      <c r="C350" s="5">
        <v>388999</v>
      </c>
      <c r="D350" s="6"/>
      <c r="E350" s="5" t="s">
        <v>16</v>
      </c>
      <c r="F350" s="5" t="s">
        <v>66</v>
      </c>
      <c r="G350" s="5" t="s">
        <v>10</v>
      </c>
      <c r="H350" s="7" t="s">
        <v>7</v>
      </c>
      <c r="I350" s="7" t="s">
        <v>99</v>
      </c>
      <c r="J350" s="7">
        <v>0</v>
      </c>
      <c r="K350" s="7">
        <v>1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  <c r="BL350" s="7">
        <v>0</v>
      </c>
      <c r="BM350" s="11">
        <v>0</v>
      </c>
      <c r="BN350" s="15">
        <f t="shared" si="10"/>
        <v>0</v>
      </c>
      <c r="BO350" s="16">
        <f t="shared" si="11"/>
        <v>0</v>
      </c>
    </row>
    <row r="351" spans="1:67" ht="19.2" x14ac:dyDescent="0.4">
      <c r="A351" s="5" t="s">
        <v>454</v>
      </c>
      <c r="B351" s="5" t="s">
        <v>416</v>
      </c>
      <c r="C351" s="5">
        <v>473173</v>
      </c>
      <c r="D351" s="6"/>
      <c r="E351" s="5" t="s">
        <v>16</v>
      </c>
      <c r="F351" s="5" t="s">
        <v>399</v>
      </c>
      <c r="G351" s="5" t="s">
        <v>411</v>
      </c>
      <c r="H351" s="7" t="s">
        <v>9</v>
      </c>
      <c r="I351" s="7" t="s">
        <v>412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11">
        <v>0</v>
      </c>
      <c r="BN351" s="15">
        <f t="shared" si="10"/>
        <v>0</v>
      </c>
      <c r="BO351" s="16">
        <f t="shared" si="11"/>
        <v>0</v>
      </c>
    </row>
    <row r="352" spans="1:67" x14ac:dyDescent="0.4">
      <c r="A352" s="5" t="s">
        <v>460</v>
      </c>
      <c r="B352" s="5" t="s">
        <v>426</v>
      </c>
      <c r="C352" s="5">
        <v>476783</v>
      </c>
      <c r="D352" s="6"/>
      <c r="E352" s="5" t="s">
        <v>16</v>
      </c>
      <c r="F352" s="5" t="s">
        <v>427</v>
      </c>
      <c r="G352" s="5" t="s">
        <v>34</v>
      </c>
      <c r="H352" s="7" t="s">
        <v>8</v>
      </c>
      <c r="I352" s="7" t="s">
        <v>428</v>
      </c>
      <c r="J352" s="8">
        <v>1783</v>
      </c>
      <c r="K352" s="8">
        <v>13840</v>
      </c>
      <c r="L352" s="8">
        <v>178300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8">
        <v>10047</v>
      </c>
      <c r="AF352" s="8">
        <v>919760</v>
      </c>
      <c r="AG352" s="8">
        <v>87000</v>
      </c>
      <c r="AH352" s="7">
        <v>0</v>
      </c>
      <c r="AI352" s="7">
        <v>0</v>
      </c>
      <c r="AJ352" s="7">
        <v>0</v>
      </c>
      <c r="AK352" s="8">
        <v>13626</v>
      </c>
      <c r="AL352" s="8">
        <v>1163446</v>
      </c>
      <c r="AM352" s="8">
        <v>394700</v>
      </c>
      <c r="AN352" s="7">
        <v>0</v>
      </c>
      <c r="AO352" s="7">
        <v>0</v>
      </c>
      <c r="AP352" s="7">
        <v>0</v>
      </c>
      <c r="AQ352" s="8">
        <v>2341</v>
      </c>
      <c r="AR352" s="8">
        <v>228900</v>
      </c>
      <c r="AS352" s="8">
        <v>5200</v>
      </c>
      <c r="AT352" s="7">
        <v>0</v>
      </c>
      <c r="AU352" s="7">
        <v>0</v>
      </c>
      <c r="AV352" s="7">
        <v>0</v>
      </c>
      <c r="AW352" s="7">
        <v>62</v>
      </c>
      <c r="AX352" s="8">
        <v>7440</v>
      </c>
      <c r="AY352" s="7">
        <v>0</v>
      </c>
      <c r="AZ352" s="7">
        <v>0</v>
      </c>
      <c r="BA352" s="7">
        <v>0</v>
      </c>
      <c r="BB352" s="7">
        <v>0</v>
      </c>
      <c r="BC352" s="7">
        <v>28</v>
      </c>
      <c r="BD352" s="8">
        <v>3360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9">
        <v>349979.4</v>
      </c>
      <c r="BM352" s="10">
        <v>2988106</v>
      </c>
      <c r="BN352" s="15">
        <f t="shared" si="10"/>
        <v>2638126.6</v>
      </c>
      <c r="BO352" s="16">
        <f t="shared" si="11"/>
        <v>1846688.6199999999</v>
      </c>
    </row>
    <row r="353" spans="1:67" x14ac:dyDescent="0.4">
      <c r="A353" s="5" t="s">
        <v>460</v>
      </c>
      <c r="B353" s="5" t="s">
        <v>15</v>
      </c>
      <c r="C353" s="5">
        <v>465248</v>
      </c>
      <c r="D353" s="6"/>
      <c r="E353" s="5" t="s">
        <v>16</v>
      </c>
      <c r="F353" s="5" t="s">
        <v>17</v>
      </c>
      <c r="G353" s="5" t="s">
        <v>421</v>
      </c>
      <c r="H353" s="7" t="s">
        <v>9</v>
      </c>
      <c r="I353" s="7" t="s">
        <v>18</v>
      </c>
      <c r="J353" s="7">
        <v>13</v>
      </c>
      <c r="K353" s="8">
        <v>17619</v>
      </c>
      <c r="L353" s="8">
        <v>1300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8">
        <v>10121</v>
      </c>
      <c r="AF353" s="8">
        <v>918000</v>
      </c>
      <c r="AG353" s="8">
        <v>97800</v>
      </c>
      <c r="AH353" s="7">
        <v>0</v>
      </c>
      <c r="AI353" s="7">
        <v>0</v>
      </c>
      <c r="AJ353" s="7">
        <v>0</v>
      </c>
      <c r="AK353" s="8">
        <v>10832</v>
      </c>
      <c r="AL353" s="8">
        <v>927078</v>
      </c>
      <c r="AM353" s="8">
        <v>314700</v>
      </c>
      <c r="AN353" s="7">
        <v>0</v>
      </c>
      <c r="AO353" s="7">
        <v>0</v>
      </c>
      <c r="AP353" s="7">
        <v>0</v>
      </c>
      <c r="AQ353" s="8">
        <v>3675</v>
      </c>
      <c r="AR353" s="8">
        <v>359900</v>
      </c>
      <c r="AS353" s="8">
        <v>7600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92</v>
      </c>
      <c r="BD353" s="8">
        <v>11040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9">
        <v>278785.8</v>
      </c>
      <c r="BM353" s="10">
        <v>2637418</v>
      </c>
      <c r="BN353" s="15">
        <f t="shared" si="10"/>
        <v>2358632.2000000002</v>
      </c>
      <c r="BO353" s="16">
        <f t="shared" si="11"/>
        <v>1651042.54</v>
      </c>
    </row>
    <row r="354" spans="1:67" x14ac:dyDescent="0.4">
      <c r="A354" s="5" t="s">
        <v>460</v>
      </c>
      <c r="B354" s="5" t="s">
        <v>393</v>
      </c>
      <c r="C354" s="5">
        <v>472512</v>
      </c>
      <c r="D354" s="6"/>
      <c r="E354" s="5" t="s">
        <v>16</v>
      </c>
      <c r="F354" s="5" t="s">
        <v>39</v>
      </c>
      <c r="G354" s="5" t="s">
        <v>10</v>
      </c>
      <c r="H354" s="7" t="s">
        <v>7</v>
      </c>
      <c r="I354" s="7" t="s">
        <v>521</v>
      </c>
      <c r="J354" s="7">
        <v>3</v>
      </c>
      <c r="K354" s="8">
        <v>19009</v>
      </c>
      <c r="L354" s="7">
        <v>300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140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8">
        <v>3015</v>
      </c>
      <c r="AF354" s="8">
        <v>250040</v>
      </c>
      <c r="AG354" s="8">
        <v>51900</v>
      </c>
      <c r="AH354" s="7">
        <v>0</v>
      </c>
      <c r="AI354" s="7">
        <v>0</v>
      </c>
      <c r="AJ354" s="7">
        <v>0</v>
      </c>
      <c r="AK354" s="8">
        <v>4264</v>
      </c>
      <c r="AL354" s="8">
        <v>319774</v>
      </c>
      <c r="AM354" s="8">
        <v>160300</v>
      </c>
      <c r="AN354" s="7">
        <v>0</v>
      </c>
      <c r="AO354" s="7">
        <v>0</v>
      </c>
      <c r="AP354" s="7">
        <v>0</v>
      </c>
      <c r="AQ354" s="8">
        <v>2429</v>
      </c>
      <c r="AR354" s="8">
        <v>232700</v>
      </c>
      <c r="AS354" s="8">
        <v>10200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3</v>
      </c>
      <c r="BD354" s="7">
        <v>360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9">
        <v>95953.8</v>
      </c>
      <c r="BM354" s="10">
        <v>1025574</v>
      </c>
      <c r="BN354" s="15">
        <f t="shared" si="10"/>
        <v>929620.2</v>
      </c>
      <c r="BO354" s="16">
        <f t="shared" si="11"/>
        <v>650734.1399999999</v>
      </c>
    </row>
    <row r="355" spans="1:67" x14ac:dyDescent="0.4">
      <c r="A355" s="5" t="s">
        <v>460</v>
      </c>
      <c r="B355" s="5" t="s">
        <v>522</v>
      </c>
      <c r="C355" s="5">
        <v>478890</v>
      </c>
      <c r="D355" s="6"/>
      <c r="E355" s="5" t="s">
        <v>16</v>
      </c>
      <c r="F355" s="5" t="s">
        <v>443</v>
      </c>
      <c r="G355" s="5" t="s">
        <v>421</v>
      </c>
      <c r="H355" s="7" t="s">
        <v>8</v>
      </c>
      <c r="I355" s="7" t="s">
        <v>523</v>
      </c>
      <c r="J355" s="7">
        <v>701</v>
      </c>
      <c r="K355" s="7">
        <v>0</v>
      </c>
      <c r="L355" s="8">
        <v>70100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8">
        <v>3019</v>
      </c>
      <c r="AF355" s="8">
        <v>281300</v>
      </c>
      <c r="AG355" s="8">
        <v>20600</v>
      </c>
      <c r="AH355" s="7">
        <v>0</v>
      </c>
      <c r="AI355" s="7">
        <v>0</v>
      </c>
      <c r="AJ355" s="7">
        <v>0</v>
      </c>
      <c r="AK355" s="8">
        <v>3272</v>
      </c>
      <c r="AL355" s="8">
        <v>292647</v>
      </c>
      <c r="AM355" s="8">
        <v>83900</v>
      </c>
      <c r="AN355" s="7">
        <v>0</v>
      </c>
      <c r="AO355" s="7">
        <v>0</v>
      </c>
      <c r="AP355" s="7">
        <v>0</v>
      </c>
      <c r="AQ355" s="8">
        <v>1018</v>
      </c>
      <c r="AR355" s="8">
        <v>99000</v>
      </c>
      <c r="AS355" s="8">
        <v>2800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75</v>
      </c>
      <c r="BD355" s="8">
        <v>9000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9">
        <v>88334.1</v>
      </c>
      <c r="BM355" s="10">
        <v>859347</v>
      </c>
      <c r="BN355" s="15">
        <f t="shared" si="10"/>
        <v>771012.9</v>
      </c>
      <c r="BO355" s="16">
        <f t="shared" si="11"/>
        <v>539709.03</v>
      </c>
    </row>
    <row r="356" spans="1:67" x14ac:dyDescent="0.4">
      <c r="A356" s="5" t="s">
        <v>460</v>
      </c>
      <c r="B356" s="5" t="s">
        <v>36</v>
      </c>
      <c r="C356" s="5">
        <v>178856</v>
      </c>
      <c r="D356" s="6"/>
      <c r="E356" s="5" t="s">
        <v>16</v>
      </c>
      <c r="F356" s="5" t="s">
        <v>30</v>
      </c>
      <c r="G356" s="5" t="s">
        <v>10</v>
      </c>
      <c r="H356" s="7" t="s">
        <v>9</v>
      </c>
      <c r="I356" s="7" t="s">
        <v>37</v>
      </c>
      <c r="J356" s="7">
        <v>0</v>
      </c>
      <c r="K356" s="7">
        <v>5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609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8">
        <v>3105</v>
      </c>
      <c r="AF356" s="8">
        <v>299000</v>
      </c>
      <c r="AG356" s="8">
        <v>11500</v>
      </c>
      <c r="AH356" s="7">
        <v>0</v>
      </c>
      <c r="AI356" s="7">
        <v>0</v>
      </c>
      <c r="AJ356" s="7">
        <v>0</v>
      </c>
      <c r="AK356" s="8">
        <v>2707</v>
      </c>
      <c r="AL356" s="8">
        <v>276480</v>
      </c>
      <c r="AM356" s="8">
        <v>40300</v>
      </c>
      <c r="AN356" s="7">
        <v>0</v>
      </c>
      <c r="AO356" s="7">
        <v>0</v>
      </c>
      <c r="AP356" s="7">
        <v>0</v>
      </c>
      <c r="AQ356" s="8">
        <v>1352</v>
      </c>
      <c r="AR356" s="8">
        <v>134700</v>
      </c>
      <c r="AS356" s="7">
        <v>500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9">
        <v>82944</v>
      </c>
      <c r="BM356" s="10">
        <v>762480</v>
      </c>
      <c r="BN356" s="15">
        <f t="shared" si="10"/>
        <v>679536</v>
      </c>
      <c r="BO356" s="16">
        <f t="shared" si="11"/>
        <v>475675.19999999995</v>
      </c>
    </row>
    <row r="357" spans="1:67" x14ac:dyDescent="0.4">
      <c r="A357" s="5" t="s">
        <v>460</v>
      </c>
      <c r="B357" s="5" t="s">
        <v>19</v>
      </c>
      <c r="C357" s="5">
        <v>463799</v>
      </c>
      <c r="D357" s="6"/>
      <c r="E357" s="5" t="s">
        <v>16</v>
      </c>
      <c r="F357" s="5" t="s">
        <v>20</v>
      </c>
      <c r="G357" s="5" t="s">
        <v>10</v>
      </c>
      <c r="H357" s="7" t="s">
        <v>7</v>
      </c>
      <c r="I357" s="7" t="s">
        <v>21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290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8">
        <v>1305</v>
      </c>
      <c r="AF357" s="8">
        <v>123700</v>
      </c>
      <c r="AG357" s="8">
        <v>6800</v>
      </c>
      <c r="AH357" s="7">
        <v>0</v>
      </c>
      <c r="AI357" s="7">
        <v>0</v>
      </c>
      <c r="AJ357" s="7">
        <v>0</v>
      </c>
      <c r="AK357" s="8">
        <v>3839</v>
      </c>
      <c r="AL357" s="8">
        <v>451680</v>
      </c>
      <c r="AM357" s="8">
        <v>7500</v>
      </c>
      <c r="AN357" s="7">
        <v>0</v>
      </c>
      <c r="AO357" s="7">
        <v>0</v>
      </c>
      <c r="AP357" s="7">
        <v>0</v>
      </c>
      <c r="AQ357" s="8">
        <v>1517</v>
      </c>
      <c r="AR357" s="8">
        <v>147100</v>
      </c>
      <c r="AS357" s="8">
        <v>4600</v>
      </c>
      <c r="AT357" s="7">
        <v>0</v>
      </c>
      <c r="AU357" s="7">
        <v>0</v>
      </c>
      <c r="AV357" s="7">
        <v>0</v>
      </c>
      <c r="AW357" s="7">
        <v>7</v>
      </c>
      <c r="AX357" s="7">
        <v>840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9">
        <v>135588</v>
      </c>
      <c r="BM357" s="10">
        <v>742220</v>
      </c>
      <c r="BN357" s="15">
        <f t="shared" si="10"/>
        <v>606632</v>
      </c>
      <c r="BO357" s="16">
        <f t="shared" si="11"/>
        <v>424642.39999999997</v>
      </c>
    </row>
    <row r="358" spans="1:67" ht="19.2" x14ac:dyDescent="0.4">
      <c r="A358" s="5" t="s">
        <v>460</v>
      </c>
      <c r="B358" s="5" t="s">
        <v>29</v>
      </c>
      <c r="C358" s="5">
        <v>369220</v>
      </c>
      <c r="D358" s="6"/>
      <c r="E358" s="5" t="s">
        <v>16</v>
      </c>
      <c r="F358" s="5" t="s">
        <v>30</v>
      </c>
      <c r="G358" s="5" t="s">
        <v>10</v>
      </c>
      <c r="H358" s="7" t="s">
        <v>7</v>
      </c>
      <c r="I358" s="7" t="s">
        <v>31</v>
      </c>
      <c r="J358" s="7">
        <v>0</v>
      </c>
      <c r="K358" s="7">
        <v>11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328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8">
        <v>3389</v>
      </c>
      <c r="AF358" s="8">
        <v>334200</v>
      </c>
      <c r="AG358" s="8">
        <v>4700</v>
      </c>
      <c r="AH358" s="7">
        <v>0</v>
      </c>
      <c r="AI358" s="7">
        <v>0</v>
      </c>
      <c r="AJ358" s="7">
        <v>0</v>
      </c>
      <c r="AK358" s="8">
        <v>1526</v>
      </c>
      <c r="AL358" s="8">
        <v>154880</v>
      </c>
      <c r="AM358" s="8">
        <v>23700</v>
      </c>
      <c r="AN358" s="7">
        <v>0</v>
      </c>
      <c r="AO358" s="7">
        <v>0</v>
      </c>
      <c r="AP358" s="7">
        <v>0</v>
      </c>
      <c r="AQ358" s="7">
        <v>784</v>
      </c>
      <c r="AR358" s="8">
        <v>73000</v>
      </c>
      <c r="AS358" s="8">
        <v>5400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9">
        <v>46464</v>
      </c>
      <c r="BM358" s="10">
        <v>595880</v>
      </c>
      <c r="BN358" s="15">
        <f t="shared" si="10"/>
        <v>549416</v>
      </c>
      <c r="BO358" s="16">
        <f t="shared" si="11"/>
        <v>384591.19999999995</v>
      </c>
    </row>
    <row r="359" spans="1:67" x14ac:dyDescent="0.4">
      <c r="A359" s="5" t="s">
        <v>460</v>
      </c>
      <c r="B359" s="5" t="s">
        <v>44</v>
      </c>
      <c r="C359" s="5">
        <v>324335</v>
      </c>
      <c r="D359" s="6"/>
      <c r="E359" s="5" t="s">
        <v>16</v>
      </c>
      <c r="F359" s="5" t="s">
        <v>30</v>
      </c>
      <c r="G359" s="5" t="s">
        <v>10</v>
      </c>
      <c r="H359" s="7" t="s">
        <v>9</v>
      </c>
      <c r="I359" s="7" t="s">
        <v>45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76</v>
      </c>
      <c r="AF359" s="8">
        <v>221100</v>
      </c>
      <c r="AG359" s="8">
        <v>14200</v>
      </c>
      <c r="AH359" s="7">
        <v>0</v>
      </c>
      <c r="AI359" s="7">
        <v>0</v>
      </c>
      <c r="AJ359" s="7">
        <v>0</v>
      </c>
      <c r="AK359" s="7">
        <v>75</v>
      </c>
      <c r="AL359" s="8">
        <v>287472</v>
      </c>
      <c r="AM359" s="7">
        <v>0</v>
      </c>
      <c r="AN359" s="7">
        <v>0</v>
      </c>
      <c r="AO359" s="7">
        <v>0</v>
      </c>
      <c r="AP359" s="7">
        <v>0</v>
      </c>
      <c r="AQ359" s="7">
        <v>21</v>
      </c>
      <c r="AR359" s="8">
        <v>64800</v>
      </c>
      <c r="AS359" s="7">
        <v>700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9">
        <v>86241.600000000006</v>
      </c>
      <c r="BM359" s="10">
        <v>588272</v>
      </c>
      <c r="BN359" s="15">
        <f t="shared" si="10"/>
        <v>502030.4</v>
      </c>
      <c r="BO359" s="16">
        <f t="shared" si="11"/>
        <v>351421.27999999997</v>
      </c>
    </row>
    <row r="360" spans="1:67" ht="19.2" x14ac:dyDescent="0.4">
      <c r="A360" s="5" t="s">
        <v>460</v>
      </c>
      <c r="B360" s="5" t="s">
        <v>38</v>
      </c>
      <c r="C360" s="5">
        <v>454534</v>
      </c>
      <c r="D360" s="6"/>
      <c r="E360" s="5" t="s">
        <v>16</v>
      </c>
      <c r="F360" s="5" t="s">
        <v>39</v>
      </c>
      <c r="G360" s="5" t="s">
        <v>10</v>
      </c>
      <c r="H360" s="7" t="s">
        <v>7</v>
      </c>
      <c r="I360" s="7" t="s">
        <v>524</v>
      </c>
      <c r="J360" s="7">
        <v>0</v>
      </c>
      <c r="K360" s="8">
        <v>2759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41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8">
        <v>1171</v>
      </c>
      <c r="AF360" s="8">
        <v>104920</v>
      </c>
      <c r="AG360" s="8">
        <v>12500</v>
      </c>
      <c r="AH360" s="7">
        <v>0</v>
      </c>
      <c r="AI360" s="7">
        <v>0</v>
      </c>
      <c r="AJ360" s="7">
        <v>0</v>
      </c>
      <c r="AK360" s="8">
        <v>1605</v>
      </c>
      <c r="AL360" s="8">
        <v>143730</v>
      </c>
      <c r="AM360" s="8">
        <v>44900</v>
      </c>
      <c r="AN360" s="7">
        <v>0</v>
      </c>
      <c r="AO360" s="7">
        <v>0</v>
      </c>
      <c r="AP360" s="7">
        <v>0</v>
      </c>
      <c r="AQ360" s="7">
        <v>533</v>
      </c>
      <c r="AR360" s="8">
        <v>50200</v>
      </c>
      <c r="AS360" s="8">
        <v>3100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21</v>
      </c>
      <c r="BD360" s="8">
        <v>2520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9">
        <v>43270.2</v>
      </c>
      <c r="BM360" s="10">
        <v>361870</v>
      </c>
      <c r="BN360" s="15">
        <f t="shared" si="10"/>
        <v>318599.8</v>
      </c>
      <c r="BO360" s="16">
        <f t="shared" si="11"/>
        <v>223019.86</v>
      </c>
    </row>
    <row r="361" spans="1:67" x14ac:dyDescent="0.4">
      <c r="A361" s="5" t="s">
        <v>460</v>
      </c>
      <c r="B361" s="5" t="s">
        <v>83</v>
      </c>
      <c r="C361" s="5">
        <v>370935</v>
      </c>
      <c r="D361" s="6"/>
      <c r="E361" s="5" t="s">
        <v>16</v>
      </c>
      <c r="F361" s="5" t="s">
        <v>30</v>
      </c>
      <c r="G361" s="5" t="s">
        <v>10</v>
      </c>
      <c r="H361" s="7" t="s">
        <v>7</v>
      </c>
      <c r="I361" s="7" t="s">
        <v>84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47</v>
      </c>
      <c r="AF361" s="8">
        <v>132700</v>
      </c>
      <c r="AG361" s="8">
        <v>14600</v>
      </c>
      <c r="AH361" s="7">
        <v>0</v>
      </c>
      <c r="AI361" s="7">
        <v>0</v>
      </c>
      <c r="AJ361" s="7">
        <v>0</v>
      </c>
      <c r="AK361" s="7">
        <v>38</v>
      </c>
      <c r="AL361" s="8">
        <v>131640</v>
      </c>
      <c r="AM361" s="7">
        <v>400</v>
      </c>
      <c r="AN361" s="7">
        <v>0</v>
      </c>
      <c r="AO361" s="7">
        <v>0</v>
      </c>
      <c r="AP361" s="7">
        <v>0</v>
      </c>
      <c r="AQ361" s="7">
        <v>16</v>
      </c>
      <c r="AR361" s="8">
        <v>47200</v>
      </c>
      <c r="AS361" s="8">
        <v>2600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9">
        <v>39492</v>
      </c>
      <c r="BM361" s="10">
        <v>329140</v>
      </c>
      <c r="BN361" s="15">
        <f t="shared" si="10"/>
        <v>289648</v>
      </c>
      <c r="BO361" s="16">
        <f t="shared" si="11"/>
        <v>202753.59999999998</v>
      </c>
    </row>
    <row r="362" spans="1:67" x14ac:dyDescent="0.4">
      <c r="A362" s="5" t="s">
        <v>460</v>
      </c>
      <c r="B362" s="5" t="s">
        <v>525</v>
      </c>
      <c r="C362" s="5">
        <v>476788</v>
      </c>
      <c r="D362" s="6"/>
      <c r="E362" s="5" t="s">
        <v>16</v>
      </c>
      <c r="F362" s="5" t="s">
        <v>526</v>
      </c>
      <c r="G362" s="5" t="s">
        <v>10</v>
      </c>
      <c r="H362" s="7" t="s">
        <v>7</v>
      </c>
      <c r="I362" s="7" t="s">
        <v>422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96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661</v>
      </c>
      <c r="AF362" s="8">
        <v>65900</v>
      </c>
      <c r="AG362" s="7">
        <v>200</v>
      </c>
      <c r="AH362" s="7">
        <v>0</v>
      </c>
      <c r="AI362" s="7">
        <v>0</v>
      </c>
      <c r="AJ362" s="7">
        <v>0</v>
      </c>
      <c r="AK362" s="7">
        <v>241</v>
      </c>
      <c r="AL362" s="8">
        <v>28920</v>
      </c>
      <c r="AM362" s="7">
        <v>0</v>
      </c>
      <c r="AN362" s="7">
        <v>0</v>
      </c>
      <c r="AO362" s="7">
        <v>0</v>
      </c>
      <c r="AP362" s="7">
        <v>0</v>
      </c>
      <c r="AQ362" s="8">
        <v>1147</v>
      </c>
      <c r="AR362" s="8">
        <v>111400</v>
      </c>
      <c r="AS362" s="8">
        <v>3300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9">
        <v>8676</v>
      </c>
      <c r="BM362" s="10">
        <v>209720</v>
      </c>
      <c r="BN362" s="15">
        <f t="shared" si="10"/>
        <v>201044</v>
      </c>
      <c r="BO362" s="16">
        <f t="shared" si="11"/>
        <v>140730.79999999999</v>
      </c>
    </row>
    <row r="363" spans="1:67" x14ac:dyDescent="0.4">
      <c r="A363" s="5" t="s">
        <v>460</v>
      </c>
      <c r="B363" s="5" t="s">
        <v>28</v>
      </c>
      <c r="C363" s="5">
        <v>414278</v>
      </c>
      <c r="D363" s="6"/>
      <c r="E363" s="5" t="s">
        <v>16</v>
      </c>
      <c r="F363" s="5" t="s">
        <v>11</v>
      </c>
      <c r="G363" s="5" t="s">
        <v>10</v>
      </c>
      <c r="H363" s="7" t="s">
        <v>8</v>
      </c>
      <c r="I363" s="7" t="s">
        <v>425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2</v>
      </c>
      <c r="AF363" s="7">
        <v>400</v>
      </c>
      <c r="AG363" s="7">
        <v>0</v>
      </c>
      <c r="AH363" s="7">
        <v>0</v>
      </c>
      <c r="AI363" s="7">
        <v>0</v>
      </c>
      <c r="AJ363" s="7">
        <v>0</v>
      </c>
      <c r="AK363" s="7">
        <v>45</v>
      </c>
      <c r="AL363" s="8">
        <v>165120</v>
      </c>
      <c r="AM363" s="8">
        <v>6000</v>
      </c>
      <c r="AN363" s="7">
        <v>0</v>
      </c>
      <c r="AO363" s="7">
        <v>0</v>
      </c>
      <c r="AP363" s="7">
        <v>0</v>
      </c>
      <c r="AQ363" s="7">
        <v>5</v>
      </c>
      <c r="AR363" s="8">
        <v>16000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9">
        <v>49536</v>
      </c>
      <c r="BM363" s="10">
        <v>187520</v>
      </c>
      <c r="BN363" s="15">
        <f t="shared" si="10"/>
        <v>137984</v>
      </c>
      <c r="BO363" s="16">
        <f t="shared" si="11"/>
        <v>96588.799999999988</v>
      </c>
    </row>
    <row r="364" spans="1:67" x14ac:dyDescent="0.4">
      <c r="A364" s="5" t="s">
        <v>460</v>
      </c>
      <c r="B364" s="5" t="s">
        <v>46</v>
      </c>
      <c r="C364" s="5">
        <v>412919</v>
      </c>
      <c r="D364" s="6"/>
      <c r="E364" s="5" t="s">
        <v>16</v>
      </c>
      <c r="F364" s="5" t="s">
        <v>47</v>
      </c>
      <c r="G364" s="5" t="s">
        <v>34</v>
      </c>
      <c r="H364" s="7" t="s">
        <v>8</v>
      </c>
      <c r="I364" s="7" t="s">
        <v>48</v>
      </c>
      <c r="J364" s="7">
        <v>6</v>
      </c>
      <c r="K364" s="7">
        <v>15</v>
      </c>
      <c r="L364" s="7">
        <v>600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84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415</v>
      </c>
      <c r="AF364" s="8">
        <v>36400</v>
      </c>
      <c r="AG364" s="8">
        <v>5100</v>
      </c>
      <c r="AH364" s="7">
        <v>0</v>
      </c>
      <c r="AI364" s="7">
        <v>0</v>
      </c>
      <c r="AJ364" s="7">
        <v>0</v>
      </c>
      <c r="AK364" s="7">
        <v>938</v>
      </c>
      <c r="AL364" s="8">
        <v>86520</v>
      </c>
      <c r="AM364" s="8">
        <v>21700</v>
      </c>
      <c r="AN364" s="7">
        <v>0</v>
      </c>
      <c r="AO364" s="7">
        <v>0</v>
      </c>
      <c r="AP364" s="7">
        <v>0</v>
      </c>
      <c r="AQ364" s="7">
        <v>109</v>
      </c>
      <c r="AR364" s="8">
        <v>10700</v>
      </c>
      <c r="AS364" s="7">
        <v>200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  <c r="BL364" s="9">
        <v>25956</v>
      </c>
      <c r="BM364" s="10">
        <v>161220</v>
      </c>
      <c r="BN364" s="15">
        <f t="shared" si="10"/>
        <v>135264</v>
      </c>
      <c r="BO364" s="16">
        <f t="shared" si="11"/>
        <v>94684.799999999988</v>
      </c>
    </row>
    <row r="365" spans="1:67" x14ac:dyDescent="0.4">
      <c r="A365" s="5" t="s">
        <v>460</v>
      </c>
      <c r="B365" s="5" t="s">
        <v>65</v>
      </c>
      <c r="C365" s="5">
        <v>387417</v>
      </c>
      <c r="D365" s="6"/>
      <c r="E365" s="5" t="s">
        <v>16</v>
      </c>
      <c r="F365" s="5" t="s">
        <v>66</v>
      </c>
      <c r="G365" s="5" t="s">
        <v>10</v>
      </c>
      <c r="H365" s="7" t="s">
        <v>7</v>
      </c>
      <c r="I365" s="7" t="s">
        <v>67</v>
      </c>
      <c r="J365" s="7">
        <v>0</v>
      </c>
      <c r="K365" s="7">
        <v>430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70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363</v>
      </c>
      <c r="AF365" s="8">
        <v>35900</v>
      </c>
      <c r="AG365" s="7">
        <v>400</v>
      </c>
      <c r="AH365" s="7">
        <v>0</v>
      </c>
      <c r="AI365" s="7">
        <v>0</v>
      </c>
      <c r="AJ365" s="7">
        <v>0</v>
      </c>
      <c r="AK365" s="7">
        <v>542</v>
      </c>
      <c r="AL365" s="8">
        <v>61328</v>
      </c>
      <c r="AM365" s="8">
        <v>2500</v>
      </c>
      <c r="AN365" s="7">
        <v>0</v>
      </c>
      <c r="AO365" s="7">
        <v>0</v>
      </c>
      <c r="AP365" s="7">
        <v>0</v>
      </c>
      <c r="AQ365" s="7">
        <v>537</v>
      </c>
      <c r="AR365" s="8">
        <v>52100</v>
      </c>
      <c r="AS365" s="8">
        <v>1600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9">
        <v>18398.400000000001</v>
      </c>
      <c r="BM365" s="10">
        <v>153828</v>
      </c>
      <c r="BN365" s="15">
        <f t="shared" si="10"/>
        <v>135429.6</v>
      </c>
      <c r="BO365" s="16">
        <f t="shared" si="11"/>
        <v>94800.72</v>
      </c>
    </row>
    <row r="366" spans="1:67" ht="19.2" x14ac:dyDescent="0.4">
      <c r="A366" s="5" t="s">
        <v>460</v>
      </c>
      <c r="B366" s="5" t="s">
        <v>429</v>
      </c>
      <c r="C366" s="5">
        <v>476003</v>
      </c>
      <c r="D366" s="6"/>
      <c r="E366" s="5" t="s">
        <v>16</v>
      </c>
      <c r="F366" s="5" t="s">
        <v>30</v>
      </c>
      <c r="G366" s="5" t="s">
        <v>10</v>
      </c>
      <c r="H366" s="7" t="s">
        <v>8</v>
      </c>
      <c r="I366" s="7" t="s">
        <v>425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18</v>
      </c>
      <c r="AF366" s="8">
        <v>57400</v>
      </c>
      <c r="AG366" s="7">
        <v>0</v>
      </c>
      <c r="AH366" s="7">
        <v>0</v>
      </c>
      <c r="AI366" s="7">
        <v>0</v>
      </c>
      <c r="AJ366" s="7">
        <v>0</v>
      </c>
      <c r="AK366" s="7">
        <v>22</v>
      </c>
      <c r="AL366" s="8">
        <v>80640</v>
      </c>
      <c r="AM366" s="7">
        <v>200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0</v>
      </c>
      <c r="BK366" s="7">
        <v>0</v>
      </c>
      <c r="BL366" s="9">
        <v>24192</v>
      </c>
      <c r="BM366" s="10">
        <v>138240</v>
      </c>
      <c r="BN366" s="15">
        <f t="shared" si="10"/>
        <v>114048</v>
      </c>
      <c r="BO366" s="16">
        <f t="shared" si="11"/>
        <v>79833.599999999991</v>
      </c>
    </row>
    <row r="367" spans="1:67" x14ac:dyDescent="0.4">
      <c r="A367" s="5" t="s">
        <v>460</v>
      </c>
      <c r="B367" s="5" t="s">
        <v>25</v>
      </c>
      <c r="C367" s="5">
        <v>449889</v>
      </c>
      <c r="D367" s="6"/>
      <c r="E367" s="5" t="s">
        <v>16</v>
      </c>
      <c r="F367" s="5" t="s">
        <v>26</v>
      </c>
      <c r="G367" s="5" t="s">
        <v>10</v>
      </c>
      <c r="H367" s="7" t="s">
        <v>7</v>
      </c>
      <c r="I367" s="7" t="s">
        <v>27</v>
      </c>
      <c r="J367" s="7">
        <v>0</v>
      </c>
      <c r="K367" s="7">
        <v>284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50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584</v>
      </c>
      <c r="AF367" s="8">
        <v>56240</v>
      </c>
      <c r="AG367" s="8">
        <v>5000</v>
      </c>
      <c r="AH367" s="7">
        <v>0</v>
      </c>
      <c r="AI367" s="7">
        <v>0</v>
      </c>
      <c r="AJ367" s="7">
        <v>0</v>
      </c>
      <c r="AK367" s="7">
        <v>419</v>
      </c>
      <c r="AL367" s="8">
        <v>30054</v>
      </c>
      <c r="AM367" s="8">
        <v>16900</v>
      </c>
      <c r="AN367" s="7">
        <v>0</v>
      </c>
      <c r="AO367" s="7">
        <v>0</v>
      </c>
      <c r="AP367" s="7">
        <v>0</v>
      </c>
      <c r="AQ367" s="7">
        <v>299</v>
      </c>
      <c r="AR367" s="8">
        <v>29700</v>
      </c>
      <c r="AS367" s="7">
        <v>200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9">
        <v>9016.2000000000007</v>
      </c>
      <c r="BM367" s="10">
        <v>138094</v>
      </c>
      <c r="BN367" s="15">
        <f t="shared" si="10"/>
        <v>129077.8</v>
      </c>
      <c r="BO367" s="16">
        <f t="shared" si="11"/>
        <v>90354.459999999992</v>
      </c>
    </row>
    <row r="368" spans="1:67" x14ac:dyDescent="0.4">
      <c r="A368" s="5" t="s">
        <v>460</v>
      </c>
      <c r="B368" s="5" t="s">
        <v>40</v>
      </c>
      <c r="C368" s="5">
        <v>457807</v>
      </c>
      <c r="D368" s="6"/>
      <c r="E368" s="5" t="s">
        <v>16</v>
      </c>
      <c r="F368" s="5" t="s">
        <v>41</v>
      </c>
      <c r="G368" s="5" t="s">
        <v>34</v>
      </c>
      <c r="H368" s="7" t="s">
        <v>8</v>
      </c>
      <c r="I368" s="7" t="s">
        <v>420</v>
      </c>
      <c r="J368" s="7">
        <v>30</v>
      </c>
      <c r="K368" s="7">
        <v>896</v>
      </c>
      <c r="L368" s="8">
        <v>3000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50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360</v>
      </c>
      <c r="AF368" s="8">
        <v>33800</v>
      </c>
      <c r="AG368" s="8">
        <v>2200</v>
      </c>
      <c r="AH368" s="7">
        <v>0</v>
      </c>
      <c r="AI368" s="7">
        <v>0</v>
      </c>
      <c r="AJ368" s="7">
        <v>0</v>
      </c>
      <c r="AK368" s="7">
        <v>489</v>
      </c>
      <c r="AL368" s="8">
        <v>32649</v>
      </c>
      <c r="AM368" s="8">
        <v>21700</v>
      </c>
      <c r="AN368" s="7">
        <v>0</v>
      </c>
      <c r="AO368" s="7">
        <v>0</v>
      </c>
      <c r="AP368" s="7">
        <v>0</v>
      </c>
      <c r="AQ368" s="7">
        <v>184</v>
      </c>
      <c r="AR368" s="8">
        <v>17500</v>
      </c>
      <c r="AS368" s="7">
        <v>900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2</v>
      </c>
      <c r="BD368" s="7">
        <v>240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9">
        <v>9809.1</v>
      </c>
      <c r="BM368" s="10">
        <v>111989</v>
      </c>
      <c r="BN368" s="15">
        <f t="shared" si="10"/>
        <v>102179.9</v>
      </c>
      <c r="BO368" s="16">
        <f t="shared" si="11"/>
        <v>71525.929999999993</v>
      </c>
    </row>
    <row r="369" spans="1:67" x14ac:dyDescent="0.4">
      <c r="A369" s="5" t="s">
        <v>460</v>
      </c>
      <c r="B369" s="5" t="s">
        <v>62</v>
      </c>
      <c r="C369" s="5">
        <v>386960</v>
      </c>
      <c r="D369" s="6"/>
      <c r="E369" s="5" t="s">
        <v>16</v>
      </c>
      <c r="F369" s="5" t="s">
        <v>63</v>
      </c>
      <c r="G369" s="5" t="s">
        <v>10</v>
      </c>
      <c r="H369" s="7" t="s">
        <v>7</v>
      </c>
      <c r="I369" s="7" t="s">
        <v>64</v>
      </c>
      <c r="J369" s="7">
        <v>1</v>
      </c>
      <c r="K369" s="7">
        <v>0</v>
      </c>
      <c r="L369" s="7">
        <v>100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36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381</v>
      </c>
      <c r="AF369" s="8">
        <v>36700</v>
      </c>
      <c r="AG369" s="8">
        <v>1400</v>
      </c>
      <c r="AH369" s="7">
        <v>0</v>
      </c>
      <c r="AI369" s="7">
        <v>0</v>
      </c>
      <c r="AJ369" s="7">
        <v>0</v>
      </c>
      <c r="AK369" s="7">
        <v>331</v>
      </c>
      <c r="AL369" s="8">
        <v>32410</v>
      </c>
      <c r="AM369" s="8">
        <v>6100</v>
      </c>
      <c r="AN369" s="7">
        <v>0</v>
      </c>
      <c r="AO369" s="7">
        <v>0</v>
      </c>
      <c r="AP369" s="7">
        <v>0</v>
      </c>
      <c r="AQ369" s="7">
        <v>222</v>
      </c>
      <c r="AR369" s="8">
        <v>21700</v>
      </c>
      <c r="AS369" s="7">
        <v>500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9">
        <v>9723</v>
      </c>
      <c r="BM369" s="10">
        <v>98910</v>
      </c>
      <c r="BN369" s="15">
        <f t="shared" si="10"/>
        <v>89187</v>
      </c>
      <c r="BO369" s="16">
        <f t="shared" si="11"/>
        <v>62430.899999999994</v>
      </c>
    </row>
    <row r="370" spans="1:67" x14ac:dyDescent="0.4">
      <c r="A370" s="5" t="s">
        <v>460</v>
      </c>
      <c r="B370" s="5" t="s">
        <v>132</v>
      </c>
      <c r="C370" s="5">
        <v>359912</v>
      </c>
      <c r="D370" s="6"/>
      <c r="E370" s="5" t="s">
        <v>16</v>
      </c>
      <c r="F370" s="5" t="s">
        <v>133</v>
      </c>
      <c r="G370" s="5" t="s">
        <v>34</v>
      </c>
      <c r="H370" s="7" t="s">
        <v>8</v>
      </c>
      <c r="I370" s="7" t="s">
        <v>394</v>
      </c>
      <c r="J370" s="7">
        <v>0</v>
      </c>
      <c r="K370" s="7">
        <v>22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33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326</v>
      </c>
      <c r="AF370" s="8">
        <v>32500</v>
      </c>
      <c r="AG370" s="7">
        <v>100</v>
      </c>
      <c r="AH370" s="7">
        <v>0</v>
      </c>
      <c r="AI370" s="7">
        <v>0</v>
      </c>
      <c r="AJ370" s="7">
        <v>0</v>
      </c>
      <c r="AK370" s="7">
        <v>475</v>
      </c>
      <c r="AL370" s="8">
        <v>43680</v>
      </c>
      <c r="AM370" s="8">
        <v>11100</v>
      </c>
      <c r="AN370" s="7">
        <v>0</v>
      </c>
      <c r="AO370" s="7">
        <v>0</v>
      </c>
      <c r="AP370" s="7">
        <v>0</v>
      </c>
      <c r="AQ370" s="7">
        <v>68</v>
      </c>
      <c r="AR370" s="8">
        <v>6800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9">
        <v>13104</v>
      </c>
      <c r="BM370" s="10">
        <v>94180</v>
      </c>
      <c r="BN370" s="15">
        <f t="shared" si="10"/>
        <v>81076</v>
      </c>
      <c r="BO370" s="16">
        <f t="shared" si="11"/>
        <v>56753.2</v>
      </c>
    </row>
    <row r="371" spans="1:67" x14ac:dyDescent="0.4">
      <c r="A371" s="5" t="s">
        <v>460</v>
      </c>
      <c r="B371" s="5" t="s">
        <v>423</v>
      </c>
      <c r="C371" s="5">
        <v>476035</v>
      </c>
      <c r="D371" s="6"/>
      <c r="E371" s="5" t="s">
        <v>16</v>
      </c>
      <c r="F371" s="5" t="s">
        <v>424</v>
      </c>
      <c r="G371" s="5" t="s">
        <v>421</v>
      </c>
      <c r="H371" s="7" t="s">
        <v>9</v>
      </c>
      <c r="I371" s="7" t="s">
        <v>425</v>
      </c>
      <c r="J371" s="7">
        <v>62</v>
      </c>
      <c r="K371" s="8">
        <v>1670</v>
      </c>
      <c r="L371" s="8">
        <v>6200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179</v>
      </c>
      <c r="AF371" s="8">
        <v>12000</v>
      </c>
      <c r="AG371" s="8">
        <v>5900</v>
      </c>
      <c r="AH371" s="7">
        <v>0</v>
      </c>
      <c r="AI371" s="7">
        <v>0</v>
      </c>
      <c r="AJ371" s="7">
        <v>0</v>
      </c>
      <c r="AK371" s="7">
        <v>549</v>
      </c>
      <c r="AL371" s="8">
        <v>40976</v>
      </c>
      <c r="AM371" s="8">
        <v>21300</v>
      </c>
      <c r="AN371" s="7">
        <v>0</v>
      </c>
      <c r="AO371" s="7">
        <v>0</v>
      </c>
      <c r="AP371" s="7">
        <v>0</v>
      </c>
      <c r="AQ371" s="7">
        <v>64</v>
      </c>
      <c r="AR371" s="8">
        <v>6300</v>
      </c>
      <c r="AS371" s="7">
        <v>100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2</v>
      </c>
      <c r="BD371" s="7">
        <v>240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9">
        <v>12307.2</v>
      </c>
      <c r="BM371" s="10">
        <v>93016</v>
      </c>
      <c r="BN371" s="15">
        <f t="shared" si="10"/>
        <v>80708.800000000003</v>
      </c>
      <c r="BO371" s="16">
        <f t="shared" si="11"/>
        <v>56496.159999999996</v>
      </c>
    </row>
    <row r="372" spans="1:67" x14ac:dyDescent="0.4">
      <c r="A372" s="5" t="s">
        <v>460</v>
      </c>
      <c r="B372" s="5" t="s">
        <v>22</v>
      </c>
      <c r="C372" s="5">
        <v>445688</v>
      </c>
      <c r="D372" s="6"/>
      <c r="E372" s="5" t="s">
        <v>16</v>
      </c>
      <c r="F372" s="5" t="s">
        <v>23</v>
      </c>
      <c r="G372" s="5" t="s">
        <v>10</v>
      </c>
      <c r="H372" s="7" t="s">
        <v>7</v>
      </c>
      <c r="I372" s="7" t="s">
        <v>24</v>
      </c>
      <c r="J372" s="7">
        <v>0</v>
      </c>
      <c r="K372" s="7">
        <v>18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480</v>
      </c>
      <c r="AF372" s="8">
        <v>43100</v>
      </c>
      <c r="AG372" s="8">
        <v>4900</v>
      </c>
      <c r="AH372" s="7">
        <v>0</v>
      </c>
      <c r="AI372" s="7">
        <v>0</v>
      </c>
      <c r="AJ372" s="7">
        <v>0</v>
      </c>
      <c r="AK372" s="7">
        <v>230</v>
      </c>
      <c r="AL372" s="8">
        <v>26520</v>
      </c>
      <c r="AM372" s="7">
        <v>900</v>
      </c>
      <c r="AN372" s="7">
        <v>0</v>
      </c>
      <c r="AO372" s="7">
        <v>0</v>
      </c>
      <c r="AP372" s="7">
        <v>0</v>
      </c>
      <c r="AQ372" s="7">
        <v>172</v>
      </c>
      <c r="AR372" s="8">
        <v>16800</v>
      </c>
      <c r="AS372" s="7">
        <v>400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9">
        <v>7956</v>
      </c>
      <c r="BM372" s="10">
        <v>92620</v>
      </c>
      <c r="BN372" s="15">
        <f t="shared" si="10"/>
        <v>84664</v>
      </c>
      <c r="BO372" s="16">
        <f t="shared" si="11"/>
        <v>59264.799999999996</v>
      </c>
    </row>
    <row r="373" spans="1:67" x14ac:dyDescent="0.4">
      <c r="A373" s="5" t="s">
        <v>460</v>
      </c>
      <c r="B373" s="5" t="s">
        <v>42</v>
      </c>
      <c r="C373" s="5">
        <v>321812</v>
      </c>
      <c r="D373" s="6"/>
      <c r="E373" s="5" t="s">
        <v>16</v>
      </c>
      <c r="F373" s="5" t="s">
        <v>30</v>
      </c>
      <c r="G373" s="5" t="s">
        <v>10</v>
      </c>
      <c r="H373" s="7" t="s">
        <v>7</v>
      </c>
      <c r="I373" s="7" t="s">
        <v>43</v>
      </c>
      <c r="J373" s="7">
        <v>3</v>
      </c>
      <c r="K373" s="7">
        <v>0</v>
      </c>
      <c r="L373" s="7">
        <v>300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21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312</v>
      </c>
      <c r="AF373" s="8">
        <v>27900</v>
      </c>
      <c r="AG373" s="8">
        <v>3300</v>
      </c>
      <c r="AH373" s="7">
        <v>0</v>
      </c>
      <c r="AI373" s="7">
        <v>0</v>
      </c>
      <c r="AJ373" s="7">
        <v>0</v>
      </c>
      <c r="AK373" s="7">
        <v>61</v>
      </c>
      <c r="AL373" s="7">
        <v>0</v>
      </c>
      <c r="AM373" s="8">
        <v>6100</v>
      </c>
      <c r="AN373" s="7">
        <v>0</v>
      </c>
      <c r="AO373" s="7">
        <v>0</v>
      </c>
      <c r="AP373" s="7">
        <v>0</v>
      </c>
      <c r="AQ373" s="7">
        <v>384</v>
      </c>
      <c r="AR373" s="8">
        <v>38200</v>
      </c>
      <c r="AS373" s="7">
        <v>200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10">
        <v>76000</v>
      </c>
      <c r="BN373" s="15">
        <f t="shared" si="10"/>
        <v>76000</v>
      </c>
      <c r="BO373" s="16">
        <f t="shared" si="11"/>
        <v>53200</v>
      </c>
    </row>
    <row r="374" spans="1:67" x14ac:dyDescent="0.4">
      <c r="A374" s="5" t="s">
        <v>460</v>
      </c>
      <c r="B374" s="5" t="s">
        <v>88</v>
      </c>
      <c r="C374" s="5">
        <v>364724</v>
      </c>
      <c r="D374" s="6"/>
      <c r="E374" s="5" t="s">
        <v>16</v>
      </c>
      <c r="F374" s="5" t="s">
        <v>89</v>
      </c>
      <c r="G374" s="5" t="s">
        <v>10</v>
      </c>
      <c r="H374" s="7" t="s">
        <v>7</v>
      </c>
      <c r="I374" s="7" t="s">
        <v>90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27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207</v>
      </c>
      <c r="AF374" s="8">
        <v>20700</v>
      </c>
      <c r="AG374" s="7">
        <v>0</v>
      </c>
      <c r="AH374" s="7">
        <v>0</v>
      </c>
      <c r="AI374" s="7">
        <v>0</v>
      </c>
      <c r="AJ374" s="7">
        <v>0</v>
      </c>
      <c r="AK374" s="7">
        <v>436</v>
      </c>
      <c r="AL374" s="8">
        <v>52080</v>
      </c>
      <c r="AM374" s="7">
        <v>200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9">
        <v>15624</v>
      </c>
      <c r="BM374" s="10">
        <v>72980</v>
      </c>
      <c r="BN374" s="15">
        <f t="shared" si="10"/>
        <v>57356</v>
      </c>
      <c r="BO374" s="16">
        <f t="shared" si="11"/>
        <v>40149.199999999997</v>
      </c>
    </row>
    <row r="375" spans="1:67" x14ac:dyDescent="0.4">
      <c r="A375" s="5" t="s">
        <v>460</v>
      </c>
      <c r="B375" s="5" t="s">
        <v>285</v>
      </c>
      <c r="C375" s="5">
        <v>391329</v>
      </c>
      <c r="D375" s="6"/>
      <c r="E375" s="5" t="s">
        <v>16</v>
      </c>
      <c r="F375" s="5" t="s">
        <v>66</v>
      </c>
      <c r="G375" s="5" t="s">
        <v>10</v>
      </c>
      <c r="H375" s="7" t="s">
        <v>7</v>
      </c>
      <c r="I375" s="7" t="s">
        <v>286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18</v>
      </c>
      <c r="AF375" s="8">
        <v>62720</v>
      </c>
      <c r="AG375" s="7">
        <v>0</v>
      </c>
      <c r="AH375" s="7">
        <v>0</v>
      </c>
      <c r="AI375" s="7">
        <v>0</v>
      </c>
      <c r="AJ375" s="7">
        <v>0</v>
      </c>
      <c r="AK375" s="7">
        <v>1</v>
      </c>
      <c r="AL375" s="8">
        <v>3840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9">
        <v>1152</v>
      </c>
      <c r="BM375" s="10">
        <v>66560</v>
      </c>
      <c r="BN375" s="15">
        <f t="shared" si="10"/>
        <v>65408</v>
      </c>
      <c r="BO375" s="16">
        <f t="shared" si="11"/>
        <v>45785.599999999999</v>
      </c>
    </row>
    <row r="376" spans="1:67" ht="19.2" x14ac:dyDescent="0.4">
      <c r="A376" s="5" t="s">
        <v>460</v>
      </c>
      <c r="B376" s="5" t="s">
        <v>150</v>
      </c>
      <c r="C376" s="5">
        <v>428319</v>
      </c>
      <c r="D376" s="6"/>
      <c r="E376" s="5" t="s">
        <v>16</v>
      </c>
      <c r="F376" s="5" t="s">
        <v>96</v>
      </c>
      <c r="G376" s="5" t="s">
        <v>10</v>
      </c>
      <c r="H376" s="7" t="s">
        <v>7</v>
      </c>
      <c r="I376" s="7" t="s">
        <v>109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6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564</v>
      </c>
      <c r="AF376" s="8">
        <v>55900</v>
      </c>
      <c r="AG376" s="7">
        <v>500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10">
        <v>56400</v>
      </c>
      <c r="BN376" s="15">
        <f t="shared" si="10"/>
        <v>56400</v>
      </c>
      <c r="BO376" s="16">
        <f t="shared" si="11"/>
        <v>39480</v>
      </c>
    </row>
    <row r="377" spans="1:67" x14ac:dyDescent="0.4">
      <c r="A377" s="5" t="s">
        <v>460</v>
      </c>
      <c r="B377" s="5" t="s">
        <v>93</v>
      </c>
      <c r="C377" s="5">
        <v>211158</v>
      </c>
      <c r="D377" s="6"/>
      <c r="E377" s="5" t="s">
        <v>16</v>
      </c>
      <c r="F377" s="5" t="s">
        <v>30</v>
      </c>
      <c r="G377" s="5" t="s">
        <v>10</v>
      </c>
      <c r="H377" s="7" t="s">
        <v>7</v>
      </c>
      <c r="I377" s="7" t="s">
        <v>94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1</v>
      </c>
      <c r="AF377" s="7">
        <v>0</v>
      </c>
      <c r="AG377" s="7">
        <v>100</v>
      </c>
      <c r="AH377" s="7">
        <v>0</v>
      </c>
      <c r="AI377" s="7">
        <v>0</v>
      </c>
      <c r="AJ377" s="7">
        <v>0</v>
      </c>
      <c r="AK377" s="7">
        <v>250</v>
      </c>
      <c r="AL377" s="8">
        <v>26640</v>
      </c>
      <c r="AM377" s="8">
        <v>2800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223</v>
      </c>
      <c r="BD377" s="8">
        <v>26760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9">
        <v>9597.6</v>
      </c>
      <c r="BM377" s="10">
        <v>56300</v>
      </c>
      <c r="BN377" s="15">
        <f t="shared" si="10"/>
        <v>46702.400000000001</v>
      </c>
      <c r="BO377" s="16">
        <f t="shared" si="11"/>
        <v>32691.68</v>
      </c>
    </row>
    <row r="378" spans="1:67" x14ac:dyDescent="0.4">
      <c r="A378" s="5" t="s">
        <v>460</v>
      </c>
      <c r="B378" s="5" t="s">
        <v>95</v>
      </c>
      <c r="C378" s="5">
        <v>395179</v>
      </c>
      <c r="D378" s="6"/>
      <c r="E378" s="5" t="s">
        <v>16</v>
      </c>
      <c r="F378" s="5" t="s">
        <v>96</v>
      </c>
      <c r="G378" s="5" t="s">
        <v>10</v>
      </c>
      <c r="H378" s="7" t="s">
        <v>7</v>
      </c>
      <c r="I378" s="7" t="s">
        <v>97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17</v>
      </c>
      <c r="AF378" s="8">
        <v>54400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10">
        <v>54400</v>
      </c>
      <c r="BN378" s="15">
        <f t="shared" ref="BN378:BN441" si="12">BM378-BL378</f>
        <v>54400</v>
      </c>
      <c r="BO378" s="16">
        <f t="shared" ref="BO378:BO441" si="13">BN378*70%</f>
        <v>38080</v>
      </c>
    </row>
    <row r="379" spans="1:67" x14ac:dyDescent="0.4">
      <c r="A379" s="5" t="s">
        <v>460</v>
      </c>
      <c r="B379" s="5" t="s">
        <v>60</v>
      </c>
      <c r="C379" s="5">
        <v>245889</v>
      </c>
      <c r="D379" s="6"/>
      <c r="E379" s="5" t="s">
        <v>16</v>
      </c>
      <c r="F379" s="5" t="s">
        <v>30</v>
      </c>
      <c r="G379" s="5" t="s">
        <v>10</v>
      </c>
      <c r="H379" s="7" t="s">
        <v>7</v>
      </c>
      <c r="I379" s="7" t="s">
        <v>61</v>
      </c>
      <c r="J379" s="7">
        <v>3</v>
      </c>
      <c r="K379" s="7">
        <v>0</v>
      </c>
      <c r="L379" s="7">
        <v>300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310</v>
      </c>
      <c r="AF379" s="8">
        <v>31000</v>
      </c>
      <c r="AG379" s="7">
        <v>0</v>
      </c>
      <c r="AH379" s="7">
        <v>0</v>
      </c>
      <c r="AI379" s="7">
        <v>0</v>
      </c>
      <c r="AJ379" s="7">
        <v>0</v>
      </c>
      <c r="AK379" s="7">
        <v>196</v>
      </c>
      <c r="AL379" s="8">
        <v>20880</v>
      </c>
      <c r="AM379" s="8">
        <v>2200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9">
        <v>6264</v>
      </c>
      <c r="BM379" s="10">
        <v>54380</v>
      </c>
      <c r="BN379" s="15">
        <f t="shared" si="12"/>
        <v>48116</v>
      </c>
      <c r="BO379" s="16">
        <f t="shared" si="13"/>
        <v>33681.199999999997</v>
      </c>
    </row>
    <row r="380" spans="1:67" x14ac:dyDescent="0.4">
      <c r="A380" s="5" t="s">
        <v>460</v>
      </c>
      <c r="B380" s="5" t="s">
        <v>127</v>
      </c>
      <c r="C380" s="5">
        <v>290890</v>
      </c>
      <c r="D380" s="6"/>
      <c r="E380" s="5" t="s">
        <v>16</v>
      </c>
      <c r="F380" s="5" t="s">
        <v>30</v>
      </c>
      <c r="G380" s="5" t="s">
        <v>10</v>
      </c>
      <c r="H380" s="7" t="s">
        <v>7</v>
      </c>
      <c r="I380" s="7" t="s">
        <v>128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12</v>
      </c>
      <c r="AC380" s="8">
        <v>10100</v>
      </c>
      <c r="AD380" s="7">
        <v>0</v>
      </c>
      <c r="AE380" s="7">
        <v>9</v>
      </c>
      <c r="AF380" s="8">
        <v>27200</v>
      </c>
      <c r="AG380" s="7">
        <v>0</v>
      </c>
      <c r="AH380" s="7">
        <v>6</v>
      </c>
      <c r="AI380" s="8">
        <v>3720</v>
      </c>
      <c r="AJ380" s="7">
        <v>300</v>
      </c>
      <c r="AK380" s="7">
        <v>3</v>
      </c>
      <c r="AL380" s="8">
        <v>9600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9">
        <v>3996</v>
      </c>
      <c r="BM380" s="10">
        <v>50920</v>
      </c>
      <c r="BN380" s="15">
        <f t="shared" si="12"/>
        <v>46924</v>
      </c>
      <c r="BO380" s="16">
        <f t="shared" si="13"/>
        <v>32846.799999999996</v>
      </c>
    </row>
    <row r="381" spans="1:67" ht="19.2" x14ac:dyDescent="0.4">
      <c r="A381" s="5" t="s">
        <v>460</v>
      </c>
      <c r="B381" s="5" t="s">
        <v>49</v>
      </c>
      <c r="C381" s="5">
        <v>459997</v>
      </c>
      <c r="D381" s="6"/>
      <c r="E381" s="5" t="s">
        <v>16</v>
      </c>
      <c r="F381" s="5" t="s">
        <v>50</v>
      </c>
      <c r="G381" s="5" t="s">
        <v>10</v>
      </c>
      <c r="H381" s="7" t="s">
        <v>7</v>
      </c>
      <c r="I381" s="7" t="s">
        <v>527</v>
      </c>
      <c r="J381" s="7">
        <v>0</v>
      </c>
      <c r="K381" s="7">
        <v>238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14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12</v>
      </c>
      <c r="AF381" s="8">
        <v>1000</v>
      </c>
      <c r="AG381" s="7">
        <v>200</v>
      </c>
      <c r="AH381" s="7">
        <v>0</v>
      </c>
      <c r="AI381" s="7">
        <v>0</v>
      </c>
      <c r="AJ381" s="7">
        <v>0</v>
      </c>
      <c r="AK381" s="7">
        <v>172</v>
      </c>
      <c r="AL381" s="8">
        <v>17400</v>
      </c>
      <c r="AM381" s="8">
        <v>2700</v>
      </c>
      <c r="AN381" s="7">
        <v>0</v>
      </c>
      <c r="AO381" s="7">
        <v>0</v>
      </c>
      <c r="AP381" s="7">
        <v>0</v>
      </c>
      <c r="AQ381" s="7">
        <v>296</v>
      </c>
      <c r="AR381" s="8">
        <v>29400</v>
      </c>
      <c r="AS381" s="7">
        <v>200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9">
        <v>5220</v>
      </c>
      <c r="BM381" s="10">
        <v>50900</v>
      </c>
      <c r="BN381" s="15">
        <f t="shared" si="12"/>
        <v>45680</v>
      </c>
      <c r="BO381" s="16">
        <f t="shared" si="13"/>
        <v>31975.999999999996</v>
      </c>
    </row>
    <row r="382" spans="1:67" x14ac:dyDescent="0.4">
      <c r="A382" s="5" t="s">
        <v>460</v>
      </c>
      <c r="B382" s="5" t="s">
        <v>91</v>
      </c>
      <c r="C382" s="5">
        <v>462353</v>
      </c>
      <c r="D382" s="6"/>
      <c r="E382" s="5" t="s">
        <v>16</v>
      </c>
      <c r="F382" s="5" t="s">
        <v>39</v>
      </c>
      <c r="G382" s="5" t="s">
        <v>10</v>
      </c>
      <c r="H382" s="7" t="s">
        <v>7</v>
      </c>
      <c r="I382" s="7" t="s">
        <v>92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27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36</v>
      </c>
      <c r="AF382" s="7">
        <v>0</v>
      </c>
      <c r="AG382" s="8">
        <v>3600</v>
      </c>
      <c r="AH382" s="7">
        <v>0</v>
      </c>
      <c r="AI382" s="7">
        <v>0</v>
      </c>
      <c r="AJ382" s="7">
        <v>0</v>
      </c>
      <c r="AK382" s="7">
        <v>202</v>
      </c>
      <c r="AL382" s="8">
        <v>24240</v>
      </c>
      <c r="AM382" s="7">
        <v>0</v>
      </c>
      <c r="AN382" s="7">
        <v>0</v>
      </c>
      <c r="AO382" s="7">
        <v>0</v>
      </c>
      <c r="AP382" s="7">
        <v>0</v>
      </c>
      <c r="AQ382" s="7">
        <v>174</v>
      </c>
      <c r="AR382" s="8">
        <v>17400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9">
        <v>7272</v>
      </c>
      <c r="BM382" s="10">
        <v>45240</v>
      </c>
      <c r="BN382" s="15">
        <f t="shared" si="12"/>
        <v>37968</v>
      </c>
      <c r="BO382" s="16">
        <f t="shared" si="13"/>
        <v>26577.599999999999</v>
      </c>
    </row>
    <row r="383" spans="1:67" x14ac:dyDescent="0.4">
      <c r="A383" s="5" t="s">
        <v>460</v>
      </c>
      <c r="B383" s="5" t="s">
        <v>178</v>
      </c>
      <c r="C383" s="5">
        <v>316658</v>
      </c>
      <c r="D383" s="6"/>
      <c r="E383" s="5" t="s">
        <v>16</v>
      </c>
      <c r="F383" s="5" t="s">
        <v>66</v>
      </c>
      <c r="G383" s="5" t="s">
        <v>10</v>
      </c>
      <c r="H383" s="7" t="s">
        <v>7</v>
      </c>
      <c r="I383" s="7" t="s">
        <v>179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16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61</v>
      </c>
      <c r="AF383" s="8">
        <v>6100</v>
      </c>
      <c r="AG383" s="7">
        <v>0</v>
      </c>
      <c r="AH383" s="7">
        <v>0</v>
      </c>
      <c r="AI383" s="7">
        <v>0</v>
      </c>
      <c r="AJ383" s="7">
        <v>0</v>
      </c>
      <c r="AK383" s="7">
        <v>208</v>
      </c>
      <c r="AL383" s="8">
        <v>24960</v>
      </c>
      <c r="AM383" s="7">
        <v>0</v>
      </c>
      <c r="AN383" s="7">
        <v>0</v>
      </c>
      <c r="AO383" s="7">
        <v>0</v>
      </c>
      <c r="AP383" s="7">
        <v>0</v>
      </c>
      <c r="AQ383" s="7">
        <v>139</v>
      </c>
      <c r="AR383" s="8">
        <v>13700</v>
      </c>
      <c r="AS383" s="7">
        <v>200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9">
        <v>7488</v>
      </c>
      <c r="BM383" s="10">
        <v>44960</v>
      </c>
      <c r="BN383" s="15">
        <f t="shared" si="12"/>
        <v>37472</v>
      </c>
      <c r="BO383" s="16">
        <f t="shared" si="13"/>
        <v>26230.399999999998</v>
      </c>
    </row>
    <row r="384" spans="1:67" ht="19.2" x14ac:dyDescent="0.4">
      <c r="A384" s="5" t="s">
        <v>460</v>
      </c>
      <c r="B384" s="5" t="s">
        <v>110</v>
      </c>
      <c r="C384" s="5">
        <v>425289</v>
      </c>
      <c r="D384" s="6"/>
      <c r="E384" s="5" t="s">
        <v>16</v>
      </c>
      <c r="F384" s="5" t="s">
        <v>96</v>
      </c>
      <c r="G384" s="5" t="s">
        <v>10</v>
      </c>
      <c r="H384" s="7" t="s">
        <v>7</v>
      </c>
      <c r="I384" s="7" t="s">
        <v>111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9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110</v>
      </c>
      <c r="AF384" s="8">
        <v>11000</v>
      </c>
      <c r="AG384" s="7">
        <v>0</v>
      </c>
      <c r="AH384" s="7">
        <v>0</v>
      </c>
      <c r="AI384" s="7">
        <v>0</v>
      </c>
      <c r="AJ384" s="7">
        <v>0</v>
      </c>
      <c r="AK384" s="7">
        <v>220</v>
      </c>
      <c r="AL384" s="8">
        <v>26400</v>
      </c>
      <c r="AM384" s="7">
        <v>0</v>
      </c>
      <c r="AN384" s="7">
        <v>0</v>
      </c>
      <c r="AO384" s="7">
        <v>0</v>
      </c>
      <c r="AP384" s="7">
        <v>0</v>
      </c>
      <c r="AQ384" s="7">
        <v>4</v>
      </c>
      <c r="AR384" s="7">
        <v>400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9">
        <v>7920</v>
      </c>
      <c r="BM384" s="10">
        <v>37800</v>
      </c>
      <c r="BN384" s="15">
        <f t="shared" si="12"/>
        <v>29880</v>
      </c>
      <c r="BO384" s="16">
        <f t="shared" si="13"/>
        <v>20916</v>
      </c>
    </row>
    <row r="385" spans="1:67" x14ac:dyDescent="0.4">
      <c r="A385" s="5" t="s">
        <v>460</v>
      </c>
      <c r="B385" s="5" t="s">
        <v>71</v>
      </c>
      <c r="C385" s="5">
        <v>219203</v>
      </c>
      <c r="D385" s="6"/>
      <c r="E385" s="5" t="s">
        <v>16</v>
      </c>
      <c r="F385" s="5" t="s">
        <v>72</v>
      </c>
      <c r="G385" s="5" t="s">
        <v>10</v>
      </c>
      <c r="H385" s="7" t="s">
        <v>7</v>
      </c>
      <c r="I385" s="7" t="s">
        <v>73</v>
      </c>
      <c r="J385" s="7">
        <v>0</v>
      </c>
      <c r="K385" s="7">
        <v>10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187</v>
      </c>
      <c r="AC385" s="8">
        <v>18700</v>
      </c>
      <c r="AD385" s="7">
        <v>0</v>
      </c>
      <c r="AE385" s="7">
        <v>0</v>
      </c>
      <c r="AF385" s="7">
        <v>0</v>
      </c>
      <c r="AG385" s="7">
        <v>0</v>
      </c>
      <c r="AH385" s="7">
        <v>98</v>
      </c>
      <c r="AI385" s="8">
        <v>11040</v>
      </c>
      <c r="AJ385" s="7">
        <v>600</v>
      </c>
      <c r="AK385" s="7">
        <v>21</v>
      </c>
      <c r="AL385" s="8">
        <v>1440</v>
      </c>
      <c r="AM385" s="8">
        <v>5100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9">
        <v>3744</v>
      </c>
      <c r="BM385" s="10">
        <v>36880</v>
      </c>
      <c r="BN385" s="15">
        <f t="shared" si="12"/>
        <v>33136</v>
      </c>
      <c r="BO385" s="16">
        <f t="shared" si="13"/>
        <v>23195.199999999997</v>
      </c>
    </row>
    <row r="386" spans="1:67" x14ac:dyDescent="0.4">
      <c r="A386" s="5" t="s">
        <v>460</v>
      </c>
      <c r="B386" s="5" t="s">
        <v>431</v>
      </c>
      <c r="C386" s="5">
        <v>414343</v>
      </c>
      <c r="D386" s="6"/>
      <c r="E386" s="5" t="s">
        <v>16</v>
      </c>
      <c r="F386" s="5" t="s">
        <v>11</v>
      </c>
      <c r="G386" s="5" t="s">
        <v>10</v>
      </c>
      <c r="H386" s="7" t="s">
        <v>7</v>
      </c>
      <c r="I386" s="7" t="s">
        <v>202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8</v>
      </c>
      <c r="AL386" s="8">
        <v>34816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9">
        <v>10444.799999999999</v>
      </c>
      <c r="BM386" s="10">
        <v>34816</v>
      </c>
      <c r="BN386" s="15">
        <f t="shared" si="12"/>
        <v>24371.200000000001</v>
      </c>
      <c r="BO386" s="16">
        <f t="shared" si="13"/>
        <v>17059.84</v>
      </c>
    </row>
    <row r="387" spans="1:67" x14ac:dyDescent="0.4">
      <c r="A387" s="5" t="s">
        <v>460</v>
      </c>
      <c r="B387" s="5" t="s">
        <v>119</v>
      </c>
      <c r="C387" s="5">
        <v>390809</v>
      </c>
      <c r="D387" s="6"/>
      <c r="E387" s="5" t="s">
        <v>16</v>
      </c>
      <c r="F387" s="5" t="s">
        <v>120</v>
      </c>
      <c r="G387" s="5" t="s">
        <v>34</v>
      </c>
      <c r="H387" s="7" t="s">
        <v>8</v>
      </c>
      <c r="I387" s="7" t="s">
        <v>35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23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80</v>
      </c>
      <c r="AF387" s="8">
        <v>8000</v>
      </c>
      <c r="AG387" s="7">
        <v>0</v>
      </c>
      <c r="AH387" s="7">
        <v>0</v>
      </c>
      <c r="AI387" s="7">
        <v>0</v>
      </c>
      <c r="AJ387" s="7">
        <v>0</v>
      </c>
      <c r="AK387" s="7">
        <v>143</v>
      </c>
      <c r="AL387" s="8">
        <v>16680</v>
      </c>
      <c r="AM387" s="7">
        <v>400</v>
      </c>
      <c r="AN387" s="7">
        <v>0</v>
      </c>
      <c r="AO387" s="7">
        <v>0</v>
      </c>
      <c r="AP387" s="7">
        <v>0</v>
      </c>
      <c r="AQ387" s="7">
        <v>62</v>
      </c>
      <c r="AR387" s="8">
        <v>6200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9">
        <v>5004</v>
      </c>
      <c r="BM387" s="10">
        <v>31280</v>
      </c>
      <c r="BN387" s="15">
        <f t="shared" si="12"/>
        <v>26276</v>
      </c>
      <c r="BO387" s="16">
        <f t="shared" si="13"/>
        <v>18393.199999999997</v>
      </c>
    </row>
    <row r="388" spans="1:67" x14ac:dyDescent="0.4">
      <c r="A388" s="5" t="s">
        <v>460</v>
      </c>
      <c r="B388" s="5" t="s">
        <v>77</v>
      </c>
      <c r="C388" s="5">
        <v>387942</v>
      </c>
      <c r="D388" s="6"/>
      <c r="E388" s="5" t="s">
        <v>16</v>
      </c>
      <c r="F388" s="5" t="s">
        <v>78</v>
      </c>
      <c r="G388" s="5" t="s">
        <v>10</v>
      </c>
      <c r="H388" s="7" t="s">
        <v>7</v>
      </c>
      <c r="I388" s="7" t="s">
        <v>79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11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268</v>
      </c>
      <c r="AF388" s="8">
        <v>28640</v>
      </c>
      <c r="AG388" s="7">
        <v>0</v>
      </c>
      <c r="AH388" s="7">
        <v>0</v>
      </c>
      <c r="AI388" s="7">
        <v>0</v>
      </c>
      <c r="AJ388" s="7">
        <v>0</v>
      </c>
      <c r="AK388" s="7">
        <v>12</v>
      </c>
      <c r="AL388" s="7">
        <v>240</v>
      </c>
      <c r="AM388" s="8">
        <v>1000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72</v>
      </c>
      <c r="BM388" s="10">
        <v>29880</v>
      </c>
      <c r="BN388" s="15">
        <f t="shared" si="12"/>
        <v>29808</v>
      </c>
      <c r="BO388" s="16">
        <f t="shared" si="13"/>
        <v>20865.599999999999</v>
      </c>
    </row>
    <row r="389" spans="1:67" x14ac:dyDescent="0.4">
      <c r="A389" s="5" t="s">
        <v>460</v>
      </c>
      <c r="B389" s="5" t="s">
        <v>433</v>
      </c>
      <c r="C389" s="5">
        <v>475889</v>
      </c>
      <c r="D389" s="6"/>
      <c r="E389" s="5" t="s">
        <v>16</v>
      </c>
      <c r="F389" s="5" t="s">
        <v>176</v>
      </c>
      <c r="G389" s="5" t="s">
        <v>10</v>
      </c>
      <c r="H389" s="7" t="s">
        <v>7</v>
      </c>
      <c r="I389" s="7" t="s">
        <v>425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2</v>
      </c>
      <c r="AL389" s="8">
        <v>4920</v>
      </c>
      <c r="AM389" s="7">
        <v>0</v>
      </c>
      <c r="AN389" s="7">
        <v>0</v>
      </c>
      <c r="AO389" s="7">
        <v>0</v>
      </c>
      <c r="AP389" s="7">
        <v>0</v>
      </c>
      <c r="AQ389" s="7">
        <v>9</v>
      </c>
      <c r="AR389" s="8">
        <v>22700</v>
      </c>
      <c r="AS389" s="8">
        <v>2000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9">
        <v>1476</v>
      </c>
      <c r="BM389" s="10">
        <v>29620</v>
      </c>
      <c r="BN389" s="15">
        <f t="shared" si="12"/>
        <v>28144</v>
      </c>
      <c r="BO389" s="16">
        <f t="shared" si="13"/>
        <v>19700.8</v>
      </c>
    </row>
    <row r="390" spans="1:67" x14ac:dyDescent="0.4">
      <c r="A390" s="5" t="s">
        <v>460</v>
      </c>
      <c r="B390" s="5" t="s">
        <v>100</v>
      </c>
      <c r="C390" s="5">
        <v>287641</v>
      </c>
      <c r="D390" s="6"/>
      <c r="E390" s="5" t="s">
        <v>16</v>
      </c>
      <c r="F390" s="5" t="s">
        <v>30</v>
      </c>
      <c r="G390" s="5" t="s">
        <v>10</v>
      </c>
      <c r="H390" s="7" t="s">
        <v>7</v>
      </c>
      <c r="I390" s="7" t="s">
        <v>101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7</v>
      </c>
      <c r="AL390" s="8">
        <v>26880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9">
        <v>8064</v>
      </c>
      <c r="BM390" s="10">
        <v>26880</v>
      </c>
      <c r="BN390" s="15">
        <f t="shared" si="12"/>
        <v>18816</v>
      </c>
      <c r="BO390" s="16">
        <f t="shared" si="13"/>
        <v>13171.199999999999</v>
      </c>
    </row>
    <row r="391" spans="1:67" x14ac:dyDescent="0.4">
      <c r="A391" s="5" t="s">
        <v>460</v>
      </c>
      <c r="B391" s="5" t="s">
        <v>430</v>
      </c>
      <c r="C391" s="5">
        <v>476076</v>
      </c>
      <c r="D391" s="6"/>
      <c r="E391" s="5" t="s">
        <v>16</v>
      </c>
      <c r="F391" s="5" t="s">
        <v>221</v>
      </c>
      <c r="G391" s="5" t="s">
        <v>10</v>
      </c>
      <c r="H391" s="7" t="s">
        <v>7</v>
      </c>
      <c r="I391" s="7" t="s">
        <v>425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5</v>
      </c>
      <c r="AL391" s="8">
        <v>19200</v>
      </c>
      <c r="AM391" s="7">
        <v>0</v>
      </c>
      <c r="AN391" s="7">
        <v>0</v>
      </c>
      <c r="AO391" s="7">
        <v>0</v>
      </c>
      <c r="AP391" s="7">
        <v>0</v>
      </c>
      <c r="AQ391" s="7">
        <v>2</v>
      </c>
      <c r="AR391" s="8">
        <v>6200</v>
      </c>
      <c r="AS391" s="7">
        <v>200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9">
        <v>5760</v>
      </c>
      <c r="BM391" s="10">
        <v>25600</v>
      </c>
      <c r="BN391" s="15">
        <f t="shared" si="12"/>
        <v>19840</v>
      </c>
      <c r="BO391" s="16">
        <f t="shared" si="13"/>
        <v>13888</v>
      </c>
    </row>
    <row r="392" spans="1:67" x14ac:dyDescent="0.4">
      <c r="A392" s="5" t="s">
        <v>460</v>
      </c>
      <c r="B392" s="5" t="s">
        <v>112</v>
      </c>
      <c r="C392" s="5">
        <v>422368</v>
      </c>
      <c r="D392" s="6"/>
      <c r="E392" s="5" t="s">
        <v>16</v>
      </c>
      <c r="F392" s="5" t="s">
        <v>113</v>
      </c>
      <c r="G392" s="5" t="s">
        <v>10</v>
      </c>
      <c r="H392" s="7" t="s">
        <v>7</v>
      </c>
      <c r="I392" s="7" t="s">
        <v>114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8</v>
      </c>
      <c r="AF392" s="8">
        <v>25600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10">
        <v>25600</v>
      </c>
      <c r="BN392" s="15">
        <f t="shared" si="12"/>
        <v>25600</v>
      </c>
      <c r="BO392" s="16">
        <f t="shared" si="13"/>
        <v>17920</v>
      </c>
    </row>
    <row r="393" spans="1:67" ht="19.2" x14ac:dyDescent="0.4">
      <c r="A393" s="5" t="s">
        <v>460</v>
      </c>
      <c r="B393" s="5" t="s">
        <v>401</v>
      </c>
      <c r="C393" s="5">
        <v>470379</v>
      </c>
      <c r="D393" s="6"/>
      <c r="E393" s="5" t="s">
        <v>16</v>
      </c>
      <c r="F393" s="5" t="s">
        <v>75</v>
      </c>
      <c r="G393" s="5" t="s">
        <v>421</v>
      </c>
      <c r="H393" s="7" t="s">
        <v>7</v>
      </c>
      <c r="I393" s="7" t="s">
        <v>18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2</v>
      </c>
      <c r="AF393" s="7">
        <v>0</v>
      </c>
      <c r="AG393" s="8">
        <v>4600</v>
      </c>
      <c r="AH393" s="7">
        <v>0</v>
      </c>
      <c r="AI393" s="7">
        <v>0</v>
      </c>
      <c r="AJ393" s="7">
        <v>0</v>
      </c>
      <c r="AK393" s="7">
        <v>5</v>
      </c>
      <c r="AL393" s="8">
        <v>19680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9">
        <v>5904</v>
      </c>
      <c r="BM393" s="10">
        <v>24280</v>
      </c>
      <c r="BN393" s="15">
        <f t="shared" si="12"/>
        <v>18376</v>
      </c>
      <c r="BO393" s="16">
        <f t="shared" si="13"/>
        <v>12863.199999999999</v>
      </c>
    </row>
    <row r="394" spans="1:67" x14ac:dyDescent="0.4">
      <c r="A394" s="5" t="s">
        <v>460</v>
      </c>
      <c r="B394" s="5" t="s">
        <v>532</v>
      </c>
      <c r="C394" s="5">
        <v>408579</v>
      </c>
      <c r="D394" s="6"/>
      <c r="E394" s="5" t="s">
        <v>16</v>
      </c>
      <c r="F394" s="5" t="s">
        <v>30</v>
      </c>
      <c r="G394" s="5" t="s">
        <v>10</v>
      </c>
      <c r="H394" s="7" t="s">
        <v>7</v>
      </c>
      <c r="I394" s="7" t="s">
        <v>232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1</v>
      </c>
      <c r="AF394" s="8">
        <v>1600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7</v>
      </c>
      <c r="AR394" s="8">
        <v>20800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10">
        <v>22400</v>
      </c>
      <c r="BN394" s="15">
        <f t="shared" si="12"/>
        <v>22400</v>
      </c>
      <c r="BO394" s="16">
        <f t="shared" si="13"/>
        <v>15679.999999999998</v>
      </c>
    </row>
    <row r="395" spans="1:67" x14ac:dyDescent="0.4">
      <c r="A395" s="5" t="s">
        <v>460</v>
      </c>
      <c r="B395" s="5" t="s">
        <v>172</v>
      </c>
      <c r="C395" s="5">
        <v>429496</v>
      </c>
      <c r="D395" s="6"/>
      <c r="E395" s="5" t="s">
        <v>16</v>
      </c>
      <c r="F395" s="5" t="s">
        <v>173</v>
      </c>
      <c r="G395" s="5" t="s">
        <v>411</v>
      </c>
      <c r="H395" s="7" t="s">
        <v>7</v>
      </c>
      <c r="I395" s="7" t="s">
        <v>174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7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5</v>
      </c>
      <c r="AF395" s="7">
        <v>100</v>
      </c>
      <c r="AG395" s="7">
        <v>400</v>
      </c>
      <c r="AH395" s="7">
        <v>0</v>
      </c>
      <c r="AI395" s="7">
        <v>0</v>
      </c>
      <c r="AJ395" s="7">
        <v>0</v>
      </c>
      <c r="AK395" s="7">
        <v>190</v>
      </c>
      <c r="AL395" s="8">
        <v>16440</v>
      </c>
      <c r="AM395" s="8">
        <v>5300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9">
        <v>4932</v>
      </c>
      <c r="BM395" s="10">
        <v>22240</v>
      </c>
      <c r="BN395" s="15">
        <f t="shared" si="12"/>
        <v>17308</v>
      </c>
      <c r="BO395" s="16">
        <f t="shared" si="13"/>
        <v>12115.599999999999</v>
      </c>
    </row>
    <row r="396" spans="1:67" x14ac:dyDescent="0.4">
      <c r="A396" s="5" t="s">
        <v>460</v>
      </c>
      <c r="B396" s="5" t="s">
        <v>180</v>
      </c>
      <c r="C396" s="5">
        <v>370192</v>
      </c>
      <c r="D396" s="6"/>
      <c r="E396" s="5" t="s">
        <v>16</v>
      </c>
      <c r="F396" s="5" t="s">
        <v>133</v>
      </c>
      <c r="G396" s="5" t="s">
        <v>34</v>
      </c>
      <c r="H396" s="7" t="s">
        <v>8</v>
      </c>
      <c r="I396" s="7" t="s">
        <v>181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151</v>
      </c>
      <c r="AL396" s="8">
        <v>17950</v>
      </c>
      <c r="AM396" s="7">
        <v>900</v>
      </c>
      <c r="AN396" s="7">
        <v>0</v>
      </c>
      <c r="AO396" s="7">
        <v>0</v>
      </c>
      <c r="AP396" s="7">
        <v>0</v>
      </c>
      <c r="AQ396" s="7">
        <v>24</v>
      </c>
      <c r="AR396" s="8">
        <v>2400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9">
        <v>5385</v>
      </c>
      <c r="BM396" s="10">
        <v>21250</v>
      </c>
      <c r="BN396" s="15">
        <f t="shared" si="12"/>
        <v>15865</v>
      </c>
      <c r="BO396" s="16">
        <f t="shared" si="13"/>
        <v>11105.5</v>
      </c>
    </row>
    <row r="397" spans="1:67" x14ac:dyDescent="0.4">
      <c r="A397" s="5" t="s">
        <v>460</v>
      </c>
      <c r="B397" s="5" t="s">
        <v>405</v>
      </c>
      <c r="C397" s="5">
        <v>373610</v>
      </c>
      <c r="D397" s="6"/>
      <c r="E397" s="5" t="s">
        <v>16</v>
      </c>
      <c r="F397" s="5" t="s">
        <v>406</v>
      </c>
      <c r="G397" s="5" t="s">
        <v>10</v>
      </c>
      <c r="H397" s="7" t="s">
        <v>7</v>
      </c>
      <c r="I397" s="7" t="s">
        <v>407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3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172</v>
      </c>
      <c r="AL397" s="8">
        <v>20640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9">
        <v>6192</v>
      </c>
      <c r="BM397" s="10">
        <v>20640</v>
      </c>
      <c r="BN397" s="15">
        <f t="shared" si="12"/>
        <v>14448</v>
      </c>
      <c r="BO397" s="16">
        <f t="shared" si="13"/>
        <v>10113.599999999999</v>
      </c>
    </row>
    <row r="398" spans="1:67" ht="19.2" x14ac:dyDescent="0.4">
      <c r="A398" s="5" t="s">
        <v>460</v>
      </c>
      <c r="B398" s="5" t="s">
        <v>129</v>
      </c>
      <c r="C398" s="5">
        <v>383229</v>
      </c>
      <c r="D398" s="6"/>
      <c r="E398" s="5" t="s">
        <v>16</v>
      </c>
      <c r="F398" s="5" t="s">
        <v>130</v>
      </c>
      <c r="G398" s="5" t="s">
        <v>34</v>
      </c>
      <c r="H398" s="7" t="s">
        <v>8</v>
      </c>
      <c r="I398" s="7" t="s">
        <v>131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6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196</v>
      </c>
      <c r="AF398" s="8">
        <v>19200</v>
      </c>
      <c r="AG398" s="7">
        <v>400</v>
      </c>
      <c r="AH398" s="7">
        <v>0</v>
      </c>
      <c r="AI398" s="7">
        <v>0</v>
      </c>
      <c r="AJ398" s="7">
        <v>0</v>
      </c>
      <c r="AK398" s="7">
        <v>3</v>
      </c>
      <c r="AL398" s="7">
        <v>120</v>
      </c>
      <c r="AM398" s="7">
        <v>200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36</v>
      </c>
      <c r="BM398" s="10">
        <v>19920</v>
      </c>
      <c r="BN398" s="15">
        <f t="shared" si="12"/>
        <v>19884</v>
      </c>
      <c r="BO398" s="16">
        <f t="shared" si="13"/>
        <v>13918.8</v>
      </c>
    </row>
    <row r="399" spans="1:67" x14ac:dyDescent="0.4">
      <c r="A399" s="5" t="s">
        <v>460</v>
      </c>
      <c r="B399" s="5" t="s">
        <v>104</v>
      </c>
      <c r="C399" s="5">
        <v>359539</v>
      </c>
      <c r="D399" s="6"/>
      <c r="E399" s="5" t="s">
        <v>16</v>
      </c>
      <c r="F399" s="5" t="s">
        <v>105</v>
      </c>
      <c r="G399" s="5" t="s">
        <v>34</v>
      </c>
      <c r="H399" s="7" t="s">
        <v>8</v>
      </c>
      <c r="I399" s="7" t="s">
        <v>106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49</v>
      </c>
      <c r="AF399" s="8">
        <v>4300</v>
      </c>
      <c r="AG399" s="7">
        <v>600</v>
      </c>
      <c r="AH399" s="7">
        <v>0</v>
      </c>
      <c r="AI399" s="7">
        <v>0</v>
      </c>
      <c r="AJ399" s="7">
        <v>0</v>
      </c>
      <c r="AK399" s="7">
        <v>118</v>
      </c>
      <c r="AL399" s="8">
        <v>12840</v>
      </c>
      <c r="AM399" s="8">
        <v>1100</v>
      </c>
      <c r="AN399" s="7">
        <v>0</v>
      </c>
      <c r="AO399" s="7">
        <v>0</v>
      </c>
      <c r="AP399" s="7">
        <v>0</v>
      </c>
      <c r="AQ399" s="7">
        <v>3</v>
      </c>
      <c r="AR399" s="7">
        <v>300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0</v>
      </c>
      <c r="BL399" s="9">
        <v>3852</v>
      </c>
      <c r="BM399" s="10">
        <v>19140</v>
      </c>
      <c r="BN399" s="15">
        <f t="shared" si="12"/>
        <v>15288</v>
      </c>
      <c r="BO399" s="16">
        <f t="shared" si="13"/>
        <v>10701.599999999999</v>
      </c>
    </row>
    <row r="400" spans="1:67" x14ac:dyDescent="0.4">
      <c r="A400" s="5" t="s">
        <v>460</v>
      </c>
      <c r="B400" s="5" t="s">
        <v>226</v>
      </c>
      <c r="C400" s="5">
        <v>399878</v>
      </c>
      <c r="D400" s="6"/>
      <c r="E400" s="5" t="s">
        <v>16</v>
      </c>
      <c r="F400" s="5" t="s">
        <v>227</v>
      </c>
      <c r="G400" s="5" t="s">
        <v>34</v>
      </c>
      <c r="H400" s="7" t="s">
        <v>8</v>
      </c>
      <c r="I400" s="7" t="s">
        <v>228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1</v>
      </c>
      <c r="AF400" s="7">
        <v>120</v>
      </c>
      <c r="AG400" s="7">
        <v>0</v>
      </c>
      <c r="AH400" s="7">
        <v>0</v>
      </c>
      <c r="AI400" s="7">
        <v>0</v>
      </c>
      <c r="AJ400" s="7">
        <v>0</v>
      </c>
      <c r="AK400" s="7">
        <v>105</v>
      </c>
      <c r="AL400" s="8">
        <v>12600</v>
      </c>
      <c r="AM400" s="7">
        <v>0</v>
      </c>
      <c r="AN400" s="7">
        <v>0</v>
      </c>
      <c r="AO400" s="7">
        <v>0</v>
      </c>
      <c r="AP400" s="7">
        <v>0</v>
      </c>
      <c r="AQ400" s="7">
        <v>58</v>
      </c>
      <c r="AR400" s="8">
        <v>5600</v>
      </c>
      <c r="AS400" s="7">
        <v>200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9">
        <v>3780</v>
      </c>
      <c r="BM400" s="10">
        <v>18520</v>
      </c>
      <c r="BN400" s="15">
        <f t="shared" si="12"/>
        <v>14740</v>
      </c>
      <c r="BO400" s="16">
        <f t="shared" si="13"/>
        <v>10318</v>
      </c>
    </row>
    <row r="401" spans="1:67" x14ac:dyDescent="0.4">
      <c r="A401" s="5" t="s">
        <v>460</v>
      </c>
      <c r="B401" s="5" t="s">
        <v>233</v>
      </c>
      <c r="C401" s="5">
        <v>429534</v>
      </c>
      <c r="D401" s="6"/>
      <c r="E401" s="5" t="s">
        <v>16</v>
      </c>
      <c r="F401" s="5" t="s">
        <v>173</v>
      </c>
      <c r="G401" s="5" t="s">
        <v>411</v>
      </c>
      <c r="H401" s="7" t="s">
        <v>7</v>
      </c>
      <c r="I401" s="7" t="s">
        <v>234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6</v>
      </c>
      <c r="AL401" s="8">
        <v>10080</v>
      </c>
      <c r="AM401" s="8">
        <v>8400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s="7">
        <v>0</v>
      </c>
      <c r="BK401" s="7">
        <v>0</v>
      </c>
      <c r="BL401" s="9">
        <v>3024</v>
      </c>
      <c r="BM401" s="10">
        <v>18480</v>
      </c>
      <c r="BN401" s="15">
        <f t="shared" si="12"/>
        <v>15456</v>
      </c>
      <c r="BO401" s="16">
        <f t="shared" si="13"/>
        <v>10819.199999999999</v>
      </c>
    </row>
    <row r="402" spans="1:67" x14ac:dyDescent="0.4">
      <c r="A402" s="5" t="s">
        <v>460</v>
      </c>
      <c r="B402" s="5" t="s">
        <v>137</v>
      </c>
      <c r="C402" s="5">
        <v>337887</v>
      </c>
      <c r="D402" s="6"/>
      <c r="E402" s="5" t="s">
        <v>16</v>
      </c>
      <c r="F402" s="5" t="s">
        <v>133</v>
      </c>
      <c r="G402" s="5" t="s">
        <v>34</v>
      </c>
      <c r="H402" s="7" t="s">
        <v>8</v>
      </c>
      <c r="I402" s="7" t="s">
        <v>138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70</v>
      </c>
      <c r="AF402" s="8">
        <v>6200</v>
      </c>
      <c r="AG402" s="7">
        <v>800</v>
      </c>
      <c r="AH402" s="7">
        <v>0</v>
      </c>
      <c r="AI402" s="7">
        <v>0</v>
      </c>
      <c r="AJ402" s="7">
        <v>0</v>
      </c>
      <c r="AK402" s="7">
        <v>95</v>
      </c>
      <c r="AL402" s="8">
        <v>11400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9">
        <v>3420</v>
      </c>
      <c r="BM402" s="10">
        <v>18400</v>
      </c>
      <c r="BN402" s="15">
        <f t="shared" si="12"/>
        <v>14980</v>
      </c>
      <c r="BO402" s="16">
        <f t="shared" si="13"/>
        <v>10486</v>
      </c>
    </row>
    <row r="403" spans="1:67" x14ac:dyDescent="0.4">
      <c r="A403" s="5" t="s">
        <v>460</v>
      </c>
      <c r="B403" s="5" t="s">
        <v>68</v>
      </c>
      <c r="C403" s="5">
        <v>442274</v>
      </c>
      <c r="D403" s="6"/>
      <c r="E403" s="5" t="s">
        <v>16</v>
      </c>
      <c r="F403" s="5" t="s">
        <v>69</v>
      </c>
      <c r="G403" s="5" t="s">
        <v>10</v>
      </c>
      <c r="H403" s="7" t="s">
        <v>7</v>
      </c>
      <c r="I403" s="7" t="s">
        <v>70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11</v>
      </c>
      <c r="AF403" s="8">
        <v>1100</v>
      </c>
      <c r="AG403" s="7">
        <v>0</v>
      </c>
      <c r="AH403" s="7">
        <v>0</v>
      </c>
      <c r="AI403" s="7">
        <v>0</v>
      </c>
      <c r="AJ403" s="7">
        <v>0</v>
      </c>
      <c r="AK403" s="7">
        <v>34</v>
      </c>
      <c r="AL403" s="8">
        <v>2160</v>
      </c>
      <c r="AM403" s="8">
        <v>1600</v>
      </c>
      <c r="AN403" s="7">
        <v>0</v>
      </c>
      <c r="AO403" s="7">
        <v>0</v>
      </c>
      <c r="AP403" s="7">
        <v>0</v>
      </c>
      <c r="AQ403" s="7">
        <v>120</v>
      </c>
      <c r="AR403" s="8">
        <v>12000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648</v>
      </c>
      <c r="BM403" s="10">
        <v>16860</v>
      </c>
      <c r="BN403" s="15">
        <f t="shared" si="12"/>
        <v>16212</v>
      </c>
      <c r="BO403" s="16">
        <f t="shared" si="13"/>
        <v>11348.4</v>
      </c>
    </row>
    <row r="404" spans="1:67" x14ac:dyDescent="0.4">
      <c r="A404" s="5" t="s">
        <v>460</v>
      </c>
      <c r="B404" s="5" t="s">
        <v>576</v>
      </c>
      <c r="C404" s="5">
        <v>418689</v>
      </c>
      <c r="D404" s="6"/>
      <c r="E404" s="5" t="s">
        <v>16</v>
      </c>
      <c r="F404" s="5" t="s">
        <v>197</v>
      </c>
      <c r="G404" s="5" t="s">
        <v>10</v>
      </c>
      <c r="H404" s="7" t="s">
        <v>7</v>
      </c>
      <c r="I404" s="7" t="s">
        <v>577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4</v>
      </c>
      <c r="AL404" s="8">
        <v>15360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9">
        <v>4608</v>
      </c>
      <c r="BM404" s="10">
        <v>15360</v>
      </c>
      <c r="BN404" s="15">
        <f t="shared" si="12"/>
        <v>10752</v>
      </c>
      <c r="BO404" s="16">
        <f t="shared" si="13"/>
        <v>7526.4</v>
      </c>
    </row>
    <row r="405" spans="1:67" x14ac:dyDescent="0.4">
      <c r="A405" s="5" t="s">
        <v>460</v>
      </c>
      <c r="B405" s="5" t="s">
        <v>115</v>
      </c>
      <c r="C405" s="5">
        <v>415710</v>
      </c>
      <c r="D405" s="6"/>
      <c r="E405" s="5" t="s">
        <v>16</v>
      </c>
      <c r="F405" s="5" t="s">
        <v>52</v>
      </c>
      <c r="G405" s="5" t="s">
        <v>34</v>
      </c>
      <c r="H405" s="7" t="s">
        <v>8</v>
      </c>
      <c r="I405" s="7" t="s">
        <v>116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1</v>
      </c>
      <c r="AF405" s="7">
        <v>100</v>
      </c>
      <c r="AG405" s="7">
        <v>0</v>
      </c>
      <c r="AH405" s="7">
        <v>0</v>
      </c>
      <c r="AI405" s="7">
        <v>0</v>
      </c>
      <c r="AJ405" s="7">
        <v>0</v>
      </c>
      <c r="AK405" s="7">
        <v>128</v>
      </c>
      <c r="AL405" s="8">
        <v>8640</v>
      </c>
      <c r="AM405" s="8">
        <v>5600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9">
        <v>2592</v>
      </c>
      <c r="BM405" s="10">
        <v>14340</v>
      </c>
      <c r="BN405" s="15">
        <f t="shared" si="12"/>
        <v>11748</v>
      </c>
      <c r="BO405" s="16">
        <f t="shared" si="13"/>
        <v>8223.6</v>
      </c>
    </row>
    <row r="406" spans="1:67" x14ac:dyDescent="0.4">
      <c r="A406" s="5" t="s">
        <v>460</v>
      </c>
      <c r="B406" s="5" t="s">
        <v>351</v>
      </c>
      <c r="C406" s="5">
        <v>424589</v>
      </c>
      <c r="D406" s="6"/>
      <c r="E406" s="5" t="s">
        <v>16</v>
      </c>
      <c r="F406" s="5" t="s">
        <v>352</v>
      </c>
      <c r="G406" s="5" t="s">
        <v>421</v>
      </c>
      <c r="H406" s="7" t="s">
        <v>8</v>
      </c>
      <c r="I406" s="7" t="s">
        <v>353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117</v>
      </c>
      <c r="AL406" s="8">
        <v>13800</v>
      </c>
      <c r="AM406" s="7">
        <v>200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9">
        <v>4140</v>
      </c>
      <c r="BM406" s="10">
        <v>14000</v>
      </c>
      <c r="BN406" s="15">
        <f t="shared" si="12"/>
        <v>9860</v>
      </c>
      <c r="BO406" s="16">
        <f t="shared" si="13"/>
        <v>6902</v>
      </c>
    </row>
    <row r="407" spans="1:67" x14ac:dyDescent="0.4">
      <c r="A407" s="5" t="s">
        <v>460</v>
      </c>
      <c r="B407" s="5" t="s">
        <v>223</v>
      </c>
      <c r="C407" s="5">
        <v>353981</v>
      </c>
      <c r="D407" s="6"/>
      <c r="E407" s="5" t="s">
        <v>16</v>
      </c>
      <c r="F407" s="5" t="s">
        <v>224</v>
      </c>
      <c r="G407" s="5" t="s">
        <v>34</v>
      </c>
      <c r="H407" s="7" t="s">
        <v>8</v>
      </c>
      <c r="I407" s="7" t="s">
        <v>225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9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3</v>
      </c>
      <c r="AF407" s="7">
        <v>100</v>
      </c>
      <c r="AG407" s="7">
        <v>200</v>
      </c>
      <c r="AH407" s="7">
        <v>0</v>
      </c>
      <c r="AI407" s="7">
        <v>0</v>
      </c>
      <c r="AJ407" s="7">
        <v>0</v>
      </c>
      <c r="AK407" s="7">
        <v>95</v>
      </c>
      <c r="AL407" s="8">
        <v>10320</v>
      </c>
      <c r="AM407" s="7">
        <v>900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9">
        <v>3096</v>
      </c>
      <c r="BM407" s="10">
        <v>11520</v>
      </c>
      <c r="BN407" s="15">
        <f t="shared" si="12"/>
        <v>8424</v>
      </c>
      <c r="BO407" s="16">
        <f t="shared" si="13"/>
        <v>5896.7999999999993</v>
      </c>
    </row>
    <row r="408" spans="1:67" x14ac:dyDescent="0.4">
      <c r="A408" s="5" t="s">
        <v>460</v>
      </c>
      <c r="B408" s="5" t="s">
        <v>32</v>
      </c>
      <c r="C408" s="5">
        <v>395270</v>
      </c>
      <c r="D408" s="6"/>
      <c r="E408" s="5" t="s">
        <v>16</v>
      </c>
      <c r="F408" s="5" t="s">
        <v>33</v>
      </c>
      <c r="G408" s="5" t="s">
        <v>34</v>
      </c>
      <c r="H408" s="7" t="s">
        <v>8</v>
      </c>
      <c r="I408" s="7" t="s">
        <v>35</v>
      </c>
      <c r="J408" s="7">
        <v>3</v>
      </c>
      <c r="K408" s="7">
        <v>0</v>
      </c>
      <c r="L408" s="7">
        <v>300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6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3</v>
      </c>
      <c r="AF408" s="7">
        <v>300</v>
      </c>
      <c r="AG408" s="7">
        <v>0</v>
      </c>
      <c r="AH408" s="7">
        <v>0</v>
      </c>
      <c r="AI408" s="7">
        <v>0</v>
      </c>
      <c r="AJ408" s="7">
        <v>0</v>
      </c>
      <c r="AK408" s="7">
        <v>76</v>
      </c>
      <c r="AL408" s="8">
        <v>6720</v>
      </c>
      <c r="AM408" s="8">
        <v>2000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14</v>
      </c>
      <c r="BD408" s="8">
        <v>1680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9">
        <v>2116.8000000000002</v>
      </c>
      <c r="BM408" s="10">
        <v>11000</v>
      </c>
      <c r="BN408" s="15">
        <f t="shared" si="12"/>
        <v>8883.2000000000007</v>
      </c>
      <c r="BO408" s="16">
        <f t="shared" si="13"/>
        <v>6218.24</v>
      </c>
    </row>
    <row r="409" spans="1:67" x14ac:dyDescent="0.4">
      <c r="A409" s="5" t="s">
        <v>460</v>
      </c>
      <c r="B409" s="5" t="s">
        <v>107</v>
      </c>
      <c r="C409" s="5">
        <v>428379</v>
      </c>
      <c r="D409" s="6"/>
      <c r="E409" s="5" t="s">
        <v>16</v>
      </c>
      <c r="F409" s="5" t="s">
        <v>108</v>
      </c>
      <c r="G409" s="5" t="s">
        <v>421</v>
      </c>
      <c r="H409" s="7" t="s">
        <v>8</v>
      </c>
      <c r="I409" s="7" t="s">
        <v>109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1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67</v>
      </c>
      <c r="AF409" s="8">
        <v>6320</v>
      </c>
      <c r="AG409" s="7">
        <v>400</v>
      </c>
      <c r="AH409" s="7">
        <v>0</v>
      </c>
      <c r="AI409" s="7">
        <v>0</v>
      </c>
      <c r="AJ409" s="7">
        <v>0</v>
      </c>
      <c r="AK409" s="7">
        <v>29</v>
      </c>
      <c r="AL409" s="8">
        <v>1930</v>
      </c>
      <c r="AM409" s="8">
        <v>1300</v>
      </c>
      <c r="AN409" s="7">
        <v>0</v>
      </c>
      <c r="AO409" s="7">
        <v>0</v>
      </c>
      <c r="AP409" s="7">
        <v>0</v>
      </c>
      <c r="AQ409" s="7">
        <v>8</v>
      </c>
      <c r="AR409" s="7">
        <v>800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579</v>
      </c>
      <c r="BM409" s="10">
        <v>10750</v>
      </c>
      <c r="BN409" s="15">
        <f t="shared" si="12"/>
        <v>10171</v>
      </c>
      <c r="BO409" s="16">
        <f t="shared" si="13"/>
        <v>7119.7</v>
      </c>
    </row>
    <row r="410" spans="1:67" x14ac:dyDescent="0.4">
      <c r="A410" s="5" t="s">
        <v>460</v>
      </c>
      <c r="B410" s="5" t="s">
        <v>144</v>
      </c>
      <c r="C410" s="5">
        <v>328404</v>
      </c>
      <c r="D410" s="6"/>
      <c r="E410" s="5" t="s">
        <v>16</v>
      </c>
      <c r="F410" s="5" t="s">
        <v>33</v>
      </c>
      <c r="G410" s="5" t="s">
        <v>34</v>
      </c>
      <c r="H410" s="7" t="s">
        <v>8</v>
      </c>
      <c r="I410" s="7" t="s">
        <v>145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5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59</v>
      </c>
      <c r="AF410" s="8">
        <v>5900</v>
      </c>
      <c r="AG410" s="7">
        <v>0</v>
      </c>
      <c r="AH410" s="7">
        <v>0</v>
      </c>
      <c r="AI410" s="7">
        <v>0</v>
      </c>
      <c r="AJ410" s="7">
        <v>0</v>
      </c>
      <c r="AK410" s="7">
        <v>8</v>
      </c>
      <c r="AL410" s="7">
        <v>0</v>
      </c>
      <c r="AM410" s="7">
        <v>800</v>
      </c>
      <c r="AN410" s="7">
        <v>0</v>
      </c>
      <c r="AO410" s="7">
        <v>0</v>
      </c>
      <c r="AP410" s="7">
        <v>0</v>
      </c>
      <c r="AQ410" s="7">
        <v>38</v>
      </c>
      <c r="AR410" s="8">
        <v>3800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10">
        <v>10500</v>
      </c>
      <c r="BN410" s="15">
        <f t="shared" si="12"/>
        <v>10500</v>
      </c>
      <c r="BO410" s="16">
        <f t="shared" si="13"/>
        <v>7349.9999999999991</v>
      </c>
    </row>
    <row r="411" spans="1:67" x14ac:dyDescent="0.4">
      <c r="A411" s="5" t="s">
        <v>460</v>
      </c>
      <c r="B411" s="5" t="s">
        <v>151</v>
      </c>
      <c r="C411" s="5">
        <v>350894</v>
      </c>
      <c r="D411" s="6"/>
      <c r="E411" s="5" t="s">
        <v>16</v>
      </c>
      <c r="F411" s="5" t="s">
        <v>152</v>
      </c>
      <c r="G411" s="5" t="s">
        <v>34</v>
      </c>
      <c r="H411" s="7" t="s">
        <v>8</v>
      </c>
      <c r="I411" s="7" t="s">
        <v>153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7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70</v>
      </c>
      <c r="AF411" s="8">
        <v>7000</v>
      </c>
      <c r="AG411" s="7">
        <v>0</v>
      </c>
      <c r="AH411" s="7">
        <v>0</v>
      </c>
      <c r="AI411" s="7">
        <v>0</v>
      </c>
      <c r="AJ411" s="7">
        <v>0</v>
      </c>
      <c r="AK411" s="7">
        <v>26</v>
      </c>
      <c r="AL411" s="8">
        <v>3120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s="7">
        <v>0</v>
      </c>
      <c r="BK411" s="7">
        <v>0</v>
      </c>
      <c r="BL411" s="7">
        <v>936</v>
      </c>
      <c r="BM411" s="10">
        <v>10120</v>
      </c>
      <c r="BN411" s="15">
        <f t="shared" si="12"/>
        <v>9184</v>
      </c>
      <c r="BO411" s="16">
        <f t="shared" si="13"/>
        <v>6428.7999999999993</v>
      </c>
    </row>
    <row r="412" spans="1:67" x14ac:dyDescent="0.4">
      <c r="A412" s="5" t="s">
        <v>460</v>
      </c>
      <c r="B412" s="5" t="s">
        <v>258</v>
      </c>
      <c r="C412" s="5">
        <v>395192</v>
      </c>
      <c r="D412" s="6"/>
      <c r="E412" s="5" t="s">
        <v>16</v>
      </c>
      <c r="F412" s="5" t="s">
        <v>130</v>
      </c>
      <c r="G412" s="5" t="s">
        <v>34</v>
      </c>
      <c r="H412" s="7" t="s">
        <v>8</v>
      </c>
      <c r="I412" s="7" t="s">
        <v>259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8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62</v>
      </c>
      <c r="AF412" s="8">
        <v>6200</v>
      </c>
      <c r="AG412" s="7">
        <v>0</v>
      </c>
      <c r="AH412" s="7">
        <v>0</v>
      </c>
      <c r="AI412" s="7">
        <v>0</v>
      </c>
      <c r="AJ412" s="7">
        <v>0</v>
      </c>
      <c r="AK412" s="7">
        <v>38</v>
      </c>
      <c r="AL412" s="7">
        <v>0</v>
      </c>
      <c r="AM412" s="8">
        <v>3800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10">
        <v>10000</v>
      </c>
      <c r="BN412" s="15">
        <f t="shared" si="12"/>
        <v>10000</v>
      </c>
      <c r="BO412" s="16">
        <f t="shared" si="13"/>
        <v>7000</v>
      </c>
    </row>
    <row r="413" spans="1:67" x14ac:dyDescent="0.4">
      <c r="A413" s="5" t="s">
        <v>460</v>
      </c>
      <c r="B413" s="5" t="s">
        <v>201</v>
      </c>
      <c r="C413" s="5">
        <v>458568</v>
      </c>
      <c r="D413" s="6"/>
      <c r="E413" s="5" t="s">
        <v>16</v>
      </c>
      <c r="F413" s="5" t="s">
        <v>30</v>
      </c>
      <c r="G413" s="5" t="s">
        <v>10</v>
      </c>
      <c r="H413" s="7" t="s">
        <v>7</v>
      </c>
      <c r="I413" s="7" t="s">
        <v>200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3</v>
      </c>
      <c r="AR413" s="8">
        <v>9400</v>
      </c>
      <c r="AS413" s="7">
        <v>200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10">
        <v>9600</v>
      </c>
      <c r="BN413" s="15">
        <f t="shared" si="12"/>
        <v>9600</v>
      </c>
      <c r="BO413" s="16">
        <f t="shared" si="13"/>
        <v>6720</v>
      </c>
    </row>
    <row r="414" spans="1:67" x14ac:dyDescent="0.4">
      <c r="A414" s="5" t="s">
        <v>460</v>
      </c>
      <c r="B414" s="5" t="s">
        <v>305</v>
      </c>
      <c r="C414" s="5">
        <v>363413</v>
      </c>
      <c r="D414" s="6"/>
      <c r="E414" s="5" t="s">
        <v>16</v>
      </c>
      <c r="F414" s="5" t="s">
        <v>105</v>
      </c>
      <c r="G414" s="5" t="s">
        <v>34</v>
      </c>
      <c r="H414" s="7" t="s">
        <v>8</v>
      </c>
      <c r="I414" s="7" t="s">
        <v>306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1</v>
      </c>
      <c r="T414" s="7">
        <v>0</v>
      </c>
      <c r="U414" s="7">
        <v>0</v>
      </c>
      <c r="V414" s="7">
        <v>100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45</v>
      </c>
      <c r="AF414" s="8">
        <v>4500</v>
      </c>
      <c r="AG414" s="7">
        <v>0</v>
      </c>
      <c r="AH414" s="7">
        <v>0</v>
      </c>
      <c r="AI414" s="7">
        <v>0</v>
      </c>
      <c r="AJ414" s="7">
        <v>0</v>
      </c>
      <c r="AK414" s="7">
        <v>38</v>
      </c>
      <c r="AL414" s="8">
        <v>4560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9">
        <v>1368</v>
      </c>
      <c r="BM414" s="10">
        <v>9160</v>
      </c>
      <c r="BN414" s="15">
        <f t="shared" si="12"/>
        <v>7792</v>
      </c>
      <c r="BO414" s="16">
        <f t="shared" si="13"/>
        <v>5454.4</v>
      </c>
    </row>
    <row r="415" spans="1:67" x14ac:dyDescent="0.4">
      <c r="A415" s="5" t="s">
        <v>460</v>
      </c>
      <c r="B415" s="5" t="s">
        <v>212</v>
      </c>
      <c r="C415" s="5">
        <v>415992</v>
      </c>
      <c r="D415" s="6"/>
      <c r="E415" s="5" t="s">
        <v>16</v>
      </c>
      <c r="F415" s="5" t="s">
        <v>41</v>
      </c>
      <c r="G415" s="5" t="s">
        <v>34</v>
      </c>
      <c r="H415" s="7" t="s">
        <v>8</v>
      </c>
      <c r="I415" s="7" t="s">
        <v>213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43</v>
      </c>
      <c r="AF415" s="8">
        <v>4300</v>
      </c>
      <c r="AG415" s="7">
        <v>0</v>
      </c>
      <c r="AH415" s="7">
        <v>0</v>
      </c>
      <c r="AI415" s="7">
        <v>0</v>
      </c>
      <c r="AJ415" s="7">
        <v>0</v>
      </c>
      <c r="AK415" s="7">
        <v>37</v>
      </c>
      <c r="AL415" s="8">
        <v>4440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9">
        <v>1332</v>
      </c>
      <c r="BM415" s="10">
        <v>8740</v>
      </c>
      <c r="BN415" s="15">
        <f t="shared" si="12"/>
        <v>7408</v>
      </c>
      <c r="BO415" s="16">
        <f t="shared" si="13"/>
        <v>5185.5999999999995</v>
      </c>
    </row>
    <row r="416" spans="1:67" x14ac:dyDescent="0.4">
      <c r="A416" s="5" t="s">
        <v>460</v>
      </c>
      <c r="B416" s="5" t="s">
        <v>161</v>
      </c>
      <c r="C416" s="5">
        <v>423577</v>
      </c>
      <c r="D416" s="6"/>
      <c r="E416" s="5" t="s">
        <v>16</v>
      </c>
      <c r="F416" s="5" t="s">
        <v>162</v>
      </c>
      <c r="G416" s="5" t="s">
        <v>34</v>
      </c>
      <c r="H416" s="7" t="s">
        <v>8</v>
      </c>
      <c r="I416" s="7" t="s">
        <v>163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2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70</v>
      </c>
      <c r="AF416" s="8">
        <v>7000</v>
      </c>
      <c r="AG416" s="7">
        <v>0</v>
      </c>
      <c r="AH416" s="7">
        <v>0</v>
      </c>
      <c r="AI416" s="7">
        <v>0</v>
      </c>
      <c r="AJ416" s="7">
        <v>0</v>
      </c>
      <c r="AK416" s="7">
        <v>14</v>
      </c>
      <c r="AL416" s="7">
        <v>600</v>
      </c>
      <c r="AM416" s="7">
        <v>900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180</v>
      </c>
      <c r="BM416" s="10">
        <v>8500</v>
      </c>
      <c r="BN416" s="15">
        <f t="shared" si="12"/>
        <v>8320</v>
      </c>
      <c r="BO416" s="16">
        <f t="shared" si="13"/>
        <v>5824</v>
      </c>
    </row>
    <row r="417" spans="1:67" x14ac:dyDescent="0.4">
      <c r="A417" s="5" t="s">
        <v>460</v>
      </c>
      <c r="B417" s="5" t="s">
        <v>241</v>
      </c>
      <c r="C417" s="5">
        <v>458561</v>
      </c>
      <c r="D417" s="6"/>
      <c r="E417" s="5" t="s">
        <v>16</v>
      </c>
      <c r="F417" s="5" t="s">
        <v>30</v>
      </c>
      <c r="G417" s="5" t="s">
        <v>10</v>
      </c>
      <c r="H417" s="7" t="s">
        <v>7</v>
      </c>
      <c r="I417" s="7" t="s">
        <v>200</v>
      </c>
      <c r="J417" s="7">
        <v>3</v>
      </c>
      <c r="K417" s="7">
        <v>0</v>
      </c>
      <c r="L417" s="7">
        <v>300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29</v>
      </c>
      <c r="AL417" s="7">
        <v>0</v>
      </c>
      <c r="AM417" s="8">
        <v>2900</v>
      </c>
      <c r="AN417" s="7">
        <v>0</v>
      </c>
      <c r="AO417" s="7">
        <v>0</v>
      </c>
      <c r="AP417" s="7">
        <v>0</v>
      </c>
      <c r="AQ417" s="7">
        <v>52</v>
      </c>
      <c r="AR417" s="8">
        <v>5000</v>
      </c>
      <c r="AS417" s="7">
        <v>200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10">
        <v>8400</v>
      </c>
      <c r="BN417" s="15">
        <f t="shared" si="12"/>
        <v>8400</v>
      </c>
      <c r="BO417" s="16">
        <f t="shared" si="13"/>
        <v>5880</v>
      </c>
    </row>
    <row r="418" spans="1:67" x14ac:dyDescent="0.4">
      <c r="A418" s="5" t="s">
        <v>460</v>
      </c>
      <c r="B418" s="5" t="s">
        <v>156</v>
      </c>
      <c r="C418" s="5">
        <v>433508</v>
      </c>
      <c r="D418" s="6"/>
      <c r="E418" s="5" t="s">
        <v>16</v>
      </c>
      <c r="F418" s="5" t="s">
        <v>157</v>
      </c>
      <c r="G418" s="5" t="s">
        <v>10</v>
      </c>
      <c r="H418" s="7" t="s">
        <v>7</v>
      </c>
      <c r="I418" s="7" t="s">
        <v>158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3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84</v>
      </c>
      <c r="AF418" s="8">
        <v>8400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s="7">
        <v>0</v>
      </c>
      <c r="BK418" s="7">
        <v>0</v>
      </c>
      <c r="BL418" s="7">
        <v>0</v>
      </c>
      <c r="BM418" s="10">
        <v>8400</v>
      </c>
      <c r="BN418" s="15">
        <f t="shared" si="12"/>
        <v>8400</v>
      </c>
      <c r="BO418" s="16">
        <f t="shared" si="13"/>
        <v>5880</v>
      </c>
    </row>
    <row r="419" spans="1:67" x14ac:dyDescent="0.4">
      <c r="A419" s="5" t="s">
        <v>460</v>
      </c>
      <c r="B419" s="5" t="s">
        <v>229</v>
      </c>
      <c r="C419" s="5">
        <v>382446</v>
      </c>
      <c r="D419" s="6"/>
      <c r="E419" s="5" t="s">
        <v>16</v>
      </c>
      <c r="F419" s="5" t="s">
        <v>52</v>
      </c>
      <c r="G419" s="5" t="s">
        <v>34</v>
      </c>
      <c r="H419" s="7" t="s">
        <v>8</v>
      </c>
      <c r="I419" s="7" t="s">
        <v>230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8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80</v>
      </c>
      <c r="AF419" s="8">
        <v>8000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10">
        <v>8000</v>
      </c>
      <c r="BN419" s="15">
        <f t="shared" si="12"/>
        <v>8000</v>
      </c>
      <c r="BO419" s="16">
        <f t="shared" si="13"/>
        <v>5600</v>
      </c>
    </row>
    <row r="420" spans="1:67" x14ac:dyDescent="0.4">
      <c r="A420" s="5" t="s">
        <v>460</v>
      </c>
      <c r="B420" s="5" t="s">
        <v>296</v>
      </c>
      <c r="C420" s="5">
        <v>377088</v>
      </c>
      <c r="D420" s="6"/>
      <c r="E420" s="5" t="s">
        <v>16</v>
      </c>
      <c r="F420" s="5" t="s">
        <v>297</v>
      </c>
      <c r="G420" s="5" t="s">
        <v>34</v>
      </c>
      <c r="H420" s="7" t="s">
        <v>8</v>
      </c>
      <c r="I420" s="7" t="s">
        <v>298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11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63</v>
      </c>
      <c r="AL420" s="8">
        <v>7806</v>
      </c>
      <c r="AM420" s="7">
        <v>100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9">
        <v>2341.8000000000002</v>
      </c>
      <c r="BM420" s="10">
        <v>7906</v>
      </c>
      <c r="BN420" s="15">
        <f t="shared" si="12"/>
        <v>5564.2</v>
      </c>
      <c r="BO420" s="16">
        <f t="shared" si="13"/>
        <v>3894.9399999999996</v>
      </c>
    </row>
    <row r="421" spans="1:67" x14ac:dyDescent="0.4">
      <c r="A421" s="5" t="s">
        <v>460</v>
      </c>
      <c r="B421" s="5" t="s">
        <v>307</v>
      </c>
      <c r="C421" s="5">
        <v>430085</v>
      </c>
      <c r="D421" s="6"/>
      <c r="E421" s="5" t="s">
        <v>16</v>
      </c>
      <c r="F421" s="5" t="s">
        <v>86</v>
      </c>
      <c r="G421" s="5" t="s">
        <v>10</v>
      </c>
      <c r="H421" s="7" t="s">
        <v>9</v>
      </c>
      <c r="I421" s="7" t="s">
        <v>308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1</v>
      </c>
      <c r="AL421" s="8">
        <v>3840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s="7">
        <v>0</v>
      </c>
      <c r="BC421" s="7">
        <v>1</v>
      </c>
      <c r="BD421" s="8">
        <v>3840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0</v>
      </c>
      <c r="BL421" s="9">
        <v>1382.4</v>
      </c>
      <c r="BM421" s="10">
        <v>7680</v>
      </c>
      <c r="BN421" s="15">
        <f t="shared" si="12"/>
        <v>6297.6</v>
      </c>
      <c r="BO421" s="16">
        <f t="shared" si="13"/>
        <v>4408.32</v>
      </c>
    </row>
    <row r="422" spans="1:67" x14ac:dyDescent="0.4">
      <c r="A422" s="5" t="s">
        <v>460</v>
      </c>
      <c r="B422" s="5" t="s">
        <v>159</v>
      </c>
      <c r="C422" s="5">
        <v>376361</v>
      </c>
      <c r="D422" s="6"/>
      <c r="E422" s="5" t="s">
        <v>16</v>
      </c>
      <c r="F422" s="5" t="s">
        <v>47</v>
      </c>
      <c r="G422" s="5" t="s">
        <v>34</v>
      </c>
      <c r="H422" s="7" t="s">
        <v>8</v>
      </c>
      <c r="I422" s="7" t="s">
        <v>160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7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74</v>
      </c>
      <c r="AF422" s="8">
        <v>7400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1</v>
      </c>
      <c r="AR422" s="7">
        <v>100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10">
        <v>7500</v>
      </c>
      <c r="BN422" s="15">
        <f t="shared" si="12"/>
        <v>7500</v>
      </c>
      <c r="BO422" s="16">
        <f t="shared" si="13"/>
        <v>5250</v>
      </c>
    </row>
    <row r="423" spans="1:67" ht="19.2" x14ac:dyDescent="0.4">
      <c r="A423" s="5" t="s">
        <v>460</v>
      </c>
      <c r="B423" s="5" t="s">
        <v>164</v>
      </c>
      <c r="C423" s="5">
        <v>467470</v>
      </c>
      <c r="D423" s="6"/>
      <c r="E423" s="5" t="s">
        <v>16</v>
      </c>
      <c r="F423" s="5" t="s">
        <v>165</v>
      </c>
      <c r="G423" s="5" t="s">
        <v>34</v>
      </c>
      <c r="H423" s="7" t="s">
        <v>8</v>
      </c>
      <c r="I423" s="7" t="s">
        <v>166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2</v>
      </c>
      <c r="AL423" s="8">
        <v>7200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7">
        <v>0</v>
      </c>
      <c r="BL423" s="9">
        <v>2160</v>
      </c>
      <c r="BM423" s="10">
        <v>7200</v>
      </c>
      <c r="BN423" s="15">
        <f t="shared" si="12"/>
        <v>5040</v>
      </c>
      <c r="BO423" s="16">
        <f t="shared" si="13"/>
        <v>3528</v>
      </c>
    </row>
    <row r="424" spans="1:67" x14ac:dyDescent="0.4">
      <c r="A424" s="5" t="s">
        <v>460</v>
      </c>
      <c r="B424" s="5" t="s">
        <v>310</v>
      </c>
      <c r="C424" s="5">
        <v>431330</v>
      </c>
      <c r="D424" s="6"/>
      <c r="E424" s="5" t="s">
        <v>16</v>
      </c>
      <c r="F424" s="5" t="s">
        <v>264</v>
      </c>
      <c r="G424" s="5" t="s">
        <v>34</v>
      </c>
      <c r="H424" s="7" t="s">
        <v>8</v>
      </c>
      <c r="I424" s="7" t="s">
        <v>311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6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52</v>
      </c>
      <c r="AL424" s="8">
        <v>6260</v>
      </c>
      <c r="AM424" s="7">
        <v>0</v>
      </c>
      <c r="AN424" s="7">
        <v>0</v>
      </c>
      <c r="AO424" s="7">
        <v>0</v>
      </c>
      <c r="AP424" s="7">
        <v>0</v>
      </c>
      <c r="AQ424" s="7">
        <v>9</v>
      </c>
      <c r="AR424" s="7">
        <v>900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9">
        <v>1878</v>
      </c>
      <c r="BM424" s="10">
        <v>7160</v>
      </c>
      <c r="BN424" s="15">
        <f t="shared" si="12"/>
        <v>5282</v>
      </c>
      <c r="BO424" s="16">
        <f t="shared" si="13"/>
        <v>3697.3999999999996</v>
      </c>
    </row>
    <row r="425" spans="1:67" x14ac:dyDescent="0.4">
      <c r="A425" s="5" t="s">
        <v>460</v>
      </c>
      <c r="B425" s="5" t="s">
        <v>281</v>
      </c>
      <c r="C425" s="5">
        <v>392673</v>
      </c>
      <c r="D425" s="6"/>
      <c r="E425" s="5" t="s">
        <v>16</v>
      </c>
      <c r="F425" s="5" t="s">
        <v>105</v>
      </c>
      <c r="G425" s="5" t="s">
        <v>34</v>
      </c>
      <c r="H425" s="7" t="s">
        <v>8</v>
      </c>
      <c r="I425" s="7" t="s">
        <v>282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1</v>
      </c>
      <c r="AL425" s="8">
        <v>3840</v>
      </c>
      <c r="AM425" s="7">
        <v>0</v>
      </c>
      <c r="AN425" s="7">
        <v>0</v>
      </c>
      <c r="AO425" s="7">
        <v>0</v>
      </c>
      <c r="AP425" s="7">
        <v>0</v>
      </c>
      <c r="AQ425" s="7">
        <v>1</v>
      </c>
      <c r="AR425" s="8">
        <v>3200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9">
        <v>1152</v>
      </c>
      <c r="BM425" s="10">
        <v>7040</v>
      </c>
      <c r="BN425" s="15">
        <f t="shared" si="12"/>
        <v>5888</v>
      </c>
      <c r="BO425" s="16">
        <f t="shared" si="13"/>
        <v>4121.5999999999995</v>
      </c>
    </row>
    <row r="426" spans="1:67" x14ac:dyDescent="0.4">
      <c r="A426" s="5" t="s">
        <v>460</v>
      </c>
      <c r="B426" s="5" t="s">
        <v>295</v>
      </c>
      <c r="C426" s="5">
        <v>385169</v>
      </c>
      <c r="D426" s="6"/>
      <c r="E426" s="5" t="s">
        <v>16</v>
      </c>
      <c r="F426" s="5" t="s">
        <v>207</v>
      </c>
      <c r="G426" s="5" t="s">
        <v>34</v>
      </c>
      <c r="H426" s="7" t="s">
        <v>8</v>
      </c>
      <c r="I426" s="7" t="s">
        <v>289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7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70</v>
      </c>
      <c r="AL426" s="7">
        <v>0</v>
      </c>
      <c r="AM426" s="8">
        <v>7000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10">
        <v>7000</v>
      </c>
      <c r="BN426" s="15">
        <f t="shared" si="12"/>
        <v>7000</v>
      </c>
      <c r="BO426" s="16">
        <f t="shared" si="13"/>
        <v>4900</v>
      </c>
    </row>
    <row r="427" spans="1:67" x14ac:dyDescent="0.4">
      <c r="A427" s="5" t="s">
        <v>460</v>
      </c>
      <c r="B427" s="5" t="s">
        <v>395</v>
      </c>
      <c r="C427" s="5">
        <v>471707</v>
      </c>
      <c r="D427" s="6"/>
      <c r="E427" s="5" t="s">
        <v>16</v>
      </c>
      <c r="F427" s="5" t="s">
        <v>396</v>
      </c>
      <c r="G427" s="5" t="s">
        <v>10</v>
      </c>
      <c r="H427" s="7" t="s">
        <v>7</v>
      </c>
      <c r="I427" s="7" t="s">
        <v>397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64</v>
      </c>
      <c r="AF427" s="8">
        <v>4700</v>
      </c>
      <c r="AG427" s="8">
        <v>1700</v>
      </c>
      <c r="AH427" s="7">
        <v>0</v>
      </c>
      <c r="AI427" s="7">
        <v>0</v>
      </c>
      <c r="AJ427" s="7">
        <v>0</v>
      </c>
      <c r="AK427" s="7">
        <v>4</v>
      </c>
      <c r="AL427" s="7">
        <v>0</v>
      </c>
      <c r="AM427" s="7">
        <v>400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10">
        <v>6800</v>
      </c>
      <c r="BN427" s="15">
        <f t="shared" si="12"/>
        <v>6800</v>
      </c>
      <c r="BO427" s="16">
        <f t="shared" si="13"/>
        <v>4760</v>
      </c>
    </row>
    <row r="428" spans="1:67" x14ac:dyDescent="0.4">
      <c r="A428" s="5" t="s">
        <v>460</v>
      </c>
      <c r="B428" s="5" t="s">
        <v>442</v>
      </c>
      <c r="C428" s="5">
        <v>451412</v>
      </c>
      <c r="D428" s="6"/>
      <c r="E428" s="5" t="s">
        <v>16</v>
      </c>
      <c r="F428" s="5" t="s">
        <v>443</v>
      </c>
      <c r="G428" s="5" t="s">
        <v>421</v>
      </c>
      <c r="H428" s="7" t="s">
        <v>8</v>
      </c>
      <c r="I428" s="7" t="s">
        <v>444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25</v>
      </c>
      <c r="AF428" s="8">
        <v>2500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41</v>
      </c>
      <c r="AR428" s="8">
        <v>4100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10">
        <v>6600</v>
      </c>
      <c r="BN428" s="15">
        <f t="shared" si="12"/>
        <v>6600</v>
      </c>
      <c r="BO428" s="16">
        <f t="shared" si="13"/>
        <v>4620</v>
      </c>
    </row>
    <row r="429" spans="1:67" x14ac:dyDescent="0.4">
      <c r="A429" s="5" t="s">
        <v>460</v>
      </c>
      <c r="B429" s="5" t="s">
        <v>455</v>
      </c>
      <c r="C429" s="5">
        <v>304651</v>
      </c>
      <c r="D429" s="6"/>
      <c r="E429" s="5" t="s">
        <v>16</v>
      </c>
      <c r="F429" s="5" t="s">
        <v>66</v>
      </c>
      <c r="G429" s="5" t="s">
        <v>10</v>
      </c>
      <c r="H429" s="7" t="s">
        <v>7</v>
      </c>
      <c r="I429" s="7" t="s">
        <v>456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7</v>
      </c>
      <c r="AC429" s="8">
        <v>6300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10">
        <v>6300</v>
      </c>
      <c r="BN429" s="15">
        <f t="shared" si="12"/>
        <v>6300</v>
      </c>
      <c r="BO429" s="16">
        <f t="shared" si="13"/>
        <v>4410</v>
      </c>
    </row>
    <row r="430" spans="1:67" x14ac:dyDescent="0.4">
      <c r="A430" s="5" t="s">
        <v>460</v>
      </c>
      <c r="B430" s="5" t="s">
        <v>85</v>
      </c>
      <c r="C430" s="5">
        <v>422032</v>
      </c>
      <c r="D430" s="6"/>
      <c r="E430" s="5" t="s">
        <v>16</v>
      </c>
      <c r="F430" s="5" t="s">
        <v>86</v>
      </c>
      <c r="G430" s="5" t="s">
        <v>10</v>
      </c>
      <c r="H430" s="7" t="s">
        <v>9</v>
      </c>
      <c r="I430" s="7" t="s">
        <v>87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4</v>
      </c>
      <c r="AF430" s="7">
        <v>0</v>
      </c>
      <c r="AG430" s="7">
        <v>400</v>
      </c>
      <c r="AH430" s="7">
        <v>0</v>
      </c>
      <c r="AI430" s="7">
        <v>0</v>
      </c>
      <c r="AJ430" s="7">
        <v>0</v>
      </c>
      <c r="AK430" s="7">
        <v>45</v>
      </c>
      <c r="AL430" s="8">
        <v>5280</v>
      </c>
      <c r="AM430" s="7">
        <v>100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s="7">
        <v>0</v>
      </c>
      <c r="BK430" s="7">
        <v>0</v>
      </c>
      <c r="BL430" s="9">
        <v>1584</v>
      </c>
      <c r="BM430" s="10">
        <v>5780</v>
      </c>
      <c r="BN430" s="15">
        <f t="shared" si="12"/>
        <v>4196</v>
      </c>
      <c r="BO430" s="16">
        <f t="shared" si="13"/>
        <v>2937.2</v>
      </c>
    </row>
    <row r="431" spans="1:67" x14ac:dyDescent="0.4">
      <c r="A431" s="5" t="s">
        <v>460</v>
      </c>
      <c r="B431" s="5" t="s">
        <v>320</v>
      </c>
      <c r="C431" s="5">
        <v>358202</v>
      </c>
      <c r="D431" s="6"/>
      <c r="E431" s="5" t="s">
        <v>16</v>
      </c>
      <c r="F431" s="5" t="s">
        <v>264</v>
      </c>
      <c r="G431" s="5" t="s">
        <v>34</v>
      </c>
      <c r="H431" s="7" t="s">
        <v>8</v>
      </c>
      <c r="I431" s="7" t="s">
        <v>321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4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7</v>
      </c>
      <c r="AF431" s="7">
        <v>700</v>
      </c>
      <c r="AG431" s="7">
        <v>0</v>
      </c>
      <c r="AH431" s="7">
        <v>0</v>
      </c>
      <c r="AI431" s="7">
        <v>0</v>
      </c>
      <c r="AJ431" s="7">
        <v>0</v>
      </c>
      <c r="AK431" s="7">
        <v>41</v>
      </c>
      <c r="AL431" s="8">
        <v>4920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9">
        <v>1476</v>
      </c>
      <c r="BM431" s="10">
        <v>5620</v>
      </c>
      <c r="BN431" s="15">
        <f t="shared" si="12"/>
        <v>4144</v>
      </c>
      <c r="BO431" s="16">
        <f t="shared" si="13"/>
        <v>2900.7999999999997</v>
      </c>
    </row>
    <row r="432" spans="1:67" x14ac:dyDescent="0.4">
      <c r="A432" s="5" t="s">
        <v>460</v>
      </c>
      <c r="B432" s="5" t="s">
        <v>373</v>
      </c>
      <c r="C432" s="5">
        <v>387975</v>
      </c>
      <c r="D432" s="6"/>
      <c r="E432" s="5" t="s">
        <v>16</v>
      </c>
      <c r="F432" s="5" t="s">
        <v>152</v>
      </c>
      <c r="G432" s="5" t="s">
        <v>34</v>
      </c>
      <c r="H432" s="7" t="s">
        <v>300</v>
      </c>
      <c r="I432" s="7" t="s">
        <v>143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2</v>
      </c>
      <c r="AF432" s="8">
        <v>5600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10">
        <v>5600</v>
      </c>
      <c r="BN432" s="15">
        <f t="shared" si="12"/>
        <v>5600</v>
      </c>
      <c r="BO432" s="16">
        <f t="shared" si="13"/>
        <v>3919.9999999999995</v>
      </c>
    </row>
    <row r="433" spans="1:67" x14ac:dyDescent="0.4">
      <c r="A433" s="5" t="s">
        <v>460</v>
      </c>
      <c r="B433" s="5" t="s">
        <v>186</v>
      </c>
      <c r="C433" s="5">
        <v>423328</v>
      </c>
      <c r="D433" s="6"/>
      <c r="E433" s="5" t="s">
        <v>16</v>
      </c>
      <c r="F433" s="5" t="s">
        <v>30</v>
      </c>
      <c r="G433" s="5" t="s">
        <v>10</v>
      </c>
      <c r="H433" s="7" t="s">
        <v>7</v>
      </c>
      <c r="I433" s="7" t="s">
        <v>187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5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42</v>
      </c>
      <c r="AF433" s="7">
        <v>0</v>
      </c>
      <c r="AG433" s="8">
        <v>4200</v>
      </c>
      <c r="AH433" s="7">
        <v>0</v>
      </c>
      <c r="AI433" s="7">
        <v>0</v>
      </c>
      <c r="AJ433" s="7">
        <v>0</v>
      </c>
      <c r="AK433" s="7">
        <v>13</v>
      </c>
      <c r="AL433" s="7">
        <v>0</v>
      </c>
      <c r="AM433" s="8">
        <v>1300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s="7">
        <v>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</v>
      </c>
      <c r="BM433" s="10">
        <v>5500</v>
      </c>
      <c r="BN433" s="15">
        <f t="shared" si="12"/>
        <v>5500</v>
      </c>
      <c r="BO433" s="16">
        <f t="shared" si="13"/>
        <v>3849.9999999999995</v>
      </c>
    </row>
    <row r="434" spans="1:67" x14ac:dyDescent="0.4">
      <c r="A434" s="5" t="s">
        <v>460</v>
      </c>
      <c r="B434" s="5" t="s">
        <v>439</v>
      </c>
      <c r="C434" s="5">
        <v>416216</v>
      </c>
      <c r="D434" s="6"/>
      <c r="E434" s="5" t="s">
        <v>16</v>
      </c>
      <c r="F434" s="5" t="s">
        <v>279</v>
      </c>
      <c r="G434" s="5" t="s">
        <v>34</v>
      </c>
      <c r="H434" s="7" t="s">
        <v>8</v>
      </c>
      <c r="I434" s="7" t="s">
        <v>155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2</v>
      </c>
      <c r="AF434" s="8">
        <v>4600</v>
      </c>
      <c r="AG434" s="7">
        <v>0</v>
      </c>
      <c r="AH434" s="7">
        <v>0</v>
      </c>
      <c r="AI434" s="7">
        <v>0</v>
      </c>
      <c r="AJ434" s="7">
        <v>0</v>
      </c>
      <c r="AK434" s="7">
        <v>1</v>
      </c>
      <c r="AL434" s="7">
        <v>0</v>
      </c>
      <c r="AM434" s="7">
        <v>400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0</v>
      </c>
      <c r="BM434" s="10">
        <v>5000</v>
      </c>
      <c r="BN434" s="15">
        <f t="shared" si="12"/>
        <v>5000</v>
      </c>
      <c r="BO434" s="16">
        <f t="shared" si="13"/>
        <v>3500</v>
      </c>
    </row>
    <row r="435" spans="1:67" x14ac:dyDescent="0.4">
      <c r="A435" s="5" t="s">
        <v>460</v>
      </c>
      <c r="B435" s="5" t="s">
        <v>290</v>
      </c>
      <c r="C435" s="5">
        <v>445862</v>
      </c>
      <c r="D435" s="6"/>
      <c r="E435" s="5" t="s">
        <v>16</v>
      </c>
      <c r="F435" s="5" t="s">
        <v>47</v>
      </c>
      <c r="G435" s="5" t="s">
        <v>34</v>
      </c>
      <c r="H435" s="7" t="s">
        <v>8</v>
      </c>
      <c r="I435" s="7" t="s">
        <v>195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1</v>
      </c>
      <c r="AF435" s="8">
        <v>1600</v>
      </c>
      <c r="AG435" s="7">
        <v>400</v>
      </c>
      <c r="AH435" s="7">
        <v>0</v>
      </c>
      <c r="AI435" s="7">
        <v>0</v>
      </c>
      <c r="AJ435" s="7">
        <v>0</v>
      </c>
      <c r="AK435" s="7">
        <v>1</v>
      </c>
      <c r="AL435" s="7">
        <v>0</v>
      </c>
      <c r="AM435" s="7">
        <v>200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s="7">
        <v>0</v>
      </c>
      <c r="BC435" s="7">
        <v>1</v>
      </c>
      <c r="BD435" s="8">
        <v>2640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0</v>
      </c>
      <c r="BL435" s="7">
        <v>158.4</v>
      </c>
      <c r="BM435" s="10">
        <v>4840</v>
      </c>
      <c r="BN435" s="15">
        <f t="shared" si="12"/>
        <v>4681.6000000000004</v>
      </c>
      <c r="BO435" s="16">
        <f t="shared" si="13"/>
        <v>3277.12</v>
      </c>
    </row>
    <row r="436" spans="1:67" x14ac:dyDescent="0.4">
      <c r="A436" s="5" t="s">
        <v>460</v>
      </c>
      <c r="B436" s="5" t="s">
        <v>51</v>
      </c>
      <c r="C436" s="5">
        <v>369720</v>
      </c>
      <c r="D436" s="6"/>
      <c r="E436" s="5" t="s">
        <v>16</v>
      </c>
      <c r="F436" s="5" t="s">
        <v>52</v>
      </c>
      <c r="G436" s="5" t="s">
        <v>34</v>
      </c>
      <c r="H436" s="7" t="s">
        <v>8</v>
      </c>
      <c r="I436" s="7" t="s">
        <v>53</v>
      </c>
      <c r="J436" s="7">
        <v>0</v>
      </c>
      <c r="K436" s="7">
        <v>8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12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17</v>
      </c>
      <c r="AF436" s="8">
        <v>1700</v>
      </c>
      <c r="AG436" s="7">
        <v>0</v>
      </c>
      <c r="AH436" s="7">
        <v>0</v>
      </c>
      <c r="AI436" s="7">
        <v>0</v>
      </c>
      <c r="AJ436" s="7">
        <v>0</v>
      </c>
      <c r="AK436" s="7">
        <v>26</v>
      </c>
      <c r="AL436" s="8">
        <v>3120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936</v>
      </c>
      <c r="BM436" s="10">
        <v>4820</v>
      </c>
      <c r="BN436" s="15">
        <f t="shared" si="12"/>
        <v>3884</v>
      </c>
      <c r="BO436" s="16">
        <f t="shared" si="13"/>
        <v>2718.7999999999997</v>
      </c>
    </row>
    <row r="437" spans="1:67" x14ac:dyDescent="0.4">
      <c r="A437" s="5" t="s">
        <v>460</v>
      </c>
      <c r="B437" s="5" t="s">
        <v>546</v>
      </c>
      <c r="C437" s="5">
        <v>441962</v>
      </c>
      <c r="D437" s="6"/>
      <c r="E437" s="5" t="s">
        <v>16</v>
      </c>
      <c r="F437" s="5" t="s">
        <v>443</v>
      </c>
      <c r="G437" s="5" t="s">
        <v>421</v>
      </c>
      <c r="H437" s="7" t="s">
        <v>8</v>
      </c>
      <c r="I437" s="7" t="s">
        <v>547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2</v>
      </c>
      <c r="AL437" s="8">
        <v>4800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0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9">
        <v>1440</v>
      </c>
      <c r="BM437" s="10">
        <v>4800</v>
      </c>
      <c r="BN437" s="15">
        <f t="shared" si="12"/>
        <v>3360</v>
      </c>
      <c r="BO437" s="16">
        <f t="shared" si="13"/>
        <v>2352</v>
      </c>
    </row>
    <row r="438" spans="1:67" ht="19.2" x14ac:dyDescent="0.4">
      <c r="A438" s="5" t="s">
        <v>460</v>
      </c>
      <c r="B438" s="5" t="s">
        <v>246</v>
      </c>
      <c r="C438" s="5">
        <v>469072</v>
      </c>
      <c r="D438" s="6"/>
      <c r="E438" s="5" t="s">
        <v>16</v>
      </c>
      <c r="F438" s="5" t="s">
        <v>165</v>
      </c>
      <c r="G438" s="5" t="s">
        <v>34</v>
      </c>
      <c r="H438" s="7" t="s">
        <v>8</v>
      </c>
      <c r="I438" s="7" t="s">
        <v>247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8</v>
      </c>
      <c r="AF438" s="7">
        <v>800</v>
      </c>
      <c r="AG438" s="7">
        <v>0</v>
      </c>
      <c r="AH438" s="7">
        <v>0</v>
      </c>
      <c r="AI438" s="7">
        <v>0</v>
      </c>
      <c r="AJ438" s="7">
        <v>0</v>
      </c>
      <c r="AK438" s="7">
        <v>38</v>
      </c>
      <c r="AL438" s="7">
        <v>240</v>
      </c>
      <c r="AM438" s="8">
        <v>3600</v>
      </c>
      <c r="AN438" s="7">
        <v>0</v>
      </c>
      <c r="AO438" s="7">
        <v>0</v>
      </c>
      <c r="AP438" s="7">
        <v>0</v>
      </c>
      <c r="AQ438" s="7">
        <v>1</v>
      </c>
      <c r="AR438" s="7">
        <v>100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s="7">
        <v>0</v>
      </c>
      <c r="BK438" s="7">
        <v>0</v>
      </c>
      <c r="BL438" s="7">
        <v>72</v>
      </c>
      <c r="BM438" s="10">
        <v>4740</v>
      </c>
      <c r="BN438" s="15">
        <f t="shared" si="12"/>
        <v>4668</v>
      </c>
      <c r="BO438" s="16">
        <f t="shared" si="13"/>
        <v>3267.6</v>
      </c>
    </row>
    <row r="439" spans="1:67" x14ac:dyDescent="0.4">
      <c r="A439" s="5" t="s">
        <v>460</v>
      </c>
      <c r="B439" s="5" t="s">
        <v>74</v>
      </c>
      <c r="C439" s="5">
        <v>465250</v>
      </c>
      <c r="D439" s="6"/>
      <c r="E439" s="5" t="s">
        <v>16</v>
      </c>
      <c r="F439" s="5" t="s">
        <v>75</v>
      </c>
      <c r="G439" s="5" t="s">
        <v>421</v>
      </c>
      <c r="H439" s="7" t="s">
        <v>7</v>
      </c>
      <c r="I439" s="7" t="s">
        <v>76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47</v>
      </c>
      <c r="AF439" s="8">
        <v>4600</v>
      </c>
      <c r="AG439" s="7">
        <v>100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10">
        <v>4700</v>
      </c>
      <c r="BN439" s="15">
        <f t="shared" si="12"/>
        <v>4700</v>
      </c>
      <c r="BO439" s="16">
        <f t="shared" si="13"/>
        <v>3290</v>
      </c>
    </row>
    <row r="440" spans="1:67" x14ac:dyDescent="0.4">
      <c r="A440" s="5" t="s">
        <v>460</v>
      </c>
      <c r="B440" s="5" t="s">
        <v>556</v>
      </c>
      <c r="C440" s="5">
        <v>420277</v>
      </c>
      <c r="D440" s="6"/>
      <c r="E440" s="5" t="s">
        <v>16</v>
      </c>
      <c r="F440" s="5" t="s">
        <v>264</v>
      </c>
      <c r="G440" s="5" t="s">
        <v>34</v>
      </c>
      <c r="H440" s="7" t="s">
        <v>8</v>
      </c>
      <c r="I440" s="7" t="s">
        <v>274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40</v>
      </c>
      <c r="AL440" s="8">
        <v>3600</v>
      </c>
      <c r="AM440" s="8">
        <v>1000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s="7">
        <v>0</v>
      </c>
      <c r="BK440" s="7">
        <v>0</v>
      </c>
      <c r="BL440" s="9">
        <v>1080</v>
      </c>
      <c r="BM440" s="10">
        <v>4600</v>
      </c>
      <c r="BN440" s="15">
        <f t="shared" si="12"/>
        <v>3520</v>
      </c>
      <c r="BO440" s="16">
        <f t="shared" si="13"/>
        <v>2464</v>
      </c>
    </row>
    <row r="441" spans="1:67" x14ac:dyDescent="0.4">
      <c r="A441" s="5" t="s">
        <v>460</v>
      </c>
      <c r="B441" s="5" t="s">
        <v>117</v>
      </c>
      <c r="C441" s="5">
        <v>379813</v>
      </c>
      <c r="D441" s="6"/>
      <c r="E441" s="5" t="s">
        <v>16</v>
      </c>
      <c r="F441" s="5" t="s">
        <v>30</v>
      </c>
      <c r="G441" s="5" t="s">
        <v>10</v>
      </c>
      <c r="H441" s="7" t="s">
        <v>7</v>
      </c>
      <c r="I441" s="7" t="s">
        <v>118</v>
      </c>
      <c r="J441" s="7">
        <v>0</v>
      </c>
      <c r="K441" s="7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32</v>
      </c>
      <c r="AF441" s="8">
        <v>3100</v>
      </c>
      <c r="AG441" s="7">
        <v>100</v>
      </c>
      <c r="AH441" s="7">
        <v>0</v>
      </c>
      <c r="AI441" s="7">
        <v>0</v>
      </c>
      <c r="AJ441" s="7">
        <v>0</v>
      </c>
      <c r="AK441" s="7">
        <v>5</v>
      </c>
      <c r="AL441" s="7">
        <v>0</v>
      </c>
      <c r="AM441" s="7">
        <v>500</v>
      </c>
      <c r="AN441" s="7">
        <v>0</v>
      </c>
      <c r="AO441" s="7">
        <v>0</v>
      </c>
      <c r="AP441" s="7">
        <v>0</v>
      </c>
      <c r="AQ441" s="7">
        <v>8</v>
      </c>
      <c r="AR441" s="7">
        <v>800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7">
        <v>0</v>
      </c>
      <c r="BL441" s="7">
        <v>0</v>
      </c>
      <c r="BM441" s="10">
        <v>4500</v>
      </c>
      <c r="BN441" s="15">
        <f t="shared" si="12"/>
        <v>4500</v>
      </c>
      <c r="BO441" s="16">
        <f t="shared" si="13"/>
        <v>3150</v>
      </c>
    </row>
    <row r="442" spans="1:67" x14ac:dyDescent="0.4">
      <c r="A442" s="5" t="s">
        <v>460</v>
      </c>
      <c r="B442" s="5" t="s">
        <v>102</v>
      </c>
      <c r="C442" s="5">
        <v>394830</v>
      </c>
      <c r="D442" s="6"/>
      <c r="E442" s="5" t="s">
        <v>16</v>
      </c>
      <c r="F442" s="5" t="s">
        <v>41</v>
      </c>
      <c r="G442" s="5" t="s">
        <v>34</v>
      </c>
      <c r="H442" s="7" t="s">
        <v>8</v>
      </c>
      <c r="I442" s="7" t="s">
        <v>103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5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45</v>
      </c>
      <c r="AF442" s="8">
        <v>4500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s="7">
        <v>0</v>
      </c>
      <c r="BK442" s="7">
        <v>0</v>
      </c>
      <c r="BL442" s="7">
        <v>0</v>
      </c>
      <c r="BM442" s="10">
        <v>4500</v>
      </c>
      <c r="BN442" s="15">
        <f t="shared" ref="BN442:BN469" si="14">BM442-BL442</f>
        <v>4500</v>
      </c>
      <c r="BO442" s="16">
        <f t="shared" ref="BO442:BO469" si="15">BN442*70%</f>
        <v>3150</v>
      </c>
    </row>
    <row r="443" spans="1:67" x14ac:dyDescent="0.4">
      <c r="A443" s="5" t="s">
        <v>460</v>
      </c>
      <c r="B443" s="5" t="s">
        <v>578</v>
      </c>
      <c r="C443" s="5">
        <v>413935</v>
      </c>
      <c r="D443" s="6"/>
      <c r="E443" s="5" t="s">
        <v>16</v>
      </c>
      <c r="F443" s="5" t="s">
        <v>168</v>
      </c>
      <c r="G443" s="5" t="s">
        <v>34</v>
      </c>
      <c r="H443" s="7" t="s">
        <v>300</v>
      </c>
      <c r="I443" s="7" t="s">
        <v>579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1</v>
      </c>
      <c r="AL443" s="8">
        <v>3960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9">
        <v>1188</v>
      </c>
      <c r="BM443" s="10">
        <v>3960</v>
      </c>
      <c r="BN443" s="15">
        <f t="shared" si="14"/>
        <v>2772</v>
      </c>
      <c r="BO443" s="16">
        <f t="shared" si="15"/>
        <v>1940.3999999999999</v>
      </c>
    </row>
    <row r="444" spans="1:67" ht="19.2" x14ac:dyDescent="0.4">
      <c r="A444" s="5" t="s">
        <v>460</v>
      </c>
      <c r="B444" s="5" t="s">
        <v>191</v>
      </c>
      <c r="C444" s="5">
        <v>467503</v>
      </c>
      <c r="D444" s="6"/>
      <c r="E444" s="5" t="s">
        <v>16</v>
      </c>
      <c r="F444" s="5" t="s">
        <v>165</v>
      </c>
      <c r="G444" s="5" t="s">
        <v>34</v>
      </c>
      <c r="H444" s="7" t="s">
        <v>8</v>
      </c>
      <c r="I444" s="7" t="s">
        <v>27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1</v>
      </c>
      <c r="AL444" s="8">
        <v>3840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9">
        <v>1152</v>
      </c>
      <c r="BM444" s="10">
        <v>3840</v>
      </c>
      <c r="BN444" s="15">
        <f t="shared" si="14"/>
        <v>2688</v>
      </c>
      <c r="BO444" s="16">
        <f t="shared" si="15"/>
        <v>1881.6</v>
      </c>
    </row>
    <row r="445" spans="1:67" x14ac:dyDescent="0.4">
      <c r="A445" s="5" t="s">
        <v>460</v>
      </c>
      <c r="B445" s="5" t="s">
        <v>206</v>
      </c>
      <c r="C445" s="5">
        <v>421661</v>
      </c>
      <c r="D445" s="6"/>
      <c r="E445" s="5" t="s">
        <v>16</v>
      </c>
      <c r="F445" s="5" t="s">
        <v>207</v>
      </c>
      <c r="G445" s="5" t="s">
        <v>34</v>
      </c>
      <c r="H445" s="7" t="s">
        <v>8</v>
      </c>
      <c r="I445" s="7" t="s">
        <v>208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4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38</v>
      </c>
      <c r="AL445" s="7">
        <v>0</v>
      </c>
      <c r="AM445" s="8">
        <v>3800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10">
        <v>3800</v>
      </c>
      <c r="BN445" s="15">
        <f t="shared" si="14"/>
        <v>3800</v>
      </c>
      <c r="BO445" s="16">
        <f t="shared" si="15"/>
        <v>2660</v>
      </c>
    </row>
    <row r="446" spans="1:67" x14ac:dyDescent="0.4">
      <c r="A446" s="5" t="s">
        <v>460</v>
      </c>
      <c r="B446" s="5" t="s">
        <v>182</v>
      </c>
      <c r="C446" s="5">
        <v>359006</v>
      </c>
      <c r="D446" s="6"/>
      <c r="E446" s="5" t="s">
        <v>16</v>
      </c>
      <c r="F446" s="5" t="s">
        <v>130</v>
      </c>
      <c r="G446" s="5" t="s">
        <v>34</v>
      </c>
      <c r="H446" s="7" t="s">
        <v>8</v>
      </c>
      <c r="I446" s="7" t="s">
        <v>183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4</v>
      </c>
      <c r="AF446" s="7">
        <v>100</v>
      </c>
      <c r="AG446" s="7">
        <v>300</v>
      </c>
      <c r="AH446" s="7">
        <v>0</v>
      </c>
      <c r="AI446" s="7">
        <v>0</v>
      </c>
      <c r="AJ446" s="7">
        <v>0</v>
      </c>
      <c r="AK446" s="7">
        <v>3</v>
      </c>
      <c r="AL446" s="7">
        <v>0</v>
      </c>
      <c r="AM446" s="7">
        <v>300</v>
      </c>
      <c r="AN446" s="7">
        <v>0</v>
      </c>
      <c r="AO446" s="7">
        <v>0</v>
      </c>
      <c r="AP446" s="7">
        <v>0</v>
      </c>
      <c r="AQ446" s="7">
        <v>28</v>
      </c>
      <c r="AR446" s="8">
        <v>2800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10">
        <v>3500</v>
      </c>
      <c r="BN446" s="15">
        <f t="shared" si="14"/>
        <v>3500</v>
      </c>
      <c r="BO446" s="16">
        <f t="shared" si="15"/>
        <v>2450</v>
      </c>
    </row>
    <row r="447" spans="1:67" x14ac:dyDescent="0.4">
      <c r="A447" s="5" t="s">
        <v>460</v>
      </c>
      <c r="B447" s="5" t="s">
        <v>309</v>
      </c>
      <c r="C447" s="5">
        <v>418302</v>
      </c>
      <c r="D447" s="6"/>
      <c r="E447" s="5" t="s">
        <v>16</v>
      </c>
      <c r="F447" s="5" t="s">
        <v>33</v>
      </c>
      <c r="G447" s="5" t="s">
        <v>34</v>
      </c>
      <c r="H447" s="7" t="s">
        <v>300</v>
      </c>
      <c r="I447" s="7" t="s">
        <v>35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1</v>
      </c>
      <c r="AF447" s="8">
        <v>3500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s="7">
        <v>0</v>
      </c>
      <c r="BK447" s="7">
        <v>0</v>
      </c>
      <c r="BL447" s="7">
        <v>0</v>
      </c>
      <c r="BM447" s="10">
        <v>3500</v>
      </c>
      <c r="BN447" s="15">
        <f t="shared" si="14"/>
        <v>3500</v>
      </c>
      <c r="BO447" s="16">
        <f t="shared" si="15"/>
        <v>2450</v>
      </c>
    </row>
    <row r="448" spans="1:67" x14ac:dyDescent="0.4">
      <c r="A448" s="5" t="s">
        <v>460</v>
      </c>
      <c r="B448" s="5" t="s">
        <v>248</v>
      </c>
      <c r="C448" s="5">
        <v>400251</v>
      </c>
      <c r="D448" s="6"/>
      <c r="E448" s="5" t="s">
        <v>16</v>
      </c>
      <c r="F448" s="5" t="s">
        <v>41</v>
      </c>
      <c r="G448" s="5" t="s">
        <v>34</v>
      </c>
      <c r="H448" s="7" t="s">
        <v>8</v>
      </c>
      <c r="I448" s="7" t="s">
        <v>249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7</v>
      </c>
      <c r="AF448" s="7">
        <v>600</v>
      </c>
      <c r="AG448" s="7">
        <v>100</v>
      </c>
      <c r="AH448" s="7">
        <v>0</v>
      </c>
      <c r="AI448" s="7">
        <v>0</v>
      </c>
      <c r="AJ448" s="7">
        <v>0</v>
      </c>
      <c r="AK448" s="7">
        <v>21</v>
      </c>
      <c r="AL448" s="8">
        <v>2520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2</v>
      </c>
      <c r="AX448" s="7">
        <v>240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780</v>
      </c>
      <c r="BM448" s="10">
        <v>3460</v>
      </c>
      <c r="BN448" s="15">
        <f t="shared" si="14"/>
        <v>2680</v>
      </c>
      <c r="BO448" s="16">
        <f t="shared" si="15"/>
        <v>1875.9999999999998</v>
      </c>
    </row>
    <row r="449" spans="1:67" x14ac:dyDescent="0.4">
      <c r="A449" s="5" t="s">
        <v>460</v>
      </c>
      <c r="B449" s="5" t="s">
        <v>338</v>
      </c>
      <c r="C449" s="5">
        <v>429538</v>
      </c>
      <c r="D449" s="6"/>
      <c r="E449" s="5" t="s">
        <v>16</v>
      </c>
      <c r="F449" s="5" t="s">
        <v>173</v>
      </c>
      <c r="G449" s="5" t="s">
        <v>411</v>
      </c>
      <c r="H449" s="7" t="s">
        <v>7</v>
      </c>
      <c r="I449" s="7" t="s">
        <v>234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</v>
      </c>
      <c r="AL449" s="8">
        <v>2400</v>
      </c>
      <c r="AM449" s="8">
        <v>1000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720</v>
      </c>
      <c r="BM449" s="10">
        <v>3400</v>
      </c>
      <c r="BN449" s="15">
        <f t="shared" si="14"/>
        <v>2680</v>
      </c>
      <c r="BO449" s="16">
        <f t="shared" si="15"/>
        <v>1875.9999999999998</v>
      </c>
    </row>
    <row r="450" spans="1:67" x14ac:dyDescent="0.4">
      <c r="A450" s="5" t="s">
        <v>460</v>
      </c>
      <c r="B450" s="5" t="s">
        <v>291</v>
      </c>
      <c r="C450" s="5">
        <v>427091</v>
      </c>
      <c r="D450" s="6"/>
      <c r="E450" s="5" t="s">
        <v>16</v>
      </c>
      <c r="F450" s="5" t="s">
        <v>41</v>
      </c>
      <c r="G450" s="5" t="s">
        <v>34</v>
      </c>
      <c r="H450" s="7" t="s">
        <v>8</v>
      </c>
      <c r="I450" s="7" t="s">
        <v>292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3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2</v>
      </c>
      <c r="AF450" s="7">
        <v>200</v>
      </c>
      <c r="AG450" s="7">
        <v>0</v>
      </c>
      <c r="AH450" s="7">
        <v>0</v>
      </c>
      <c r="AI450" s="7">
        <v>0</v>
      </c>
      <c r="AJ450" s="7">
        <v>0</v>
      </c>
      <c r="AK450" s="7">
        <v>27</v>
      </c>
      <c r="AL450" s="8">
        <v>2880</v>
      </c>
      <c r="AM450" s="7">
        <v>300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0</v>
      </c>
      <c r="BK450" s="7">
        <v>0</v>
      </c>
      <c r="BL450" s="7">
        <v>864</v>
      </c>
      <c r="BM450" s="10">
        <v>3380</v>
      </c>
      <c r="BN450" s="15">
        <f t="shared" si="14"/>
        <v>2516</v>
      </c>
      <c r="BO450" s="16">
        <f t="shared" si="15"/>
        <v>1761.1999999999998</v>
      </c>
    </row>
    <row r="451" spans="1:67" x14ac:dyDescent="0.4">
      <c r="A451" s="5" t="s">
        <v>460</v>
      </c>
      <c r="B451" s="5" t="s">
        <v>239</v>
      </c>
      <c r="C451" s="5">
        <v>305522</v>
      </c>
      <c r="D451" s="6"/>
      <c r="E451" s="5" t="s">
        <v>16</v>
      </c>
      <c r="F451" s="5" t="s">
        <v>41</v>
      </c>
      <c r="G451" s="5" t="s">
        <v>34</v>
      </c>
      <c r="H451" s="7" t="s">
        <v>8</v>
      </c>
      <c r="I451" s="7" t="s">
        <v>240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28</v>
      </c>
      <c r="AL451" s="8">
        <v>3360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9">
        <v>1008</v>
      </c>
      <c r="BM451" s="10">
        <v>3360</v>
      </c>
      <c r="BN451" s="15">
        <f t="shared" si="14"/>
        <v>2352</v>
      </c>
      <c r="BO451" s="16">
        <f t="shared" si="15"/>
        <v>1646.3999999999999</v>
      </c>
    </row>
    <row r="452" spans="1:67" x14ac:dyDescent="0.4">
      <c r="A452" s="5" t="s">
        <v>460</v>
      </c>
      <c r="B452" s="5" t="s">
        <v>194</v>
      </c>
      <c r="C452" s="5">
        <v>445861</v>
      </c>
      <c r="D452" s="6"/>
      <c r="E452" s="5" t="s">
        <v>16</v>
      </c>
      <c r="F452" s="5" t="s">
        <v>47</v>
      </c>
      <c r="G452" s="5" t="s">
        <v>34</v>
      </c>
      <c r="H452" s="7" t="s">
        <v>8</v>
      </c>
      <c r="I452" s="7" t="s">
        <v>195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1</v>
      </c>
      <c r="AL452" s="8">
        <v>3360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s="7">
        <v>0</v>
      </c>
      <c r="BK452" s="7">
        <v>0</v>
      </c>
      <c r="BL452" s="9">
        <v>1008</v>
      </c>
      <c r="BM452" s="10">
        <v>3360</v>
      </c>
      <c r="BN452" s="15">
        <f t="shared" si="14"/>
        <v>2352</v>
      </c>
      <c r="BO452" s="16">
        <f t="shared" si="15"/>
        <v>1646.3999999999999</v>
      </c>
    </row>
    <row r="453" spans="1:67" x14ac:dyDescent="0.4">
      <c r="A453" s="5" t="s">
        <v>460</v>
      </c>
      <c r="B453" s="5" t="s">
        <v>457</v>
      </c>
      <c r="C453" s="5">
        <v>355732</v>
      </c>
      <c r="D453" s="6"/>
      <c r="E453" s="5" t="s">
        <v>16</v>
      </c>
      <c r="F453" s="5" t="s">
        <v>458</v>
      </c>
      <c r="G453" s="5" t="s">
        <v>34</v>
      </c>
      <c r="H453" s="7" t="s">
        <v>8</v>
      </c>
      <c r="I453" s="7" t="s">
        <v>459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32</v>
      </c>
      <c r="AF453" s="8">
        <v>3200</v>
      </c>
      <c r="AG453" s="7">
        <v>0</v>
      </c>
      <c r="AH453" s="7">
        <v>0</v>
      </c>
      <c r="AI453" s="7">
        <v>0</v>
      </c>
      <c r="AJ453" s="7">
        <v>0</v>
      </c>
      <c r="AK453" s="7">
        <v>1</v>
      </c>
      <c r="AL453" s="7">
        <v>120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7">
        <v>0</v>
      </c>
      <c r="BL453" s="7">
        <v>36</v>
      </c>
      <c r="BM453" s="10">
        <v>3320</v>
      </c>
      <c r="BN453" s="15">
        <f t="shared" si="14"/>
        <v>3284</v>
      </c>
      <c r="BO453" s="16">
        <f t="shared" si="15"/>
        <v>2298.7999999999997</v>
      </c>
    </row>
    <row r="454" spans="1:67" x14ac:dyDescent="0.4">
      <c r="A454" s="5" t="s">
        <v>460</v>
      </c>
      <c r="B454" s="5" t="s">
        <v>574</v>
      </c>
      <c r="C454" s="5">
        <v>351129</v>
      </c>
      <c r="D454" s="6"/>
      <c r="E454" s="5" t="s">
        <v>16</v>
      </c>
      <c r="F454" s="5" t="s">
        <v>458</v>
      </c>
      <c r="G454" s="5" t="s">
        <v>34</v>
      </c>
      <c r="H454" s="7" t="s">
        <v>8</v>
      </c>
      <c r="I454" s="7" t="s">
        <v>575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3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33</v>
      </c>
      <c r="AF454" s="8">
        <v>3300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s="7">
        <v>0</v>
      </c>
      <c r="BK454" s="7">
        <v>0</v>
      </c>
      <c r="BL454" s="7">
        <v>0</v>
      </c>
      <c r="BM454" s="10">
        <v>3300</v>
      </c>
      <c r="BN454" s="15">
        <f t="shared" si="14"/>
        <v>3300</v>
      </c>
      <c r="BO454" s="16">
        <f t="shared" si="15"/>
        <v>2310</v>
      </c>
    </row>
    <row r="455" spans="1:67" x14ac:dyDescent="0.4">
      <c r="A455" s="5" t="s">
        <v>460</v>
      </c>
      <c r="B455" s="5" t="s">
        <v>146</v>
      </c>
      <c r="C455" s="5">
        <v>392777</v>
      </c>
      <c r="D455" s="6"/>
      <c r="E455" s="5" t="s">
        <v>16</v>
      </c>
      <c r="F455" s="5" t="s">
        <v>89</v>
      </c>
      <c r="G455" s="5" t="s">
        <v>10</v>
      </c>
      <c r="H455" s="7" t="s">
        <v>7</v>
      </c>
      <c r="I455" s="7" t="s">
        <v>147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1</v>
      </c>
      <c r="AR455" s="8">
        <v>3200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7">
        <v>0</v>
      </c>
      <c r="BL455" s="7">
        <v>0</v>
      </c>
      <c r="BM455" s="10">
        <v>3200</v>
      </c>
      <c r="BN455" s="15">
        <f t="shared" si="14"/>
        <v>3200</v>
      </c>
      <c r="BO455" s="16">
        <f t="shared" si="15"/>
        <v>2240</v>
      </c>
    </row>
    <row r="456" spans="1:67" x14ac:dyDescent="0.4">
      <c r="A456" s="5" t="s">
        <v>460</v>
      </c>
      <c r="B456" s="5" t="s">
        <v>357</v>
      </c>
      <c r="C456" s="5">
        <v>425648</v>
      </c>
      <c r="D456" s="6"/>
      <c r="E456" s="5" t="s">
        <v>16</v>
      </c>
      <c r="F456" s="5" t="s">
        <v>227</v>
      </c>
      <c r="G456" s="5" t="s">
        <v>34</v>
      </c>
      <c r="H456" s="7" t="s">
        <v>300</v>
      </c>
      <c r="I456" s="7" t="s">
        <v>228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1</v>
      </c>
      <c r="AL456" s="7">
        <v>0</v>
      </c>
      <c r="AM456" s="8">
        <v>3200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10">
        <v>3200</v>
      </c>
      <c r="BN456" s="15">
        <f t="shared" si="14"/>
        <v>3200</v>
      </c>
      <c r="BO456" s="16">
        <f t="shared" si="15"/>
        <v>2240</v>
      </c>
    </row>
    <row r="457" spans="1:67" x14ac:dyDescent="0.4">
      <c r="A457" s="5" t="s">
        <v>460</v>
      </c>
      <c r="B457" s="5" t="s">
        <v>413</v>
      </c>
      <c r="C457" s="5">
        <v>473531</v>
      </c>
      <c r="D457" s="6"/>
      <c r="E457" s="5" t="s">
        <v>16</v>
      </c>
      <c r="F457" s="5" t="s">
        <v>414</v>
      </c>
      <c r="G457" s="5" t="s">
        <v>34</v>
      </c>
      <c r="H457" s="7" t="s">
        <v>300</v>
      </c>
      <c r="I457" s="7" t="s">
        <v>415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1</v>
      </c>
      <c r="AL457" s="7">
        <v>0</v>
      </c>
      <c r="AM457" s="8">
        <v>3000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0</v>
      </c>
      <c r="BK457" s="7">
        <v>0</v>
      </c>
      <c r="BL457" s="7">
        <v>0</v>
      </c>
      <c r="BM457" s="10">
        <v>3000</v>
      </c>
      <c r="BN457" s="15">
        <f t="shared" si="14"/>
        <v>3000</v>
      </c>
      <c r="BO457" s="16">
        <f t="shared" si="15"/>
        <v>2100</v>
      </c>
    </row>
    <row r="458" spans="1:67" x14ac:dyDescent="0.4">
      <c r="A458" s="5" t="s">
        <v>460</v>
      </c>
      <c r="B458" s="5" t="s">
        <v>367</v>
      </c>
      <c r="C458" s="5">
        <v>377683</v>
      </c>
      <c r="D458" s="6"/>
      <c r="E458" s="5" t="s">
        <v>16</v>
      </c>
      <c r="F458" s="5" t="s">
        <v>33</v>
      </c>
      <c r="G458" s="5" t="s">
        <v>34</v>
      </c>
      <c r="H458" s="7" t="s">
        <v>300</v>
      </c>
      <c r="I458" s="7" t="s">
        <v>368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1</v>
      </c>
      <c r="AF458" s="8">
        <v>3000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10">
        <v>3000</v>
      </c>
      <c r="BN458" s="15">
        <f t="shared" si="14"/>
        <v>3000</v>
      </c>
      <c r="BO458" s="16">
        <f t="shared" si="15"/>
        <v>2100</v>
      </c>
    </row>
    <row r="459" spans="1:67" x14ac:dyDescent="0.4">
      <c r="A459" s="5" t="s">
        <v>460</v>
      </c>
      <c r="B459" s="5" t="s">
        <v>192</v>
      </c>
      <c r="C459" s="5">
        <v>402649</v>
      </c>
      <c r="D459" s="6"/>
      <c r="E459" s="5" t="s">
        <v>16</v>
      </c>
      <c r="F459" s="5" t="s">
        <v>41</v>
      </c>
      <c r="G459" s="5" t="s">
        <v>34</v>
      </c>
      <c r="H459" s="7" t="s">
        <v>8</v>
      </c>
      <c r="I459" s="7" t="s">
        <v>193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1</v>
      </c>
      <c r="AF459" s="7">
        <v>100</v>
      </c>
      <c r="AG459" s="7">
        <v>0</v>
      </c>
      <c r="AH459" s="7">
        <v>0</v>
      </c>
      <c r="AI459" s="7">
        <v>0</v>
      </c>
      <c r="AJ459" s="7">
        <v>0</v>
      </c>
      <c r="AK459" s="7">
        <v>17</v>
      </c>
      <c r="AL459" s="8">
        <v>2040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612</v>
      </c>
      <c r="BM459" s="10">
        <v>2140</v>
      </c>
      <c r="BN459" s="15">
        <f t="shared" si="14"/>
        <v>1528</v>
      </c>
      <c r="BO459" s="16">
        <f t="shared" si="15"/>
        <v>1069.5999999999999</v>
      </c>
    </row>
    <row r="460" spans="1:67" ht="19.2" x14ac:dyDescent="0.4">
      <c r="A460" s="5" t="s">
        <v>460</v>
      </c>
      <c r="B460" s="5" t="s">
        <v>580</v>
      </c>
      <c r="C460" s="5">
        <v>470381</v>
      </c>
      <c r="D460" s="6"/>
      <c r="E460" s="5" t="s">
        <v>16</v>
      </c>
      <c r="F460" s="5" t="s">
        <v>75</v>
      </c>
      <c r="G460" s="5" t="s">
        <v>421</v>
      </c>
      <c r="H460" s="7" t="s">
        <v>7</v>
      </c>
      <c r="I460" s="7" t="s">
        <v>18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1</v>
      </c>
      <c r="AL460" s="8">
        <v>1800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540</v>
      </c>
      <c r="BM460" s="10">
        <v>1800</v>
      </c>
      <c r="BN460" s="15">
        <f t="shared" si="14"/>
        <v>1260</v>
      </c>
      <c r="BO460" s="16">
        <f t="shared" si="15"/>
        <v>882</v>
      </c>
    </row>
    <row r="461" spans="1:67" x14ac:dyDescent="0.4">
      <c r="A461" s="5" t="s">
        <v>460</v>
      </c>
      <c r="B461" s="5" t="s">
        <v>313</v>
      </c>
      <c r="C461" s="5">
        <v>389960</v>
      </c>
      <c r="D461" s="6"/>
      <c r="E461" s="5" t="s">
        <v>16</v>
      </c>
      <c r="F461" s="5" t="s">
        <v>108</v>
      </c>
      <c r="G461" s="5" t="s">
        <v>421</v>
      </c>
      <c r="H461" s="7" t="s">
        <v>9</v>
      </c>
      <c r="I461" s="7" t="s">
        <v>314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16</v>
      </c>
      <c r="AF461" s="8">
        <v>1600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10">
        <v>1600</v>
      </c>
      <c r="BN461" s="15">
        <f t="shared" si="14"/>
        <v>1600</v>
      </c>
      <c r="BO461" s="16">
        <f t="shared" si="15"/>
        <v>1120</v>
      </c>
    </row>
    <row r="462" spans="1:67" x14ac:dyDescent="0.4">
      <c r="A462" s="5" t="s">
        <v>460</v>
      </c>
      <c r="B462" s="5" t="s">
        <v>220</v>
      </c>
      <c r="C462" s="5">
        <v>434558</v>
      </c>
      <c r="D462" s="6"/>
      <c r="E462" s="5" t="s">
        <v>16</v>
      </c>
      <c r="F462" s="5" t="s">
        <v>221</v>
      </c>
      <c r="G462" s="5" t="s">
        <v>10</v>
      </c>
      <c r="H462" s="7" t="s">
        <v>7</v>
      </c>
      <c r="I462" s="7" t="s">
        <v>222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13</v>
      </c>
      <c r="AL462" s="8">
        <v>1560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468</v>
      </c>
      <c r="BM462" s="10">
        <v>1560</v>
      </c>
      <c r="BN462" s="15">
        <f t="shared" si="14"/>
        <v>1092</v>
      </c>
      <c r="BO462" s="16">
        <f t="shared" si="15"/>
        <v>764.4</v>
      </c>
    </row>
    <row r="463" spans="1:67" x14ac:dyDescent="0.4">
      <c r="A463" s="5" t="s">
        <v>460</v>
      </c>
      <c r="B463" s="5" t="s">
        <v>57</v>
      </c>
      <c r="C463" s="5">
        <v>464776</v>
      </c>
      <c r="D463" s="6"/>
      <c r="E463" s="5" t="s">
        <v>16</v>
      </c>
      <c r="F463" s="5" t="s">
        <v>58</v>
      </c>
      <c r="G463" s="5" t="s">
        <v>421</v>
      </c>
      <c r="H463" s="7" t="s">
        <v>9</v>
      </c>
      <c r="I463" s="7" t="s">
        <v>59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3</v>
      </c>
      <c r="AF463" s="7">
        <v>300</v>
      </c>
      <c r="AG463" s="7">
        <v>0</v>
      </c>
      <c r="AH463" s="7">
        <v>0</v>
      </c>
      <c r="AI463" s="7">
        <v>0</v>
      </c>
      <c r="AJ463" s="7">
        <v>0</v>
      </c>
      <c r="AK463" s="7">
        <v>1</v>
      </c>
      <c r="AL463" s="7">
        <v>118</v>
      </c>
      <c r="AM463" s="7">
        <v>0</v>
      </c>
      <c r="AN463" s="7">
        <v>0</v>
      </c>
      <c r="AO463" s="7">
        <v>0</v>
      </c>
      <c r="AP463" s="7">
        <v>0</v>
      </c>
      <c r="AQ463" s="7">
        <v>11</v>
      </c>
      <c r="AR463" s="8">
        <v>1100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0</v>
      </c>
      <c r="BL463" s="7">
        <v>35.4</v>
      </c>
      <c r="BM463" s="10">
        <v>1518</v>
      </c>
      <c r="BN463" s="15">
        <f t="shared" si="14"/>
        <v>1482.6</v>
      </c>
      <c r="BO463" s="16">
        <f t="shared" si="15"/>
        <v>1037.82</v>
      </c>
    </row>
    <row r="464" spans="1:67" x14ac:dyDescent="0.4">
      <c r="A464" s="5" t="s">
        <v>460</v>
      </c>
      <c r="B464" s="5" t="s">
        <v>196</v>
      </c>
      <c r="C464" s="5">
        <v>371774</v>
      </c>
      <c r="D464" s="6"/>
      <c r="E464" s="5" t="s">
        <v>16</v>
      </c>
      <c r="F464" s="5" t="s">
        <v>197</v>
      </c>
      <c r="G464" s="5" t="s">
        <v>10</v>
      </c>
      <c r="H464" s="7" t="s">
        <v>7</v>
      </c>
      <c r="I464" s="7" t="s">
        <v>198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6</v>
      </c>
      <c r="AF464" s="7">
        <v>600</v>
      </c>
      <c r="AG464" s="7">
        <v>0</v>
      </c>
      <c r="AH464" s="7">
        <v>0</v>
      </c>
      <c r="AI464" s="7">
        <v>0</v>
      </c>
      <c r="AJ464" s="7">
        <v>0</v>
      </c>
      <c r="AK464" s="7">
        <v>7</v>
      </c>
      <c r="AL464" s="7">
        <v>840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0</v>
      </c>
      <c r="BL464" s="7">
        <v>252</v>
      </c>
      <c r="BM464" s="10">
        <v>1440</v>
      </c>
      <c r="BN464" s="15">
        <f t="shared" si="14"/>
        <v>1188</v>
      </c>
      <c r="BO464" s="16">
        <f t="shared" si="15"/>
        <v>831.59999999999991</v>
      </c>
    </row>
    <row r="465" spans="1:67" x14ac:dyDescent="0.4">
      <c r="A465" s="5" t="s">
        <v>460</v>
      </c>
      <c r="B465" s="5" t="s">
        <v>154</v>
      </c>
      <c r="C465" s="5">
        <v>394079</v>
      </c>
      <c r="D465" s="6"/>
      <c r="E465" s="5" t="s">
        <v>16</v>
      </c>
      <c r="F465" s="5" t="s">
        <v>52</v>
      </c>
      <c r="G465" s="5" t="s">
        <v>34</v>
      </c>
      <c r="H465" s="7" t="s">
        <v>8</v>
      </c>
      <c r="I465" s="7" t="s">
        <v>155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6</v>
      </c>
      <c r="AL465" s="7">
        <v>720</v>
      </c>
      <c r="AM465" s="7">
        <v>0</v>
      </c>
      <c r="AN465" s="7">
        <v>0</v>
      </c>
      <c r="AO465" s="7">
        <v>0</v>
      </c>
      <c r="AP465" s="7">
        <v>0</v>
      </c>
      <c r="AQ465" s="7">
        <v>6</v>
      </c>
      <c r="AR465" s="7">
        <v>600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216</v>
      </c>
      <c r="BM465" s="10">
        <v>1320</v>
      </c>
      <c r="BN465" s="15">
        <f t="shared" si="14"/>
        <v>1104</v>
      </c>
      <c r="BO465" s="16">
        <f t="shared" si="15"/>
        <v>772.8</v>
      </c>
    </row>
    <row r="466" spans="1:67" x14ac:dyDescent="0.4">
      <c r="A466" s="5" t="s">
        <v>460</v>
      </c>
      <c r="B466" s="5" t="s">
        <v>278</v>
      </c>
      <c r="C466" s="5">
        <v>404148</v>
      </c>
      <c r="D466" s="6"/>
      <c r="E466" s="5" t="s">
        <v>16</v>
      </c>
      <c r="F466" s="5" t="s">
        <v>279</v>
      </c>
      <c r="G466" s="5" t="s">
        <v>34</v>
      </c>
      <c r="H466" s="7" t="s">
        <v>8</v>
      </c>
      <c r="I466" s="7" t="s">
        <v>280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2</v>
      </c>
      <c r="AL466" s="7">
        <v>240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8</v>
      </c>
      <c r="BD466" s="7">
        <v>960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129.6</v>
      </c>
      <c r="BM466" s="10">
        <v>1200</v>
      </c>
      <c r="BN466" s="15">
        <f t="shared" si="14"/>
        <v>1070.4000000000001</v>
      </c>
      <c r="BO466" s="16">
        <f t="shared" si="15"/>
        <v>749.28</v>
      </c>
    </row>
    <row r="467" spans="1:67" ht="19.2" x14ac:dyDescent="0.4">
      <c r="A467" s="5" t="s">
        <v>460</v>
      </c>
      <c r="B467" s="5" t="s">
        <v>528</v>
      </c>
      <c r="C467" s="5">
        <v>473533</v>
      </c>
      <c r="D467" s="6"/>
      <c r="E467" s="5" t="s">
        <v>16</v>
      </c>
      <c r="F467" s="5" t="s">
        <v>440</v>
      </c>
      <c r="G467" s="5" t="s">
        <v>10</v>
      </c>
      <c r="H467" s="7" t="s">
        <v>7</v>
      </c>
      <c r="I467" s="7" t="s">
        <v>521</v>
      </c>
      <c r="J467" s="7">
        <v>1</v>
      </c>
      <c r="K467" s="7">
        <v>0</v>
      </c>
      <c r="L467" s="7">
        <v>100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2</v>
      </c>
      <c r="AF467" s="7">
        <v>0</v>
      </c>
      <c r="AG467" s="7">
        <v>200</v>
      </c>
      <c r="AH467" s="7">
        <v>0</v>
      </c>
      <c r="AI467" s="7">
        <v>0</v>
      </c>
      <c r="AJ467" s="7">
        <v>0</v>
      </c>
      <c r="AK467" s="7">
        <v>2</v>
      </c>
      <c r="AL467" s="7">
        <v>240</v>
      </c>
      <c r="AM467" s="7">
        <v>0</v>
      </c>
      <c r="AN467" s="7">
        <v>0</v>
      </c>
      <c r="AO467" s="7">
        <v>0</v>
      </c>
      <c r="AP467" s="7">
        <v>0</v>
      </c>
      <c r="AQ467" s="7">
        <v>5</v>
      </c>
      <c r="AR467" s="7">
        <v>500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72</v>
      </c>
      <c r="BM467" s="10">
        <v>1040</v>
      </c>
      <c r="BN467" s="15">
        <f t="shared" si="14"/>
        <v>968</v>
      </c>
      <c r="BO467" s="16">
        <f t="shared" si="15"/>
        <v>677.59999999999991</v>
      </c>
    </row>
    <row r="468" spans="1:67" x14ac:dyDescent="0.4">
      <c r="A468" s="5" t="s">
        <v>460</v>
      </c>
      <c r="B468" s="5" t="s">
        <v>275</v>
      </c>
      <c r="C468" s="5">
        <v>381070</v>
      </c>
      <c r="D468" s="6"/>
      <c r="E468" s="5" t="s">
        <v>16</v>
      </c>
      <c r="F468" s="5" t="s">
        <v>276</v>
      </c>
      <c r="G468" s="5" t="s">
        <v>34</v>
      </c>
      <c r="H468" s="7" t="s">
        <v>8</v>
      </c>
      <c r="I468" s="7" t="s">
        <v>277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7</v>
      </c>
      <c r="AL468" s="7">
        <v>840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252</v>
      </c>
      <c r="BM468" s="11">
        <v>840</v>
      </c>
      <c r="BN468" s="15">
        <f t="shared" si="14"/>
        <v>588</v>
      </c>
      <c r="BO468" s="16">
        <f t="shared" si="15"/>
        <v>411.59999999999997</v>
      </c>
    </row>
    <row r="469" spans="1:67" x14ac:dyDescent="0.4">
      <c r="A469" s="5" t="s">
        <v>460</v>
      </c>
      <c r="B469" s="5" t="s">
        <v>337</v>
      </c>
      <c r="C469" s="5">
        <v>408191</v>
      </c>
      <c r="D469" s="6"/>
      <c r="E469" s="5" t="s">
        <v>16</v>
      </c>
      <c r="F469" s="5" t="s">
        <v>130</v>
      </c>
      <c r="G469" s="5" t="s">
        <v>34</v>
      </c>
      <c r="H469" s="7" t="s">
        <v>8</v>
      </c>
      <c r="I469" s="7" t="s">
        <v>232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7</v>
      </c>
      <c r="AL469" s="7">
        <v>0</v>
      </c>
      <c r="AM469" s="7">
        <v>700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11">
        <v>700</v>
      </c>
      <c r="BN469" s="15">
        <f t="shared" si="14"/>
        <v>700</v>
      </c>
      <c r="BO469" s="16">
        <f t="shared" si="15"/>
        <v>489.99999999999994</v>
      </c>
    </row>
    <row r="470" spans="1:67" ht="19.2" x14ac:dyDescent="0.4">
      <c r="A470" s="5" t="s">
        <v>460</v>
      </c>
      <c r="B470" s="5" t="s">
        <v>402</v>
      </c>
      <c r="C470" s="5">
        <v>472228</v>
      </c>
      <c r="D470" s="6"/>
      <c r="E470" s="5" t="s">
        <v>16</v>
      </c>
      <c r="F470" s="5" t="s">
        <v>403</v>
      </c>
      <c r="G470" s="5" t="s">
        <v>421</v>
      </c>
      <c r="H470" s="7" t="s">
        <v>8</v>
      </c>
      <c r="I470" s="7" t="s">
        <v>404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5</v>
      </c>
      <c r="AL470" s="7">
        <v>600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180</v>
      </c>
      <c r="BM470" s="11">
        <v>600</v>
      </c>
      <c r="BN470" s="15">
        <f t="shared" ref="BN470:BN488" si="16">BM470-BL470</f>
        <v>420</v>
      </c>
      <c r="BO470" s="16">
        <f t="shared" ref="BO470:BO488" si="17">BN470*70%</f>
        <v>294</v>
      </c>
    </row>
    <row r="471" spans="1:67" x14ac:dyDescent="0.4">
      <c r="A471" s="5" t="s">
        <v>460</v>
      </c>
      <c r="B471" s="5" t="s">
        <v>209</v>
      </c>
      <c r="C471" s="5">
        <v>393598</v>
      </c>
      <c r="D471" s="6"/>
      <c r="E471" s="5" t="s">
        <v>16</v>
      </c>
      <c r="F471" s="5" t="s">
        <v>210</v>
      </c>
      <c r="G471" s="5" t="s">
        <v>34</v>
      </c>
      <c r="H471" s="7" t="s">
        <v>8</v>
      </c>
      <c r="I471" s="7" t="s">
        <v>211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5</v>
      </c>
      <c r="AL471" s="7">
        <v>600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180</v>
      </c>
      <c r="BM471" s="11">
        <v>600</v>
      </c>
      <c r="BN471" s="15">
        <f>BM471-BL471</f>
        <v>420</v>
      </c>
      <c r="BO471" s="16">
        <f t="shared" si="17"/>
        <v>294</v>
      </c>
    </row>
    <row r="472" spans="1:67" x14ac:dyDescent="0.4">
      <c r="A472" s="5" t="s">
        <v>460</v>
      </c>
      <c r="B472" s="5" t="s">
        <v>142</v>
      </c>
      <c r="C472" s="5">
        <v>367994</v>
      </c>
      <c r="D472" s="6"/>
      <c r="E472" s="5" t="s">
        <v>16</v>
      </c>
      <c r="F472" s="5" t="s">
        <v>33</v>
      </c>
      <c r="G472" s="5" t="s">
        <v>34</v>
      </c>
      <c r="H472" s="7" t="s">
        <v>8</v>
      </c>
      <c r="I472" s="7" t="s">
        <v>143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5</v>
      </c>
      <c r="AF472" s="7">
        <v>0</v>
      </c>
      <c r="AG472" s="7">
        <v>500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s="7">
        <v>0</v>
      </c>
      <c r="BK472" s="7">
        <v>0</v>
      </c>
      <c r="BL472" s="7">
        <v>0</v>
      </c>
      <c r="BM472" s="11">
        <v>500</v>
      </c>
      <c r="BN472" s="15">
        <f t="shared" si="16"/>
        <v>500</v>
      </c>
      <c r="BO472" s="16">
        <f t="shared" si="17"/>
        <v>350</v>
      </c>
    </row>
    <row r="473" spans="1:67" x14ac:dyDescent="0.4">
      <c r="A473" s="5" t="s">
        <v>460</v>
      </c>
      <c r="B473" s="5" t="s">
        <v>242</v>
      </c>
      <c r="C473" s="5">
        <v>251205</v>
      </c>
      <c r="D473" s="6"/>
      <c r="E473" s="5" t="s">
        <v>16</v>
      </c>
      <c r="F473" s="5" t="s">
        <v>66</v>
      </c>
      <c r="G473" s="5" t="s">
        <v>10</v>
      </c>
      <c r="H473" s="7" t="s">
        <v>7</v>
      </c>
      <c r="I473" s="7" t="s">
        <v>243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5</v>
      </c>
      <c r="AF473" s="7">
        <v>500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11">
        <v>500</v>
      </c>
      <c r="BN473" s="15">
        <f t="shared" si="16"/>
        <v>500</v>
      </c>
      <c r="BO473" s="16">
        <f t="shared" si="17"/>
        <v>350</v>
      </c>
    </row>
    <row r="474" spans="1:67" x14ac:dyDescent="0.4">
      <c r="A474" s="5" t="s">
        <v>460</v>
      </c>
      <c r="B474" s="5" t="s">
        <v>203</v>
      </c>
      <c r="C474" s="5">
        <v>332138</v>
      </c>
      <c r="D474" s="6"/>
      <c r="E474" s="5" t="s">
        <v>16</v>
      </c>
      <c r="F474" s="5" t="s">
        <v>204</v>
      </c>
      <c r="G474" s="5" t="s">
        <v>34</v>
      </c>
      <c r="H474" s="7" t="s">
        <v>9</v>
      </c>
      <c r="I474" s="7" t="s">
        <v>205</v>
      </c>
      <c r="J474" s="7">
        <v>4</v>
      </c>
      <c r="K474" s="7">
        <v>0</v>
      </c>
      <c r="L474" s="7">
        <v>400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s="7">
        <v>0</v>
      </c>
      <c r="BK474" s="7">
        <v>0</v>
      </c>
      <c r="BL474" s="7">
        <v>0</v>
      </c>
      <c r="BM474" s="11">
        <v>400</v>
      </c>
      <c r="BN474" s="15">
        <f t="shared" si="16"/>
        <v>400</v>
      </c>
      <c r="BO474" s="16">
        <f t="shared" si="17"/>
        <v>280</v>
      </c>
    </row>
    <row r="475" spans="1:67" x14ac:dyDescent="0.4">
      <c r="A475" s="5" t="s">
        <v>460</v>
      </c>
      <c r="B475" s="5" t="s">
        <v>301</v>
      </c>
      <c r="C475" s="5">
        <v>382325</v>
      </c>
      <c r="D475" s="6"/>
      <c r="E475" s="5" t="s">
        <v>16</v>
      </c>
      <c r="F475" s="5" t="s">
        <v>33</v>
      </c>
      <c r="G475" s="5" t="s">
        <v>34</v>
      </c>
      <c r="H475" s="7" t="s">
        <v>8</v>
      </c>
      <c r="I475" s="7" t="s">
        <v>302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4</v>
      </c>
      <c r="AF475" s="7">
        <v>400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s="7">
        <v>0</v>
      </c>
      <c r="BK475" s="7">
        <v>0</v>
      </c>
      <c r="BL475" s="7">
        <v>0</v>
      </c>
      <c r="BM475" s="11">
        <v>400</v>
      </c>
      <c r="BN475" s="15">
        <f t="shared" si="16"/>
        <v>400</v>
      </c>
      <c r="BO475" s="16">
        <f t="shared" si="17"/>
        <v>280</v>
      </c>
    </row>
    <row r="476" spans="1:67" x14ac:dyDescent="0.4">
      <c r="A476" s="5" t="s">
        <v>460</v>
      </c>
      <c r="B476" s="5" t="s">
        <v>121</v>
      </c>
      <c r="C476" s="5">
        <v>425414</v>
      </c>
      <c r="D476" s="6"/>
      <c r="E476" s="5" t="s">
        <v>16</v>
      </c>
      <c r="F476" s="5" t="s">
        <v>122</v>
      </c>
      <c r="G476" s="5" t="s">
        <v>10</v>
      </c>
      <c r="H476" s="7" t="s">
        <v>7</v>
      </c>
      <c r="I476" s="7" t="s">
        <v>123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2</v>
      </c>
      <c r="AL476" s="7">
        <v>240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s="7">
        <v>0</v>
      </c>
      <c r="BK476" s="7">
        <v>0</v>
      </c>
      <c r="BL476" s="7">
        <v>72</v>
      </c>
      <c r="BM476" s="11">
        <v>240</v>
      </c>
      <c r="BN476" s="15">
        <f t="shared" si="16"/>
        <v>168</v>
      </c>
      <c r="BO476" s="16">
        <f t="shared" si="17"/>
        <v>117.6</v>
      </c>
    </row>
    <row r="477" spans="1:67" x14ac:dyDescent="0.4">
      <c r="A477" s="5" t="s">
        <v>460</v>
      </c>
      <c r="B477" s="5" t="s">
        <v>80</v>
      </c>
      <c r="C477" s="5">
        <v>429621</v>
      </c>
      <c r="D477" s="6"/>
      <c r="E477" s="5" t="s">
        <v>16</v>
      </c>
      <c r="F477" s="5" t="s">
        <v>81</v>
      </c>
      <c r="G477" s="5" t="s">
        <v>421</v>
      </c>
      <c r="H477" s="7" t="s">
        <v>8</v>
      </c>
      <c r="I477" s="7" t="s">
        <v>82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2</v>
      </c>
      <c r="AL477" s="7">
        <v>0</v>
      </c>
      <c r="AM477" s="7">
        <v>200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11">
        <v>200</v>
      </c>
      <c r="BN477" s="15">
        <f t="shared" si="16"/>
        <v>200</v>
      </c>
      <c r="BO477" s="16">
        <f t="shared" si="17"/>
        <v>140</v>
      </c>
    </row>
    <row r="478" spans="1:67" x14ac:dyDescent="0.4">
      <c r="A478" s="5" t="s">
        <v>460</v>
      </c>
      <c r="B478" s="5" t="s">
        <v>54</v>
      </c>
      <c r="C478" s="5">
        <v>463946</v>
      </c>
      <c r="D478" s="6"/>
      <c r="E478" s="5" t="s">
        <v>16</v>
      </c>
      <c r="F478" s="5" t="s">
        <v>55</v>
      </c>
      <c r="G478" s="5" t="s">
        <v>10</v>
      </c>
      <c r="H478" s="7" t="s">
        <v>7</v>
      </c>
      <c r="I478" s="7" t="s">
        <v>56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2</v>
      </c>
      <c r="AF478" s="7">
        <v>200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11">
        <v>200</v>
      </c>
      <c r="BN478" s="15">
        <f t="shared" si="16"/>
        <v>200</v>
      </c>
      <c r="BO478" s="16">
        <f t="shared" si="17"/>
        <v>140</v>
      </c>
    </row>
    <row r="479" spans="1:67" x14ac:dyDescent="0.4">
      <c r="A479" s="5" t="s">
        <v>460</v>
      </c>
      <c r="B479" s="5" t="s">
        <v>188</v>
      </c>
      <c r="C479" s="5">
        <v>325640</v>
      </c>
      <c r="D479" s="6"/>
      <c r="E479" s="5" t="s">
        <v>16</v>
      </c>
      <c r="F479" s="5" t="s">
        <v>189</v>
      </c>
      <c r="G479" s="5" t="s">
        <v>10</v>
      </c>
      <c r="H479" s="7" t="s">
        <v>7</v>
      </c>
      <c r="I479" s="7" t="s">
        <v>190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2</v>
      </c>
      <c r="AL479" s="7">
        <v>0</v>
      </c>
      <c r="AM479" s="7">
        <v>200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11">
        <v>200</v>
      </c>
      <c r="BN479" s="15">
        <f t="shared" si="16"/>
        <v>200</v>
      </c>
      <c r="BO479" s="16">
        <f t="shared" si="17"/>
        <v>140</v>
      </c>
    </row>
    <row r="480" spans="1:67" x14ac:dyDescent="0.4">
      <c r="A480" s="5" t="s">
        <v>460</v>
      </c>
      <c r="B480" s="5" t="s">
        <v>256</v>
      </c>
      <c r="C480" s="5">
        <v>353788</v>
      </c>
      <c r="D480" s="6"/>
      <c r="E480" s="5" t="s">
        <v>16</v>
      </c>
      <c r="F480" s="5" t="s">
        <v>207</v>
      </c>
      <c r="G480" s="5" t="s">
        <v>34</v>
      </c>
      <c r="H480" s="7" t="s">
        <v>8</v>
      </c>
      <c r="I480" s="7" t="s">
        <v>257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2</v>
      </c>
      <c r="AL480" s="7">
        <v>0</v>
      </c>
      <c r="AM480" s="7">
        <v>200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11">
        <v>200</v>
      </c>
      <c r="BN480" s="15">
        <f t="shared" si="16"/>
        <v>200</v>
      </c>
      <c r="BO480" s="16">
        <f t="shared" si="17"/>
        <v>140</v>
      </c>
    </row>
    <row r="481" spans="1:67" x14ac:dyDescent="0.4">
      <c r="A481" s="5" t="s">
        <v>460</v>
      </c>
      <c r="B481" s="5" t="s">
        <v>283</v>
      </c>
      <c r="C481" s="5">
        <v>328894</v>
      </c>
      <c r="D481" s="6"/>
      <c r="E481" s="5" t="s">
        <v>16</v>
      </c>
      <c r="F481" s="5" t="s">
        <v>207</v>
      </c>
      <c r="G481" s="5" t="s">
        <v>34</v>
      </c>
      <c r="H481" s="7" t="s">
        <v>8</v>
      </c>
      <c r="I481" s="7" t="s">
        <v>284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1</v>
      </c>
      <c r="AL481" s="7">
        <v>120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36</v>
      </c>
      <c r="BM481" s="11">
        <v>120</v>
      </c>
      <c r="BN481" s="15">
        <f t="shared" si="16"/>
        <v>84</v>
      </c>
      <c r="BO481" s="16">
        <f t="shared" si="17"/>
        <v>58.8</v>
      </c>
    </row>
    <row r="482" spans="1:67" x14ac:dyDescent="0.4">
      <c r="A482" s="5" t="s">
        <v>460</v>
      </c>
      <c r="B482" s="5" t="s">
        <v>331</v>
      </c>
      <c r="C482" s="5">
        <v>388508</v>
      </c>
      <c r="D482" s="6"/>
      <c r="E482" s="5" t="s">
        <v>16</v>
      </c>
      <c r="F482" s="5" t="s">
        <v>332</v>
      </c>
      <c r="G482" s="5" t="s">
        <v>421</v>
      </c>
      <c r="H482" s="7" t="s">
        <v>7</v>
      </c>
      <c r="I482" s="7" t="s">
        <v>333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1</v>
      </c>
      <c r="AL482" s="7">
        <v>120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36</v>
      </c>
      <c r="BM482" s="11">
        <v>120</v>
      </c>
      <c r="BN482" s="15">
        <f t="shared" si="16"/>
        <v>84</v>
      </c>
      <c r="BO482" s="16">
        <f t="shared" si="17"/>
        <v>58.8</v>
      </c>
    </row>
    <row r="483" spans="1:67" x14ac:dyDescent="0.4">
      <c r="A483" s="5" t="s">
        <v>460</v>
      </c>
      <c r="B483" s="5" t="s">
        <v>269</v>
      </c>
      <c r="C483" s="5">
        <v>358724</v>
      </c>
      <c r="D483" s="6"/>
      <c r="E483" s="5" t="s">
        <v>16</v>
      </c>
      <c r="F483" s="5" t="s">
        <v>270</v>
      </c>
      <c r="G483" s="5" t="s">
        <v>34</v>
      </c>
      <c r="H483" s="7" t="s">
        <v>8</v>
      </c>
      <c r="I483" s="7" t="s">
        <v>106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1</v>
      </c>
      <c r="AF483" s="7">
        <v>100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11">
        <v>100</v>
      </c>
      <c r="BN483" s="15">
        <f t="shared" si="16"/>
        <v>100</v>
      </c>
      <c r="BO483" s="16">
        <f t="shared" si="17"/>
        <v>70</v>
      </c>
    </row>
    <row r="484" spans="1:67" x14ac:dyDescent="0.4">
      <c r="A484" s="5" t="s">
        <v>460</v>
      </c>
      <c r="B484" s="5" t="s">
        <v>386</v>
      </c>
      <c r="C484" s="5">
        <v>392578</v>
      </c>
      <c r="D484" s="6"/>
      <c r="E484" s="5" t="s">
        <v>16</v>
      </c>
      <c r="F484" s="5" t="s">
        <v>264</v>
      </c>
      <c r="G484" s="5" t="s">
        <v>34</v>
      </c>
      <c r="H484" s="7" t="s">
        <v>300</v>
      </c>
      <c r="I484" s="7" t="s">
        <v>372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1</v>
      </c>
      <c r="AF484" s="7">
        <v>100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11">
        <v>100</v>
      </c>
      <c r="BN484" s="15">
        <f t="shared" si="16"/>
        <v>100</v>
      </c>
      <c r="BO484" s="16">
        <f t="shared" si="17"/>
        <v>70</v>
      </c>
    </row>
    <row r="485" spans="1:67" x14ac:dyDescent="0.4">
      <c r="A485" s="5" t="s">
        <v>460</v>
      </c>
      <c r="B485" s="5" t="s">
        <v>273</v>
      </c>
      <c r="C485" s="5">
        <v>416378</v>
      </c>
      <c r="D485" s="6"/>
      <c r="E485" s="5" t="s">
        <v>16</v>
      </c>
      <c r="F485" s="5" t="s">
        <v>125</v>
      </c>
      <c r="G485" s="5" t="s">
        <v>34</v>
      </c>
      <c r="H485" s="7" t="s">
        <v>8</v>
      </c>
      <c r="I485" s="7" t="s">
        <v>274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1</v>
      </c>
      <c r="AF485" s="7">
        <v>100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11">
        <v>100</v>
      </c>
      <c r="BN485" s="15">
        <f t="shared" si="16"/>
        <v>100</v>
      </c>
      <c r="BO485" s="16">
        <f t="shared" si="17"/>
        <v>70</v>
      </c>
    </row>
    <row r="486" spans="1:67" x14ac:dyDescent="0.4">
      <c r="A486" s="5" t="s">
        <v>460</v>
      </c>
      <c r="B486" s="5" t="s">
        <v>581</v>
      </c>
      <c r="C486" s="5">
        <v>385872</v>
      </c>
      <c r="D486" s="6"/>
      <c r="E486" s="5" t="s">
        <v>16</v>
      </c>
      <c r="F486" s="5" t="s">
        <v>347</v>
      </c>
      <c r="G486" s="5" t="s">
        <v>10</v>
      </c>
      <c r="H486" s="7" t="s">
        <v>7</v>
      </c>
      <c r="I486" s="7" t="s">
        <v>582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1</v>
      </c>
      <c r="AF486" s="7">
        <v>100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11">
        <v>100</v>
      </c>
      <c r="BN486" s="15">
        <f t="shared" si="16"/>
        <v>100</v>
      </c>
      <c r="BO486" s="16">
        <f t="shared" si="17"/>
        <v>70</v>
      </c>
    </row>
    <row r="487" spans="1:67" x14ac:dyDescent="0.4">
      <c r="A487" s="5" t="s">
        <v>460</v>
      </c>
      <c r="B487" s="5" t="s">
        <v>250</v>
      </c>
      <c r="C487" s="5">
        <v>434853</v>
      </c>
      <c r="D487" s="6"/>
      <c r="E487" s="5" t="s">
        <v>16</v>
      </c>
      <c r="F487" s="5" t="s">
        <v>251</v>
      </c>
      <c r="G487" s="5" t="s">
        <v>10</v>
      </c>
      <c r="H487" s="7" t="s">
        <v>7</v>
      </c>
      <c r="I487" s="7" t="s">
        <v>252</v>
      </c>
      <c r="J487" s="7">
        <v>1</v>
      </c>
      <c r="K487" s="7">
        <v>0</v>
      </c>
      <c r="L487" s="7">
        <v>100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11">
        <v>100</v>
      </c>
      <c r="BN487" s="15">
        <f t="shared" si="16"/>
        <v>100</v>
      </c>
      <c r="BO487" s="16">
        <f t="shared" si="17"/>
        <v>70</v>
      </c>
    </row>
    <row r="488" spans="1:67" x14ac:dyDescent="0.4">
      <c r="A488" s="5" t="s">
        <v>460</v>
      </c>
      <c r="B488" s="5" t="s">
        <v>325</v>
      </c>
      <c r="C488" s="5">
        <v>406872</v>
      </c>
      <c r="D488" s="6"/>
      <c r="E488" s="5" t="s">
        <v>16</v>
      </c>
      <c r="F488" s="5" t="s">
        <v>326</v>
      </c>
      <c r="G488" s="5" t="s">
        <v>421</v>
      </c>
      <c r="H488" s="7" t="s">
        <v>9</v>
      </c>
      <c r="I488" s="7" t="s">
        <v>327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1</v>
      </c>
      <c r="AL488" s="7">
        <v>0</v>
      </c>
      <c r="AM488" s="7">
        <v>100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11">
        <v>100</v>
      </c>
      <c r="BN488" s="15">
        <f t="shared" si="16"/>
        <v>100</v>
      </c>
      <c r="BO488" s="16">
        <f t="shared" si="17"/>
        <v>70</v>
      </c>
    </row>
    <row r="489" spans="1:67" x14ac:dyDescent="0.4">
      <c r="BO489" s="17">
        <f>SUM(BO2:BO488)</f>
        <v>45047132.060000002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2022-09-02T06:04:00Z</dcterms:modified>
</cp:coreProperties>
</file>