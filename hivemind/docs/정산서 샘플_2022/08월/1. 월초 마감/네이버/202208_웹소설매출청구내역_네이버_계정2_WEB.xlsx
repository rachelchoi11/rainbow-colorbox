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네이버\"/>
    </mc:Choice>
  </mc:AlternateContent>
  <bookViews>
    <workbookView xWindow="0" yWindow="0" windowWidth="23040" windowHeight="8952" tabRatio="766"/>
  </bookViews>
  <sheets>
    <sheet name="합계 (8)" sheetId="412" r:id="rId1"/>
  </sheets>
  <definedNames>
    <definedName name="_xlnm._FilterDatabase" localSheetId="0" hidden="1">'합계 (8)'!$A$1:$BQ$42</definedName>
    <definedName name="_xlnm.Extract" localSheetId="0">'합계 (8)'!#REF!</definedName>
  </definedNames>
  <calcPr calcId="152511"/>
</workbook>
</file>

<file path=xl/calcChain.xml><?xml version="1.0" encoding="utf-8"?>
<calcChain xmlns="http://schemas.openxmlformats.org/spreadsheetml/2006/main">
  <c r="BM137" i="412" l="1"/>
  <c r="BN43" i="412" l="1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72" i="412"/>
  <c r="BO72" i="412" s="1"/>
  <c r="BN73" i="412"/>
  <c r="BO73" i="412" s="1"/>
  <c r="BN74" i="412"/>
  <c r="BO74" i="412" s="1"/>
  <c r="BN75" i="412"/>
  <c r="BO75" i="412" s="1"/>
  <c r="BN76" i="412"/>
  <c r="BO76" i="412" s="1"/>
  <c r="BN77" i="412"/>
  <c r="BO77" i="412"/>
  <c r="BN78" i="412"/>
  <c r="BO78" i="412" s="1"/>
  <c r="BN79" i="412"/>
  <c r="BO79" i="412" s="1"/>
  <c r="BN80" i="412"/>
  <c r="BO80" i="412" s="1"/>
  <c r="BN81" i="412"/>
  <c r="BO81" i="412" s="1"/>
  <c r="BN82" i="412"/>
  <c r="BO82" i="412" s="1"/>
  <c r="BN83" i="412"/>
  <c r="BO83" i="412" s="1"/>
  <c r="BN84" i="412"/>
  <c r="BO84" i="412" s="1"/>
  <c r="BN85" i="412"/>
  <c r="BO85" i="412" s="1"/>
  <c r="BN86" i="412"/>
  <c r="BO86" i="412" s="1"/>
  <c r="BN87" i="412"/>
  <c r="BO87" i="412" s="1"/>
  <c r="BN88" i="412"/>
  <c r="BO88" i="412" s="1"/>
  <c r="BN89" i="412"/>
  <c r="BO89" i="412" s="1"/>
  <c r="BN90" i="412"/>
  <c r="BO90" i="412" s="1"/>
  <c r="BN91" i="412"/>
  <c r="BO91" i="412" s="1"/>
  <c r="BN92" i="412"/>
  <c r="BO92" i="412" s="1"/>
  <c r="BN93" i="412"/>
  <c r="BO93" i="412" s="1"/>
  <c r="BN94" i="412"/>
  <c r="BO94" i="412" s="1"/>
  <c r="BN95" i="412"/>
  <c r="BO95" i="412" s="1"/>
  <c r="BN96" i="412"/>
  <c r="BO96" i="412" s="1"/>
  <c r="BN97" i="412"/>
  <c r="BO97" i="412" s="1"/>
  <c r="BN98" i="412"/>
  <c r="BO98" i="412" s="1"/>
  <c r="BN99" i="412"/>
  <c r="BO99" i="412" s="1"/>
  <c r="BN100" i="412"/>
  <c r="BO100" i="412" s="1"/>
  <c r="BN101" i="412"/>
  <c r="BO101" i="412" s="1"/>
  <c r="BN102" i="412"/>
  <c r="BO102" i="412" s="1"/>
  <c r="BN103" i="412"/>
  <c r="BO103" i="412" s="1"/>
  <c r="BN104" i="412"/>
  <c r="BO104" i="412" s="1"/>
  <c r="BN105" i="412"/>
  <c r="BO105" i="412" s="1"/>
  <c r="BN106" i="412"/>
  <c r="BO106" i="412" s="1"/>
  <c r="BN107" i="412"/>
  <c r="BO107" i="412" s="1"/>
  <c r="BN108" i="412"/>
  <c r="BO108" i="412" s="1"/>
  <c r="BN109" i="412"/>
  <c r="BO109" i="412" s="1"/>
  <c r="BN110" i="412"/>
  <c r="BO110" i="412" s="1"/>
  <c r="BN111" i="412"/>
  <c r="BO111" i="412" s="1"/>
  <c r="BN112" i="412"/>
  <c r="BO112" i="412" s="1"/>
  <c r="BN113" i="412"/>
  <c r="BO113" i="412" s="1"/>
  <c r="BN114" i="412"/>
  <c r="BO114" i="412" s="1"/>
  <c r="BN115" i="412"/>
  <c r="BO115" i="412" s="1"/>
  <c r="BN116" i="412"/>
  <c r="BO116" i="412" s="1"/>
  <c r="BN117" i="412"/>
  <c r="BO117" i="412" s="1"/>
  <c r="BN118" i="412"/>
  <c r="BO118" i="412" s="1"/>
  <c r="BN119" i="412"/>
  <c r="BO119" i="412" s="1"/>
  <c r="BN120" i="412"/>
  <c r="BO120" i="412" s="1"/>
  <c r="BN121" i="412"/>
  <c r="BO121" i="412" s="1"/>
  <c r="BN122" i="412"/>
  <c r="BO122" i="412" s="1"/>
  <c r="BN123" i="412"/>
  <c r="BO123" i="412" s="1"/>
  <c r="BN124" i="412"/>
  <c r="BO124" i="412" s="1"/>
  <c r="BN125" i="412"/>
  <c r="BO125" i="412" s="1"/>
  <c r="BN126" i="412"/>
  <c r="BO126" i="412" s="1"/>
  <c r="BN127" i="412"/>
  <c r="BO127" i="412" s="1"/>
  <c r="BN128" i="412"/>
  <c r="BO128" i="412" s="1"/>
  <c r="BN129" i="412"/>
  <c r="BO129" i="412" s="1"/>
  <c r="BN130" i="412"/>
  <c r="BO130" i="412" s="1"/>
  <c r="BN131" i="412"/>
  <c r="BO131" i="412" s="1"/>
  <c r="BN132" i="412"/>
  <c r="BO132" i="412" s="1"/>
  <c r="BN133" i="412"/>
  <c r="BO133" i="412" s="1"/>
  <c r="BN134" i="412"/>
  <c r="BO134" i="412" s="1"/>
  <c r="BN135" i="412"/>
  <c r="BO135" i="412" s="1"/>
  <c r="BN136" i="412"/>
  <c r="BO136" i="412" s="1"/>
  <c r="BO137" i="412" l="1"/>
  <c r="BN3" i="412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2" i="412"/>
  <c r="BO2" i="412" l="1"/>
</calcChain>
</file>

<file path=xl/sharedStrings.xml><?xml version="1.0" encoding="utf-8"?>
<sst xmlns="http://schemas.openxmlformats.org/spreadsheetml/2006/main" count="1014" uniqueCount="281">
  <si>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</si>
  <si>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</si>
  <si>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</si>
  <si>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</si>
  <si>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</si>
  <si>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</si>
  <si>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</si>
  <si>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</si>
  <si>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</si>
  <si>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</si>
  <si>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</si>
  <si>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</si>
  <si>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김광수</t>
  </si>
  <si>
    <t>합계</t>
  </si>
  <si>
    <t>앱마켓수수료</t>
  </si>
  <si>
    <t>구원, 그 잔혹함에 대하여 [선공개]</t>
  </si>
  <si>
    <t>스토리위즈_1</t>
  </si>
  <si>
    <t>한보연</t>
  </si>
  <si>
    <t>2022.06.02</t>
  </si>
  <si>
    <t>디버프 마스터</t>
  </si>
  <si>
    <t>담화공</t>
  </si>
  <si>
    <t>2022.05.04</t>
  </si>
  <si>
    <t>위대한 가문의 망나니가 되다 [독점]</t>
  </si>
  <si>
    <t>바나바다</t>
  </si>
  <si>
    <t>2022.04.17</t>
  </si>
  <si>
    <t>나 혼자 스킬융합 [독점]</t>
  </si>
  <si>
    <t>붕어빵</t>
  </si>
  <si>
    <t>2022.05.06</t>
  </si>
  <si>
    <t>회귀의 전설 [단행본]</t>
  </si>
  <si>
    <t>최종 보스 : 빛을 향해 달리는 그림자 [독점]</t>
  </si>
  <si>
    <t>무장</t>
  </si>
  <si>
    <t>2021.03.06</t>
  </si>
  <si>
    <t>사랑도 없이 결혼</t>
  </si>
  <si>
    <t>차홍주</t>
  </si>
  <si>
    <t>도서출판 태랑</t>
  </si>
  <si>
    <t>2020.12.07</t>
  </si>
  <si>
    <t>갓 오브 블랙필드</t>
  </si>
  <si>
    <t>2017.02.27</t>
  </si>
  <si>
    <t>신입사원이 이렇게 일을 잘했다고? [독점]</t>
  </si>
  <si>
    <t>왕십리글쟁이</t>
  </si>
  <si>
    <t>결혼의 함정 [선공개]</t>
  </si>
  <si>
    <t>블랙커피</t>
  </si>
  <si>
    <t>로드 오브 머니</t>
  </si>
  <si>
    <t>2018.08.02</t>
  </si>
  <si>
    <t>어쩌다 계약 아내 [선공개]</t>
  </si>
  <si>
    <t>아슈크림</t>
  </si>
  <si>
    <t>2022.03.21</t>
  </si>
  <si>
    <t>전생자가 용병단장으로 살아가는 법 [독점]</t>
  </si>
  <si>
    <t>새우깡조아</t>
  </si>
  <si>
    <t>밈스</t>
  </si>
  <si>
    <t>BJ소드마스터 [독점]</t>
  </si>
  <si>
    <t>이동열</t>
  </si>
  <si>
    <t>2020.07.24</t>
  </si>
  <si>
    <t>회귀자의 슬기로운 복수생활 [독점]</t>
  </si>
  <si>
    <t>구공</t>
  </si>
  <si>
    <t>2022.03.30</t>
  </si>
  <si>
    <t>위험한 신혼부부 [독점]</t>
  </si>
  <si>
    <t>박수정(방울마마)</t>
  </si>
  <si>
    <t>2016.07.20</t>
  </si>
  <si>
    <t>구유</t>
  </si>
  <si>
    <t>덕킹</t>
  </si>
  <si>
    <t>형사의 게임 [단행본]</t>
  </si>
  <si>
    <t>2017.10.27</t>
  </si>
  <si>
    <t>야쿠자가 사랑을 한다면 [개정판][BL]</t>
  </si>
  <si>
    <t>모리미</t>
  </si>
  <si>
    <t>2019.12.05</t>
  </si>
  <si>
    <t>셔틀</t>
  </si>
  <si>
    <t>2020.01.31</t>
  </si>
  <si>
    <t>빵양이</t>
  </si>
  <si>
    <t>세상</t>
  </si>
  <si>
    <t>회귀했는데 FFF급 부두술사 [독점]</t>
  </si>
  <si>
    <t>빡선생</t>
  </si>
  <si>
    <t>2021.11.17</t>
  </si>
  <si>
    <t>선유문주 [단행본]</t>
  </si>
  <si>
    <t>2022.01.27</t>
  </si>
  <si>
    <t>김온별(러브마인)</t>
  </si>
  <si>
    <t>트리거 [BL]</t>
  </si>
  <si>
    <t>2020.06.05</t>
  </si>
  <si>
    <t>스내치</t>
  </si>
  <si>
    <t>19세 이상 이용가능</t>
  </si>
  <si>
    <t>BitterSweet</t>
  </si>
  <si>
    <t>사랑도 없이 결혼 [단행본]</t>
  </si>
  <si>
    <t>N스토어(MW)</t>
    <phoneticPr fontId="20" type="noConversion"/>
  </si>
  <si>
    <t>이혼 후 로또 1등 감독님</t>
  </si>
  <si>
    <t>2022.07.04</t>
  </si>
  <si>
    <t>로드 오브 머니 [단행본]</t>
  </si>
  <si>
    <t>2019.08.05</t>
  </si>
  <si>
    <t>신들의 알바나라</t>
  </si>
  <si>
    <t>갓띵작</t>
  </si>
  <si>
    <t>2022.06.10</t>
  </si>
  <si>
    <t>슈퍼스타의 비밀 어플</t>
  </si>
  <si>
    <t>2022.03.11</t>
  </si>
  <si>
    <t>친구의 고백 [단행본]</t>
  </si>
  <si>
    <t>구애</t>
  </si>
  <si>
    <t>2019.12.18</t>
  </si>
  <si>
    <t>청빙</t>
  </si>
  <si>
    <t>기사가문 망나니는 10클래스</t>
  </si>
  <si>
    <t>예로나</t>
  </si>
  <si>
    <t>2020.03.11</t>
  </si>
  <si>
    <t>두나래</t>
  </si>
  <si>
    <t>썸원(Someone)</t>
  </si>
  <si>
    <t>2020.11.23</t>
  </si>
  <si>
    <t>삼국지 호접몽전 [단행본]</t>
  </si>
  <si>
    <t>2020.05.05</t>
  </si>
  <si>
    <t>N스토어(PC)</t>
    <phoneticPr fontId="20" type="noConversion"/>
  </si>
  <si>
    <t>꽃잎, 흩날리는 [BL][단행본]</t>
  </si>
  <si>
    <t>마용출</t>
  </si>
  <si>
    <t>2022.06.27</t>
  </si>
  <si>
    <t>우리야, 이리온 [단행본]</t>
  </si>
  <si>
    <t>2021.12.20</t>
  </si>
  <si>
    <t>문스톤</t>
  </si>
  <si>
    <t>출판사</t>
    <phoneticPr fontId="23" type="noConversion"/>
  </si>
  <si>
    <t>2022.07.20</t>
  </si>
  <si>
    <t>최종 보스 : 빛을 향해 달리는 그림자 [단행본]</t>
  </si>
  <si>
    <t>2022.08.02</t>
  </si>
  <si>
    <t>도폐풍운록 [단행본]</t>
  </si>
  <si>
    <t>2021.09.17</t>
  </si>
  <si>
    <t>2022.08.01</t>
  </si>
  <si>
    <t>앰퍼샌드B</t>
  </si>
  <si>
    <t>블레슈(Blesshuu)</t>
  </si>
  <si>
    <t>모르는 남자와 결혼했다</t>
  </si>
  <si>
    <t>정요화</t>
  </si>
  <si>
    <t>그 알파 내 오메가 만들기 [BL]</t>
  </si>
  <si>
    <t>주이서</t>
  </si>
  <si>
    <t>2018.09.20</t>
  </si>
  <si>
    <t>부도덕한 재회</t>
  </si>
  <si>
    <t>이리안</t>
  </si>
  <si>
    <t>2022.07.27</t>
  </si>
  <si>
    <t>슈퍼스타의 비밀 어플 [단행본]</t>
  </si>
  <si>
    <t>2022.03.10</t>
  </si>
  <si>
    <t>2021.03.26</t>
  </si>
  <si>
    <t>2021.10.01</t>
  </si>
  <si>
    <t>PC 뷰어(PC)</t>
    <phoneticPr fontId="20" type="noConversion"/>
  </si>
  <si>
    <t>구애 [단행본]</t>
  </si>
  <si>
    <t>2019.11.22</t>
  </si>
  <si>
    <t>바랑둥이 내 남자 [단행본]</t>
  </si>
  <si>
    <t>2020.03.20</t>
  </si>
  <si>
    <t>2022.06.22</t>
  </si>
  <si>
    <t>아래층에 전남편이 산다 [단행본]</t>
  </si>
  <si>
    <t>기어이 사랑 [단행본]</t>
  </si>
  <si>
    <t>2020.05.29</t>
  </si>
  <si>
    <t>비서의 유혹 [단행본]</t>
  </si>
  <si>
    <t>2019.11.29</t>
  </si>
  <si>
    <t>어쩌다 계약 아내 외전 [단행본]</t>
  </si>
  <si>
    <t>구애 외전 [단행본]</t>
  </si>
  <si>
    <t>중독</t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</si>
  <si>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</si>
  <si>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</si>
  <si>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</si>
  <si>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</si>
  <si>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</si>
  <si>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</si>
  <si>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</si>
  <si>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</si>
  <si>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</si>
  <si>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</si>
  <si>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</si>
  <si>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</si>
  <si>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</si>
  <si>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</si>
  <si>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</si>
  <si>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</si>
  <si>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</si>
  <si>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</si>
  <si>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</si>
  <si>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</si>
  <si>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</si>
  <si>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</si>
  <si>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</si>
  <si>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</si>
  <si>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</si>
  <si>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</si>
  <si>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</si>
  <si>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</si>
  <si>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</si>
  <si>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</si>
  <si>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</si>
  <si>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</si>
  <si>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</si>
  <si>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</si>
  <si>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</si>
  <si>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</si>
  <si>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</si>
  <si>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</si>
  <si>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</si>
  <si>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</si>
  <si>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</si>
  <si>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</si>
  <si>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</si>
  <si>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</si>
  <si>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</si>
  <si>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</si>
  <si>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</si>
  <si>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</si>
  <si>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</si>
  <si>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</si>
  <si>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</si>
  <si>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</si>
  <si>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</si>
  <si>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</si>
  <si>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</si>
  <si>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</si>
  <si>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</si>
  <si>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r>
      <rPr>
        <sz val="10"/>
        <color theme="1"/>
        <rFont val="맑은 고딕"/>
        <family val="3"/>
        <charset val="129"/>
        <scheme val="major"/>
      </rPr>
      <t>작가</t>
    </r>
    <r>
      <rPr>
        <sz val="11"/>
        <color theme="1"/>
        <rFont val="맑은 고딕"/>
        <family val="3"/>
        <charset val="129"/>
        <scheme val="major"/>
      </rPr>
      <t xml:space="preserve"> CP</t>
    </r>
    <phoneticPr fontId="23" type="noConversion"/>
  </si>
  <si>
    <t>갓 오브 블랙필드 [개정판][단행본]</t>
  </si>
  <si>
    <t>2020.06.24</t>
  </si>
  <si>
    <t>2022.09.02</t>
  </si>
  <si>
    <t>2022.08.22</t>
  </si>
  <si>
    <t>매혹적인 상사 [단행본]</t>
  </si>
  <si>
    <t>SOTUS [BL][단행본]</t>
  </si>
  <si>
    <t>은천검제(2부 화산검제) [단행본]</t>
  </si>
  <si>
    <t>2020.08.26</t>
  </si>
  <si>
    <t>지금, 덮치러 갑니다</t>
  </si>
  <si>
    <t>먼나무</t>
  </si>
  <si>
    <t>2022.08.12</t>
  </si>
  <si>
    <t>사랑을 놓치고 [단행본]</t>
  </si>
  <si>
    <t>2019.10.11</t>
  </si>
  <si>
    <t>함선으로 귀환해서 이세계 최강 [독점]</t>
  </si>
  <si>
    <t>밥앤라면</t>
  </si>
  <si>
    <t>천재 배우의 다이어리</t>
  </si>
  <si>
    <t>mollen</t>
  </si>
  <si>
    <t>다정할수록 불순한 [외전 선공개]</t>
  </si>
  <si>
    <t>은지유</t>
  </si>
  <si>
    <t>2022.04.04</t>
  </si>
  <si>
    <t>라스트 서바이버 : 진화로 살아남아라!</t>
  </si>
  <si>
    <t>간신이 나라를 살림</t>
  </si>
  <si>
    <t>루이세</t>
  </si>
  <si>
    <t>2020.01.22</t>
  </si>
  <si>
    <t>기어이 사랑</t>
  </si>
  <si>
    <t>SSS급 마왕의 귀환</t>
  </si>
  <si>
    <t>2019.06.14</t>
  </si>
  <si>
    <t>뜨거운 항해</t>
  </si>
  <si>
    <t>2021.08.16</t>
  </si>
  <si>
    <t>나 혼자만 일일 보상</t>
  </si>
  <si>
    <t>2018.12.20</t>
  </si>
  <si>
    <t>화산검제 [은천검제 2부 연재]</t>
  </si>
  <si>
    <t>2020.03.24</t>
  </si>
  <si>
    <t>올마스터가 된 비전서고 [독점]</t>
  </si>
  <si>
    <t>글면증</t>
  </si>
  <si>
    <t>2021.11.18</t>
  </si>
  <si>
    <t>2022.08.23</t>
  </si>
  <si>
    <t>망작 리메이커 [독점]</t>
  </si>
  <si>
    <t>2021.08.03</t>
  </si>
  <si>
    <t>도폐풍운록</t>
  </si>
  <si>
    <t>2021.01.29</t>
  </si>
  <si>
    <t>던전 공략 LIVE</t>
  </si>
  <si>
    <t>2018.06.20</t>
  </si>
  <si>
    <t>흔적</t>
  </si>
  <si>
    <t>꽃잠</t>
  </si>
  <si>
    <t>살 떨리는 동거</t>
  </si>
  <si>
    <t>2021.01.14</t>
  </si>
  <si>
    <t>시크릿 맨 [개정판][삽화본]</t>
  </si>
  <si>
    <t>2020.04.10</t>
  </si>
  <si>
    <t>쉿, 그놈을 부탁해</t>
  </si>
  <si>
    <t>2021.11.15</t>
  </si>
  <si>
    <t>사냥:꿈 [BL]</t>
  </si>
  <si>
    <t>2018.02.22</t>
  </si>
  <si>
    <t>선유문주</t>
  </si>
  <si>
    <t>나의 시고르자브종 1~2권 [BL][단행본]</t>
  </si>
  <si>
    <t>젖어 들다 [단행본]</t>
  </si>
  <si>
    <t>란토파즈</t>
  </si>
  <si>
    <t>2021.03.05</t>
  </si>
  <si>
    <t>처음이어도 좋아 [단행본]</t>
  </si>
  <si>
    <t>테레자</t>
  </si>
  <si>
    <t>2020.10.26</t>
  </si>
  <si>
    <t>쉿, 그놈을 부탁해 [단행본]</t>
  </si>
  <si>
    <t>2021.08.19</t>
  </si>
  <si>
    <t>바랑둥이 내 남자 [외전][단행본]</t>
  </si>
  <si>
    <t>시크릿 맨 외전 [개정판][단행본]</t>
  </si>
  <si>
    <t>On the air [BL]</t>
  </si>
  <si>
    <t>DION(디온)</t>
  </si>
  <si>
    <t>2021.02.03</t>
  </si>
  <si>
    <t>사냥 [삽화본]</t>
  </si>
  <si>
    <t>2019.11.07</t>
  </si>
  <si>
    <t>컬러 러쉬 [BL]</t>
  </si>
  <si>
    <t>2021.04.07</t>
  </si>
  <si>
    <t>나의 시고르자브종 [BL]</t>
  </si>
  <si>
    <t>2022.06.16</t>
  </si>
  <si>
    <t>이과생 둘이 회귀했다</t>
  </si>
  <si>
    <t>하이후</t>
  </si>
  <si>
    <t>2020.07.10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</si>
</sst>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0" fontId="22" fillId="0" borderId="0" xfId="0" applyFont="1" applyAlignment="1">
      <alignment horizontal="left" vertical="center" wrapText="1"/>
    </xf>
    <xf numFmtId="41" fontId="24" fillId="0" borderId="0" xfId="42" applyFont="1">
      <alignment vertical="center"/>
    </xf>
    <xf numFmtId="4" fontId="24" fillId="0" borderId="0" xfId="0" applyNumberFormat="1" applyFont="1">
      <alignment vertical="center"/>
    </xf>
    <xf numFmtId="41" fontId="25" fillId="34" borderId="0" xfId="42" applyFont="1" applyFill="1">
      <alignment vertical="center"/>
    </xf>
    <xf numFmtId="0" fontId="26" fillId="35" borderId="10" xfId="0" applyFont="1" applyFill="1" applyBorder="1" applyAlignment="1">
      <alignment vertical="center"/>
    </xf>
    <xf numFmtId="0" fontId="27" fillId="35" borderId="11" xfId="0" applyFont="1" applyFill="1" applyBorder="1" applyAlignme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142"/>
  <sheetViews>
    <sheetView tabSelected="1" zoomScaleNormal="100" workbookViewId="0"/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4" max="64" width="9.19921875" bestFit="1" customWidth="1"/>
    <col min="65" max="65" width="13.5" bestFit="1" customWidth="1"/>
    <col min="66" max="66" width="13.59765625" bestFit="1" customWidth="1"/>
    <col min="67" max="67" width="13.3984375" style="13" customWidth="1"/>
  </cols>
  <sheetData>
    <row r="1" spans="1:69" ht="27" customHeight="1" x14ac:dyDescent="0.4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146</v>
      </c>
      <c r="I1" s="14" t="s">
        <v>6</v>
      </c>
      <c r="J1" s="12" t="s">
        <v>147</v>
      </c>
      <c r="K1" s="12" t="s">
        <v>148</v>
      </c>
      <c r="L1" s="12" t="s">
        <v>149</v>
      </c>
      <c r="M1" s="12" t="s">
        <v>150</v>
      </c>
      <c r="N1" s="12" t="s">
        <v>151</v>
      </c>
      <c r="O1" s="12" t="s">
        <v>152</v>
      </c>
      <c r="P1" s="12" t="s">
        <v>153</v>
      </c>
      <c r="Q1" s="12" t="s">
        <v>154</v>
      </c>
      <c r="R1" s="12" t="s">
        <v>155</v>
      </c>
      <c r="S1" s="12" t="s">
        <v>156</v>
      </c>
      <c r="T1" s="12" t="s">
        <v>157</v>
      </c>
      <c r="U1" s="12" t="s">
        <v>158</v>
      </c>
      <c r="V1" s="12" t="s">
        <v>159</v>
      </c>
      <c r="W1" s="12" t="s">
        <v>160</v>
      </c>
      <c r="X1" s="12" t="s">
        <v>161</v>
      </c>
      <c r="Y1" s="12" t="s">
        <v>162</v>
      </c>
      <c r="Z1" s="12" t="s">
        <v>163</v>
      </c>
      <c r="AA1" s="12" t="s">
        <v>164</v>
      </c>
      <c r="AB1" s="12" t="s">
        <v>165</v>
      </c>
      <c r="AC1" s="12" t="s">
        <v>166</v>
      </c>
      <c r="AD1" s="12" t="s">
        <v>167</v>
      </c>
      <c r="AE1" s="12" t="s">
        <v>168</v>
      </c>
      <c r="AF1" s="12" t="s">
        <v>169</v>
      </c>
      <c r="AG1" s="12" t="s">
        <v>170</v>
      </c>
      <c r="AH1" s="12" t="s">
        <v>171</v>
      </c>
      <c r="AI1" s="12" t="s">
        <v>172</v>
      </c>
      <c r="AJ1" s="12" t="s">
        <v>173</v>
      </c>
      <c r="AK1" s="12" t="s">
        <v>174</v>
      </c>
      <c r="AL1" s="12" t="s">
        <v>175</v>
      </c>
      <c r="AM1" s="12" t="s">
        <v>176</v>
      </c>
      <c r="AN1" s="12" t="s">
        <v>177</v>
      </c>
      <c r="AO1" s="12" t="s">
        <v>178</v>
      </c>
      <c r="AP1" s="12" t="s">
        <v>179</v>
      </c>
      <c r="AQ1" s="12" t="s">
        <v>180</v>
      </c>
      <c r="AR1" s="12" t="s">
        <v>181</v>
      </c>
      <c r="AS1" s="12" t="s">
        <v>182</v>
      </c>
      <c r="AT1" s="12" t="s">
        <v>183</v>
      </c>
      <c r="AU1" s="12" t="s">
        <v>184</v>
      </c>
      <c r="AV1" s="12" t="s">
        <v>185</v>
      </c>
      <c r="AW1" s="12" t="s">
        <v>186</v>
      </c>
      <c r="AX1" s="12" t="s">
        <v>187</v>
      </c>
      <c r="AY1" s="12" t="s">
        <v>188</v>
      </c>
      <c r="AZ1" s="12" t="s">
        <v>189</v>
      </c>
      <c r="BA1" s="12" t="s">
        <v>190</v>
      </c>
      <c r="BB1" s="12" t="s">
        <v>191</v>
      </c>
      <c r="BC1" s="12" t="s">
        <v>192</v>
      </c>
      <c r="BD1" s="12" t="s">
        <v>193</v>
      </c>
      <c r="BE1" s="12" t="s">
        <v>194</v>
      </c>
      <c r="BF1" s="12" t="s">
        <v>195</v>
      </c>
      <c r="BG1" s="12" t="s">
        <v>196</v>
      </c>
      <c r="BH1" s="12" t="s">
        <v>197</v>
      </c>
      <c r="BI1" s="12" t="s">
        <v>198</v>
      </c>
      <c r="BJ1" s="12" t="s">
        <v>199</v>
      </c>
      <c r="BK1" s="12" t="s">
        <v>200</v>
      </c>
      <c r="BL1" s="12" t="s">
        <v>14</v>
      </c>
      <c r="BM1" s="12" t="s">
        <v>13</v>
      </c>
      <c r="BN1" s="12" t="s">
        <v>201</v>
      </c>
      <c r="BO1" s="12" t="s">
        <v>202</v>
      </c>
      <c r="BP1" s="19" t="s">
        <v>111</v>
      </c>
      <c r="BQ1" s="20" t="s">
        <v>203</v>
      </c>
    </row>
    <row r="2" spans="1:69" x14ac:dyDescent="0.4">
      <c r="A2" s="15" t="s">
        <v>104</v>
      </c>
      <c r="B2" s="5" t="s">
        <v>28</v>
      </c>
      <c r="C2" s="5">
        <v>414278</v>
      </c>
      <c r="D2" s="6"/>
      <c r="E2" s="5" t="s">
        <v>16</v>
      </c>
      <c r="F2" s="5" t="s">
        <v>12</v>
      </c>
      <c r="G2" s="5" t="s">
        <v>11</v>
      </c>
      <c r="H2" s="7" t="s">
        <v>8</v>
      </c>
      <c r="I2" s="7" t="s">
        <v>112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15</v>
      </c>
      <c r="AF2" s="8">
        <v>41700</v>
      </c>
      <c r="AG2" s="8">
        <v>3200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15</v>
      </c>
      <c r="AR2" s="8">
        <v>47700</v>
      </c>
      <c r="AS2" s="7">
        <v>200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10">
        <v>92800</v>
      </c>
      <c r="BN2" s="16">
        <f>BM2-BL2</f>
        <v>92800</v>
      </c>
      <c r="BO2" s="16">
        <f>BN2*70%</f>
        <v>64959.999999999993</v>
      </c>
    </row>
    <row r="3" spans="1:69" x14ac:dyDescent="0.4">
      <c r="A3" s="15" t="s">
        <v>104</v>
      </c>
      <c r="B3" s="5" t="s">
        <v>204</v>
      </c>
      <c r="C3" s="5">
        <v>324335</v>
      </c>
      <c r="D3" s="6"/>
      <c r="E3" s="5" t="s">
        <v>16</v>
      </c>
      <c r="F3" s="5" t="s">
        <v>30</v>
      </c>
      <c r="G3" s="5" t="s">
        <v>11</v>
      </c>
      <c r="H3" s="7" t="s">
        <v>10</v>
      </c>
      <c r="I3" s="7" t="s">
        <v>205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6</v>
      </c>
      <c r="AF3" s="8">
        <v>12800</v>
      </c>
      <c r="AG3" s="8">
        <v>4900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14</v>
      </c>
      <c r="BD3" s="8">
        <v>51720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3103.2</v>
      </c>
      <c r="BM3" s="10">
        <v>69420</v>
      </c>
      <c r="BN3" s="16">
        <f t="shared" ref="BN3:BN42" si="0">BM3-BL3</f>
        <v>66316.800000000003</v>
      </c>
      <c r="BO3" s="16">
        <f t="shared" ref="BO3:BO42" si="1">BN3*70%</f>
        <v>46421.760000000002</v>
      </c>
    </row>
    <row r="4" spans="1:69" ht="19.2" x14ac:dyDescent="0.4">
      <c r="A4" s="15" t="s">
        <v>104</v>
      </c>
      <c r="B4" s="5" t="s">
        <v>113</v>
      </c>
      <c r="C4" s="5">
        <v>476003</v>
      </c>
      <c r="D4" s="6"/>
      <c r="E4" s="5" t="s">
        <v>16</v>
      </c>
      <c r="F4" s="5" t="s">
        <v>30</v>
      </c>
      <c r="G4" s="5" t="s">
        <v>11</v>
      </c>
      <c r="H4" s="7" t="s">
        <v>8</v>
      </c>
      <c r="I4" s="7" t="s">
        <v>112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7</v>
      </c>
      <c r="AF4" s="8">
        <v>19500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2</v>
      </c>
      <c r="AR4" s="8">
        <v>6400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10</v>
      </c>
      <c r="BD4" s="8">
        <v>38040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2282.4</v>
      </c>
      <c r="BM4" s="10">
        <v>63940</v>
      </c>
      <c r="BN4" s="16">
        <f t="shared" si="0"/>
        <v>61657.599999999999</v>
      </c>
      <c r="BO4" s="16">
        <f t="shared" si="1"/>
        <v>43160.32</v>
      </c>
    </row>
    <row r="5" spans="1:69" x14ac:dyDescent="0.4">
      <c r="A5" s="15" t="s">
        <v>104</v>
      </c>
      <c r="B5" s="5" t="s">
        <v>83</v>
      </c>
      <c r="C5" s="5">
        <v>472512</v>
      </c>
      <c r="D5" s="6"/>
      <c r="E5" s="5" t="s">
        <v>16</v>
      </c>
      <c r="F5" s="5" t="s">
        <v>39</v>
      </c>
      <c r="G5" s="5" t="s">
        <v>11</v>
      </c>
      <c r="H5" s="7" t="s">
        <v>7</v>
      </c>
      <c r="I5" s="7" t="s">
        <v>206</v>
      </c>
      <c r="J5" s="7">
        <v>0</v>
      </c>
      <c r="K5" s="7">
        <v>646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85</v>
      </c>
      <c r="AF5" s="8">
        <v>6480</v>
      </c>
      <c r="AG5" s="8">
        <v>2100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55</v>
      </c>
      <c r="AR5" s="8">
        <v>5500</v>
      </c>
      <c r="AS5" s="7">
        <v>0</v>
      </c>
      <c r="AT5" s="7">
        <v>0</v>
      </c>
      <c r="AU5" s="7">
        <v>0</v>
      </c>
      <c r="AV5" s="7">
        <v>0</v>
      </c>
      <c r="AW5" s="7">
        <v>11</v>
      </c>
      <c r="AX5" s="8">
        <v>1320</v>
      </c>
      <c r="AY5" s="7">
        <v>0</v>
      </c>
      <c r="AZ5" s="7">
        <v>0</v>
      </c>
      <c r="BA5" s="7">
        <v>0</v>
      </c>
      <c r="BB5" s="7">
        <v>0</v>
      </c>
      <c r="BC5" s="7">
        <v>2</v>
      </c>
      <c r="BD5" s="7">
        <v>240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146.4</v>
      </c>
      <c r="BM5" s="10">
        <v>15640</v>
      </c>
      <c r="BN5" s="16">
        <f t="shared" si="0"/>
        <v>15493.6</v>
      </c>
      <c r="BO5" s="16">
        <f t="shared" si="1"/>
        <v>10845.52</v>
      </c>
    </row>
    <row r="6" spans="1:69" ht="19.2" x14ac:dyDescent="0.4">
      <c r="A6" s="15" t="s">
        <v>104</v>
      </c>
      <c r="B6" s="5" t="s">
        <v>38</v>
      </c>
      <c r="C6" s="5">
        <v>454534</v>
      </c>
      <c r="D6" s="6"/>
      <c r="E6" s="5" t="s">
        <v>16</v>
      </c>
      <c r="F6" s="5" t="s">
        <v>39</v>
      </c>
      <c r="G6" s="5" t="s">
        <v>11</v>
      </c>
      <c r="H6" s="7" t="s">
        <v>7</v>
      </c>
      <c r="I6" s="7" t="s">
        <v>207</v>
      </c>
      <c r="J6" s="7">
        <v>0</v>
      </c>
      <c r="K6" s="7">
        <v>196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119</v>
      </c>
      <c r="AF6" s="8">
        <v>9760</v>
      </c>
      <c r="AG6" s="8">
        <v>2200</v>
      </c>
      <c r="AH6" s="7">
        <v>0</v>
      </c>
      <c r="AI6" s="7">
        <v>0</v>
      </c>
      <c r="AJ6" s="7">
        <v>0</v>
      </c>
      <c r="AK6" s="7">
        <v>1</v>
      </c>
      <c r="AL6" s="7">
        <v>0</v>
      </c>
      <c r="AM6" s="7">
        <v>100</v>
      </c>
      <c r="AN6" s="7">
        <v>0</v>
      </c>
      <c r="AO6" s="7">
        <v>0</v>
      </c>
      <c r="AP6" s="7">
        <v>0</v>
      </c>
      <c r="AQ6" s="7">
        <v>11</v>
      </c>
      <c r="AR6" s="8">
        <v>1100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7</v>
      </c>
      <c r="BD6" s="7">
        <v>840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50.4</v>
      </c>
      <c r="BM6" s="10">
        <v>14000</v>
      </c>
      <c r="BN6" s="16">
        <f t="shared" si="0"/>
        <v>13949.6</v>
      </c>
      <c r="BO6" s="16">
        <f t="shared" si="1"/>
        <v>9764.7199999999993</v>
      </c>
    </row>
    <row r="7" spans="1:69" x14ac:dyDescent="0.4">
      <c r="A7" s="15" t="s">
        <v>104</v>
      </c>
      <c r="B7" s="5" t="s">
        <v>208</v>
      </c>
      <c r="C7" s="5">
        <v>462656</v>
      </c>
      <c r="D7" s="6"/>
      <c r="E7" s="5" t="s">
        <v>16</v>
      </c>
      <c r="F7" s="5" t="s">
        <v>78</v>
      </c>
      <c r="G7" s="5" t="s">
        <v>34</v>
      </c>
      <c r="H7" s="7" t="s">
        <v>79</v>
      </c>
      <c r="I7" s="7" t="s">
        <v>91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2</v>
      </c>
      <c r="BD7" s="8">
        <v>9120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547.20000000000005</v>
      </c>
      <c r="BM7" s="10">
        <v>9120</v>
      </c>
      <c r="BN7" s="16">
        <f t="shared" si="0"/>
        <v>8572.7999999999993</v>
      </c>
      <c r="BO7" s="16">
        <f t="shared" si="1"/>
        <v>6000.9599999999991</v>
      </c>
    </row>
    <row r="8" spans="1:69" x14ac:dyDescent="0.4">
      <c r="A8" s="15" t="s">
        <v>104</v>
      </c>
      <c r="B8" s="5" t="s">
        <v>73</v>
      </c>
      <c r="C8" s="5">
        <v>458566</v>
      </c>
      <c r="D8" s="6"/>
      <c r="E8" s="5" t="s">
        <v>16</v>
      </c>
      <c r="F8" s="5" t="s">
        <v>30</v>
      </c>
      <c r="G8" s="5" t="s">
        <v>11</v>
      </c>
      <c r="H8" s="7" t="s">
        <v>7</v>
      </c>
      <c r="I8" s="7" t="s">
        <v>74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2</v>
      </c>
      <c r="AF8" s="8">
        <v>6300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1</v>
      </c>
      <c r="BD8" s="7">
        <v>120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7.2</v>
      </c>
      <c r="BM8" s="10">
        <v>6420</v>
      </c>
      <c r="BN8" s="16">
        <f t="shared" si="0"/>
        <v>6412.8</v>
      </c>
      <c r="BO8" s="16">
        <f t="shared" si="1"/>
        <v>4488.96</v>
      </c>
    </row>
    <row r="9" spans="1:69" x14ac:dyDescent="0.4">
      <c r="A9" s="15" t="s">
        <v>104</v>
      </c>
      <c r="B9" s="5" t="s">
        <v>102</v>
      </c>
      <c r="C9" s="5">
        <v>395179</v>
      </c>
      <c r="D9" s="6"/>
      <c r="E9" s="5" t="s">
        <v>16</v>
      </c>
      <c r="F9" s="5" t="s">
        <v>95</v>
      </c>
      <c r="G9" s="5" t="s">
        <v>11</v>
      </c>
      <c r="H9" s="7" t="s">
        <v>7</v>
      </c>
      <c r="I9" s="7" t="s">
        <v>103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1</v>
      </c>
      <c r="AF9" s="7">
        <v>0</v>
      </c>
      <c r="AG9" s="8">
        <v>3200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1</v>
      </c>
      <c r="AR9" s="7">
        <v>0</v>
      </c>
      <c r="AS9" s="8">
        <v>3200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0">
        <v>6400</v>
      </c>
      <c r="BN9" s="16">
        <f t="shared" si="0"/>
        <v>6400</v>
      </c>
      <c r="BO9" s="16">
        <f t="shared" si="1"/>
        <v>4480</v>
      </c>
    </row>
    <row r="10" spans="1:69" x14ac:dyDescent="0.4">
      <c r="A10" s="15" t="s">
        <v>104</v>
      </c>
      <c r="B10" s="5" t="s">
        <v>125</v>
      </c>
      <c r="C10" s="5">
        <v>476783</v>
      </c>
      <c r="D10" s="6"/>
      <c r="E10" s="5" t="s">
        <v>16</v>
      </c>
      <c r="F10" s="5" t="s">
        <v>126</v>
      </c>
      <c r="G10" s="5" t="s">
        <v>34</v>
      </c>
      <c r="H10" s="7" t="s">
        <v>8</v>
      </c>
      <c r="I10" s="7" t="s">
        <v>127</v>
      </c>
      <c r="J10" s="7">
        <v>12</v>
      </c>
      <c r="K10" s="7">
        <v>102</v>
      </c>
      <c r="L10" s="8">
        <v>1200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24</v>
      </c>
      <c r="AF10" s="8">
        <v>2000</v>
      </c>
      <c r="AG10" s="7">
        <v>400</v>
      </c>
      <c r="AH10" s="7">
        <v>0</v>
      </c>
      <c r="AI10" s="7">
        <v>0</v>
      </c>
      <c r="AJ10" s="7">
        <v>0</v>
      </c>
      <c r="AK10" s="7">
        <v>2</v>
      </c>
      <c r="AL10" s="7">
        <v>0</v>
      </c>
      <c r="AM10" s="7">
        <v>200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4</v>
      </c>
      <c r="BD10" s="7">
        <v>480</v>
      </c>
      <c r="BE10" s="7">
        <v>0</v>
      </c>
      <c r="BF10" s="7">
        <v>0</v>
      </c>
      <c r="BG10" s="7">
        <v>0</v>
      </c>
      <c r="BH10" s="7">
        <v>0</v>
      </c>
      <c r="BI10" s="7">
        <v>1</v>
      </c>
      <c r="BJ10" s="7">
        <v>120</v>
      </c>
      <c r="BK10" s="7">
        <v>0</v>
      </c>
      <c r="BL10" s="7">
        <v>34.799999999999997</v>
      </c>
      <c r="BM10" s="10">
        <v>4400</v>
      </c>
      <c r="BN10" s="16">
        <f t="shared" si="0"/>
        <v>4365.2</v>
      </c>
      <c r="BO10" s="16">
        <f t="shared" si="1"/>
        <v>3055.64</v>
      </c>
    </row>
    <row r="11" spans="1:69" x14ac:dyDescent="0.4">
      <c r="A11" s="15" t="s">
        <v>104</v>
      </c>
      <c r="B11" s="5" t="s">
        <v>19</v>
      </c>
      <c r="C11" s="5">
        <v>463799</v>
      </c>
      <c r="D11" s="6"/>
      <c r="E11" s="5" t="s">
        <v>16</v>
      </c>
      <c r="F11" s="5" t="s">
        <v>20</v>
      </c>
      <c r="G11" s="5" t="s">
        <v>11</v>
      </c>
      <c r="H11" s="7" t="s">
        <v>7</v>
      </c>
      <c r="I11" s="7" t="s">
        <v>21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30</v>
      </c>
      <c r="AF11" s="8">
        <v>3000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13</v>
      </c>
      <c r="AR11" s="8">
        <v>1300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0">
        <v>4300</v>
      </c>
      <c r="BN11" s="16">
        <f t="shared" si="0"/>
        <v>4300</v>
      </c>
      <c r="BO11" s="16">
        <f t="shared" si="1"/>
        <v>3010</v>
      </c>
    </row>
    <row r="12" spans="1:69" x14ac:dyDescent="0.4">
      <c r="A12" s="15" t="s">
        <v>104</v>
      </c>
      <c r="B12" s="5" t="s">
        <v>138</v>
      </c>
      <c r="C12" s="5">
        <v>446880</v>
      </c>
      <c r="D12" s="6"/>
      <c r="E12" s="5" t="s">
        <v>16</v>
      </c>
      <c r="F12" s="5" t="s">
        <v>78</v>
      </c>
      <c r="G12" s="5" t="s">
        <v>34</v>
      </c>
      <c r="H12" s="7" t="s">
        <v>79</v>
      </c>
      <c r="I12" s="7" t="s">
        <v>131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1</v>
      </c>
      <c r="BD12" s="8">
        <v>4200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252</v>
      </c>
      <c r="BM12" s="10">
        <v>4200</v>
      </c>
      <c r="BN12" s="16">
        <f t="shared" si="0"/>
        <v>3948</v>
      </c>
      <c r="BO12" s="16">
        <f t="shared" si="1"/>
        <v>2763.6</v>
      </c>
    </row>
    <row r="13" spans="1:69" x14ac:dyDescent="0.4">
      <c r="A13" s="15" t="s">
        <v>104</v>
      </c>
      <c r="B13" s="5" t="s">
        <v>209</v>
      </c>
      <c r="C13" s="5">
        <v>467494</v>
      </c>
      <c r="D13" s="6"/>
      <c r="E13" s="5" t="s">
        <v>16</v>
      </c>
      <c r="F13" s="5" t="s">
        <v>80</v>
      </c>
      <c r="G13" s="5" t="s">
        <v>34</v>
      </c>
      <c r="H13" s="7" t="s">
        <v>8</v>
      </c>
      <c r="I13" s="7" t="s">
        <v>21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1</v>
      </c>
      <c r="AL13" s="8">
        <v>3780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9">
        <v>1134</v>
      </c>
      <c r="BM13" s="10">
        <v>3780</v>
      </c>
      <c r="BN13" s="16">
        <f t="shared" si="0"/>
        <v>2646</v>
      </c>
      <c r="BO13" s="16">
        <f t="shared" si="1"/>
        <v>1852.1999999999998</v>
      </c>
    </row>
    <row r="14" spans="1:69" x14ac:dyDescent="0.4">
      <c r="A14" s="15" t="s">
        <v>104</v>
      </c>
      <c r="B14" s="5" t="s">
        <v>81</v>
      </c>
      <c r="C14" s="5">
        <v>418302</v>
      </c>
      <c r="D14" s="6"/>
      <c r="E14" s="5" t="s">
        <v>16</v>
      </c>
      <c r="F14" s="5" t="s">
        <v>33</v>
      </c>
      <c r="G14" s="5" t="s">
        <v>34</v>
      </c>
      <c r="H14" s="7" t="s">
        <v>79</v>
      </c>
      <c r="I14" s="7" t="s">
        <v>35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1</v>
      </c>
      <c r="AF14" s="8">
        <v>3500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0">
        <v>3500</v>
      </c>
      <c r="BN14" s="16">
        <f t="shared" si="0"/>
        <v>3500</v>
      </c>
      <c r="BO14" s="16">
        <f t="shared" si="1"/>
        <v>2450</v>
      </c>
    </row>
    <row r="15" spans="1:69" x14ac:dyDescent="0.4">
      <c r="A15" s="15" t="s">
        <v>104</v>
      </c>
      <c r="B15" s="5" t="s">
        <v>210</v>
      </c>
      <c r="C15" s="5">
        <v>408579</v>
      </c>
      <c r="D15" s="6"/>
      <c r="E15" s="5" t="s">
        <v>16</v>
      </c>
      <c r="F15" s="5" t="s">
        <v>30</v>
      </c>
      <c r="G15" s="5" t="s">
        <v>11</v>
      </c>
      <c r="H15" s="7" t="s">
        <v>7</v>
      </c>
      <c r="I15" s="7" t="s">
        <v>211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1</v>
      </c>
      <c r="AR15" s="8">
        <v>3200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0">
        <v>3200</v>
      </c>
      <c r="BN15" s="16">
        <f t="shared" si="0"/>
        <v>3200</v>
      </c>
      <c r="BO15" s="16">
        <f t="shared" si="1"/>
        <v>2240</v>
      </c>
    </row>
    <row r="16" spans="1:69" x14ac:dyDescent="0.4">
      <c r="A16" s="15" t="s">
        <v>104</v>
      </c>
      <c r="B16" s="5" t="s">
        <v>212</v>
      </c>
      <c r="C16" s="5">
        <v>478890</v>
      </c>
      <c r="D16" s="6"/>
      <c r="E16" s="5" t="s">
        <v>16</v>
      </c>
      <c r="F16" s="5" t="s">
        <v>213</v>
      </c>
      <c r="G16" s="5" t="s">
        <v>119</v>
      </c>
      <c r="H16" s="7" t="s">
        <v>8</v>
      </c>
      <c r="I16" s="7" t="s">
        <v>214</v>
      </c>
      <c r="J16" s="7">
        <v>10</v>
      </c>
      <c r="K16" s="7">
        <v>0</v>
      </c>
      <c r="L16" s="8">
        <v>1000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13</v>
      </c>
      <c r="AF16" s="7">
        <v>500</v>
      </c>
      <c r="AG16" s="7">
        <v>800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8</v>
      </c>
      <c r="AR16" s="7">
        <v>800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0">
        <v>3100</v>
      </c>
      <c r="BN16" s="16">
        <f t="shared" si="0"/>
        <v>3100</v>
      </c>
      <c r="BO16" s="16">
        <f t="shared" si="1"/>
        <v>2170</v>
      </c>
    </row>
    <row r="17" spans="1:67" x14ac:dyDescent="0.4">
      <c r="A17" s="15" t="s">
        <v>104</v>
      </c>
      <c r="B17" s="5" t="s">
        <v>215</v>
      </c>
      <c r="C17" s="5">
        <v>377683</v>
      </c>
      <c r="D17" s="6"/>
      <c r="E17" s="5" t="s">
        <v>16</v>
      </c>
      <c r="F17" s="5" t="s">
        <v>33</v>
      </c>
      <c r="G17" s="5" t="s">
        <v>34</v>
      </c>
      <c r="H17" s="7" t="s">
        <v>79</v>
      </c>
      <c r="I17" s="7" t="s">
        <v>216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</v>
      </c>
      <c r="AF17" s="8">
        <v>3000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0">
        <v>3000</v>
      </c>
      <c r="BN17" s="16">
        <f t="shared" si="0"/>
        <v>3000</v>
      </c>
      <c r="BO17" s="16">
        <f t="shared" si="1"/>
        <v>2100</v>
      </c>
    </row>
    <row r="18" spans="1:67" x14ac:dyDescent="0.4">
      <c r="A18" s="15" t="s">
        <v>104</v>
      </c>
      <c r="B18" s="5" t="s">
        <v>143</v>
      </c>
      <c r="C18" s="5">
        <v>445862</v>
      </c>
      <c r="D18" s="6"/>
      <c r="E18" s="5" t="s">
        <v>16</v>
      </c>
      <c r="F18" s="5" t="s">
        <v>45</v>
      </c>
      <c r="G18" s="5" t="s">
        <v>34</v>
      </c>
      <c r="H18" s="7" t="s">
        <v>8</v>
      </c>
      <c r="I18" s="7" t="s">
        <v>116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1</v>
      </c>
      <c r="AF18" s="8">
        <v>2200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0">
        <v>2200</v>
      </c>
      <c r="BN18" s="16">
        <f t="shared" si="0"/>
        <v>2200</v>
      </c>
      <c r="BO18" s="16">
        <f t="shared" si="1"/>
        <v>1540</v>
      </c>
    </row>
    <row r="19" spans="1:67" x14ac:dyDescent="0.4">
      <c r="A19" s="15" t="s">
        <v>104</v>
      </c>
      <c r="B19" s="5" t="s">
        <v>15</v>
      </c>
      <c r="C19" s="5">
        <v>465248</v>
      </c>
      <c r="D19" s="6"/>
      <c r="E19" s="5" t="s">
        <v>16</v>
      </c>
      <c r="F19" s="5" t="s">
        <v>17</v>
      </c>
      <c r="G19" s="5" t="s">
        <v>119</v>
      </c>
      <c r="H19" s="7" t="s">
        <v>10</v>
      </c>
      <c r="I19" s="7" t="s">
        <v>18</v>
      </c>
      <c r="J19" s="7">
        <v>0</v>
      </c>
      <c r="K19" s="7">
        <v>105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21</v>
      </c>
      <c r="AF19" s="8">
        <v>2000</v>
      </c>
      <c r="AG19" s="7">
        <v>100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0">
        <v>2100</v>
      </c>
      <c r="BN19" s="16">
        <f t="shared" si="0"/>
        <v>2100</v>
      </c>
      <c r="BO19" s="16">
        <f t="shared" si="1"/>
        <v>1470</v>
      </c>
    </row>
    <row r="20" spans="1:67" ht="19.2" x14ac:dyDescent="0.4">
      <c r="A20" s="15" t="s">
        <v>104</v>
      </c>
      <c r="B20" s="5" t="s">
        <v>217</v>
      </c>
      <c r="C20" s="5">
        <v>473533</v>
      </c>
      <c r="D20" s="6"/>
      <c r="E20" s="5" t="s">
        <v>16</v>
      </c>
      <c r="F20" s="5" t="s">
        <v>218</v>
      </c>
      <c r="G20" s="5" t="s">
        <v>11</v>
      </c>
      <c r="H20" s="7" t="s">
        <v>7</v>
      </c>
      <c r="I20" s="7" t="s">
        <v>206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18</v>
      </c>
      <c r="AF20" s="8">
        <v>1800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1</v>
      </c>
      <c r="BD20" s="7">
        <v>120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7.2</v>
      </c>
      <c r="BM20" s="10">
        <v>1920</v>
      </c>
      <c r="BN20" s="16">
        <f t="shared" si="0"/>
        <v>1912.8</v>
      </c>
      <c r="BO20" s="16">
        <f t="shared" si="1"/>
        <v>1338.9599999999998</v>
      </c>
    </row>
    <row r="21" spans="1:67" x14ac:dyDescent="0.4">
      <c r="A21" s="15" t="s">
        <v>104</v>
      </c>
      <c r="B21" s="5" t="s">
        <v>61</v>
      </c>
      <c r="C21" s="5">
        <v>290890</v>
      </c>
      <c r="D21" s="6"/>
      <c r="E21" s="5" t="s">
        <v>16</v>
      </c>
      <c r="F21" s="5" t="s">
        <v>30</v>
      </c>
      <c r="G21" s="5" t="s">
        <v>11</v>
      </c>
      <c r="H21" s="7" t="s">
        <v>7</v>
      </c>
      <c r="I21" s="7" t="s">
        <v>62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2</v>
      </c>
      <c r="AC21" s="8">
        <v>1800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0">
        <v>1800</v>
      </c>
      <c r="BN21" s="16">
        <f t="shared" si="0"/>
        <v>1800</v>
      </c>
      <c r="BO21" s="16">
        <f t="shared" si="1"/>
        <v>1260</v>
      </c>
    </row>
    <row r="22" spans="1:67" x14ac:dyDescent="0.4">
      <c r="A22" s="15" t="s">
        <v>104</v>
      </c>
      <c r="B22" s="5" t="s">
        <v>219</v>
      </c>
      <c r="C22" s="5">
        <v>476788</v>
      </c>
      <c r="D22" s="6"/>
      <c r="E22" s="5" t="s">
        <v>16</v>
      </c>
      <c r="F22" s="5" t="s">
        <v>220</v>
      </c>
      <c r="G22" s="5" t="s">
        <v>11</v>
      </c>
      <c r="H22" s="7" t="s">
        <v>7</v>
      </c>
      <c r="I22" s="7" t="s">
        <v>117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4</v>
      </c>
      <c r="AF22" s="7">
        <v>400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2</v>
      </c>
      <c r="AR22" s="7">
        <v>200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5</v>
      </c>
      <c r="BJ22" s="7">
        <v>600</v>
      </c>
      <c r="BK22" s="7">
        <v>0</v>
      </c>
      <c r="BL22" s="7">
        <v>30</v>
      </c>
      <c r="BM22" s="10">
        <v>1200</v>
      </c>
      <c r="BN22" s="16">
        <f t="shared" si="0"/>
        <v>1170</v>
      </c>
      <c r="BO22" s="16">
        <f t="shared" si="1"/>
        <v>819</v>
      </c>
    </row>
    <row r="23" spans="1:67" x14ac:dyDescent="0.4">
      <c r="A23" s="15" t="s">
        <v>104</v>
      </c>
      <c r="B23" s="5" t="s">
        <v>56</v>
      </c>
      <c r="C23" s="5">
        <v>219203</v>
      </c>
      <c r="D23" s="6"/>
      <c r="E23" s="5" t="s">
        <v>16</v>
      </c>
      <c r="F23" s="5" t="s">
        <v>57</v>
      </c>
      <c r="G23" s="5" t="s">
        <v>11</v>
      </c>
      <c r="H23" s="7" t="s">
        <v>7</v>
      </c>
      <c r="I23" s="7" t="s">
        <v>58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10</v>
      </c>
      <c r="AC23" s="8">
        <v>1080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0">
        <v>1080</v>
      </c>
      <c r="BN23" s="16">
        <f t="shared" si="0"/>
        <v>1080</v>
      </c>
      <c r="BO23" s="16">
        <f t="shared" si="1"/>
        <v>756</v>
      </c>
    </row>
    <row r="24" spans="1:67" ht="19.2" x14ac:dyDescent="0.4">
      <c r="A24" s="15" t="s">
        <v>104</v>
      </c>
      <c r="B24" s="5" t="s">
        <v>29</v>
      </c>
      <c r="C24" s="5">
        <v>369220</v>
      </c>
      <c r="D24" s="6"/>
      <c r="E24" s="5" t="s">
        <v>16</v>
      </c>
      <c r="F24" s="5" t="s">
        <v>30</v>
      </c>
      <c r="G24" s="5" t="s">
        <v>11</v>
      </c>
      <c r="H24" s="7" t="s">
        <v>7</v>
      </c>
      <c r="I24" s="7" t="s">
        <v>31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2</v>
      </c>
      <c r="AF24" s="7">
        <v>200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8</v>
      </c>
      <c r="AR24" s="7">
        <v>800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10">
        <v>1000</v>
      </c>
      <c r="BN24" s="16">
        <f t="shared" si="0"/>
        <v>1000</v>
      </c>
      <c r="BO24" s="16">
        <f t="shared" si="1"/>
        <v>700</v>
      </c>
    </row>
    <row r="25" spans="1:67" x14ac:dyDescent="0.4">
      <c r="A25" s="15" t="s">
        <v>104</v>
      </c>
      <c r="B25" s="5" t="s">
        <v>40</v>
      </c>
      <c r="C25" s="5">
        <v>457807</v>
      </c>
      <c r="D25" s="6"/>
      <c r="E25" s="5" t="s">
        <v>16</v>
      </c>
      <c r="F25" s="5" t="s">
        <v>41</v>
      </c>
      <c r="G25" s="5" t="s">
        <v>34</v>
      </c>
      <c r="H25" s="7" t="s">
        <v>8</v>
      </c>
      <c r="I25" s="7" t="s">
        <v>114</v>
      </c>
      <c r="J25" s="7">
        <v>0</v>
      </c>
      <c r="K25" s="7">
        <v>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7</v>
      </c>
      <c r="AF25" s="7">
        <v>100</v>
      </c>
      <c r="AG25" s="7">
        <v>600</v>
      </c>
      <c r="AH25" s="7">
        <v>0</v>
      </c>
      <c r="AI25" s="7">
        <v>0</v>
      </c>
      <c r="AJ25" s="7">
        <v>0</v>
      </c>
      <c r="AK25" s="7">
        <v>1</v>
      </c>
      <c r="AL25" s="7">
        <v>0</v>
      </c>
      <c r="AM25" s="7">
        <v>100</v>
      </c>
      <c r="AN25" s="7">
        <v>0</v>
      </c>
      <c r="AO25" s="7">
        <v>0</v>
      </c>
      <c r="AP25" s="7">
        <v>0</v>
      </c>
      <c r="AQ25" s="7">
        <v>2</v>
      </c>
      <c r="AR25" s="7">
        <v>200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10">
        <v>1000</v>
      </c>
      <c r="BN25" s="16">
        <f t="shared" si="0"/>
        <v>1000</v>
      </c>
      <c r="BO25" s="16">
        <f t="shared" si="1"/>
        <v>700</v>
      </c>
    </row>
    <row r="26" spans="1:67" x14ac:dyDescent="0.4">
      <c r="A26" s="15" t="s">
        <v>104</v>
      </c>
      <c r="B26" s="5" t="s">
        <v>42</v>
      </c>
      <c r="C26" s="5">
        <v>321812</v>
      </c>
      <c r="D26" s="6"/>
      <c r="E26" s="5" t="s">
        <v>16</v>
      </c>
      <c r="F26" s="5" t="s">
        <v>30</v>
      </c>
      <c r="G26" s="5" t="s">
        <v>11</v>
      </c>
      <c r="H26" s="7" t="s">
        <v>7</v>
      </c>
      <c r="I26" s="7" t="s">
        <v>43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8</v>
      </c>
      <c r="AF26" s="7">
        <v>800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1">
        <v>800</v>
      </c>
      <c r="BN26" s="16">
        <f t="shared" si="0"/>
        <v>800</v>
      </c>
      <c r="BO26" s="16">
        <f t="shared" si="1"/>
        <v>560</v>
      </c>
    </row>
    <row r="27" spans="1:67" x14ac:dyDescent="0.4">
      <c r="A27" s="15" t="s">
        <v>104</v>
      </c>
      <c r="B27" s="5" t="s">
        <v>36</v>
      </c>
      <c r="C27" s="5">
        <v>178856</v>
      </c>
      <c r="D27" s="6"/>
      <c r="E27" s="5" t="s">
        <v>16</v>
      </c>
      <c r="F27" s="5" t="s">
        <v>30</v>
      </c>
      <c r="G27" s="5" t="s">
        <v>11</v>
      </c>
      <c r="H27" s="7" t="s">
        <v>10</v>
      </c>
      <c r="I27" s="7" t="s">
        <v>37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1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4</v>
      </c>
      <c r="AF27" s="7">
        <v>300</v>
      </c>
      <c r="AG27" s="7">
        <v>100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3</v>
      </c>
      <c r="AR27" s="7">
        <v>300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1">
        <v>700</v>
      </c>
      <c r="BN27" s="16">
        <f t="shared" si="0"/>
        <v>700</v>
      </c>
      <c r="BO27" s="16">
        <f t="shared" si="1"/>
        <v>489.99999999999994</v>
      </c>
    </row>
    <row r="28" spans="1:67" x14ac:dyDescent="0.4">
      <c r="A28" s="15" t="s">
        <v>104</v>
      </c>
      <c r="B28" s="5" t="s">
        <v>221</v>
      </c>
      <c r="C28" s="5">
        <v>464776</v>
      </c>
      <c r="D28" s="6"/>
      <c r="E28" s="5" t="s">
        <v>16</v>
      </c>
      <c r="F28" s="5" t="s">
        <v>222</v>
      </c>
      <c r="G28" s="5" t="s">
        <v>119</v>
      </c>
      <c r="H28" s="7" t="s">
        <v>10</v>
      </c>
      <c r="I28" s="7" t="s">
        <v>223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6</v>
      </c>
      <c r="AF28" s="7">
        <v>600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1">
        <v>600</v>
      </c>
      <c r="BN28" s="16">
        <f t="shared" si="0"/>
        <v>600</v>
      </c>
      <c r="BO28" s="16">
        <f t="shared" si="1"/>
        <v>420</v>
      </c>
    </row>
    <row r="29" spans="1:67" x14ac:dyDescent="0.4">
      <c r="A29" s="15" t="s">
        <v>104</v>
      </c>
      <c r="B29" s="5" t="s">
        <v>120</v>
      </c>
      <c r="C29" s="5">
        <v>476035</v>
      </c>
      <c r="D29" s="6"/>
      <c r="E29" s="5" t="s">
        <v>16</v>
      </c>
      <c r="F29" s="5" t="s">
        <v>121</v>
      </c>
      <c r="G29" s="5" t="s">
        <v>119</v>
      </c>
      <c r="H29" s="7" t="s">
        <v>10</v>
      </c>
      <c r="I29" s="7" t="s">
        <v>112</v>
      </c>
      <c r="J29" s="7">
        <v>5</v>
      </c>
      <c r="K29" s="7">
        <v>84</v>
      </c>
      <c r="L29" s="7">
        <v>500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1">
        <v>500</v>
      </c>
      <c r="BN29" s="16">
        <f t="shared" si="0"/>
        <v>500</v>
      </c>
      <c r="BO29" s="16">
        <f t="shared" si="1"/>
        <v>350</v>
      </c>
    </row>
    <row r="30" spans="1:67" ht="19.2" x14ac:dyDescent="0.4">
      <c r="A30" s="15" t="s">
        <v>104</v>
      </c>
      <c r="B30" s="5" t="s">
        <v>224</v>
      </c>
      <c r="C30" s="5">
        <v>428319</v>
      </c>
      <c r="D30" s="6"/>
      <c r="E30" s="5" t="s">
        <v>16</v>
      </c>
      <c r="F30" s="5" t="s">
        <v>95</v>
      </c>
      <c r="G30" s="5" t="s">
        <v>11</v>
      </c>
      <c r="H30" s="7" t="s">
        <v>7</v>
      </c>
      <c r="I30" s="7" t="s">
        <v>130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5</v>
      </c>
      <c r="AF30" s="7">
        <v>500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1">
        <v>500</v>
      </c>
      <c r="BN30" s="16">
        <f t="shared" si="0"/>
        <v>500</v>
      </c>
      <c r="BO30" s="16">
        <f t="shared" si="1"/>
        <v>350</v>
      </c>
    </row>
    <row r="31" spans="1:67" x14ac:dyDescent="0.4">
      <c r="A31" s="15" t="s">
        <v>104</v>
      </c>
      <c r="B31" s="5" t="s">
        <v>225</v>
      </c>
      <c r="C31" s="5">
        <v>386960</v>
      </c>
      <c r="D31" s="6"/>
      <c r="E31" s="5" t="s">
        <v>16</v>
      </c>
      <c r="F31" s="5" t="s">
        <v>226</v>
      </c>
      <c r="G31" s="5" t="s">
        <v>11</v>
      </c>
      <c r="H31" s="7" t="s">
        <v>7</v>
      </c>
      <c r="I31" s="7" t="s">
        <v>227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4</v>
      </c>
      <c r="AF31" s="7">
        <v>440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1">
        <v>440</v>
      </c>
      <c r="BN31" s="16">
        <f t="shared" si="0"/>
        <v>440</v>
      </c>
      <c r="BO31" s="16">
        <f t="shared" si="1"/>
        <v>308</v>
      </c>
    </row>
    <row r="32" spans="1:67" x14ac:dyDescent="0.4">
      <c r="A32" s="15" t="s">
        <v>104</v>
      </c>
      <c r="B32" s="5" t="s">
        <v>228</v>
      </c>
      <c r="C32" s="5">
        <v>367994</v>
      </c>
      <c r="D32" s="6"/>
      <c r="E32" s="5" t="s">
        <v>16</v>
      </c>
      <c r="F32" s="5" t="s">
        <v>33</v>
      </c>
      <c r="G32" s="5" t="s">
        <v>34</v>
      </c>
      <c r="H32" s="7" t="s">
        <v>8</v>
      </c>
      <c r="I32" s="7" t="s">
        <v>67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4</v>
      </c>
      <c r="AF32" s="7">
        <v>400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1">
        <v>400</v>
      </c>
      <c r="BN32" s="16">
        <f t="shared" si="0"/>
        <v>400</v>
      </c>
      <c r="BO32" s="16">
        <f t="shared" si="1"/>
        <v>280</v>
      </c>
    </row>
    <row r="33" spans="1:67" x14ac:dyDescent="0.4">
      <c r="A33" s="15" t="s">
        <v>104</v>
      </c>
      <c r="B33" s="5" t="s">
        <v>44</v>
      </c>
      <c r="C33" s="5">
        <v>412919</v>
      </c>
      <c r="D33" s="6"/>
      <c r="E33" s="5" t="s">
        <v>16</v>
      </c>
      <c r="F33" s="5" t="s">
        <v>45</v>
      </c>
      <c r="G33" s="5" t="s">
        <v>34</v>
      </c>
      <c r="H33" s="7" t="s">
        <v>8</v>
      </c>
      <c r="I33" s="7" t="s">
        <v>46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2</v>
      </c>
      <c r="AF33" s="7">
        <v>200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1">
        <v>200</v>
      </c>
      <c r="BN33" s="16">
        <f t="shared" si="0"/>
        <v>200</v>
      </c>
      <c r="BO33" s="16">
        <f t="shared" si="1"/>
        <v>140</v>
      </c>
    </row>
    <row r="34" spans="1:67" x14ac:dyDescent="0.4">
      <c r="A34" s="15" t="s">
        <v>104</v>
      </c>
      <c r="B34" s="5" t="s">
        <v>90</v>
      </c>
      <c r="C34" s="5">
        <v>462353</v>
      </c>
      <c r="D34" s="6"/>
      <c r="E34" s="5" t="s">
        <v>16</v>
      </c>
      <c r="F34" s="5" t="s">
        <v>39</v>
      </c>
      <c r="G34" s="5" t="s">
        <v>11</v>
      </c>
      <c r="H34" s="7" t="s">
        <v>7</v>
      </c>
      <c r="I34" s="7" t="s">
        <v>91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2</v>
      </c>
      <c r="AF34" s="7">
        <v>200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11">
        <v>200</v>
      </c>
      <c r="BN34" s="16">
        <f t="shared" si="0"/>
        <v>200</v>
      </c>
      <c r="BO34" s="16">
        <f t="shared" si="1"/>
        <v>140</v>
      </c>
    </row>
    <row r="35" spans="1:67" x14ac:dyDescent="0.4">
      <c r="A35" s="15" t="s">
        <v>104</v>
      </c>
      <c r="B35" s="5" t="s">
        <v>229</v>
      </c>
      <c r="C35" s="5">
        <v>364724</v>
      </c>
      <c r="D35" s="6"/>
      <c r="E35" s="5" t="s">
        <v>16</v>
      </c>
      <c r="F35" s="5" t="s">
        <v>59</v>
      </c>
      <c r="G35" s="5" t="s">
        <v>11</v>
      </c>
      <c r="H35" s="7" t="s">
        <v>7</v>
      </c>
      <c r="I35" s="7" t="s">
        <v>230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2</v>
      </c>
      <c r="AF35" s="7">
        <v>200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1">
        <v>200</v>
      </c>
      <c r="BN35" s="16">
        <f t="shared" si="0"/>
        <v>200</v>
      </c>
      <c r="BO35" s="16">
        <f t="shared" si="1"/>
        <v>140</v>
      </c>
    </row>
    <row r="36" spans="1:67" x14ac:dyDescent="0.4">
      <c r="A36" s="15" t="s">
        <v>104</v>
      </c>
      <c r="B36" s="5" t="s">
        <v>93</v>
      </c>
      <c r="C36" s="5">
        <v>359912</v>
      </c>
      <c r="D36" s="6"/>
      <c r="E36" s="5" t="s">
        <v>16</v>
      </c>
      <c r="F36" s="5" t="s">
        <v>66</v>
      </c>
      <c r="G36" s="5" t="s">
        <v>34</v>
      </c>
      <c r="H36" s="7" t="s">
        <v>8</v>
      </c>
      <c r="I36" s="7" t="s">
        <v>84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2</v>
      </c>
      <c r="AF36" s="7">
        <v>0</v>
      </c>
      <c r="AG36" s="7">
        <v>200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11">
        <v>200</v>
      </c>
      <c r="BN36" s="16">
        <f t="shared" si="0"/>
        <v>200</v>
      </c>
      <c r="BO36" s="16">
        <f t="shared" si="1"/>
        <v>140</v>
      </c>
    </row>
    <row r="37" spans="1:67" x14ac:dyDescent="0.4">
      <c r="A37" s="15" t="s">
        <v>104</v>
      </c>
      <c r="B37" s="5" t="s">
        <v>76</v>
      </c>
      <c r="C37" s="5">
        <v>400251</v>
      </c>
      <c r="D37" s="6"/>
      <c r="E37" s="5" t="s">
        <v>16</v>
      </c>
      <c r="F37" s="5" t="s">
        <v>41</v>
      </c>
      <c r="G37" s="5" t="s">
        <v>34</v>
      </c>
      <c r="H37" s="7" t="s">
        <v>8</v>
      </c>
      <c r="I37" s="7" t="s">
        <v>77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1</v>
      </c>
      <c r="AX37" s="7">
        <v>120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12</v>
      </c>
      <c r="BM37" s="11">
        <v>120</v>
      </c>
      <c r="BN37" s="16">
        <f t="shared" si="0"/>
        <v>108</v>
      </c>
      <c r="BO37" s="16">
        <f t="shared" si="1"/>
        <v>75.599999999999994</v>
      </c>
    </row>
    <row r="38" spans="1:67" x14ac:dyDescent="0.4">
      <c r="A38" s="15" t="s">
        <v>104</v>
      </c>
      <c r="B38" s="5" t="s">
        <v>231</v>
      </c>
      <c r="C38" s="5">
        <v>415710</v>
      </c>
      <c r="D38" s="6"/>
      <c r="E38" s="5" t="s">
        <v>16</v>
      </c>
      <c r="F38" s="5" t="s">
        <v>49</v>
      </c>
      <c r="G38" s="5" t="s">
        <v>34</v>
      </c>
      <c r="H38" s="7" t="s">
        <v>8</v>
      </c>
      <c r="I38" s="7" t="s">
        <v>232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1</v>
      </c>
      <c r="BD38" s="7">
        <v>120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7.2</v>
      </c>
      <c r="BM38" s="11">
        <v>120</v>
      </c>
      <c r="BN38" s="16">
        <f t="shared" si="0"/>
        <v>112.8</v>
      </c>
      <c r="BO38" s="16">
        <f t="shared" si="1"/>
        <v>78.959999999999994</v>
      </c>
    </row>
    <row r="39" spans="1:67" x14ac:dyDescent="0.4">
      <c r="A39" s="15" t="s">
        <v>104</v>
      </c>
      <c r="B39" s="5" t="s">
        <v>233</v>
      </c>
      <c r="C39" s="5">
        <v>316658</v>
      </c>
      <c r="D39" s="6"/>
      <c r="E39" s="5" t="s">
        <v>16</v>
      </c>
      <c r="F39" s="5" t="s">
        <v>51</v>
      </c>
      <c r="G39" s="5" t="s">
        <v>11</v>
      </c>
      <c r="H39" s="7" t="s">
        <v>7</v>
      </c>
      <c r="I39" s="7" t="s">
        <v>234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1</v>
      </c>
      <c r="AR39" s="7">
        <v>0</v>
      </c>
      <c r="AS39" s="7">
        <v>100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11">
        <v>100</v>
      </c>
      <c r="BN39" s="16">
        <f t="shared" si="0"/>
        <v>100</v>
      </c>
      <c r="BO39" s="16">
        <f t="shared" si="1"/>
        <v>70</v>
      </c>
    </row>
    <row r="40" spans="1:67" x14ac:dyDescent="0.4">
      <c r="A40" s="15" t="s">
        <v>104</v>
      </c>
      <c r="B40" s="5" t="s">
        <v>235</v>
      </c>
      <c r="C40" s="5">
        <v>379813</v>
      </c>
      <c r="D40" s="6"/>
      <c r="E40" s="5" t="s">
        <v>16</v>
      </c>
      <c r="F40" s="5" t="s">
        <v>30</v>
      </c>
      <c r="G40" s="5" t="s">
        <v>11</v>
      </c>
      <c r="H40" s="7" t="s">
        <v>7</v>
      </c>
      <c r="I40" s="7" t="s">
        <v>236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1</v>
      </c>
      <c r="AR40" s="7">
        <v>100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1">
        <v>100</v>
      </c>
      <c r="BN40" s="16">
        <f t="shared" si="0"/>
        <v>100</v>
      </c>
      <c r="BO40" s="16">
        <f t="shared" si="1"/>
        <v>70</v>
      </c>
    </row>
    <row r="41" spans="1:67" x14ac:dyDescent="0.4">
      <c r="A41" s="15" t="s">
        <v>104</v>
      </c>
      <c r="B41" s="5" t="s">
        <v>25</v>
      </c>
      <c r="C41" s="5">
        <v>449889</v>
      </c>
      <c r="D41" s="6"/>
      <c r="E41" s="5" t="s">
        <v>16</v>
      </c>
      <c r="F41" s="5" t="s">
        <v>26</v>
      </c>
      <c r="G41" s="5" t="s">
        <v>11</v>
      </c>
      <c r="H41" s="7" t="s">
        <v>7</v>
      </c>
      <c r="I41" s="7" t="s">
        <v>27</v>
      </c>
      <c r="J41" s="7">
        <v>0</v>
      </c>
      <c r="K41" s="7">
        <v>70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1</v>
      </c>
      <c r="AF41" s="7">
        <v>100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11">
        <v>100</v>
      </c>
      <c r="BN41" s="16">
        <f t="shared" si="0"/>
        <v>100</v>
      </c>
      <c r="BO41" s="16">
        <f t="shared" si="1"/>
        <v>70</v>
      </c>
    </row>
    <row r="42" spans="1:67" x14ac:dyDescent="0.4">
      <c r="A42" s="15" t="s">
        <v>104</v>
      </c>
      <c r="B42" s="5" t="s">
        <v>22</v>
      </c>
      <c r="C42" s="5">
        <v>445688</v>
      </c>
      <c r="D42" s="6"/>
      <c r="E42" s="5" t="s">
        <v>16</v>
      </c>
      <c r="F42" s="5" t="s">
        <v>23</v>
      </c>
      <c r="G42" s="5" t="s">
        <v>11</v>
      </c>
      <c r="H42" s="7" t="s">
        <v>7</v>
      </c>
      <c r="I42" s="7" t="s">
        <v>24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1</v>
      </c>
      <c r="AF42" s="7">
        <v>100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1">
        <v>100</v>
      </c>
      <c r="BN42" s="16">
        <f t="shared" si="0"/>
        <v>100</v>
      </c>
      <c r="BO42" s="16">
        <f t="shared" si="1"/>
        <v>70</v>
      </c>
    </row>
    <row r="43" spans="1:67" x14ac:dyDescent="0.4">
      <c r="A43" s="15" t="s">
        <v>104</v>
      </c>
      <c r="B43" s="5" t="s">
        <v>237</v>
      </c>
      <c r="C43" s="5">
        <v>434558</v>
      </c>
      <c r="D43" s="6"/>
      <c r="E43" s="5" t="s">
        <v>16</v>
      </c>
      <c r="F43" s="5" t="s">
        <v>238</v>
      </c>
      <c r="G43" s="5" t="s">
        <v>11</v>
      </c>
      <c r="H43" s="7" t="s">
        <v>7</v>
      </c>
      <c r="I43" s="7" t="s">
        <v>239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1</v>
      </c>
      <c r="AR43" s="7">
        <v>100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1">
        <v>100</v>
      </c>
      <c r="BN43" s="16">
        <f t="shared" ref="BN43:BN106" si="2">BM43-BL43</f>
        <v>100</v>
      </c>
      <c r="BO43" s="16">
        <f t="shared" ref="BO43:BO106" si="3">BN43*70%</f>
        <v>70</v>
      </c>
    </row>
    <row r="44" spans="1:67" x14ac:dyDescent="0.4">
      <c r="A44" s="15" t="s">
        <v>104</v>
      </c>
      <c r="B44" s="5" t="s">
        <v>50</v>
      </c>
      <c r="C44" s="5">
        <v>387417</v>
      </c>
      <c r="D44" s="6"/>
      <c r="E44" s="5" t="s">
        <v>16</v>
      </c>
      <c r="F44" s="5" t="s">
        <v>51</v>
      </c>
      <c r="G44" s="5" t="s">
        <v>11</v>
      </c>
      <c r="H44" s="7" t="s">
        <v>7</v>
      </c>
      <c r="I44" s="7" t="s">
        <v>52</v>
      </c>
      <c r="J44" s="7">
        <v>0</v>
      </c>
      <c r="K44" s="7">
        <v>106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1</v>
      </c>
      <c r="AF44" s="7">
        <v>100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1">
        <v>100</v>
      </c>
      <c r="BN44" s="16">
        <f t="shared" si="2"/>
        <v>100</v>
      </c>
      <c r="BO44" s="16">
        <f t="shared" si="3"/>
        <v>70</v>
      </c>
    </row>
    <row r="45" spans="1:67" x14ac:dyDescent="0.4">
      <c r="A45" s="15" t="s">
        <v>104</v>
      </c>
      <c r="B45" s="5" t="s">
        <v>145</v>
      </c>
      <c r="C45" s="5">
        <v>384107</v>
      </c>
      <c r="D45" s="6"/>
      <c r="E45" s="5" t="s">
        <v>16</v>
      </c>
      <c r="F45" s="5" t="s">
        <v>110</v>
      </c>
      <c r="G45" s="5" t="s">
        <v>34</v>
      </c>
      <c r="H45" s="7" t="s">
        <v>79</v>
      </c>
      <c r="I45" s="7" t="s">
        <v>94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</v>
      </c>
      <c r="AF45" s="7">
        <v>0</v>
      </c>
      <c r="AG45" s="7">
        <v>100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1">
        <v>100</v>
      </c>
      <c r="BN45" s="16">
        <f t="shared" si="2"/>
        <v>100</v>
      </c>
      <c r="BO45" s="16">
        <f t="shared" si="3"/>
        <v>70</v>
      </c>
    </row>
    <row r="46" spans="1:67" ht="19.2" x14ac:dyDescent="0.4">
      <c r="A46" s="15" t="s">
        <v>104</v>
      </c>
      <c r="B46" s="5" t="s">
        <v>47</v>
      </c>
      <c r="C46" s="5">
        <v>459997</v>
      </c>
      <c r="D46" s="6"/>
      <c r="E46" s="5" t="s">
        <v>16</v>
      </c>
      <c r="F46" s="5" t="s">
        <v>48</v>
      </c>
      <c r="G46" s="5" t="s">
        <v>11</v>
      </c>
      <c r="H46" s="7" t="s">
        <v>7</v>
      </c>
      <c r="I46" s="7" t="s">
        <v>240</v>
      </c>
      <c r="J46" s="7">
        <v>0</v>
      </c>
      <c r="K46" s="7">
        <v>12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11">
        <v>0</v>
      </c>
      <c r="BN46" s="16">
        <f t="shared" si="2"/>
        <v>0</v>
      </c>
      <c r="BO46" s="16">
        <f t="shared" si="3"/>
        <v>0</v>
      </c>
    </row>
    <row r="47" spans="1:67" x14ac:dyDescent="0.4">
      <c r="A47" s="15" t="s">
        <v>132</v>
      </c>
      <c r="B47" s="5" t="s">
        <v>28</v>
      </c>
      <c r="C47" s="5">
        <v>414278</v>
      </c>
      <c r="D47" s="6"/>
      <c r="E47" s="5" t="s">
        <v>16</v>
      </c>
      <c r="F47" s="5" t="s">
        <v>12</v>
      </c>
      <c r="G47" s="5" t="s">
        <v>11</v>
      </c>
      <c r="H47" s="7" t="s">
        <v>8</v>
      </c>
      <c r="I47" s="7" t="s">
        <v>112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71</v>
      </c>
      <c r="AF47" s="8">
        <v>218940</v>
      </c>
      <c r="AG47" s="8">
        <v>1700</v>
      </c>
      <c r="AH47" s="7">
        <v>0</v>
      </c>
      <c r="AI47" s="7">
        <v>0</v>
      </c>
      <c r="AJ47" s="7">
        <v>0</v>
      </c>
      <c r="AK47" s="7">
        <v>2</v>
      </c>
      <c r="AL47" s="8">
        <v>5640</v>
      </c>
      <c r="AM47" s="7">
        <v>0</v>
      </c>
      <c r="AN47" s="7">
        <v>0</v>
      </c>
      <c r="AO47" s="7">
        <v>0</v>
      </c>
      <c r="AP47" s="7">
        <v>0</v>
      </c>
      <c r="AQ47" s="7">
        <v>20</v>
      </c>
      <c r="AR47" s="8">
        <v>63100</v>
      </c>
      <c r="AS47" s="7">
        <v>200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4</v>
      </c>
      <c r="BD47" s="8">
        <v>11520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9">
        <v>2383.1999999999998</v>
      </c>
      <c r="BM47" s="10">
        <v>301100</v>
      </c>
      <c r="BN47" s="16">
        <f t="shared" si="2"/>
        <v>298716.79999999999</v>
      </c>
      <c r="BO47" s="16">
        <f t="shared" si="3"/>
        <v>209101.75999999998</v>
      </c>
    </row>
    <row r="48" spans="1:67" x14ac:dyDescent="0.4">
      <c r="A48" s="15" t="s">
        <v>132</v>
      </c>
      <c r="B48" s="5" t="s">
        <v>83</v>
      </c>
      <c r="C48" s="5">
        <v>472512</v>
      </c>
      <c r="D48" s="6"/>
      <c r="E48" s="5" t="s">
        <v>16</v>
      </c>
      <c r="F48" s="5" t="s">
        <v>39</v>
      </c>
      <c r="G48" s="5" t="s">
        <v>11</v>
      </c>
      <c r="H48" s="7" t="s">
        <v>7</v>
      </c>
      <c r="I48" s="7" t="s">
        <v>206</v>
      </c>
      <c r="J48" s="7">
        <v>0</v>
      </c>
      <c r="K48" s="7">
        <v>215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973</v>
      </c>
      <c r="AF48" s="8">
        <v>90040</v>
      </c>
      <c r="AG48" s="8">
        <v>8500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766</v>
      </c>
      <c r="AR48" s="8">
        <v>76200</v>
      </c>
      <c r="AS48" s="7">
        <v>400</v>
      </c>
      <c r="AT48" s="7">
        <v>0</v>
      </c>
      <c r="AU48" s="7">
        <v>0</v>
      </c>
      <c r="AV48" s="7">
        <v>0</v>
      </c>
      <c r="AW48" s="7">
        <v>56</v>
      </c>
      <c r="AX48" s="8">
        <v>6720</v>
      </c>
      <c r="AY48" s="7">
        <v>0</v>
      </c>
      <c r="AZ48" s="7">
        <v>0</v>
      </c>
      <c r="BA48" s="7">
        <v>0</v>
      </c>
      <c r="BB48" s="7">
        <v>0</v>
      </c>
      <c r="BC48" s="7">
        <v>86</v>
      </c>
      <c r="BD48" s="8">
        <v>10320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9">
        <v>1291.2</v>
      </c>
      <c r="BM48" s="10">
        <v>192180</v>
      </c>
      <c r="BN48" s="16">
        <f t="shared" si="2"/>
        <v>190888.8</v>
      </c>
      <c r="BO48" s="16">
        <f t="shared" si="3"/>
        <v>133622.15999999997</v>
      </c>
    </row>
    <row r="49" spans="1:67" x14ac:dyDescent="0.4">
      <c r="A49" s="15" t="s">
        <v>132</v>
      </c>
      <c r="B49" s="5" t="s">
        <v>19</v>
      </c>
      <c r="C49" s="5">
        <v>463799</v>
      </c>
      <c r="D49" s="6"/>
      <c r="E49" s="5" t="s">
        <v>16</v>
      </c>
      <c r="F49" s="5" t="s">
        <v>20</v>
      </c>
      <c r="G49" s="5" t="s">
        <v>11</v>
      </c>
      <c r="H49" s="7" t="s">
        <v>7</v>
      </c>
      <c r="I49" s="7" t="s">
        <v>21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724</v>
      </c>
      <c r="AF49" s="8">
        <v>71900</v>
      </c>
      <c r="AG49" s="7">
        <v>500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541</v>
      </c>
      <c r="AR49" s="8">
        <v>54100</v>
      </c>
      <c r="AS49" s="7">
        <v>0</v>
      </c>
      <c r="AT49" s="7">
        <v>0</v>
      </c>
      <c r="AU49" s="7">
        <v>0</v>
      </c>
      <c r="AV49" s="7">
        <v>0</v>
      </c>
      <c r="AW49" s="7">
        <v>301</v>
      </c>
      <c r="AX49" s="8">
        <v>36120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9">
        <v>3612</v>
      </c>
      <c r="BM49" s="10">
        <v>162620</v>
      </c>
      <c r="BN49" s="16">
        <f t="shared" si="2"/>
        <v>159008</v>
      </c>
      <c r="BO49" s="16">
        <f t="shared" si="3"/>
        <v>111305.59999999999</v>
      </c>
    </row>
    <row r="50" spans="1:67" ht="19.2" x14ac:dyDescent="0.4">
      <c r="A50" s="15" t="s">
        <v>132</v>
      </c>
      <c r="B50" s="5" t="s">
        <v>38</v>
      </c>
      <c r="C50" s="5">
        <v>454534</v>
      </c>
      <c r="D50" s="6"/>
      <c r="E50" s="5" t="s">
        <v>16</v>
      </c>
      <c r="F50" s="5" t="s">
        <v>39</v>
      </c>
      <c r="G50" s="5" t="s">
        <v>11</v>
      </c>
      <c r="H50" s="7" t="s">
        <v>7</v>
      </c>
      <c r="I50" s="7" t="s">
        <v>207</v>
      </c>
      <c r="J50" s="7">
        <v>0</v>
      </c>
      <c r="K50" s="7">
        <v>36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8">
        <v>1088</v>
      </c>
      <c r="AF50" s="8">
        <v>107540</v>
      </c>
      <c r="AG50" s="8">
        <v>1300</v>
      </c>
      <c r="AH50" s="7">
        <v>0</v>
      </c>
      <c r="AI50" s="7">
        <v>0</v>
      </c>
      <c r="AJ50" s="7">
        <v>0</v>
      </c>
      <c r="AK50" s="7">
        <v>7</v>
      </c>
      <c r="AL50" s="7">
        <v>0</v>
      </c>
      <c r="AM50" s="7">
        <v>700</v>
      </c>
      <c r="AN50" s="7">
        <v>0</v>
      </c>
      <c r="AO50" s="7">
        <v>0</v>
      </c>
      <c r="AP50" s="7">
        <v>0</v>
      </c>
      <c r="AQ50" s="7">
        <v>75</v>
      </c>
      <c r="AR50" s="8">
        <v>7500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31</v>
      </c>
      <c r="BD50" s="8">
        <v>3720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223.2</v>
      </c>
      <c r="BM50" s="10">
        <v>120760</v>
      </c>
      <c r="BN50" s="16">
        <f t="shared" si="2"/>
        <v>120536.8</v>
      </c>
      <c r="BO50" s="16">
        <f t="shared" si="3"/>
        <v>84375.76</v>
      </c>
    </row>
    <row r="51" spans="1:67" ht="19.2" x14ac:dyDescent="0.4">
      <c r="A51" s="15" t="s">
        <v>132</v>
      </c>
      <c r="B51" s="5" t="s">
        <v>113</v>
      </c>
      <c r="C51" s="5">
        <v>476003</v>
      </c>
      <c r="D51" s="6"/>
      <c r="E51" s="5" t="s">
        <v>16</v>
      </c>
      <c r="F51" s="5" t="s">
        <v>30</v>
      </c>
      <c r="G51" s="5" t="s">
        <v>11</v>
      </c>
      <c r="H51" s="7" t="s">
        <v>8</v>
      </c>
      <c r="I51" s="7" t="s">
        <v>112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16</v>
      </c>
      <c r="AR51" s="8">
        <v>50700</v>
      </c>
      <c r="AS51" s="7">
        <v>500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7</v>
      </c>
      <c r="BD51" s="8">
        <v>26880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9">
        <v>1612.8</v>
      </c>
      <c r="BM51" s="10">
        <v>78080</v>
      </c>
      <c r="BN51" s="16">
        <f t="shared" si="2"/>
        <v>76467.199999999997</v>
      </c>
      <c r="BO51" s="16">
        <f t="shared" si="3"/>
        <v>53527.039999999994</v>
      </c>
    </row>
    <row r="52" spans="1:67" x14ac:dyDescent="0.4">
      <c r="A52" s="15" t="s">
        <v>132</v>
      </c>
      <c r="B52" s="5" t="s">
        <v>219</v>
      </c>
      <c r="C52" s="5">
        <v>476788</v>
      </c>
      <c r="D52" s="6"/>
      <c r="E52" s="5" t="s">
        <v>16</v>
      </c>
      <c r="F52" s="5" t="s">
        <v>220</v>
      </c>
      <c r="G52" s="5" t="s">
        <v>11</v>
      </c>
      <c r="H52" s="7" t="s">
        <v>7</v>
      </c>
      <c r="I52" s="7" t="s">
        <v>117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431</v>
      </c>
      <c r="AF52" s="8">
        <v>42400</v>
      </c>
      <c r="AG52" s="7">
        <v>700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236</v>
      </c>
      <c r="AR52" s="8">
        <v>23400</v>
      </c>
      <c r="AS52" s="7">
        <v>200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23</v>
      </c>
      <c r="BD52" s="8">
        <v>2760</v>
      </c>
      <c r="BE52" s="7">
        <v>0</v>
      </c>
      <c r="BF52" s="7">
        <v>0</v>
      </c>
      <c r="BG52" s="7">
        <v>0</v>
      </c>
      <c r="BH52" s="7">
        <v>0</v>
      </c>
      <c r="BI52" s="7">
        <v>56</v>
      </c>
      <c r="BJ52" s="8">
        <v>6720</v>
      </c>
      <c r="BK52" s="7">
        <v>0</v>
      </c>
      <c r="BL52" s="7">
        <v>501.6</v>
      </c>
      <c r="BM52" s="10">
        <v>76180</v>
      </c>
      <c r="BN52" s="16">
        <f t="shared" si="2"/>
        <v>75678.399999999994</v>
      </c>
      <c r="BO52" s="16">
        <f t="shared" si="3"/>
        <v>52974.87999999999</v>
      </c>
    </row>
    <row r="53" spans="1:67" x14ac:dyDescent="0.4">
      <c r="A53" s="15" t="s">
        <v>132</v>
      </c>
      <c r="B53" s="5" t="s">
        <v>15</v>
      </c>
      <c r="C53" s="5">
        <v>465248</v>
      </c>
      <c r="D53" s="6"/>
      <c r="E53" s="5" t="s">
        <v>16</v>
      </c>
      <c r="F53" s="5" t="s">
        <v>17</v>
      </c>
      <c r="G53" s="5" t="s">
        <v>119</v>
      </c>
      <c r="H53" s="7" t="s">
        <v>10</v>
      </c>
      <c r="I53" s="7" t="s">
        <v>18</v>
      </c>
      <c r="J53" s="7">
        <v>0</v>
      </c>
      <c r="K53" s="7">
        <v>44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342</v>
      </c>
      <c r="AF53" s="8">
        <v>31180</v>
      </c>
      <c r="AG53" s="8">
        <v>3100</v>
      </c>
      <c r="AH53" s="7">
        <v>0</v>
      </c>
      <c r="AI53" s="7">
        <v>0</v>
      </c>
      <c r="AJ53" s="7">
        <v>0</v>
      </c>
      <c r="AK53" s="7">
        <v>1</v>
      </c>
      <c r="AL53" s="7">
        <v>120</v>
      </c>
      <c r="AM53" s="7">
        <v>0</v>
      </c>
      <c r="AN53" s="7">
        <v>0</v>
      </c>
      <c r="AO53" s="7">
        <v>0</v>
      </c>
      <c r="AP53" s="7">
        <v>0</v>
      </c>
      <c r="AQ53" s="7">
        <v>299</v>
      </c>
      <c r="AR53" s="8">
        <v>29400</v>
      </c>
      <c r="AS53" s="7">
        <v>500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88</v>
      </c>
      <c r="BD53" s="8">
        <v>10560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669.6</v>
      </c>
      <c r="BM53" s="10">
        <v>74860</v>
      </c>
      <c r="BN53" s="16">
        <f t="shared" si="2"/>
        <v>74190.399999999994</v>
      </c>
      <c r="BO53" s="16">
        <f t="shared" si="3"/>
        <v>51933.279999999992</v>
      </c>
    </row>
    <row r="54" spans="1:67" x14ac:dyDescent="0.4">
      <c r="A54" s="15" t="s">
        <v>132</v>
      </c>
      <c r="B54" s="5" t="s">
        <v>85</v>
      </c>
      <c r="C54" s="5">
        <v>370935</v>
      </c>
      <c r="D54" s="6"/>
      <c r="E54" s="5" t="s">
        <v>16</v>
      </c>
      <c r="F54" s="5" t="s">
        <v>30</v>
      </c>
      <c r="G54" s="5" t="s">
        <v>11</v>
      </c>
      <c r="H54" s="7" t="s">
        <v>7</v>
      </c>
      <c r="I54" s="7" t="s">
        <v>86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3</v>
      </c>
      <c r="AF54" s="8">
        <v>9600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7</v>
      </c>
      <c r="AR54" s="8">
        <v>22000</v>
      </c>
      <c r="AS54" s="7">
        <v>400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6</v>
      </c>
      <c r="BD54" s="8">
        <v>23040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9">
        <v>1382.4</v>
      </c>
      <c r="BM54" s="10">
        <v>55040</v>
      </c>
      <c r="BN54" s="16">
        <f t="shared" si="2"/>
        <v>53657.599999999999</v>
      </c>
      <c r="BO54" s="16">
        <f t="shared" si="3"/>
        <v>37560.32</v>
      </c>
    </row>
    <row r="55" spans="1:67" x14ac:dyDescent="0.4">
      <c r="A55" s="15" t="s">
        <v>132</v>
      </c>
      <c r="B55" s="5" t="s">
        <v>125</v>
      </c>
      <c r="C55" s="5">
        <v>476783</v>
      </c>
      <c r="D55" s="6"/>
      <c r="E55" s="5" t="s">
        <v>16</v>
      </c>
      <c r="F55" s="5" t="s">
        <v>126</v>
      </c>
      <c r="G55" s="5" t="s">
        <v>34</v>
      </c>
      <c r="H55" s="7" t="s">
        <v>8</v>
      </c>
      <c r="I55" s="7" t="s">
        <v>127</v>
      </c>
      <c r="J55" s="7">
        <v>12</v>
      </c>
      <c r="K55" s="7">
        <v>57</v>
      </c>
      <c r="L55" s="8">
        <v>1200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353</v>
      </c>
      <c r="AF55" s="8">
        <v>34540</v>
      </c>
      <c r="AG55" s="7">
        <v>800</v>
      </c>
      <c r="AH55" s="7">
        <v>0</v>
      </c>
      <c r="AI55" s="7">
        <v>0</v>
      </c>
      <c r="AJ55" s="7">
        <v>0</v>
      </c>
      <c r="AK55" s="7">
        <v>15</v>
      </c>
      <c r="AL55" s="7">
        <v>0</v>
      </c>
      <c r="AM55" s="8">
        <v>1500</v>
      </c>
      <c r="AN55" s="7">
        <v>0</v>
      </c>
      <c r="AO55" s="7">
        <v>0</v>
      </c>
      <c r="AP55" s="7">
        <v>0</v>
      </c>
      <c r="AQ55" s="7">
        <v>27</v>
      </c>
      <c r="AR55" s="8">
        <v>2700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58</v>
      </c>
      <c r="BD55" s="8">
        <v>6960</v>
      </c>
      <c r="BE55" s="7">
        <v>0</v>
      </c>
      <c r="BF55" s="7">
        <v>0</v>
      </c>
      <c r="BG55" s="7">
        <v>0</v>
      </c>
      <c r="BH55" s="7">
        <v>0</v>
      </c>
      <c r="BI55" s="7">
        <v>2</v>
      </c>
      <c r="BJ55" s="7">
        <v>240</v>
      </c>
      <c r="BK55" s="7">
        <v>0</v>
      </c>
      <c r="BL55" s="7">
        <v>429.6</v>
      </c>
      <c r="BM55" s="10">
        <v>47940</v>
      </c>
      <c r="BN55" s="16">
        <f t="shared" si="2"/>
        <v>47510.400000000001</v>
      </c>
      <c r="BO55" s="16">
        <f t="shared" si="3"/>
        <v>33257.279999999999</v>
      </c>
    </row>
    <row r="56" spans="1:67" ht="19.2" x14ac:dyDescent="0.4">
      <c r="A56" s="15" t="s">
        <v>132</v>
      </c>
      <c r="B56" s="5" t="s">
        <v>29</v>
      </c>
      <c r="C56" s="5">
        <v>369220</v>
      </c>
      <c r="D56" s="6"/>
      <c r="E56" s="5" t="s">
        <v>16</v>
      </c>
      <c r="F56" s="5" t="s">
        <v>30</v>
      </c>
      <c r="G56" s="5" t="s">
        <v>11</v>
      </c>
      <c r="H56" s="7" t="s">
        <v>7</v>
      </c>
      <c r="I56" s="7" t="s">
        <v>31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44</v>
      </c>
      <c r="AF56" s="8">
        <v>2400</v>
      </c>
      <c r="AG56" s="8">
        <v>2000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329</v>
      </c>
      <c r="AR56" s="8">
        <v>32300</v>
      </c>
      <c r="AS56" s="7">
        <v>600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49</v>
      </c>
      <c r="BD56" s="8">
        <v>5880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352.8</v>
      </c>
      <c r="BM56" s="10">
        <v>43180</v>
      </c>
      <c r="BN56" s="16">
        <f t="shared" si="2"/>
        <v>42827.199999999997</v>
      </c>
      <c r="BO56" s="16">
        <f t="shared" si="3"/>
        <v>29979.039999999997</v>
      </c>
    </row>
    <row r="57" spans="1:67" x14ac:dyDescent="0.4">
      <c r="A57" s="15" t="s">
        <v>132</v>
      </c>
      <c r="B57" s="5" t="s">
        <v>36</v>
      </c>
      <c r="C57" s="5">
        <v>178856</v>
      </c>
      <c r="D57" s="6"/>
      <c r="E57" s="5" t="s">
        <v>16</v>
      </c>
      <c r="F57" s="5" t="s">
        <v>30</v>
      </c>
      <c r="G57" s="5" t="s">
        <v>11</v>
      </c>
      <c r="H57" s="7" t="s">
        <v>10</v>
      </c>
      <c r="I57" s="7" t="s">
        <v>37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39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127</v>
      </c>
      <c r="AF57" s="8">
        <v>12400</v>
      </c>
      <c r="AG57" s="7">
        <v>300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296</v>
      </c>
      <c r="AR57" s="8">
        <v>28700</v>
      </c>
      <c r="AS57" s="7">
        <v>900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0">
        <v>42300</v>
      </c>
      <c r="BN57" s="16">
        <f t="shared" si="2"/>
        <v>42300</v>
      </c>
      <c r="BO57" s="16">
        <f t="shared" si="3"/>
        <v>29609.999999999996</v>
      </c>
    </row>
    <row r="58" spans="1:67" x14ac:dyDescent="0.4">
      <c r="A58" s="15" t="s">
        <v>132</v>
      </c>
      <c r="B58" s="5" t="s">
        <v>212</v>
      </c>
      <c r="C58" s="5">
        <v>478890</v>
      </c>
      <c r="D58" s="6"/>
      <c r="E58" s="5" t="s">
        <v>16</v>
      </c>
      <c r="F58" s="5" t="s">
        <v>213</v>
      </c>
      <c r="G58" s="5" t="s">
        <v>119</v>
      </c>
      <c r="H58" s="7" t="s">
        <v>8</v>
      </c>
      <c r="I58" s="7" t="s">
        <v>214</v>
      </c>
      <c r="J58" s="7">
        <v>3</v>
      </c>
      <c r="K58" s="7">
        <v>0</v>
      </c>
      <c r="L58" s="7">
        <v>300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314</v>
      </c>
      <c r="AF58" s="8">
        <v>30400</v>
      </c>
      <c r="AG58" s="8">
        <v>1000</v>
      </c>
      <c r="AH58" s="7">
        <v>0</v>
      </c>
      <c r="AI58" s="7">
        <v>0</v>
      </c>
      <c r="AJ58" s="7">
        <v>0</v>
      </c>
      <c r="AK58" s="7">
        <v>41</v>
      </c>
      <c r="AL58" s="8">
        <v>4800</v>
      </c>
      <c r="AM58" s="7">
        <v>100</v>
      </c>
      <c r="AN58" s="7">
        <v>0</v>
      </c>
      <c r="AO58" s="7">
        <v>0</v>
      </c>
      <c r="AP58" s="7">
        <v>0</v>
      </c>
      <c r="AQ58" s="7">
        <v>20</v>
      </c>
      <c r="AR58" s="8">
        <v>2000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17</v>
      </c>
      <c r="BD58" s="8">
        <v>2040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9">
        <v>1562.4</v>
      </c>
      <c r="BM58" s="10">
        <v>40640</v>
      </c>
      <c r="BN58" s="16">
        <f t="shared" si="2"/>
        <v>39077.599999999999</v>
      </c>
      <c r="BO58" s="16">
        <f t="shared" si="3"/>
        <v>27354.319999999996</v>
      </c>
    </row>
    <row r="59" spans="1:67" x14ac:dyDescent="0.4">
      <c r="A59" s="15" t="s">
        <v>132</v>
      </c>
      <c r="B59" s="5" t="s">
        <v>102</v>
      </c>
      <c r="C59" s="5">
        <v>395179</v>
      </c>
      <c r="D59" s="6"/>
      <c r="E59" s="5" t="s">
        <v>16</v>
      </c>
      <c r="F59" s="5" t="s">
        <v>95</v>
      </c>
      <c r="G59" s="5" t="s">
        <v>11</v>
      </c>
      <c r="H59" s="7" t="s">
        <v>7</v>
      </c>
      <c r="I59" s="7" t="s">
        <v>103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12</v>
      </c>
      <c r="AR59" s="8">
        <v>38400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10">
        <v>38400</v>
      </c>
      <c r="BN59" s="16">
        <f t="shared" si="2"/>
        <v>38400</v>
      </c>
      <c r="BO59" s="16">
        <f t="shared" si="3"/>
        <v>26880</v>
      </c>
    </row>
    <row r="60" spans="1:67" x14ac:dyDescent="0.4">
      <c r="A60" s="15" t="s">
        <v>132</v>
      </c>
      <c r="B60" s="5" t="s">
        <v>56</v>
      </c>
      <c r="C60" s="5">
        <v>219203</v>
      </c>
      <c r="D60" s="6"/>
      <c r="E60" s="5" t="s">
        <v>16</v>
      </c>
      <c r="F60" s="5" t="s">
        <v>57</v>
      </c>
      <c r="G60" s="5" t="s">
        <v>11</v>
      </c>
      <c r="H60" s="7" t="s">
        <v>7</v>
      </c>
      <c r="I60" s="7" t="s">
        <v>58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155</v>
      </c>
      <c r="AC60" s="8">
        <v>15760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8</v>
      </c>
      <c r="BA60" s="7">
        <v>960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57.6</v>
      </c>
      <c r="BM60" s="10">
        <v>16720</v>
      </c>
      <c r="BN60" s="16">
        <f t="shared" si="2"/>
        <v>16662.400000000001</v>
      </c>
      <c r="BO60" s="16">
        <f t="shared" si="3"/>
        <v>11663.68</v>
      </c>
    </row>
    <row r="61" spans="1:67" x14ac:dyDescent="0.4">
      <c r="A61" s="15" t="s">
        <v>132</v>
      </c>
      <c r="B61" s="5" t="s">
        <v>73</v>
      </c>
      <c r="C61" s="5">
        <v>458566</v>
      </c>
      <c r="D61" s="6"/>
      <c r="E61" s="5" t="s">
        <v>16</v>
      </c>
      <c r="F61" s="5" t="s">
        <v>30</v>
      </c>
      <c r="G61" s="5" t="s">
        <v>11</v>
      </c>
      <c r="H61" s="7" t="s">
        <v>7</v>
      </c>
      <c r="I61" s="7" t="s">
        <v>74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3</v>
      </c>
      <c r="AF61" s="8">
        <v>9600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1</v>
      </c>
      <c r="AR61" s="8">
        <v>3100</v>
      </c>
      <c r="AS61" s="7">
        <v>100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0">
        <v>12800</v>
      </c>
      <c r="BN61" s="16">
        <f t="shared" si="2"/>
        <v>12800</v>
      </c>
      <c r="BO61" s="16">
        <f t="shared" si="3"/>
        <v>8960</v>
      </c>
    </row>
    <row r="62" spans="1:67" x14ac:dyDescent="0.4">
      <c r="A62" s="15" t="s">
        <v>132</v>
      </c>
      <c r="B62" s="5" t="s">
        <v>241</v>
      </c>
      <c r="C62" s="5">
        <v>425414</v>
      </c>
      <c r="D62" s="6"/>
      <c r="E62" s="5" t="s">
        <v>16</v>
      </c>
      <c r="F62" s="5" t="s">
        <v>60</v>
      </c>
      <c r="G62" s="5" t="s">
        <v>11</v>
      </c>
      <c r="H62" s="7" t="s">
        <v>7</v>
      </c>
      <c r="I62" s="7" t="s">
        <v>242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5</v>
      </c>
      <c r="AF62" s="7">
        <v>0</v>
      </c>
      <c r="AG62" s="7">
        <v>500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79</v>
      </c>
      <c r="BD62" s="8">
        <v>9480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568.79999999999995</v>
      </c>
      <c r="BM62" s="10">
        <v>9980</v>
      </c>
      <c r="BN62" s="16">
        <f t="shared" si="2"/>
        <v>9411.2000000000007</v>
      </c>
      <c r="BO62" s="16">
        <f t="shared" si="3"/>
        <v>6587.84</v>
      </c>
    </row>
    <row r="63" spans="1:67" x14ac:dyDescent="0.4">
      <c r="A63" s="15" t="s">
        <v>132</v>
      </c>
      <c r="B63" s="5" t="s">
        <v>61</v>
      </c>
      <c r="C63" s="5">
        <v>290890</v>
      </c>
      <c r="D63" s="6"/>
      <c r="E63" s="5" t="s">
        <v>16</v>
      </c>
      <c r="F63" s="5" t="s">
        <v>30</v>
      </c>
      <c r="G63" s="5" t="s">
        <v>11</v>
      </c>
      <c r="H63" s="7" t="s">
        <v>7</v>
      </c>
      <c r="I63" s="7" t="s">
        <v>62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8</v>
      </c>
      <c r="AC63" s="8">
        <v>7200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3</v>
      </c>
      <c r="AO63" s="8">
        <v>2700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10">
        <v>9900</v>
      </c>
      <c r="BN63" s="16">
        <f t="shared" si="2"/>
        <v>9900</v>
      </c>
      <c r="BO63" s="16">
        <f t="shared" si="3"/>
        <v>6930</v>
      </c>
    </row>
    <row r="64" spans="1:67" x14ac:dyDescent="0.4">
      <c r="A64" s="15" t="s">
        <v>132</v>
      </c>
      <c r="B64" s="5" t="s">
        <v>25</v>
      </c>
      <c r="C64" s="5">
        <v>449889</v>
      </c>
      <c r="D64" s="6"/>
      <c r="E64" s="5" t="s">
        <v>16</v>
      </c>
      <c r="F64" s="5" t="s">
        <v>26</v>
      </c>
      <c r="G64" s="5" t="s">
        <v>11</v>
      </c>
      <c r="H64" s="7" t="s">
        <v>7</v>
      </c>
      <c r="I64" s="7" t="s">
        <v>27</v>
      </c>
      <c r="J64" s="7">
        <v>0</v>
      </c>
      <c r="K64" s="7">
        <v>5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73</v>
      </c>
      <c r="AF64" s="8">
        <v>7100</v>
      </c>
      <c r="AG64" s="7">
        <v>200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23</v>
      </c>
      <c r="AR64" s="8">
        <v>2300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10">
        <v>9600</v>
      </c>
      <c r="BN64" s="16">
        <f t="shared" si="2"/>
        <v>9600</v>
      </c>
      <c r="BO64" s="16">
        <f t="shared" si="3"/>
        <v>6720</v>
      </c>
    </row>
    <row r="65" spans="1:67" x14ac:dyDescent="0.4">
      <c r="A65" s="15" t="s">
        <v>132</v>
      </c>
      <c r="B65" s="5" t="s">
        <v>210</v>
      </c>
      <c r="C65" s="5">
        <v>408579</v>
      </c>
      <c r="D65" s="6"/>
      <c r="E65" s="5" t="s">
        <v>16</v>
      </c>
      <c r="F65" s="5" t="s">
        <v>30</v>
      </c>
      <c r="G65" s="5" t="s">
        <v>11</v>
      </c>
      <c r="H65" s="7" t="s">
        <v>7</v>
      </c>
      <c r="I65" s="7" t="s">
        <v>211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3</v>
      </c>
      <c r="AR65" s="8">
        <v>9600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10">
        <v>9600</v>
      </c>
      <c r="BN65" s="16">
        <f t="shared" si="2"/>
        <v>9600</v>
      </c>
      <c r="BO65" s="16">
        <f t="shared" si="3"/>
        <v>6720</v>
      </c>
    </row>
    <row r="66" spans="1:67" x14ac:dyDescent="0.4">
      <c r="A66" s="15" t="s">
        <v>132</v>
      </c>
      <c r="B66" s="5" t="s">
        <v>90</v>
      </c>
      <c r="C66" s="5">
        <v>462353</v>
      </c>
      <c r="D66" s="6"/>
      <c r="E66" s="5" t="s">
        <v>16</v>
      </c>
      <c r="F66" s="5" t="s">
        <v>39</v>
      </c>
      <c r="G66" s="5" t="s">
        <v>11</v>
      </c>
      <c r="H66" s="7" t="s">
        <v>7</v>
      </c>
      <c r="I66" s="7" t="s">
        <v>91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81</v>
      </c>
      <c r="AF66" s="8">
        <v>8100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10">
        <v>8100</v>
      </c>
      <c r="BN66" s="16">
        <f t="shared" si="2"/>
        <v>8100</v>
      </c>
      <c r="BO66" s="16">
        <f t="shared" si="3"/>
        <v>5670</v>
      </c>
    </row>
    <row r="67" spans="1:67" x14ac:dyDescent="0.4">
      <c r="A67" s="15" t="s">
        <v>132</v>
      </c>
      <c r="B67" s="5" t="s">
        <v>120</v>
      </c>
      <c r="C67" s="5">
        <v>476035</v>
      </c>
      <c r="D67" s="6"/>
      <c r="E67" s="5" t="s">
        <v>16</v>
      </c>
      <c r="F67" s="5" t="s">
        <v>121</v>
      </c>
      <c r="G67" s="5" t="s">
        <v>119</v>
      </c>
      <c r="H67" s="7" t="s">
        <v>10</v>
      </c>
      <c r="I67" s="7" t="s">
        <v>112</v>
      </c>
      <c r="J67" s="7">
        <v>11</v>
      </c>
      <c r="K67" s="7">
        <v>23</v>
      </c>
      <c r="L67" s="8">
        <v>1100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3</v>
      </c>
      <c r="AF67" s="7">
        <v>300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52</v>
      </c>
      <c r="AR67" s="8">
        <v>5200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10">
        <v>6600</v>
      </c>
      <c r="BN67" s="16">
        <f t="shared" si="2"/>
        <v>6600</v>
      </c>
      <c r="BO67" s="16">
        <f t="shared" si="3"/>
        <v>4620</v>
      </c>
    </row>
    <row r="68" spans="1:67" x14ac:dyDescent="0.4">
      <c r="A68" s="15" t="s">
        <v>132</v>
      </c>
      <c r="B68" s="5" t="s">
        <v>128</v>
      </c>
      <c r="C68" s="5">
        <v>462361</v>
      </c>
      <c r="D68" s="6"/>
      <c r="E68" s="5" t="s">
        <v>16</v>
      </c>
      <c r="F68" s="5" t="s">
        <v>39</v>
      </c>
      <c r="G68" s="5" t="s">
        <v>11</v>
      </c>
      <c r="H68" s="7" t="s">
        <v>7</v>
      </c>
      <c r="I68" s="7" t="s">
        <v>129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2</v>
      </c>
      <c r="AF68" s="8">
        <v>6400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10">
        <v>6400</v>
      </c>
      <c r="BN68" s="16">
        <f t="shared" si="2"/>
        <v>6400</v>
      </c>
      <c r="BO68" s="16">
        <f t="shared" si="3"/>
        <v>4480</v>
      </c>
    </row>
    <row r="69" spans="1:67" x14ac:dyDescent="0.4">
      <c r="A69" s="15" t="s">
        <v>132</v>
      </c>
      <c r="B69" s="5" t="s">
        <v>243</v>
      </c>
      <c r="C69" s="5">
        <v>423328</v>
      </c>
      <c r="D69" s="6"/>
      <c r="E69" s="5" t="s">
        <v>16</v>
      </c>
      <c r="F69" s="5" t="s">
        <v>30</v>
      </c>
      <c r="G69" s="5" t="s">
        <v>11</v>
      </c>
      <c r="H69" s="7" t="s">
        <v>7</v>
      </c>
      <c r="I69" s="7" t="s">
        <v>244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10</v>
      </c>
      <c r="AF69" s="8">
        <v>1000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50</v>
      </c>
      <c r="AR69" s="8">
        <v>4800</v>
      </c>
      <c r="AS69" s="7">
        <v>200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10">
        <v>6000</v>
      </c>
      <c r="BN69" s="16">
        <f t="shared" si="2"/>
        <v>6000</v>
      </c>
      <c r="BO69" s="16">
        <f t="shared" si="3"/>
        <v>4200</v>
      </c>
    </row>
    <row r="70" spans="1:67" x14ac:dyDescent="0.4">
      <c r="A70" s="15" t="s">
        <v>132</v>
      </c>
      <c r="B70" s="5" t="s">
        <v>22</v>
      </c>
      <c r="C70" s="5">
        <v>445688</v>
      </c>
      <c r="D70" s="6"/>
      <c r="E70" s="5" t="s">
        <v>16</v>
      </c>
      <c r="F70" s="5" t="s">
        <v>23</v>
      </c>
      <c r="G70" s="5" t="s">
        <v>11</v>
      </c>
      <c r="H70" s="7" t="s">
        <v>7</v>
      </c>
      <c r="I70" s="7" t="s">
        <v>24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54</v>
      </c>
      <c r="AF70" s="8">
        <v>4900</v>
      </c>
      <c r="AG70" s="7">
        <v>500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10">
        <v>5400</v>
      </c>
      <c r="BN70" s="16">
        <f t="shared" si="2"/>
        <v>5400</v>
      </c>
      <c r="BO70" s="16">
        <f t="shared" si="3"/>
        <v>3779.9999999999995</v>
      </c>
    </row>
    <row r="71" spans="1:67" x14ac:dyDescent="0.4">
      <c r="A71" s="15" t="s">
        <v>132</v>
      </c>
      <c r="B71" s="5" t="s">
        <v>229</v>
      </c>
      <c r="C71" s="5">
        <v>364724</v>
      </c>
      <c r="D71" s="6"/>
      <c r="E71" s="5" t="s">
        <v>16</v>
      </c>
      <c r="F71" s="5" t="s">
        <v>59</v>
      </c>
      <c r="G71" s="5" t="s">
        <v>11</v>
      </c>
      <c r="H71" s="7" t="s">
        <v>7</v>
      </c>
      <c r="I71" s="7" t="s">
        <v>230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40</v>
      </c>
      <c r="AF71" s="8">
        <v>4000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10">
        <v>4000</v>
      </c>
      <c r="BN71" s="16">
        <f t="shared" si="2"/>
        <v>4000</v>
      </c>
      <c r="BO71" s="16">
        <f t="shared" si="3"/>
        <v>2800</v>
      </c>
    </row>
    <row r="72" spans="1:67" x14ac:dyDescent="0.4">
      <c r="A72" s="15" t="s">
        <v>132</v>
      </c>
      <c r="B72" s="5" t="s">
        <v>245</v>
      </c>
      <c r="C72" s="5">
        <v>251205</v>
      </c>
      <c r="D72" s="6"/>
      <c r="E72" s="5" t="s">
        <v>16</v>
      </c>
      <c r="F72" s="5" t="s">
        <v>51</v>
      </c>
      <c r="G72" s="5" t="s">
        <v>11</v>
      </c>
      <c r="H72" s="7" t="s">
        <v>7</v>
      </c>
      <c r="I72" s="7" t="s">
        <v>246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39</v>
      </c>
      <c r="AF72" s="8">
        <v>3900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10">
        <v>3900</v>
      </c>
      <c r="BN72" s="16">
        <f t="shared" si="2"/>
        <v>3900</v>
      </c>
      <c r="BO72" s="16">
        <f t="shared" si="3"/>
        <v>2730</v>
      </c>
    </row>
    <row r="73" spans="1:67" x14ac:dyDescent="0.4">
      <c r="A73" s="15" t="s">
        <v>132</v>
      </c>
      <c r="B73" s="5" t="s">
        <v>115</v>
      </c>
      <c r="C73" s="5">
        <v>458568</v>
      </c>
      <c r="D73" s="6"/>
      <c r="E73" s="5" t="s">
        <v>16</v>
      </c>
      <c r="F73" s="5" t="s">
        <v>30</v>
      </c>
      <c r="G73" s="5" t="s">
        <v>11</v>
      </c>
      <c r="H73" s="7" t="s">
        <v>7</v>
      </c>
      <c r="I73" s="7" t="s">
        <v>74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1</v>
      </c>
      <c r="BD73" s="8">
        <v>3840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230.4</v>
      </c>
      <c r="BM73" s="10">
        <v>3840</v>
      </c>
      <c r="BN73" s="16">
        <f t="shared" si="2"/>
        <v>3609.6</v>
      </c>
      <c r="BO73" s="16">
        <f t="shared" si="3"/>
        <v>2526.7199999999998</v>
      </c>
    </row>
    <row r="74" spans="1:67" x14ac:dyDescent="0.4">
      <c r="A74" s="15" t="s">
        <v>132</v>
      </c>
      <c r="B74" s="5" t="s">
        <v>225</v>
      </c>
      <c r="C74" s="5">
        <v>386960</v>
      </c>
      <c r="D74" s="6"/>
      <c r="E74" s="5" t="s">
        <v>16</v>
      </c>
      <c r="F74" s="5" t="s">
        <v>226</v>
      </c>
      <c r="G74" s="5" t="s">
        <v>11</v>
      </c>
      <c r="H74" s="7" t="s">
        <v>7</v>
      </c>
      <c r="I74" s="7" t="s">
        <v>227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33</v>
      </c>
      <c r="AF74" s="8">
        <v>2760</v>
      </c>
      <c r="AG74" s="8">
        <v>1000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10">
        <v>3760</v>
      </c>
      <c r="BN74" s="16">
        <f t="shared" si="2"/>
        <v>3760</v>
      </c>
      <c r="BO74" s="16">
        <f t="shared" si="3"/>
        <v>2632</v>
      </c>
    </row>
    <row r="75" spans="1:67" x14ac:dyDescent="0.4">
      <c r="A75" s="15" t="s">
        <v>132</v>
      </c>
      <c r="B75" s="5" t="s">
        <v>42</v>
      </c>
      <c r="C75" s="5">
        <v>321812</v>
      </c>
      <c r="D75" s="6"/>
      <c r="E75" s="5" t="s">
        <v>16</v>
      </c>
      <c r="F75" s="5" t="s">
        <v>30</v>
      </c>
      <c r="G75" s="5" t="s">
        <v>11</v>
      </c>
      <c r="H75" s="7" t="s">
        <v>7</v>
      </c>
      <c r="I75" s="7" t="s">
        <v>43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33</v>
      </c>
      <c r="AF75" s="8">
        <v>3300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10">
        <v>3300</v>
      </c>
      <c r="BN75" s="16">
        <f t="shared" si="2"/>
        <v>3300</v>
      </c>
      <c r="BO75" s="16">
        <f t="shared" si="3"/>
        <v>2310</v>
      </c>
    </row>
    <row r="76" spans="1:67" x14ac:dyDescent="0.4">
      <c r="A76" s="15" t="s">
        <v>132</v>
      </c>
      <c r="B76" s="5" t="s">
        <v>76</v>
      </c>
      <c r="C76" s="5">
        <v>400251</v>
      </c>
      <c r="D76" s="6"/>
      <c r="E76" s="5" t="s">
        <v>16</v>
      </c>
      <c r="F76" s="5" t="s">
        <v>41</v>
      </c>
      <c r="G76" s="5" t="s">
        <v>34</v>
      </c>
      <c r="H76" s="7" t="s">
        <v>8</v>
      </c>
      <c r="I76" s="7" t="s">
        <v>77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21</v>
      </c>
      <c r="AX76" s="8">
        <v>2520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252</v>
      </c>
      <c r="BM76" s="10">
        <v>2520</v>
      </c>
      <c r="BN76" s="16">
        <f t="shared" si="2"/>
        <v>2268</v>
      </c>
      <c r="BO76" s="16">
        <f t="shared" si="3"/>
        <v>1587.6</v>
      </c>
    </row>
    <row r="77" spans="1:67" x14ac:dyDescent="0.4">
      <c r="A77" s="15" t="s">
        <v>132</v>
      </c>
      <c r="B77" s="5" t="s">
        <v>40</v>
      </c>
      <c r="C77" s="5">
        <v>457807</v>
      </c>
      <c r="D77" s="6"/>
      <c r="E77" s="5" t="s">
        <v>16</v>
      </c>
      <c r="F77" s="5" t="s">
        <v>41</v>
      </c>
      <c r="G77" s="5" t="s">
        <v>34</v>
      </c>
      <c r="H77" s="7" t="s">
        <v>8</v>
      </c>
      <c r="I77" s="7" t="s">
        <v>114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15</v>
      </c>
      <c r="AF77" s="7">
        <v>900</v>
      </c>
      <c r="AG77" s="7">
        <v>600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4</v>
      </c>
      <c r="AR77" s="7">
        <v>400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5</v>
      </c>
      <c r="BJ77" s="7">
        <v>600</v>
      </c>
      <c r="BK77" s="7">
        <v>0</v>
      </c>
      <c r="BL77" s="7">
        <v>30</v>
      </c>
      <c r="BM77" s="10">
        <v>2500</v>
      </c>
      <c r="BN77" s="16">
        <f t="shared" si="2"/>
        <v>2470</v>
      </c>
      <c r="BO77" s="16">
        <f t="shared" si="3"/>
        <v>1729</v>
      </c>
    </row>
    <row r="78" spans="1:67" x14ac:dyDescent="0.4">
      <c r="A78" s="15" t="s">
        <v>132</v>
      </c>
      <c r="B78" s="5" t="s">
        <v>53</v>
      </c>
      <c r="C78" s="5">
        <v>442274</v>
      </c>
      <c r="D78" s="6"/>
      <c r="E78" s="5" t="s">
        <v>16</v>
      </c>
      <c r="F78" s="5" t="s">
        <v>54</v>
      </c>
      <c r="G78" s="5" t="s">
        <v>11</v>
      </c>
      <c r="H78" s="7" t="s">
        <v>7</v>
      </c>
      <c r="I78" s="7" t="s">
        <v>55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25</v>
      </c>
      <c r="AF78" s="8">
        <v>1900</v>
      </c>
      <c r="AG78" s="7">
        <v>600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10">
        <v>2500</v>
      </c>
      <c r="BN78" s="16">
        <f t="shared" si="2"/>
        <v>2500</v>
      </c>
      <c r="BO78" s="16">
        <f t="shared" si="3"/>
        <v>1750</v>
      </c>
    </row>
    <row r="79" spans="1:67" x14ac:dyDescent="0.4">
      <c r="A79" s="15" t="s">
        <v>132</v>
      </c>
      <c r="B79" s="5" t="s">
        <v>237</v>
      </c>
      <c r="C79" s="5">
        <v>434558</v>
      </c>
      <c r="D79" s="6"/>
      <c r="E79" s="5" t="s">
        <v>16</v>
      </c>
      <c r="F79" s="5" t="s">
        <v>238</v>
      </c>
      <c r="G79" s="5" t="s">
        <v>11</v>
      </c>
      <c r="H79" s="7" t="s">
        <v>7</v>
      </c>
      <c r="I79" s="7" t="s">
        <v>239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24</v>
      </c>
      <c r="AR79" s="8">
        <v>2400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10">
        <v>2400</v>
      </c>
      <c r="BN79" s="16">
        <f t="shared" si="2"/>
        <v>2400</v>
      </c>
      <c r="BO79" s="16">
        <f t="shared" si="3"/>
        <v>1680</v>
      </c>
    </row>
    <row r="80" spans="1:67" x14ac:dyDescent="0.4">
      <c r="A80" s="15" t="s">
        <v>132</v>
      </c>
      <c r="B80" s="5" t="s">
        <v>44</v>
      </c>
      <c r="C80" s="5">
        <v>412919</v>
      </c>
      <c r="D80" s="6"/>
      <c r="E80" s="5" t="s">
        <v>16</v>
      </c>
      <c r="F80" s="5" t="s">
        <v>45</v>
      </c>
      <c r="G80" s="5" t="s">
        <v>34</v>
      </c>
      <c r="H80" s="7" t="s">
        <v>8</v>
      </c>
      <c r="I80" s="7" t="s">
        <v>46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10</v>
      </c>
      <c r="AF80" s="8">
        <v>1000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11</v>
      </c>
      <c r="BD80" s="8">
        <v>1320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79.2</v>
      </c>
      <c r="BM80" s="10">
        <v>2320</v>
      </c>
      <c r="BN80" s="16">
        <f t="shared" si="2"/>
        <v>2240.8000000000002</v>
      </c>
      <c r="BO80" s="16">
        <f t="shared" si="3"/>
        <v>1568.56</v>
      </c>
    </row>
    <row r="81" spans="1:67" x14ac:dyDescent="0.4">
      <c r="A81" s="15" t="s">
        <v>132</v>
      </c>
      <c r="B81" s="5" t="s">
        <v>247</v>
      </c>
      <c r="C81" s="5">
        <v>390809</v>
      </c>
      <c r="D81" s="6"/>
      <c r="E81" s="5" t="s">
        <v>16</v>
      </c>
      <c r="F81" s="5" t="s">
        <v>248</v>
      </c>
      <c r="G81" s="5" t="s">
        <v>34</v>
      </c>
      <c r="H81" s="7" t="s">
        <v>8</v>
      </c>
      <c r="I81" s="7" t="s">
        <v>35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18</v>
      </c>
      <c r="AF81" s="8">
        <v>1800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10">
        <v>1800</v>
      </c>
      <c r="BN81" s="16">
        <f t="shared" si="2"/>
        <v>1800</v>
      </c>
      <c r="BO81" s="16">
        <f t="shared" si="3"/>
        <v>1260</v>
      </c>
    </row>
    <row r="82" spans="1:67" x14ac:dyDescent="0.4">
      <c r="A82" s="15" t="s">
        <v>132</v>
      </c>
      <c r="B82" s="5" t="s">
        <v>249</v>
      </c>
      <c r="C82" s="5">
        <v>378409</v>
      </c>
      <c r="D82" s="6"/>
      <c r="E82" s="5" t="s">
        <v>16</v>
      </c>
      <c r="F82" s="5" t="s">
        <v>45</v>
      </c>
      <c r="G82" s="5" t="s">
        <v>34</v>
      </c>
      <c r="H82" s="7" t="s">
        <v>8</v>
      </c>
      <c r="I82" s="7" t="s">
        <v>250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16</v>
      </c>
      <c r="AF82" s="8">
        <v>1600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10">
        <v>1600</v>
      </c>
      <c r="BN82" s="16">
        <f t="shared" si="2"/>
        <v>1600</v>
      </c>
      <c r="BO82" s="16">
        <f t="shared" si="3"/>
        <v>1120</v>
      </c>
    </row>
    <row r="83" spans="1:67" ht="19.2" x14ac:dyDescent="0.4">
      <c r="A83" s="15" t="s">
        <v>132</v>
      </c>
      <c r="B83" s="5" t="s">
        <v>224</v>
      </c>
      <c r="C83" s="5">
        <v>428319</v>
      </c>
      <c r="D83" s="6"/>
      <c r="E83" s="5" t="s">
        <v>16</v>
      </c>
      <c r="F83" s="5" t="s">
        <v>95</v>
      </c>
      <c r="G83" s="5" t="s">
        <v>11</v>
      </c>
      <c r="H83" s="7" t="s">
        <v>7</v>
      </c>
      <c r="I83" s="7" t="s">
        <v>130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14</v>
      </c>
      <c r="AF83" s="8">
        <v>1400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10">
        <v>1400</v>
      </c>
      <c r="BN83" s="16">
        <f t="shared" si="2"/>
        <v>1400</v>
      </c>
      <c r="BO83" s="16">
        <f t="shared" si="3"/>
        <v>979.99999999999989</v>
      </c>
    </row>
    <row r="84" spans="1:67" ht="19.2" x14ac:dyDescent="0.4">
      <c r="A84" s="15" t="s">
        <v>132</v>
      </c>
      <c r="B84" s="5" t="s">
        <v>217</v>
      </c>
      <c r="C84" s="5">
        <v>473533</v>
      </c>
      <c r="D84" s="6"/>
      <c r="E84" s="5" t="s">
        <v>16</v>
      </c>
      <c r="F84" s="5" t="s">
        <v>218</v>
      </c>
      <c r="G84" s="5" t="s">
        <v>11</v>
      </c>
      <c r="H84" s="7" t="s">
        <v>7</v>
      </c>
      <c r="I84" s="7" t="s">
        <v>206</v>
      </c>
      <c r="J84" s="7">
        <v>1</v>
      </c>
      <c r="K84" s="7">
        <v>0</v>
      </c>
      <c r="L84" s="7">
        <v>100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13</v>
      </c>
      <c r="AF84" s="8">
        <v>1300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10">
        <v>1400</v>
      </c>
      <c r="BN84" s="16">
        <f t="shared" si="2"/>
        <v>1400</v>
      </c>
      <c r="BO84" s="16">
        <f t="shared" si="3"/>
        <v>979.99999999999989</v>
      </c>
    </row>
    <row r="85" spans="1:67" x14ac:dyDescent="0.4">
      <c r="A85" s="15" t="s">
        <v>132</v>
      </c>
      <c r="B85" s="5" t="s">
        <v>251</v>
      </c>
      <c r="C85" s="5">
        <v>394830</v>
      </c>
      <c r="D85" s="6"/>
      <c r="E85" s="5" t="s">
        <v>16</v>
      </c>
      <c r="F85" s="5" t="s">
        <v>41</v>
      </c>
      <c r="G85" s="5" t="s">
        <v>34</v>
      </c>
      <c r="H85" s="7" t="s">
        <v>8</v>
      </c>
      <c r="I85" s="7" t="s">
        <v>252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1</v>
      </c>
      <c r="AF85" s="7">
        <v>100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10</v>
      </c>
      <c r="BD85" s="8">
        <v>1200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72</v>
      </c>
      <c r="BM85" s="10">
        <v>1300</v>
      </c>
      <c r="BN85" s="16">
        <f t="shared" si="2"/>
        <v>1228</v>
      </c>
      <c r="BO85" s="16">
        <f t="shared" si="3"/>
        <v>859.59999999999991</v>
      </c>
    </row>
    <row r="86" spans="1:67" x14ac:dyDescent="0.4">
      <c r="A86" s="15" t="s">
        <v>132</v>
      </c>
      <c r="B86" s="5" t="s">
        <v>253</v>
      </c>
      <c r="C86" s="5">
        <v>451412</v>
      </c>
      <c r="D86" s="6"/>
      <c r="E86" s="5" t="s">
        <v>16</v>
      </c>
      <c r="F86" s="5" t="s">
        <v>213</v>
      </c>
      <c r="G86" s="5" t="s">
        <v>119</v>
      </c>
      <c r="H86" s="7" t="s">
        <v>8</v>
      </c>
      <c r="I86" s="7" t="s">
        <v>254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13</v>
      </c>
      <c r="AF86" s="8">
        <v>1300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10">
        <v>1300</v>
      </c>
      <c r="BN86" s="16">
        <f t="shared" si="2"/>
        <v>1300</v>
      </c>
      <c r="BO86" s="16">
        <f t="shared" si="3"/>
        <v>909.99999999999989</v>
      </c>
    </row>
    <row r="87" spans="1:67" ht="19.2" x14ac:dyDescent="0.4">
      <c r="A87" s="15" t="s">
        <v>132</v>
      </c>
      <c r="B87" s="5" t="s">
        <v>47</v>
      </c>
      <c r="C87" s="5">
        <v>459997</v>
      </c>
      <c r="D87" s="6"/>
      <c r="E87" s="5" t="s">
        <v>16</v>
      </c>
      <c r="F87" s="5" t="s">
        <v>48</v>
      </c>
      <c r="G87" s="5" t="s">
        <v>11</v>
      </c>
      <c r="H87" s="7" t="s">
        <v>7</v>
      </c>
      <c r="I87" s="7" t="s">
        <v>240</v>
      </c>
      <c r="J87" s="7">
        <v>0</v>
      </c>
      <c r="K87" s="7">
        <v>9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4</v>
      </c>
      <c r="AF87" s="7">
        <v>400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8</v>
      </c>
      <c r="AR87" s="7">
        <v>800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10">
        <v>1200</v>
      </c>
      <c r="BN87" s="16">
        <f t="shared" si="2"/>
        <v>1200</v>
      </c>
      <c r="BO87" s="16">
        <f t="shared" si="3"/>
        <v>840</v>
      </c>
    </row>
    <row r="88" spans="1:67" x14ac:dyDescent="0.4">
      <c r="A88" s="15" t="s">
        <v>132</v>
      </c>
      <c r="B88" s="5" t="s">
        <v>233</v>
      </c>
      <c r="C88" s="5">
        <v>316658</v>
      </c>
      <c r="D88" s="6"/>
      <c r="E88" s="5" t="s">
        <v>16</v>
      </c>
      <c r="F88" s="5" t="s">
        <v>51</v>
      </c>
      <c r="G88" s="5" t="s">
        <v>11</v>
      </c>
      <c r="H88" s="7" t="s">
        <v>7</v>
      </c>
      <c r="I88" s="7" t="s">
        <v>234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12</v>
      </c>
      <c r="AR88" s="8">
        <v>1100</v>
      </c>
      <c r="AS88" s="7">
        <v>100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10">
        <v>1200</v>
      </c>
      <c r="BN88" s="16">
        <f t="shared" si="2"/>
        <v>1200</v>
      </c>
      <c r="BO88" s="16">
        <f t="shared" si="3"/>
        <v>840</v>
      </c>
    </row>
    <row r="89" spans="1:67" x14ac:dyDescent="0.4">
      <c r="A89" s="15" t="s">
        <v>132</v>
      </c>
      <c r="B89" s="5" t="s">
        <v>255</v>
      </c>
      <c r="C89" s="5">
        <v>305522</v>
      </c>
      <c r="D89" s="6"/>
      <c r="E89" s="5" t="s">
        <v>16</v>
      </c>
      <c r="F89" s="5" t="s">
        <v>41</v>
      </c>
      <c r="G89" s="5" t="s">
        <v>34</v>
      </c>
      <c r="H89" s="7" t="s">
        <v>8</v>
      </c>
      <c r="I89" s="7" t="s">
        <v>256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10</v>
      </c>
      <c r="AF89" s="7">
        <v>900</v>
      </c>
      <c r="AG89" s="7">
        <v>100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10">
        <v>1000</v>
      </c>
      <c r="BN89" s="16">
        <f t="shared" si="2"/>
        <v>1000</v>
      </c>
      <c r="BO89" s="16">
        <f t="shared" si="3"/>
        <v>700</v>
      </c>
    </row>
    <row r="90" spans="1:67" x14ac:dyDescent="0.4">
      <c r="A90" s="15" t="s">
        <v>132</v>
      </c>
      <c r="B90" s="5" t="s">
        <v>93</v>
      </c>
      <c r="C90" s="5">
        <v>359912</v>
      </c>
      <c r="D90" s="6"/>
      <c r="E90" s="5" t="s">
        <v>16</v>
      </c>
      <c r="F90" s="5" t="s">
        <v>66</v>
      </c>
      <c r="G90" s="5" t="s">
        <v>34</v>
      </c>
      <c r="H90" s="7" t="s">
        <v>8</v>
      </c>
      <c r="I90" s="7" t="s">
        <v>84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9</v>
      </c>
      <c r="AF90" s="7">
        <v>900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11">
        <v>900</v>
      </c>
      <c r="BN90" s="16">
        <f t="shared" si="2"/>
        <v>900</v>
      </c>
      <c r="BO90" s="16">
        <f t="shared" si="3"/>
        <v>630</v>
      </c>
    </row>
    <row r="91" spans="1:67" x14ac:dyDescent="0.4">
      <c r="A91" s="15" t="s">
        <v>132</v>
      </c>
      <c r="B91" s="5" t="s">
        <v>50</v>
      </c>
      <c r="C91" s="5">
        <v>387417</v>
      </c>
      <c r="D91" s="6"/>
      <c r="E91" s="5" t="s">
        <v>16</v>
      </c>
      <c r="F91" s="5" t="s">
        <v>51</v>
      </c>
      <c r="G91" s="5" t="s">
        <v>11</v>
      </c>
      <c r="H91" s="7" t="s">
        <v>7</v>
      </c>
      <c r="I91" s="7" t="s">
        <v>52</v>
      </c>
      <c r="J91" s="7">
        <v>0</v>
      </c>
      <c r="K91" s="7">
        <v>12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4</v>
      </c>
      <c r="AF91" s="7">
        <v>400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11">
        <v>400</v>
      </c>
      <c r="BN91" s="16">
        <f t="shared" si="2"/>
        <v>400</v>
      </c>
      <c r="BO91" s="16">
        <f t="shared" si="3"/>
        <v>280</v>
      </c>
    </row>
    <row r="92" spans="1:67" x14ac:dyDescent="0.4">
      <c r="A92" s="15" t="s">
        <v>132</v>
      </c>
      <c r="B92" s="5" t="s">
        <v>257</v>
      </c>
      <c r="C92" s="5">
        <v>458561</v>
      </c>
      <c r="D92" s="6"/>
      <c r="E92" s="5" t="s">
        <v>16</v>
      </c>
      <c r="F92" s="5" t="s">
        <v>30</v>
      </c>
      <c r="G92" s="5" t="s">
        <v>11</v>
      </c>
      <c r="H92" s="7" t="s">
        <v>7</v>
      </c>
      <c r="I92" s="7" t="s">
        <v>74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3</v>
      </c>
      <c r="AF92" s="7">
        <v>300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11">
        <v>300</v>
      </c>
      <c r="BN92" s="16">
        <f t="shared" si="2"/>
        <v>300</v>
      </c>
      <c r="BO92" s="16">
        <f t="shared" si="3"/>
        <v>210</v>
      </c>
    </row>
    <row r="93" spans="1:67" x14ac:dyDescent="0.4">
      <c r="A93" s="15" t="s">
        <v>132</v>
      </c>
      <c r="B93" s="5" t="s">
        <v>87</v>
      </c>
      <c r="C93" s="5">
        <v>471707</v>
      </c>
      <c r="D93" s="6"/>
      <c r="E93" s="5" t="s">
        <v>16</v>
      </c>
      <c r="F93" s="5" t="s">
        <v>88</v>
      </c>
      <c r="G93" s="5" t="s">
        <v>11</v>
      </c>
      <c r="H93" s="7" t="s">
        <v>7</v>
      </c>
      <c r="I93" s="7" t="s">
        <v>89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2</v>
      </c>
      <c r="AR93" s="7">
        <v>200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11">
        <v>200</v>
      </c>
      <c r="BN93" s="16">
        <f t="shared" si="2"/>
        <v>200</v>
      </c>
      <c r="BO93" s="16">
        <f t="shared" si="3"/>
        <v>140</v>
      </c>
    </row>
    <row r="94" spans="1:67" x14ac:dyDescent="0.4">
      <c r="A94" s="15" t="s">
        <v>132</v>
      </c>
      <c r="B94" s="5" t="s">
        <v>122</v>
      </c>
      <c r="C94" s="5">
        <v>328894</v>
      </c>
      <c r="D94" s="6"/>
      <c r="E94" s="5" t="s">
        <v>16</v>
      </c>
      <c r="F94" s="5" t="s">
        <v>123</v>
      </c>
      <c r="G94" s="5" t="s">
        <v>34</v>
      </c>
      <c r="H94" s="7" t="s">
        <v>8</v>
      </c>
      <c r="I94" s="7" t="s">
        <v>124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1</v>
      </c>
      <c r="BD94" s="7">
        <v>120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7.2</v>
      </c>
      <c r="BM94" s="11">
        <v>120</v>
      </c>
      <c r="BN94" s="16">
        <f t="shared" si="2"/>
        <v>112.8</v>
      </c>
      <c r="BO94" s="16">
        <f t="shared" si="3"/>
        <v>78.959999999999994</v>
      </c>
    </row>
    <row r="95" spans="1:67" x14ac:dyDescent="0.4">
      <c r="A95" s="15" t="s">
        <v>132</v>
      </c>
      <c r="B95" s="5" t="s">
        <v>32</v>
      </c>
      <c r="C95" s="5">
        <v>395270</v>
      </c>
      <c r="D95" s="6"/>
      <c r="E95" s="5" t="s">
        <v>16</v>
      </c>
      <c r="F95" s="5" t="s">
        <v>33</v>
      </c>
      <c r="G95" s="5" t="s">
        <v>34</v>
      </c>
      <c r="H95" s="7" t="s">
        <v>8</v>
      </c>
      <c r="I95" s="7" t="s">
        <v>35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1</v>
      </c>
      <c r="AF95" s="7">
        <v>100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11">
        <v>100</v>
      </c>
      <c r="BN95" s="16">
        <f t="shared" si="2"/>
        <v>100</v>
      </c>
      <c r="BO95" s="16">
        <f t="shared" si="3"/>
        <v>70</v>
      </c>
    </row>
    <row r="96" spans="1:67" x14ac:dyDescent="0.4">
      <c r="A96" s="15" t="s">
        <v>132</v>
      </c>
      <c r="B96" s="5" t="s">
        <v>96</v>
      </c>
      <c r="C96" s="5">
        <v>387942</v>
      </c>
      <c r="D96" s="6"/>
      <c r="E96" s="5" t="s">
        <v>16</v>
      </c>
      <c r="F96" s="5" t="s">
        <v>97</v>
      </c>
      <c r="G96" s="5" t="s">
        <v>11</v>
      </c>
      <c r="H96" s="7" t="s">
        <v>7</v>
      </c>
      <c r="I96" s="7" t="s">
        <v>98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1</v>
      </c>
      <c r="AF96" s="7">
        <v>100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11">
        <v>100</v>
      </c>
      <c r="BN96" s="16">
        <f t="shared" si="2"/>
        <v>100</v>
      </c>
      <c r="BO96" s="16">
        <f t="shared" si="3"/>
        <v>70</v>
      </c>
    </row>
    <row r="97" spans="1:67" x14ac:dyDescent="0.4">
      <c r="A97" s="15" t="s">
        <v>82</v>
      </c>
      <c r="B97" s="5" t="s">
        <v>133</v>
      </c>
      <c r="C97" s="5">
        <v>381684</v>
      </c>
      <c r="D97" s="6"/>
      <c r="E97" s="5" t="s">
        <v>16</v>
      </c>
      <c r="F97" s="5" t="s">
        <v>66</v>
      </c>
      <c r="G97" s="5" t="s">
        <v>34</v>
      </c>
      <c r="H97" s="7" t="s">
        <v>79</v>
      </c>
      <c r="I97" s="7" t="s">
        <v>134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5</v>
      </c>
      <c r="AF97" s="8">
        <v>15200</v>
      </c>
      <c r="AG97" s="8">
        <v>2500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1</v>
      </c>
      <c r="BD97" s="8">
        <v>1560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93.6</v>
      </c>
      <c r="BM97" s="10">
        <v>19260</v>
      </c>
      <c r="BN97" s="16">
        <f t="shared" si="2"/>
        <v>19166.400000000001</v>
      </c>
      <c r="BO97" s="16">
        <f t="shared" si="3"/>
        <v>13416.48</v>
      </c>
    </row>
    <row r="98" spans="1:67" x14ac:dyDescent="0.4">
      <c r="A98" s="15" t="s">
        <v>82</v>
      </c>
      <c r="B98" s="5" t="s">
        <v>81</v>
      </c>
      <c r="C98" s="5">
        <v>418302</v>
      </c>
      <c r="D98" s="6"/>
      <c r="E98" s="5" t="s">
        <v>16</v>
      </c>
      <c r="F98" s="5" t="s">
        <v>33</v>
      </c>
      <c r="G98" s="5" t="s">
        <v>34</v>
      </c>
      <c r="H98" s="7" t="s">
        <v>79</v>
      </c>
      <c r="I98" s="7" t="s">
        <v>35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2</v>
      </c>
      <c r="AF98" s="8">
        <v>7000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1</v>
      </c>
      <c r="AR98" s="8">
        <v>3500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10">
        <v>10500</v>
      </c>
      <c r="BN98" s="16">
        <f t="shared" si="2"/>
        <v>10500</v>
      </c>
      <c r="BO98" s="16">
        <f t="shared" si="3"/>
        <v>7349.9999999999991</v>
      </c>
    </row>
    <row r="99" spans="1:67" x14ac:dyDescent="0.4">
      <c r="A99" s="15" t="s">
        <v>82</v>
      </c>
      <c r="B99" s="5" t="s">
        <v>215</v>
      </c>
      <c r="C99" s="5">
        <v>377683</v>
      </c>
      <c r="D99" s="6"/>
      <c r="E99" s="5" t="s">
        <v>16</v>
      </c>
      <c r="F99" s="5" t="s">
        <v>33</v>
      </c>
      <c r="G99" s="5" t="s">
        <v>34</v>
      </c>
      <c r="H99" s="7" t="s">
        <v>79</v>
      </c>
      <c r="I99" s="7" t="s">
        <v>216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2</v>
      </c>
      <c r="AF99" s="8">
        <v>6000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1</v>
      </c>
      <c r="AR99" s="8">
        <v>3000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10">
        <v>9000</v>
      </c>
      <c r="BN99" s="16">
        <f t="shared" si="2"/>
        <v>9000</v>
      </c>
      <c r="BO99" s="16">
        <f t="shared" si="3"/>
        <v>6300</v>
      </c>
    </row>
    <row r="100" spans="1:67" ht="19.2" x14ac:dyDescent="0.4">
      <c r="A100" s="15" t="s">
        <v>82</v>
      </c>
      <c r="B100" s="5" t="s">
        <v>258</v>
      </c>
      <c r="C100" s="5">
        <v>473172</v>
      </c>
      <c r="D100" s="6"/>
      <c r="E100" s="5" t="s">
        <v>16</v>
      </c>
      <c r="F100" s="5" t="s">
        <v>99</v>
      </c>
      <c r="G100" s="5" t="s">
        <v>118</v>
      </c>
      <c r="H100" s="7" t="s">
        <v>10</v>
      </c>
      <c r="I100" s="7" t="s">
        <v>137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2</v>
      </c>
      <c r="AF100" s="7">
        <v>0</v>
      </c>
      <c r="AG100" s="8">
        <v>5400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10">
        <v>5400</v>
      </c>
      <c r="BN100" s="16">
        <f t="shared" si="2"/>
        <v>5400</v>
      </c>
      <c r="BO100" s="16">
        <f t="shared" si="3"/>
        <v>3779.9999999999995</v>
      </c>
    </row>
    <row r="101" spans="1:67" x14ac:dyDescent="0.4">
      <c r="A101" s="15" t="s">
        <v>82</v>
      </c>
      <c r="B101" s="5" t="s">
        <v>259</v>
      </c>
      <c r="C101" s="5">
        <v>426257</v>
      </c>
      <c r="D101" s="6"/>
      <c r="E101" s="5" t="s">
        <v>16</v>
      </c>
      <c r="F101" s="5" t="s">
        <v>260</v>
      </c>
      <c r="G101" s="5" t="s">
        <v>34</v>
      </c>
      <c r="H101" s="7" t="s">
        <v>79</v>
      </c>
      <c r="I101" s="7" t="s">
        <v>261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</v>
      </c>
      <c r="AF101" s="8">
        <v>4500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10">
        <v>4500</v>
      </c>
      <c r="BN101" s="16">
        <f t="shared" si="2"/>
        <v>4500</v>
      </c>
      <c r="BO101" s="16">
        <f t="shared" si="3"/>
        <v>3150</v>
      </c>
    </row>
    <row r="102" spans="1:67" x14ac:dyDescent="0.4">
      <c r="A102" s="15" t="s">
        <v>82</v>
      </c>
      <c r="B102" s="5" t="s">
        <v>262</v>
      </c>
      <c r="C102" s="5">
        <v>413935</v>
      </c>
      <c r="D102" s="6"/>
      <c r="E102" s="5" t="s">
        <v>16</v>
      </c>
      <c r="F102" s="5" t="s">
        <v>263</v>
      </c>
      <c r="G102" s="5" t="s">
        <v>34</v>
      </c>
      <c r="H102" s="7" t="s">
        <v>79</v>
      </c>
      <c r="I102" s="7" t="s">
        <v>264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1</v>
      </c>
      <c r="AL102" s="8">
        <v>3960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9">
        <v>1188</v>
      </c>
      <c r="BM102" s="10">
        <v>3960</v>
      </c>
      <c r="BN102" s="16">
        <f t="shared" si="2"/>
        <v>2772</v>
      </c>
      <c r="BO102" s="16">
        <f t="shared" si="3"/>
        <v>1940.3999999999999</v>
      </c>
    </row>
    <row r="103" spans="1:67" x14ac:dyDescent="0.4">
      <c r="A103" s="15" t="s">
        <v>82</v>
      </c>
      <c r="B103" s="5" t="s">
        <v>108</v>
      </c>
      <c r="C103" s="5">
        <v>454879</v>
      </c>
      <c r="D103" s="6"/>
      <c r="E103" s="5" t="s">
        <v>16</v>
      </c>
      <c r="F103" s="5" t="s">
        <v>75</v>
      </c>
      <c r="G103" s="5" t="s">
        <v>34</v>
      </c>
      <c r="H103" s="7" t="s">
        <v>79</v>
      </c>
      <c r="I103" s="7" t="s">
        <v>109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1</v>
      </c>
      <c r="AF103" s="7">
        <v>0</v>
      </c>
      <c r="AG103" s="8">
        <v>3600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10">
        <v>3600</v>
      </c>
      <c r="BN103" s="16">
        <f t="shared" si="2"/>
        <v>3600</v>
      </c>
      <c r="BO103" s="16">
        <f t="shared" si="3"/>
        <v>2520</v>
      </c>
    </row>
    <row r="104" spans="1:67" x14ac:dyDescent="0.4">
      <c r="A104" s="15" t="s">
        <v>82</v>
      </c>
      <c r="B104" s="5" t="s">
        <v>135</v>
      </c>
      <c r="C104" s="5">
        <v>392658</v>
      </c>
      <c r="D104" s="6"/>
      <c r="E104" s="5" t="s">
        <v>16</v>
      </c>
      <c r="F104" s="5" t="s">
        <v>49</v>
      </c>
      <c r="G104" s="5" t="s">
        <v>34</v>
      </c>
      <c r="H104" s="7" t="s">
        <v>79</v>
      </c>
      <c r="I104" s="7" t="s">
        <v>136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1</v>
      </c>
      <c r="AF104" s="8">
        <v>3200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10">
        <v>3200</v>
      </c>
      <c r="BN104" s="16">
        <f t="shared" si="2"/>
        <v>3200</v>
      </c>
      <c r="BO104" s="16">
        <f t="shared" si="3"/>
        <v>2240</v>
      </c>
    </row>
    <row r="105" spans="1:67" x14ac:dyDescent="0.4">
      <c r="A105" s="15" t="s">
        <v>82</v>
      </c>
      <c r="B105" s="5" t="s">
        <v>139</v>
      </c>
      <c r="C105" s="5">
        <v>387972</v>
      </c>
      <c r="D105" s="6"/>
      <c r="E105" s="5" t="s">
        <v>16</v>
      </c>
      <c r="F105" s="5" t="s">
        <v>33</v>
      </c>
      <c r="G105" s="5" t="s">
        <v>34</v>
      </c>
      <c r="H105" s="7" t="s">
        <v>79</v>
      </c>
      <c r="I105" s="7" t="s">
        <v>67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1</v>
      </c>
      <c r="AF105" s="8">
        <v>3200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10">
        <v>3200</v>
      </c>
      <c r="BN105" s="16">
        <f t="shared" si="2"/>
        <v>3200</v>
      </c>
      <c r="BO105" s="16">
        <f t="shared" si="3"/>
        <v>2240</v>
      </c>
    </row>
    <row r="106" spans="1:67" x14ac:dyDescent="0.4">
      <c r="A106" s="15" t="s">
        <v>82</v>
      </c>
      <c r="B106" s="5" t="s">
        <v>28</v>
      </c>
      <c r="C106" s="5">
        <v>414278</v>
      </c>
      <c r="D106" s="6"/>
      <c r="E106" s="5" t="s">
        <v>16</v>
      </c>
      <c r="F106" s="5" t="s">
        <v>12</v>
      </c>
      <c r="G106" s="5" t="s">
        <v>11</v>
      </c>
      <c r="H106" s="7" t="s">
        <v>8</v>
      </c>
      <c r="I106" s="7" t="s">
        <v>112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1</v>
      </c>
      <c r="AF106" s="8">
        <v>3200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10">
        <v>3200</v>
      </c>
      <c r="BN106" s="16">
        <f t="shared" si="2"/>
        <v>3200</v>
      </c>
      <c r="BO106" s="16">
        <f t="shared" si="3"/>
        <v>2240</v>
      </c>
    </row>
    <row r="107" spans="1:67" x14ac:dyDescent="0.4">
      <c r="A107" s="15" t="s">
        <v>82</v>
      </c>
      <c r="B107" s="5" t="s">
        <v>141</v>
      </c>
      <c r="C107" s="5">
        <v>381821</v>
      </c>
      <c r="D107" s="6"/>
      <c r="E107" s="5" t="s">
        <v>16</v>
      </c>
      <c r="F107" s="5" t="s">
        <v>49</v>
      </c>
      <c r="G107" s="5" t="s">
        <v>34</v>
      </c>
      <c r="H107" s="7" t="s">
        <v>79</v>
      </c>
      <c r="I107" s="7" t="s">
        <v>142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</v>
      </c>
      <c r="AF107" s="8">
        <v>3000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10">
        <v>3000</v>
      </c>
      <c r="BN107" s="16">
        <f t="shared" ref="BN107:BN142" si="4">BM107-BL107</f>
        <v>3000</v>
      </c>
      <c r="BO107" s="16">
        <f t="shared" ref="BO107:BO142" si="5">BN107*70%</f>
        <v>2100</v>
      </c>
    </row>
    <row r="108" spans="1:67" x14ac:dyDescent="0.4">
      <c r="A108" s="15" t="s">
        <v>82</v>
      </c>
      <c r="B108" s="5" t="s">
        <v>105</v>
      </c>
      <c r="C108" s="5">
        <v>473531</v>
      </c>
      <c r="D108" s="6"/>
      <c r="E108" s="5" t="s">
        <v>16</v>
      </c>
      <c r="F108" s="5" t="s">
        <v>106</v>
      </c>
      <c r="G108" s="5" t="s">
        <v>34</v>
      </c>
      <c r="H108" s="7" t="s">
        <v>79</v>
      </c>
      <c r="I108" s="7" t="s">
        <v>107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1</v>
      </c>
      <c r="AL108" s="7">
        <v>0</v>
      </c>
      <c r="AM108" s="8">
        <v>3000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10">
        <v>3000</v>
      </c>
      <c r="BN108" s="16">
        <f t="shared" si="4"/>
        <v>3000</v>
      </c>
      <c r="BO108" s="16">
        <f t="shared" si="5"/>
        <v>2100</v>
      </c>
    </row>
    <row r="109" spans="1:67" x14ac:dyDescent="0.4">
      <c r="A109" s="15" t="s">
        <v>82</v>
      </c>
      <c r="B109" s="5" t="s">
        <v>92</v>
      </c>
      <c r="C109" s="5">
        <v>387975</v>
      </c>
      <c r="D109" s="6"/>
      <c r="E109" s="5" t="s">
        <v>16</v>
      </c>
      <c r="F109" s="5" t="s">
        <v>68</v>
      </c>
      <c r="G109" s="5" t="s">
        <v>34</v>
      </c>
      <c r="H109" s="7" t="s">
        <v>79</v>
      </c>
      <c r="I109" s="7" t="s">
        <v>67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1</v>
      </c>
      <c r="AF109" s="8">
        <v>2800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10">
        <v>2800</v>
      </c>
      <c r="BN109" s="16">
        <f t="shared" si="4"/>
        <v>2800</v>
      </c>
      <c r="BO109" s="16">
        <f t="shared" si="5"/>
        <v>1959.9999999999998</v>
      </c>
    </row>
    <row r="110" spans="1:67" x14ac:dyDescent="0.4">
      <c r="A110" s="15" t="s">
        <v>82</v>
      </c>
      <c r="B110" s="5" t="s">
        <v>265</v>
      </c>
      <c r="C110" s="5">
        <v>441962</v>
      </c>
      <c r="D110" s="6"/>
      <c r="E110" s="5" t="s">
        <v>16</v>
      </c>
      <c r="F110" s="5" t="s">
        <v>213</v>
      </c>
      <c r="G110" s="5" t="s">
        <v>119</v>
      </c>
      <c r="H110" s="7" t="s">
        <v>8</v>
      </c>
      <c r="I110" s="7" t="s">
        <v>266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1</v>
      </c>
      <c r="AF110" s="8">
        <v>2000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10">
        <v>2000</v>
      </c>
      <c r="BN110" s="16">
        <f t="shared" si="4"/>
        <v>2000</v>
      </c>
      <c r="BO110" s="16">
        <f t="shared" si="5"/>
        <v>1400</v>
      </c>
    </row>
    <row r="111" spans="1:67" ht="19.2" x14ac:dyDescent="0.4">
      <c r="A111" s="15" t="s">
        <v>82</v>
      </c>
      <c r="B111" s="5" t="s">
        <v>38</v>
      </c>
      <c r="C111" s="5">
        <v>454534</v>
      </c>
      <c r="D111" s="6"/>
      <c r="E111" s="5" t="s">
        <v>16</v>
      </c>
      <c r="F111" s="5" t="s">
        <v>39</v>
      </c>
      <c r="G111" s="5" t="s">
        <v>11</v>
      </c>
      <c r="H111" s="7" t="s">
        <v>7</v>
      </c>
      <c r="I111" s="7" t="s">
        <v>207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2</v>
      </c>
      <c r="AF111" s="7">
        <v>200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1</v>
      </c>
      <c r="AX111" s="7">
        <v>120</v>
      </c>
      <c r="AY111" s="7">
        <v>0</v>
      </c>
      <c r="AZ111" s="7">
        <v>0</v>
      </c>
      <c r="BA111" s="7">
        <v>0</v>
      </c>
      <c r="BB111" s="7">
        <v>0</v>
      </c>
      <c r="BC111" s="7">
        <v>6</v>
      </c>
      <c r="BD111" s="7">
        <v>720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55.2</v>
      </c>
      <c r="BM111" s="10">
        <v>1040</v>
      </c>
      <c r="BN111" s="16">
        <f t="shared" si="4"/>
        <v>984.8</v>
      </c>
      <c r="BO111" s="16">
        <f t="shared" si="5"/>
        <v>689.3599999999999</v>
      </c>
    </row>
    <row r="112" spans="1:67" x14ac:dyDescent="0.4">
      <c r="A112" s="15" t="s">
        <v>82</v>
      </c>
      <c r="B112" s="5" t="s">
        <v>61</v>
      </c>
      <c r="C112" s="5">
        <v>290890</v>
      </c>
      <c r="D112" s="6"/>
      <c r="E112" s="5" t="s">
        <v>16</v>
      </c>
      <c r="F112" s="5" t="s">
        <v>30</v>
      </c>
      <c r="G112" s="5" t="s">
        <v>11</v>
      </c>
      <c r="H112" s="7" t="s">
        <v>7</v>
      </c>
      <c r="I112" s="7" t="s">
        <v>62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1</v>
      </c>
      <c r="AC112" s="7">
        <v>900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11">
        <v>900</v>
      </c>
      <c r="BN112" s="16">
        <f t="shared" si="4"/>
        <v>900</v>
      </c>
      <c r="BO112" s="16">
        <f t="shared" si="5"/>
        <v>630</v>
      </c>
    </row>
    <row r="113" spans="1:67" x14ac:dyDescent="0.4">
      <c r="A113" s="15" t="s">
        <v>82</v>
      </c>
      <c r="B113" s="5" t="s">
        <v>144</v>
      </c>
      <c r="C113" s="5">
        <v>381693</v>
      </c>
      <c r="D113" s="6"/>
      <c r="E113" s="5" t="s">
        <v>16</v>
      </c>
      <c r="F113" s="5" t="s">
        <v>66</v>
      </c>
      <c r="G113" s="5" t="s">
        <v>34</v>
      </c>
      <c r="H113" s="7" t="s">
        <v>79</v>
      </c>
      <c r="I113" s="7" t="s">
        <v>134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1</v>
      </c>
      <c r="AF113" s="7">
        <v>400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1</v>
      </c>
      <c r="BD113" s="7">
        <v>480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28.8</v>
      </c>
      <c r="BM113" s="11">
        <v>880</v>
      </c>
      <c r="BN113" s="16">
        <f t="shared" si="4"/>
        <v>851.2</v>
      </c>
      <c r="BO113" s="16">
        <f t="shared" si="5"/>
        <v>595.84</v>
      </c>
    </row>
    <row r="114" spans="1:67" x14ac:dyDescent="0.4">
      <c r="A114" s="15" t="s">
        <v>82</v>
      </c>
      <c r="B114" s="5" t="s">
        <v>125</v>
      </c>
      <c r="C114" s="5">
        <v>476783</v>
      </c>
      <c r="D114" s="6"/>
      <c r="E114" s="5" t="s">
        <v>16</v>
      </c>
      <c r="F114" s="5" t="s">
        <v>126</v>
      </c>
      <c r="G114" s="5" t="s">
        <v>34</v>
      </c>
      <c r="H114" s="7" t="s">
        <v>8</v>
      </c>
      <c r="I114" s="7" t="s">
        <v>127</v>
      </c>
      <c r="J114" s="7">
        <v>0</v>
      </c>
      <c r="K114" s="7">
        <v>1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7</v>
      </c>
      <c r="AF114" s="7">
        <v>640</v>
      </c>
      <c r="AG114" s="7">
        <v>100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11">
        <v>740</v>
      </c>
      <c r="BN114" s="16">
        <f t="shared" si="4"/>
        <v>740</v>
      </c>
      <c r="BO114" s="16">
        <f t="shared" si="5"/>
        <v>518</v>
      </c>
    </row>
    <row r="115" spans="1:67" x14ac:dyDescent="0.4">
      <c r="A115" s="15" t="s">
        <v>82</v>
      </c>
      <c r="B115" s="5" t="s">
        <v>83</v>
      </c>
      <c r="C115" s="5">
        <v>472512</v>
      </c>
      <c r="D115" s="6"/>
      <c r="E115" s="5" t="s">
        <v>16</v>
      </c>
      <c r="F115" s="5" t="s">
        <v>39</v>
      </c>
      <c r="G115" s="5" t="s">
        <v>11</v>
      </c>
      <c r="H115" s="7" t="s">
        <v>7</v>
      </c>
      <c r="I115" s="7" t="s">
        <v>206</v>
      </c>
      <c r="J115" s="7">
        <v>0</v>
      </c>
      <c r="K115" s="7">
        <v>36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3</v>
      </c>
      <c r="AF115" s="7">
        <v>200</v>
      </c>
      <c r="AG115" s="7">
        <v>100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3</v>
      </c>
      <c r="BD115" s="7">
        <v>360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21.6</v>
      </c>
      <c r="BM115" s="11">
        <v>660</v>
      </c>
      <c r="BN115" s="16">
        <f t="shared" si="4"/>
        <v>638.4</v>
      </c>
      <c r="BO115" s="16">
        <f t="shared" si="5"/>
        <v>446.87999999999994</v>
      </c>
    </row>
    <row r="116" spans="1:67" x14ac:dyDescent="0.4">
      <c r="A116" s="15" t="s">
        <v>82</v>
      </c>
      <c r="B116" s="5" t="s">
        <v>15</v>
      </c>
      <c r="C116" s="5">
        <v>465248</v>
      </c>
      <c r="D116" s="6"/>
      <c r="E116" s="5" t="s">
        <v>16</v>
      </c>
      <c r="F116" s="5" t="s">
        <v>17</v>
      </c>
      <c r="G116" s="5" t="s">
        <v>119</v>
      </c>
      <c r="H116" s="7" t="s">
        <v>10</v>
      </c>
      <c r="I116" s="7" t="s">
        <v>18</v>
      </c>
      <c r="J116" s="7">
        <v>0</v>
      </c>
      <c r="K116" s="7">
        <v>4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4</v>
      </c>
      <c r="AF116" s="7">
        <v>300</v>
      </c>
      <c r="AG116" s="7">
        <v>100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1</v>
      </c>
      <c r="AR116" s="7">
        <v>100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11">
        <v>500</v>
      </c>
      <c r="BN116" s="16">
        <f t="shared" si="4"/>
        <v>500</v>
      </c>
      <c r="BO116" s="16">
        <f t="shared" si="5"/>
        <v>350</v>
      </c>
    </row>
    <row r="117" spans="1:67" x14ac:dyDescent="0.4">
      <c r="A117" s="15" t="s">
        <v>82</v>
      </c>
      <c r="B117" s="5" t="s">
        <v>36</v>
      </c>
      <c r="C117" s="5">
        <v>178856</v>
      </c>
      <c r="D117" s="6"/>
      <c r="E117" s="5" t="s">
        <v>16</v>
      </c>
      <c r="F117" s="5" t="s">
        <v>30</v>
      </c>
      <c r="G117" s="5" t="s">
        <v>11</v>
      </c>
      <c r="H117" s="7" t="s">
        <v>10</v>
      </c>
      <c r="I117" s="7" t="s">
        <v>37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3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4</v>
      </c>
      <c r="AF117" s="7">
        <v>420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11">
        <v>420</v>
      </c>
      <c r="BN117" s="16">
        <f t="shared" si="4"/>
        <v>420</v>
      </c>
      <c r="BO117" s="16">
        <f t="shared" si="5"/>
        <v>294</v>
      </c>
    </row>
    <row r="118" spans="1:67" x14ac:dyDescent="0.4">
      <c r="A118" s="15" t="s">
        <v>82</v>
      </c>
      <c r="B118" s="5" t="s">
        <v>76</v>
      </c>
      <c r="C118" s="5">
        <v>400251</v>
      </c>
      <c r="D118" s="6"/>
      <c r="E118" s="5" t="s">
        <v>16</v>
      </c>
      <c r="F118" s="5" t="s">
        <v>41</v>
      </c>
      <c r="G118" s="5" t="s">
        <v>34</v>
      </c>
      <c r="H118" s="7" t="s">
        <v>8</v>
      </c>
      <c r="I118" s="7" t="s">
        <v>77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4</v>
      </c>
      <c r="AF118" s="7">
        <v>400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11">
        <v>400</v>
      </c>
      <c r="BN118" s="16">
        <f t="shared" si="4"/>
        <v>400</v>
      </c>
      <c r="BO118" s="16">
        <f t="shared" si="5"/>
        <v>280</v>
      </c>
    </row>
    <row r="119" spans="1:67" x14ac:dyDescent="0.4">
      <c r="A119" s="15" t="s">
        <v>82</v>
      </c>
      <c r="B119" s="5" t="s">
        <v>267</v>
      </c>
      <c r="C119" s="5">
        <v>392659</v>
      </c>
      <c r="D119" s="6"/>
      <c r="E119" s="5" t="s">
        <v>16</v>
      </c>
      <c r="F119" s="5" t="s">
        <v>49</v>
      </c>
      <c r="G119" s="5" t="s">
        <v>34</v>
      </c>
      <c r="H119" s="7" t="s">
        <v>79</v>
      </c>
      <c r="I119" s="7" t="s">
        <v>136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1</v>
      </c>
      <c r="BD119" s="7">
        <v>360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21.6</v>
      </c>
      <c r="BM119" s="11">
        <v>360</v>
      </c>
      <c r="BN119" s="16">
        <f t="shared" si="4"/>
        <v>338.4</v>
      </c>
      <c r="BO119" s="16">
        <f t="shared" si="5"/>
        <v>236.87999999999997</v>
      </c>
    </row>
    <row r="120" spans="1:67" x14ac:dyDescent="0.4">
      <c r="A120" s="15" t="s">
        <v>82</v>
      </c>
      <c r="B120" s="5" t="s">
        <v>212</v>
      </c>
      <c r="C120" s="5">
        <v>478890</v>
      </c>
      <c r="D120" s="6"/>
      <c r="E120" s="5" t="s">
        <v>16</v>
      </c>
      <c r="F120" s="5" t="s">
        <v>213</v>
      </c>
      <c r="G120" s="5" t="s">
        <v>119</v>
      </c>
      <c r="H120" s="7" t="s">
        <v>8</v>
      </c>
      <c r="I120" s="7" t="s">
        <v>214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2</v>
      </c>
      <c r="AF120" s="7">
        <v>200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1</v>
      </c>
      <c r="BD120" s="7">
        <v>120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7.2</v>
      </c>
      <c r="BM120" s="11">
        <v>320</v>
      </c>
      <c r="BN120" s="16">
        <f t="shared" si="4"/>
        <v>312.8</v>
      </c>
      <c r="BO120" s="16">
        <f t="shared" si="5"/>
        <v>218.96</v>
      </c>
    </row>
    <row r="121" spans="1:67" ht="19.2" x14ac:dyDescent="0.4">
      <c r="A121" s="15" t="s">
        <v>82</v>
      </c>
      <c r="B121" s="5" t="s">
        <v>63</v>
      </c>
      <c r="C121" s="5">
        <v>383229</v>
      </c>
      <c r="D121" s="6"/>
      <c r="E121" s="5" t="s">
        <v>16</v>
      </c>
      <c r="F121" s="5" t="s">
        <v>64</v>
      </c>
      <c r="G121" s="5" t="s">
        <v>34</v>
      </c>
      <c r="H121" s="7" t="s">
        <v>8</v>
      </c>
      <c r="I121" s="7" t="s">
        <v>65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2</v>
      </c>
      <c r="AF121" s="7">
        <v>100</v>
      </c>
      <c r="AG121" s="7">
        <v>100</v>
      </c>
      <c r="AH121" s="7">
        <v>0</v>
      </c>
      <c r="AI121" s="7">
        <v>0</v>
      </c>
      <c r="AJ121" s="7">
        <v>0</v>
      </c>
      <c r="AK121" s="7">
        <v>1</v>
      </c>
      <c r="AL121" s="7">
        <v>120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36</v>
      </c>
      <c r="BM121" s="11">
        <v>320</v>
      </c>
      <c r="BN121" s="16">
        <f t="shared" si="4"/>
        <v>284</v>
      </c>
      <c r="BO121" s="16">
        <f t="shared" si="5"/>
        <v>198.79999999999998</v>
      </c>
    </row>
    <row r="122" spans="1:67" x14ac:dyDescent="0.4">
      <c r="A122" s="15" t="s">
        <v>82</v>
      </c>
      <c r="B122" s="5" t="s">
        <v>268</v>
      </c>
      <c r="C122" s="5">
        <v>399401</v>
      </c>
      <c r="D122" s="6"/>
      <c r="E122" s="5" t="s">
        <v>16</v>
      </c>
      <c r="F122" s="5" t="s">
        <v>41</v>
      </c>
      <c r="G122" s="5" t="s">
        <v>34</v>
      </c>
      <c r="H122" s="7" t="s">
        <v>79</v>
      </c>
      <c r="I122" s="7" t="s">
        <v>140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1</v>
      </c>
      <c r="AF122" s="7">
        <v>0</v>
      </c>
      <c r="AG122" s="7">
        <v>300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11">
        <v>300</v>
      </c>
      <c r="BN122" s="16">
        <f t="shared" si="4"/>
        <v>300</v>
      </c>
      <c r="BO122" s="16">
        <f t="shared" si="5"/>
        <v>210</v>
      </c>
    </row>
    <row r="123" spans="1:67" x14ac:dyDescent="0.4">
      <c r="A123" s="15" t="s">
        <v>82</v>
      </c>
      <c r="B123" s="5" t="s">
        <v>42</v>
      </c>
      <c r="C123" s="5">
        <v>321812</v>
      </c>
      <c r="D123" s="6"/>
      <c r="E123" s="5" t="s">
        <v>16</v>
      </c>
      <c r="F123" s="5" t="s">
        <v>30</v>
      </c>
      <c r="G123" s="5" t="s">
        <v>11</v>
      </c>
      <c r="H123" s="7" t="s">
        <v>7</v>
      </c>
      <c r="I123" s="7" t="s">
        <v>43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2</v>
      </c>
      <c r="AF123" s="7">
        <v>220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11">
        <v>220</v>
      </c>
      <c r="BN123" s="16">
        <f t="shared" si="4"/>
        <v>220</v>
      </c>
      <c r="BO123" s="16">
        <f t="shared" si="5"/>
        <v>154</v>
      </c>
    </row>
    <row r="124" spans="1:67" x14ac:dyDescent="0.4">
      <c r="A124" s="15" t="s">
        <v>82</v>
      </c>
      <c r="B124" s="5" t="s">
        <v>19</v>
      </c>
      <c r="C124" s="5">
        <v>463799</v>
      </c>
      <c r="D124" s="6"/>
      <c r="E124" s="5" t="s">
        <v>16</v>
      </c>
      <c r="F124" s="5" t="s">
        <v>20</v>
      </c>
      <c r="G124" s="5" t="s">
        <v>11</v>
      </c>
      <c r="H124" s="7" t="s">
        <v>7</v>
      </c>
      <c r="I124" s="7" t="s">
        <v>21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1</v>
      </c>
      <c r="BD124" s="7">
        <v>120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7.2</v>
      </c>
      <c r="BM124" s="11">
        <v>120</v>
      </c>
      <c r="BN124" s="16">
        <f t="shared" si="4"/>
        <v>112.8</v>
      </c>
      <c r="BO124" s="16">
        <f t="shared" si="5"/>
        <v>78.959999999999994</v>
      </c>
    </row>
    <row r="125" spans="1:67" x14ac:dyDescent="0.4">
      <c r="A125" s="15" t="s">
        <v>82</v>
      </c>
      <c r="B125" s="5" t="s">
        <v>269</v>
      </c>
      <c r="C125" s="5">
        <v>423577</v>
      </c>
      <c r="D125" s="6"/>
      <c r="E125" s="5" t="s">
        <v>16</v>
      </c>
      <c r="F125" s="5" t="s">
        <v>270</v>
      </c>
      <c r="G125" s="5" t="s">
        <v>34</v>
      </c>
      <c r="H125" s="7" t="s">
        <v>8</v>
      </c>
      <c r="I125" s="7" t="s">
        <v>271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1</v>
      </c>
      <c r="AF125" s="7">
        <v>100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11">
        <v>100</v>
      </c>
      <c r="BN125" s="16">
        <f t="shared" si="4"/>
        <v>100</v>
      </c>
      <c r="BO125" s="16">
        <f t="shared" si="5"/>
        <v>70</v>
      </c>
    </row>
    <row r="126" spans="1:67" x14ac:dyDescent="0.4">
      <c r="A126" s="15" t="s">
        <v>82</v>
      </c>
      <c r="B126" s="5" t="s">
        <v>221</v>
      </c>
      <c r="C126" s="5">
        <v>464776</v>
      </c>
      <c r="D126" s="6"/>
      <c r="E126" s="5" t="s">
        <v>16</v>
      </c>
      <c r="F126" s="5" t="s">
        <v>222</v>
      </c>
      <c r="G126" s="5" t="s">
        <v>119</v>
      </c>
      <c r="H126" s="7" t="s">
        <v>10</v>
      </c>
      <c r="I126" s="7" t="s">
        <v>223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1</v>
      </c>
      <c r="AR126" s="7">
        <v>100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11">
        <v>100</v>
      </c>
      <c r="BN126" s="16">
        <f t="shared" si="4"/>
        <v>100</v>
      </c>
      <c r="BO126" s="16">
        <f t="shared" si="5"/>
        <v>70</v>
      </c>
    </row>
    <row r="127" spans="1:67" x14ac:dyDescent="0.4">
      <c r="A127" s="15" t="s">
        <v>82</v>
      </c>
      <c r="B127" s="5" t="s">
        <v>100</v>
      </c>
      <c r="C127" s="5">
        <v>392578</v>
      </c>
      <c r="D127" s="6"/>
      <c r="E127" s="5" t="s">
        <v>16</v>
      </c>
      <c r="F127" s="5" t="s">
        <v>78</v>
      </c>
      <c r="G127" s="5" t="s">
        <v>34</v>
      </c>
      <c r="H127" s="7" t="s">
        <v>79</v>
      </c>
      <c r="I127" s="7" t="s">
        <v>101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1</v>
      </c>
      <c r="AF127" s="7">
        <v>100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11">
        <v>100</v>
      </c>
      <c r="BN127" s="16">
        <f t="shared" si="4"/>
        <v>100</v>
      </c>
      <c r="BO127" s="16">
        <f t="shared" si="5"/>
        <v>70</v>
      </c>
    </row>
    <row r="128" spans="1:67" x14ac:dyDescent="0.4">
      <c r="A128" s="15" t="s">
        <v>82</v>
      </c>
      <c r="B128" s="5" t="s">
        <v>70</v>
      </c>
      <c r="C128" s="5">
        <v>419744</v>
      </c>
      <c r="D128" s="6"/>
      <c r="E128" s="5" t="s">
        <v>16</v>
      </c>
      <c r="F128" s="5" t="s">
        <v>71</v>
      </c>
      <c r="G128" s="5" t="s">
        <v>11</v>
      </c>
      <c r="H128" s="7" t="s">
        <v>7</v>
      </c>
      <c r="I128" s="7" t="s">
        <v>72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1</v>
      </c>
      <c r="AF128" s="7">
        <v>100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11">
        <v>100</v>
      </c>
      <c r="BN128" s="16">
        <f t="shared" si="4"/>
        <v>100</v>
      </c>
      <c r="BO128" s="16">
        <f t="shared" si="5"/>
        <v>70</v>
      </c>
    </row>
    <row r="129" spans="1:67" x14ac:dyDescent="0.4">
      <c r="A129" s="15" t="s">
        <v>82</v>
      </c>
      <c r="B129" s="5" t="s">
        <v>272</v>
      </c>
      <c r="C129" s="5">
        <v>380275</v>
      </c>
      <c r="D129" s="6"/>
      <c r="E129" s="5" t="s">
        <v>16</v>
      </c>
      <c r="F129" s="5" t="s">
        <v>41</v>
      </c>
      <c r="G129" s="5" t="s">
        <v>34</v>
      </c>
      <c r="H129" s="7" t="s">
        <v>79</v>
      </c>
      <c r="I129" s="7" t="s">
        <v>273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1</v>
      </c>
      <c r="AF129" s="7">
        <v>100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11">
        <v>100</v>
      </c>
      <c r="BN129" s="16">
        <f t="shared" si="4"/>
        <v>100</v>
      </c>
      <c r="BO129" s="16">
        <f t="shared" si="5"/>
        <v>70</v>
      </c>
    </row>
    <row r="130" spans="1:67" x14ac:dyDescent="0.4">
      <c r="A130" s="15" t="s">
        <v>82</v>
      </c>
      <c r="B130" s="5" t="s">
        <v>96</v>
      </c>
      <c r="C130" s="5">
        <v>387942</v>
      </c>
      <c r="D130" s="6"/>
      <c r="E130" s="5" t="s">
        <v>16</v>
      </c>
      <c r="F130" s="5" t="s">
        <v>97</v>
      </c>
      <c r="G130" s="5" t="s">
        <v>11</v>
      </c>
      <c r="H130" s="7" t="s">
        <v>7</v>
      </c>
      <c r="I130" s="7" t="s">
        <v>98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1</v>
      </c>
      <c r="AF130" s="7">
        <v>100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11">
        <v>100</v>
      </c>
      <c r="BN130" s="16">
        <f t="shared" si="4"/>
        <v>100</v>
      </c>
      <c r="BO130" s="16">
        <f t="shared" si="5"/>
        <v>70</v>
      </c>
    </row>
    <row r="131" spans="1:67" x14ac:dyDescent="0.4">
      <c r="A131" s="15" t="s">
        <v>82</v>
      </c>
      <c r="B131" s="5" t="s">
        <v>225</v>
      </c>
      <c r="C131" s="5">
        <v>386960</v>
      </c>
      <c r="D131" s="6"/>
      <c r="E131" s="5" t="s">
        <v>16</v>
      </c>
      <c r="F131" s="5" t="s">
        <v>226</v>
      </c>
      <c r="G131" s="5" t="s">
        <v>11</v>
      </c>
      <c r="H131" s="7" t="s">
        <v>7</v>
      </c>
      <c r="I131" s="7" t="s">
        <v>227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1</v>
      </c>
      <c r="AF131" s="7">
        <v>100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11">
        <v>100</v>
      </c>
      <c r="BN131" s="16">
        <f t="shared" si="4"/>
        <v>100</v>
      </c>
      <c r="BO131" s="16">
        <f t="shared" si="5"/>
        <v>70</v>
      </c>
    </row>
    <row r="132" spans="1:67" x14ac:dyDescent="0.4">
      <c r="A132" s="15" t="s">
        <v>82</v>
      </c>
      <c r="B132" s="5" t="s">
        <v>274</v>
      </c>
      <c r="C132" s="5">
        <v>429496</v>
      </c>
      <c r="D132" s="6"/>
      <c r="E132" s="5" t="s">
        <v>16</v>
      </c>
      <c r="F132" s="5" t="s">
        <v>69</v>
      </c>
      <c r="G132" s="5" t="s">
        <v>118</v>
      </c>
      <c r="H132" s="7" t="s">
        <v>7</v>
      </c>
      <c r="I132" s="7" t="s">
        <v>275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1</v>
      </c>
      <c r="AF132" s="7">
        <v>100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11">
        <v>100</v>
      </c>
      <c r="BN132" s="16">
        <f t="shared" si="4"/>
        <v>100</v>
      </c>
      <c r="BO132" s="16">
        <f t="shared" si="5"/>
        <v>70</v>
      </c>
    </row>
    <row r="133" spans="1:67" x14ac:dyDescent="0.4">
      <c r="A133" s="15" t="s">
        <v>82</v>
      </c>
      <c r="B133" s="5" t="s">
        <v>276</v>
      </c>
      <c r="C133" s="5">
        <v>471701</v>
      </c>
      <c r="D133" s="6"/>
      <c r="E133" s="5" t="s">
        <v>16</v>
      </c>
      <c r="F133" s="5" t="s">
        <v>99</v>
      </c>
      <c r="G133" s="5" t="s">
        <v>118</v>
      </c>
      <c r="H133" s="7" t="s">
        <v>10</v>
      </c>
      <c r="I133" s="7" t="s">
        <v>277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1</v>
      </c>
      <c r="AF133" s="7">
        <v>100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11">
        <v>100</v>
      </c>
      <c r="BN133" s="16">
        <f t="shared" si="4"/>
        <v>100</v>
      </c>
      <c r="BO133" s="16">
        <f t="shared" si="5"/>
        <v>70</v>
      </c>
    </row>
    <row r="134" spans="1:67" x14ac:dyDescent="0.4">
      <c r="A134" s="15" t="s">
        <v>82</v>
      </c>
      <c r="B134" s="5" t="s">
        <v>278</v>
      </c>
      <c r="C134" s="5">
        <v>382640</v>
      </c>
      <c r="D134" s="6"/>
      <c r="E134" s="5" t="s">
        <v>16</v>
      </c>
      <c r="F134" s="5" t="s">
        <v>279</v>
      </c>
      <c r="G134" s="5" t="s">
        <v>11</v>
      </c>
      <c r="H134" s="7" t="s">
        <v>7</v>
      </c>
      <c r="I134" s="7" t="s">
        <v>280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1</v>
      </c>
      <c r="AF134" s="7">
        <v>0</v>
      </c>
      <c r="AG134" s="7">
        <v>100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11">
        <v>100</v>
      </c>
      <c r="BN134" s="16">
        <f t="shared" si="4"/>
        <v>100</v>
      </c>
      <c r="BO134" s="16">
        <f t="shared" si="5"/>
        <v>70</v>
      </c>
    </row>
    <row r="135" spans="1:67" x14ac:dyDescent="0.4">
      <c r="A135" s="15" t="s">
        <v>82</v>
      </c>
      <c r="B135" s="5" t="s">
        <v>40</v>
      </c>
      <c r="C135" s="5">
        <v>457807</v>
      </c>
      <c r="D135" s="6"/>
      <c r="E135" s="5" t="s">
        <v>16</v>
      </c>
      <c r="F135" s="5" t="s">
        <v>41</v>
      </c>
      <c r="G135" s="5" t="s">
        <v>34</v>
      </c>
      <c r="H135" s="7" t="s">
        <v>8</v>
      </c>
      <c r="I135" s="7" t="s">
        <v>114</v>
      </c>
      <c r="J135" s="7">
        <v>0</v>
      </c>
      <c r="K135" s="7">
        <v>36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11">
        <v>0</v>
      </c>
      <c r="BN135" s="16">
        <f t="shared" si="4"/>
        <v>0</v>
      </c>
      <c r="BO135" s="16">
        <f t="shared" si="5"/>
        <v>0</v>
      </c>
    </row>
    <row r="136" spans="1:67" ht="19.2" x14ac:dyDescent="0.4">
      <c r="A136" s="15" t="s">
        <v>82</v>
      </c>
      <c r="B136" s="5" t="s">
        <v>29</v>
      </c>
      <c r="C136" s="5">
        <v>369220</v>
      </c>
      <c r="D136" s="6"/>
      <c r="E136" s="5" t="s">
        <v>16</v>
      </c>
      <c r="F136" s="5" t="s">
        <v>30</v>
      </c>
      <c r="G136" s="5" t="s">
        <v>11</v>
      </c>
      <c r="H136" s="7" t="s">
        <v>7</v>
      </c>
      <c r="I136" s="7" t="s">
        <v>31</v>
      </c>
      <c r="J136" s="7">
        <v>0</v>
      </c>
      <c r="K136" s="7">
        <v>1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11">
        <v>0</v>
      </c>
      <c r="BN136" s="16">
        <f t="shared" si="4"/>
        <v>0</v>
      </c>
      <c r="BO136" s="16">
        <f t="shared" si="5"/>
        <v>0</v>
      </c>
    </row>
    <row r="137" spans="1:67" x14ac:dyDescent="0.4">
      <c r="A137" s="1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7">
        <f>SUM(BM2:BM136)</f>
        <v>1829740</v>
      </c>
      <c r="BN137" s="16"/>
      <c r="BO137" s="18">
        <f>SUM(BO2:BO136)</f>
        <v>1263744.1599999999</v>
      </c>
    </row>
    <row r="138" spans="1:67" x14ac:dyDescent="0.4">
      <c r="A138" s="1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1"/>
      <c r="BN138" s="16"/>
      <c r="BO138" s="16"/>
    </row>
    <row r="139" spans="1:67" x14ac:dyDescent="0.4">
      <c r="A139" s="1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1"/>
      <c r="BN139" s="16"/>
      <c r="BO139" s="16"/>
    </row>
    <row r="140" spans="1:67" x14ac:dyDescent="0.4">
      <c r="A140" s="1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1"/>
      <c r="BN140" s="16"/>
      <c r="BO140" s="16"/>
    </row>
    <row r="141" spans="1:67" x14ac:dyDescent="0.4">
      <c r="A141" s="1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1"/>
      <c r="BN141" s="16"/>
      <c r="BO141" s="16"/>
    </row>
    <row r="142" spans="1:67" x14ac:dyDescent="0.4">
      <c r="A142" s="1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1"/>
      <c r="BN142" s="16"/>
      <c r="BO142" s="16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2022-09-02T06:09:00Z</dcterms:modified>
</cp:coreProperties>
</file>