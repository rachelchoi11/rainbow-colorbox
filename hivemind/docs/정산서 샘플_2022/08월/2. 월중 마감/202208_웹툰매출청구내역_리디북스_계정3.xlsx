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2. 월중 마감\"/>
    </mc:Choice>
  </mc:AlternateContent>
  <bookViews>
    <workbookView xWindow="0" yWindow="0" windowWidth="23040" windowHeight="8832"/>
  </bookViews>
  <sheets>
    <sheet name="합계(7)" sheetId="1" r:id="rId1"/>
    <sheet name="&lt;테두리는 주시하지 않는다&gt; MG차감내역" sheetId="2" r:id="rId2"/>
  </sheets>
  <calcPr calcId="152511"/>
</workbook>
</file>

<file path=xl/calcChain.xml><?xml version="1.0" encoding="utf-8"?>
<calcChain xmlns="http://schemas.openxmlformats.org/spreadsheetml/2006/main">
  <c r="AP1022" i="1" l="1"/>
  <c r="C9" i="2"/>
  <c r="D8" i="2"/>
  <c r="C8" i="2"/>
  <c r="D7" i="2"/>
  <c r="AP1021" i="1"/>
  <c r="AV1020" i="1"/>
  <c r="AT1020" i="1"/>
  <c r="I1020" i="1"/>
  <c r="H1020" i="1"/>
  <c r="E1020" i="1"/>
  <c r="D1020" i="1"/>
  <c r="C1020" i="1"/>
  <c r="AW1019" i="1"/>
  <c r="AV1019" i="1"/>
  <c r="AT1019" i="1"/>
  <c r="AR1019" i="1"/>
  <c r="I1019" i="1"/>
  <c r="H1019" i="1"/>
  <c r="G1019" i="1"/>
  <c r="E1019" i="1"/>
  <c r="D1019" i="1"/>
  <c r="C1019" i="1"/>
  <c r="AW1018" i="1"/>
  <c r="AV1018" i="1"/>
  <c r="AT1018" i="1"/>
  <c r="AR1018" i="1"/>
  <c r="I1018" i="1"/>
  <c r="H1018" i="1"/>
  <c r="G1018" i="1"/>
  <c r="E1018" i="1"/>
  <c r="D1018" i="1"/>
  <c r="C1018" i="1"/>
  <c r="AV1017" i="1"/>
  <c r="AT1017" i="1"/>
  <c r="AR1017" i="1"/>
  <c r="I1017" i="1"/>
  <c r="H1017" i="1"/>
  <c r="G1017" i="1"/>
  <c r="E1017" i="1"/>
  <c r="D1017" i="1"/>
  <c r="C1017" i="1"/>
  <c r="AV1016" i="1"/>
  <c r="AT1016" i="1"/>
  <c r="AR1016" i="1"/>
  <c r="I1016" i="1"/>
  <c r="H1016" i="1"/>
  <c r="G1016" i="1"/>
  <c r="E1016" i="1"/>
  <c r="D1016" i="1"/>
  <c r="C1016" i="1"/>
  <c r="AW1015" i="1"/>
  <c r="AV1015" i="1"/>
  <c r="AT1015" i="1"/>
  <c r="AR1015" i="1"/>
  <c r="I1015" i="1"/>
  <c r="H1015" i="1"/>
  <c r="G1015" i="1"/>
  <c r="E1015" i="1"/>
  <c r="D1015" i="1"/>
  <c r="C1015" i="1"/>
  <c r="AV1014" i="1"/>
  <c r="AT1014" i="1"/>
  <c r="AR1014" i="1"/>
  <c r="I1014" i="1"/>
  <c r="H1014" i="1"/>
  <c r="E1014" i="1"/>
  <c r="D1014" i="1"/>
  <c r="C1014" i="1"/>
  <c r="AW1013" i="1"/>
  <c r="AV1013" i="1"/>
  <c r="AT1013" i="1"/>
  <c r="AR1013" i="1"/>
  <c r="I1013" i="1"/>
  <c r="H1013" i="1"/>
  <c r="E1013" i="1"/>
  <c r="D1013" i="1"/>
  <c r="C1013" i="1"/>
  <c r="AV1012" i="1"/>
  <c r="AT1012" i="1"/>
  <c r="AR1012" i="1"/>
  <c r="I1012" i="1"/>
  <c r="H1012" i="1"/>
  <c r="E1012" i="1"/>
  <c r="D1012" i="1"/>
  <c r="C1012" i="1"/>
  <c r="AW1011" i="1"/>
  <c r="AV1011" i="1"/>
  <c r="AT1011" i="1"/>
  <c r="AR1011" i="1"/>
  <c r="I1011" i="1"/>
  <c r="H1011" i="1"/>
  <c r="G1011" i="1"/>
  <c r="E1011" i="1"/>
  <c r="D1011" i="1"/>
  <c r="C1011" i="1"/>
  <c r="AW1010" i="1"/>
  <c r="AV1010" i="1"/>
  <c r="AT1010" i="1"/>
  <c r="AR1010" i="1"/>
  <c r="I1010" i="1"/>
  <c r="H1010" i="1"/>
  <c r="E1010" i="1"/>
  <c r="D1010" i="1"/>
  <c r="C1010" i="1"/>
  <c r="AW1009" i="1"/>
  <c r="AV1009" i="1"/>
  <c r="AT1009" i="1"/>
  <c r="AR1009" i="1"/>
  <c r="I1009" i="1"/>
  <c r="H1009" i="1"/>
  <c r="G1009" i="1"/>
  <c r="E1009" i="1"/>
  <c r="D1009" i="1"/>
  <c r="C1009" i="1"/>
  <c r="AW1008" i="1"/>
  <c r="AV1008" i="1"/>
  <c r="AT1008" i="1"/>
  <c r="AR1008" i="1"/>
  <c r="I1008" i="1"/>
  <c r="H1008" i="1"/>
  <c r="G1008" i="1"/>
  <c r="E1008" i="1"/>
  <c r="D1008" i="1"/>
  <c r="C1008" i="1"/>
  <c r="AW1007" i="1"/>
  <c r="AV1007" i="1"/>
  <c r="AT1007" i="1"/>
  <c r="AR1007" i="1"/>
  <c r="I1007" i="1"/>
  <c r="H1007" i="1"/>
  <c r="G1007" i="1"/>
  <c r="E1007" i="1"/>
  <c r="D1007" i="1"/>
  <c r="C1007" i="1"/>
  <c r="AV1006" i="1"/>
  <c r="AT1006" i="1"/>
  <c r="AR1006" i="1"/>
  <c r="I1006" i="1"/>
  <c r="H1006" i="1"/>
  <c r="G1006" i="1"/>
  <c r="E1006" i="1"/>
  <c r="D1006" i="1"/>
  <c r="C1006" i="1"/>
  <c r="AW1005" i="1"/>
  <c r="AV1005" i="1"/>
  <c r="AT1005" i="1"/>
  <c r="AR1005" i="1"/>
  <c r="I1005" i="1"/>
  <c r="H1005" i="1"/>
  <c r="G1005" i="1"/>
  <c r="E1005" i="1"/>
  <c r="D1005" i="1"/>
  <c r="C1005" i="1"/>
  <c r="AW1004" i="1"/>
  <c r="AV1004" i="1"/>
  <c r="AT1004" i="1"/>
  <c r="AR1004" i="1"/>
  <c r="I1004" i="1"/>
  <c r="H1004" i="1"/>
  <c r="E1004" i="1"/>
  <c r="D1004" i="1"/>
  <c r="C1004" i="1"/>
  <c r="AW1003" i="1"/>
  <c r="AV1003" i="1"/>
  <c r="AT1003" i="1"/>
  <c r="AR1003" i="1"/>
  <c r="I1003" i="1"/>
  <c r="H1003" i="1"/>
  <c r="G1003" i="1"/>
  <c r="E1003" i="1"/>
  <c r="D1003" i="1"/>
  <c r="C1003" i="1"/>
  <c r="AV1002" i="1"/>
  <c r="AT1002" i="1"/>
  <c r="I1002" i="1"/>
  <c r="H1002" i="1"/>
  <c r="E1002" i="1"/>
  <c r="D1002" i="1"/>
  <c r="C1002" i="1"/>
  <c r="AV1001" i="1"/>
  <c r="AT1001" i="1"/>
  <c r="AR1001" i="1"/>
  <c r="I1001" i="1"/>
  <c r="H1001" i="1"/>
  <c r="G1001" i="1"/>
  <c r="E1001" i="1"/>
  <c r="D1001" i="1"/>
  <c r="C1001" i="1"/>
  <c r="AV1000" i="1"/>
  <c r="AT1000" i="1"/>
  <c r="AR1000" i="1"/>
  <c r="I1000" i="1"/>
  <c r="H1000" i="1"/>
  <c r="G1000" i="1"/>
  <c r="E1000" i="1"/>
  <c r="D1000" i="1"/>
  <c r="C1000" i="1"/>
  <c r="AW999" i="1"/>
  <c r="AV999" i="1"/>
  <c r="AT999" i="1"/>
  <c r="AR999" i="1"/>
  <c r="I999" i="1"/>
  <c r="H999" i="1"/>
  <c r="G999" i="1"/>
  <c r="E999" i="1"/>
  <c r="D999" i="1"/>
  <c r="C999" i="1"/>
  <c r="AV998" i="1"/>
  <c r="AT998" i="1"/>
  <c r="AR998" i="1"/>
  <c r="I998" i="1"/>
  <c r="H998" i="1"/>
  <c r="G998" i="1"/>
  <c r="E998" i="1"/>
  <c r="D998" i="1"/>
  <c r="C998" i="1"/>
  <c r="AW997" i="1"/>
  <c r="AV997" i="1"/>
  <c r="AT997" i="1"/>
  <c r="AR997" i="1"/>
  <c r="I997" i="1"/>
  <c r="H997" i="1"/>
  <c r="G997" i="1"/>
  <c r="E997" i="1"/>
  <c r="D997" i="1"/>
  <c r="C997" i="1"/>
  <c r="AW996" i="1"/>
  <c r="AV996" i="1"/>
  <c r="AT996" i="1"/>
  <c r="AR996" i="1"/>
  <c r="I996" i="1"/>
  <c r="H996" i="1"/>
  <c r="E996" i="1"/>
  <c r="D996" i="1"/>
  <c r="C996" i="1"/>
  <c r="AV995" i="1"/>
  <c r="AT995" i="1"/>
  <c r="AR995" i="1"/>
  <c r="I995" i="1"/>
  <c r="H995" i="1"/>
  <c r="G995" i="1"/>
  <c r="E995" i="1"/>
  <c r="D995" i="1"/>
  <c r="C995" i="1"/>
  <c r="AV994" i="1"/>
  <c r="AT994" i="1"/>
  <c r="AR994" i="1"/>
  <c r="I994" i="1"/>
  <c r="H994" i="1"/>
  <c r="G994" i="1"/>
  <c r="E994" i="1"/>
  <c r="D994" i="1"/>
  <c r="C994" i="1"/>
  <c r="AV993" i="1"/>
  <c r="AT993" i="1"/>
  <c r="AR993" i="1"/>
  <c r="I993" i="1"/>
  <c r="H993" i="1"/>
  <c r="G993" i="1"/>
  <c r="E993" i="1"/>
  <c r="D993" i="1"/>
  <c r="C993" i="1"/>
  <c r="AV992" i="1"/>
  <c r="AT992" i="1"/>
  <c r="AR992" i="1"/>
  <c r="I992" i="1"/>
  <c r="H992" i="1"/>
  <c r="E992" i="1"/>
  <c r="D992" i="1"/>
  <c r="C992" i="1"/>
  <c r="AW991" i="1"/>
  <c r="AV991" i="1"/>
  <c r="AT991" i="1"/>
  <c r="AR991" i="1"/>
  <c r="I991" i="1"/>
  <c r="H991" i="1"/>
  <c r="G991" i="1"/>
  <c r="E991" i="1"/>
  <c r="D991" i="1"/>
  <c r="C991" i="1"/>
  <c r="AW990" i="1"/>
  <c r="AV990" i="1"/>
  <c r="AT990" i="1"/>
  <c r="AR990" i="1"/>
  <c r="I990" i="1"/>
  <c r="H990" i="1"/>
  <c r="E990" i="1"/>
  <c r="D990" i="1"/>
  <c r="C990" i="1"/>
  <c r="AV989" i="1"/>
  <c r="AT989" i="1"/>
  <c r="AR989" i="1"/>
  <c r="I989" i="1"/>
  <c r="H989" i="1"/>
  <c r="E989" i="1"/>
  <c r="D989" i="1"/>
  <c r="C989" i="1"/>
  <c r="AV988" i="1"/>
  <c r="AT988" i="1"/>
  <c r="AR988" i="1"/>
  <c r="I988" i="1"/>
  <c r="H988" i="1"/>
  <c r="G988" i="1"/>
  <c r="E988" i="1"/>
  <c r="D988" i="1"/>
  <c r="C988" i="1"/>
  <c r="AW987" i="1"/>
  <c r="AV987" i="1"/>
  <c r="AT987" i="1"/>
  <c r="AR987" i="1"/>
  <c r="I987" i="1"/>
  <c r="H987" i="1"/>
  <c r="G987" i="1"/>
  <c r="E987" i="1"/>
  <c r="D987" i="1"/>
  <c r="C987" i="1"/>
  <c r="AV986" i="1"/>
  <c r="AT986" i="1"/>
  <c r="AR986" i="1"/>
  <c r="I986" i="1"/>
  <c r="H986" i="1"/>
  <c r="G986" i="1"/>
  <c r="E986" i="1"/>
  <c r="D986" i="1"/>
  <c r="C986" i="1"/>
  <c r="AV985" i="1"/>
  <c r="AT985" i="1"/>
  <c r="AR985" i="1"/>
  <c r="I985" i="1"/>
  <c r="H985" i="1"/>
  <c r="G985" i="1"/>
  <c r="E985" i="1"/>
  <c r="D985" i="1"/>
  <c r="C985" i="1"/>
  <c r="AW984" i="1"/>
  <c r="AV984" i="1"/>
  <c r="AT984" i="1"/>
  <c r="AR984" i="1"/>
  <c r="I984" i="1"/>
  <c r="H984" i="1"/>
  <c r="E984" i="1"/>
  <c r="D984" i="1"/>
  <c r="C984" i="1"/>
  <c r="AV983" i="1"/>
  <c r="AT983" i="1"/>
  <c r="AR983" i="1"/>
  <c r="I983" i="1"/>
  <c r="H983" i="1"/>
  <c r="G983" i="1"/>
  <c r="E983" i="1"/>
  <c r="D983" i="1"/>
  <c r="C983" i="1"/>
  <c r="AV982" i="1"/>
  <c r="AT982" i="1"/>
  <c r="AR982" i="1"/>
  <c r="I982" i="1"/>
  <c r="H982" i="1"/>
  <c r="G982" i="1"/>
  <c r="E982" i="1"/>
  <c r="D982" i="1"/>
  <c r="C982" i="1"/>
  <c r="AV981" i="1"/>
  <c r="AT981" i="1"/>
  <c r="AR981" i="1"/>
  <c r="I981" i="1"/>
  <c r="H981" i="1"/>
  <c r="G981" i="1"/>
  <c r="E981" i="1"/>
  <c r="D981" i="1"/>
  <c r="C981" i="1"/>
  <c r="AV980" i="1"/>
  <c r="AT980" i="1"/>
  <c r="AR980" i="1"/>
  <c r="I980" i="1"/>
  <c r="H980" i="1"/>
  <c r="E980" i="1"/>
  <c r="D980" i="1"/>
  <c r="C980" i="1"/>
  <c r="AW979" i="1"/>
  <c r="AV979" i="1"/>
  <c r="AT979" i="1"/>
  <c r="AR979" i="1"/>
  <c r="I979" i="1"/>
  <c r="H979" i="1"/>
  <c r="G979" i="1"/>
  <c r="E979" i="1"/>
  <c r="D979" i="1"/>
  <c r="C979" i="1"/>
  <c r="AW978" i="1"/>
  <c r="AV978" i="1"/>
  <c r="AT978" i="1"/>
  <c r="AR978" i="1"/>
  <c r="I978" i="1"/>
  <c r="H978" i="1"/>
  <c r="G978" i="1"/>
  <c r="E978" i="1"/>
  <c r="D978" i="1"/>
  <c r="C978" i="1"/>
  <c r="AW977" i="1"/>
  <c r="AV977" i="1"/>
  <c r="AT977" i="1"/>
  <c r="AR977" i="1"/>
  <c r="I977" i="1"/>
  <c r="H977" i="1"/>
  <c r="G977" i="1"/>
  <c r="E977" i="1"/>
  <c r="D977" i="1"/>
  <c r="C977" i="1"/>
  <c r="AV976" i="1"/>
  <c r="AT976" i="1"/>
  <c r="AR976" i="1"/>
  <c r="I976" i="1"/>
  <c r="H976" i="1"/>
  <c r="G976" i="1"/>
  <c r="E976" i="1"/>
  <c r="D976" i="1"/>
  <c r="C976" i="1"/>
  <c r="AW975" i="1"/>
  <c r="AV975" i="1"/>
  <c r="AT975" i="1"/>
  <c r="AR975" i="1"/>
  <c r="I975" i="1"/>
  <c r="H975" i="1"/>
  <c r="G975" i="1"/>
  <c r="E975" i="1"/>
  <c r="D975" i="1"/>
  <c r="C975" i="1"/>
  <c r="AW974" i="1"/>
  <c r="AV974" i="1"/>
  <c r="AT974" i="1"/>
  <c r="AR974" i="1"/>
  <c r="I974" i="1"/>
  <c r="H974" i="1"/>
  <c r="E974" i="1"/>
  <c r="D974" i="1"/>
  <c r="C974" i="1"/>
  <c r="AV973" i="1"/>
  <c r="AT973" i="1"/>
  <c r="AR973" i="1"/>
  <c r="I973" i="1"/>
  <c r="H973" i="1"/>
  <c r="E973" i="1"/>
  <c r="D973" i="1"/>
  <c r="C973" i="1"/>
  <c r="AW972" i="1"/>
  <c r="AV972" i="1"/>
  <c r="AT972" i="1"/>
  <c r="AR972" i="1"/>
  <c r="I972" i="1"/>
  <c r="H972" i="1"/>
  <c r="G972" i="1"/>
  <c r="E972" i="1"/>
  <c r="D972" i="1"/>
  <c r="C972" i="1"/>
  <c r="AW971" i="1"/>
  <c r="AV971" i="1"/>
  <c r="AT971" i="1"/>
  <c r="AR971" i="1"/>
  <c r="I971" i="1"/>
  <c r="H971" i="1"/>
  <c r="E971" i="1"/>
  <c r="D971" i="1"/>
  <c r="C971" i="1"/>
  <c r="AV970" i="1"/>
  <c r="AT970" i="1"/>
  <c r="AR970" i="1"/>
  <c r="I970" i="1"/>
  <c r="H970" i="1"/>
  <c r="G970" i="1"/>
  <c r="E970" i="1"/>
  <c r="D970" i="1"/>
  <c r="C970" i="1"/>
  <c r="AW969" i="1"/>
  <c r="AV969" i="1"/>
  <c r="AT969" i="1"/>
  <c r="AR969" i="1"/>
  <c r="I969" i="1"/>
  <c r="H969" i="1"/>
  <c r="G969" i="1"/>
  <c r="E969" i="1"/>
  <c r="D969" i="1"/>
  <c r="C969" i="1"/>
  <c r="AW968" i="1"/>
  <c r="AV968" i="1"/>
  <c r="AT968" i="1"/>
  <c r="AR968" i="1"/>
  <c r="I968" i="1"/>
  <c r="H968" i="1"/>
  <c r="G968" i="1"/>
  <c r="E968" i="1"/>
  <c r="D968" i="1"/>
  <c r="C968" i="1"/>
  <c r="AW967" i="1"/>
  <c r="AV967" i="1"/>
  <c r="AT967" i="1"/>
  <c r="AR967" i="1"/>
  <c r="I967" i="1"/>
  <c r="H967" i="1"/>
  <c r="G967" i="1"/>
  <c r="E967" i="1"/>
  <c r="D967" i="1"/>
  <c r="C967" i="1"/>
  <c r="AV966" i="1"/>
  <c r="AT966" i="1"/>
  <c r="AR966" i="1"/>
  <c r="I966" i="1"/>
  <c r="H966" i="1"/>
  <c r="G966" i="1"/>
  <c r="E966" i="1"/>
  <c r="D966" i="1"/>
  <c r="C966" i="1"/>
  <c r="AW965" i="1"/>
  <c r="AV965" i="1"/>
  <c r="AT965" i="1"/>
  <c r="AR965" i="1"/>
  <c r="I965" i="1"/>
  <c r="H965" i="1"/>
  <c r="G965" i="1"/>
  <c r="E965" i="1"/>
  <c r="D965" i="1"/>
  <c r="C965" i="1"/>
  <c r="AW964" i="1"/>
  <c r="AV964" i="1"/>
  <c r="AT964" i="1"/>
  <c r="AR964" i="1"/>
  <c r="I964" i="1"/>
  <c r="H964" i="1"/>
  <c r="G964" i="1"/>
  <c r="E964" i="1"/>
  <c r="D964" i="1"/>
  <c r="C964" i="1"/>
  <c r="AV963" i="1"/>
  <c r="AT963" i="1"/>
  <c r="AR963" i="1"/>
  <c r="I963" i="1"/>
  <c r="H963" i="1"/>
  <c r="G963" i="1"/>
  <c r="E963" i="1"/>
  <c r="D963" i="1"/>
  <c r="C963" i="1"/>
  <c r="AW962" i="1"/>
  <c r="AV962" i="1"/>
  <c r="AT962" i="1"/>
  <c r="AR962" i="1"/>
  <c r="I962" i="1"/>
  <c r="H962" i="1"/>
  <c r="G962" i="1"/>
  <c r="E962" i="1"/>
  <c r="D962" i="1"/>
  <c r="C962" i="1"/>
  <c r="AV961" i="1"/>
  <c r="AT961" i="1"/>
  <c r="AR961" i="1"/>
  <c r="I961" i="1"/>
  <c r="H961" i="1"/>
  <c r="G961" i="1"/>
  <c r="E961" i="1"/>
  <c r="D961" i="1"/>
  <c r="C961" i="1"/>
  <c r="AV960" i="1"/>
  <c r="AT960" i="1"/>
  <c r="I960" i="1"/>
  <c r="H960" i="1"/>
  <c r="G960" i="1"/>
  <c r="E960" i="1"/>
  <c r="D960" i="1"/>
  <c r="C960" i="1"/>
  <c r="AW959" i="1"/>
  <c r="AV959" i="1"/>
  <c r="AT959" i="1"/>
  <c r="AR959" i="1"/>
  <c r="I959" i="1"/>
  <c r="H959" i="1"/>
  <c r="E959" i="1"/>
  <c r="D959" i="1"/>
  <c r="C959" i="1"/>
  <c r="AV958" i="1"/>
  <c r="AT958" i="1"/>
  <c r="AR958" i="1"/>
  <c r="I958" i="1"/>
  <c r="H958" i="1"/>
  <c r="E958" i="1"/>
  <c r="D958" i="1"/>
  <c r="C958" i="1"/>
  <c r="AW957" i="1"/>
  <c r="AV957" i="1"/>
  <c r="AT957" i="1"/>
  <c r="AR957" i="1"/>
  <c r="I957" i="1"/>
  <c r="H957" i="1"/>
  <c r="G957" i="1"/>
  <c r="E957" i="1"/>
  <c r="D957" i="1"/>
  <c r="C957" i="1"/>
  <c r="AV956" i="1"/>
  <c r="AT956" i="1"/>
  <c r="AR956" i="1"/>
  <c r="I956" i="1"/>
  <c r="H956" i="1"/>
  <c r="G956" i="1"/>
  <c r="E956" i="1"/>
  <c r="D956" i="1"/>
  <c r="C956" i="1"/>
  <c r="AW955" i="1"/>
  <c r="AV955" i="1"/>
  <c r="AT955" i="1"/>
  <c r="AR955" i="1"/>
  <c r="I955" i="1"/>
  <c r="H955" i="1"/>
  <c r="G955" i="1"/>
  <c r="E955" i="1"/>
  <c r="D955" i="1"/>
  <c r="C955" i="1"/>
  <c r="AW954" i="1"/>
  <c r="AV954" i="1"/>
  <c r="AT954" i="1"/>
  <c r="AR954" i="1"/>
  <c r="I954" i="1"/>
  <c r="H954" i="1"/>
  <c r="G954" i="1"/>
  <c r="E954" i="1"/>
  <c r="D954" i="1"/>
  <c r="C954" i="1"/>
  <c r="AW953" i="1"/>
  <c r="AV953" i="1"/>
  <c r="AT953" i="1"/>
  <c r="AR953" i="1"/>
  <c r="I953" i="1"/>
  <c r="H953" i="1"/>
  <c r="G953" i="1"/>
  <c r="E953" i="1"/>
  <c r="D953" i="1"/>
  <c r="C953" i="1"/>
  <c r="AW952" i="1"/>
  <c r="AV952" i="1"/>
  <c r="AT952" i="1"/>
  <c r="AR952" i="1"/>
  <c r="I952" i="1"/>
  <c r="H952" i="1"/>
  <c r="G952" i="1"/>
  <c r="E952" i="1"/>
  <c r="D952" i="1"/>
  <c r="C952" i="1"/>
  <c r="AW951" i="1"/>
  <c r="AV951" i="1"/>
  <c r="AT951" i="1"/>
  <c r="AR951" i="1"/>
  <c r="I951" i="1"/>
  <c r="H951" i="1"/>
  <c r="G951" i="1"/>
  <c r="E951" i="1"/>
  <c r="D951" i="1"/>
  <c r="C951" i="1"/>
  <c r="AW950" i="1"/>
  <c r="AV950" i="1"/>
  <c r="AT950" i="1"/>
  <c r="AR950" i="1"/>
  <c r="I950" i="1"/>
  <c r="H950" i="1"/>
  <c r="E950" i="1"/>
  <c r="D950" i="1"/>
  <c r="C950" i="1"/>
  <c r="AV949" i="1"/>
  <c r="AT949" i="1"/>
  <c r="I949" i="1"/>
  <c r="H949" i="1"/>
  <c r="E949" i="1"/>
  <c r="D949" i="1"/>
  <c r="C949" i="1"/>
  <c r="AW948" i="1"/>
  <c r="AV948" i="1"/>
  <c r="AT948" i="1"/>
  <c r="AR948" i="1"/>
  <c r="I948" i="1"/>
  <c r="H948" i="1"/>
  <c r="E948" i="1"/>
  <c r="D948" i="1"/>
  <c r="C948" i="1"/>
  <c r="AV947" i="1"/>
  <c r="AT947" i="1"/>
  <c r="AR947" i="1"/>
  <c r="I947" i="1"/>
  <c r="H947" i="1"/>
  <c r="G947" i="1"/>
  <c r="E947" i="1"/>
  <c r="D947" i="1"/>
  <c r="C947" i="1"/>
  <c r="AW946" i="1"/>
  <c r="AV946" i="1"/>
  <c r="AT946" i="1"/>
  <c r="AR946" i="1"/>
  <c r="I946" i="1"/>
  <c r="H946" i="1"/>
  <c r="G946" i="1"/>
  <c r="E946" i="1"/>
  <c r="D946" i="1"/>
  <c r="C946" i="1"/>
  <c r="AW945" i="1"/>
  <c r="AV945" i="1"/>
  <c r="AT945" i="1"/>
  <c r="AR945" i="1"/>
  <c r="I945" i="1"/>
  <c r="H945" i="1"/>
  <c r="G945" i="1"/>
  <c r="E945" i="1"/>
  <c r="D945" i="1"/>
  <c r="C945" i="1"/>
  <c r="AV944" i="1"/>
  <c r="AT944" i="1"/>
  <c r="AR944" i="1"/>
  <c r="I944" i="1"/>
  <c r="H944" i="1"/>
  <c r="G944" i="1"/>
  <c r="E944" i="1"/>
  <c r="D944" i="1"/>
  <c r="C944" i="1"/>
  <c r="AW943" i="1"/>
  <c r="AV943" i="1"/>
  <c r="AT943" i="1"/>
  <c r="AR943" i="1"/>
  <c r="I943" i="1"/>
  <c r="H943" i="1"/>
  <c r="G943" i="1"/>
  <c r="E943" i="1"/>
  <c r="D943" i="1"/>
  <c r="C943" i="1"/>
  <c r="AV942" i="1"/>
  <c r="AT942" i="1"/>
  <c r="AR942" i="1"/>
  <c r="I942" i="1"/>
  <c r="H942" i="1"/>
  <c r="G942" i="1"/>
  <c r="E942" i="1"/>
  <c r="D942" i="1"/>
  <c r="C942" i="1"/>
  <c r="AW941" i="1"/>
  <c r="AV941" i="1"/>
  <c r="AT941" i="1"/>
  <c r="AR941" i="1"/>
  <c r="I941" i="1"/>
  <c r="H941" i="1"/>
  <c r="G941" i="1"/>
  <c r="E941" i="1"/>
  <c r="D941" i="1"/>
  <c r="C941" i="1"/>
  <c r="AV940" i="1"/>
  <c r="AT940" i="1"/>
  <c r="AR940" i="1"/>
  <c r="I940" i="1"/>
  <c r="H940" i="1"/>
  <c r="G940" i="1"/>
  <c r="E940" i="1"/>
  <c r="D940" i="1"/>
  <c r="C940" i="1"/>
  <c r="AV939" i="1"/>
  <c r="AT939" i="1"/>
  <c r="I939" i="1"/>
  <c r="H939" i="1"/>
  <c r="G939" i="1"/>
  <c r="E939" i="1"/>
  <c r="D939" i="1"/>
  <c r="C939" i="1"/>
  <c r="AV938" i="1"/>
  <c r="AT938" i="1"/>
  <c r="I938" i="1"/>
  <c r="H938" i="1"/>
  <c r="E938" i="1"/>
  <c r="D938" i="1"/>
  <c r="C938" i="1"/>
  <c r="AW937" i="1"/>
  <c r="AV937" i="1"/>
  <c r="AT937" i="1"/>
  <c r="AR937" i="1"/>
  <c r="I937" i="1"/>
  <c r="H937" i="1"/>
  <c r="G937" i="1"/>
  <c r="E937" i="1"/>
  <c r="D937" i="1"/>
  <c r="C937" i="1"/>
  <c r="AW936" i="1"/>
  <c r="AV936" i="1"/>
  <c r="AT936" i="1"/>
  <c r="AR936" i="1"/>
  <c r="I936" i="1"/>
  <c r="H936" i="1"/>
  <c r="E936" i="1"/>
  <c r="D936" i="1"/>
  <c r="C936" i="1"/>
  <c r="AV935" i="1"/>
  <c r="AT935" i="1"/>
  <c r="AR935" i="1"/>
  <c r="I935" i="1"/>
  <c r="H935" i="1"/>
  <c r="E935" i="1"/>
  <c r="D935" i="1"/>
  <c r="C935" i="1"/>
  <c r="AW934" i="1"/>
  <c r="AV934" i="1"/>
  <c r="AT934" i="1"/>
  <c r="AR934" i="1"/>
  <c r="I934" i="1"/>
  <c r="H934" i="1"/>
  <c r="G934" i="1"/>
  <c r="E934" i="1"/>
  <c r="D934" i="1"/>
  <c r="C934" i="1"/>
  <c r="AW933" i="1"/>
  <c r="AV933" i="1"/>
  <c r="AT933" i="1"/>
  <c r="AR933" i="1"/>
  <c r="I933" i="1"/>
  <c r="H933" i="1"/>
  <c r="E933" i="1"/>
  <c r="D933" i="1"/>
  <c r="C933" i="1"/>
  <c r="AV932" i="1"/>
  <c r="AT932" i="1"/>
  <c r="AR932" i="1"/>
  <c r="I932" i="1"/>
  <c r="H932" i="1"/>
  <c r="G932" i="1"/>
  <c r="E932" i="1"/>
  <c r="D932" i="1"/>
  <c r="C932" i="1"/>
  <c r="AV931" i="1"/>
  <c r="AT931" i="1"/>
  <c r="AR931" i="1"/>
  <c r="I931" i="1"/>
  <c r="H931" i="1"/>
  <c r="G931" i="1"/>
  <c r="E931" i="1"/>
  <c r="D931" i="1"/>
  <c r="C931" i="1"/>
  <c r="AW930" i="1"/>
  <c r="AV930" i="1"/>
  <c r="AT930" i="1"/>
  <c r="AR930" i="1"/>
  <c r="I930" i="1"/>
  <c r="H930" i="1"/>
  <c r="G930" i="1"/>
  <c r="E930" i="1"/>
  <c r="D930" i="1"/>
  <c r="C930" i="1"/>
  <c r="AW929" i="1"/>
  <c r="AV929" i="1"/>
  <c r="AT929" i="1"/>
  <c r="AR929" i="1"/>
  <c r="I929" i="1"/>
  <c r="H929" i="1"/>
  <c r="E929" i="1"/>
  <c r="D929" i="1"/>
  <c r="C929" i="1"/>
  <c r="AV928" i="1"/>
  <c r="AT928" i="1"/>
  <c r="I928" i="1"/>
  <c r="H928" i="1"/>
  <c r="G928" i="1"/>
  <c r="E928" i="1"/>
  <c r="D928" i="1"/>
  <c r="C928" i="1"/>
  <c r="AV927" i="1"/>
  <c r="AT927" i="1"/>
  <c r="AR927" i="1"/>
  <c r="I927" i="1"/>
  <c r="H927" i="1"/>
  <c r="E927" i="1"/>
  <c r="D927" i="1"/>
  <c r="C927" i="1"/>
  <c r="AW926" i="1"/>
  <c r="AV926" i="1"/>
  <c r="AT926" i="1"/>
  <c r="AR926" i="1"/>
  <c r="I926" i="1"/>
  <c r="H926" i="1"/>
  <c r="G926" i="1"/>
  <c r="E926" i="1"/>
  <c r="D926" i="1"/>
  <c r="C926" i="1"/>
  <c r="AW925" i="1"/>
  <c r="AV925" i="1"/>
  <c r="AT925" i="1"/>
  <c r="AR925" i="1"/>
  <c r="I925" i="1"/>
  <c r="H925" i="1"/>
  <c r="E925" i="1"/>
  <c r="D925" i="1"/>
  <c r="C925" i="1"/>
  <c r="AV924" i="1"/>
  <c r="AT924" i="1"/>
  <c r="AR924" i="1"/>
  <c r="I924" i="1"/>
  <c r="H924" i="1"/>
  <c r="G924" i="1"/>
  <c r="E924" i="1"/>
  <c r="D924" i="1"/>
  <c r="C924" i="1"/>
  <c r="AW923" i="1"/>
  <c r="AV923" i="1"/>
  <c r="AT923" i="1"/>
  <c r="AR923" i="1"/>
  <c r="I923" i="1"/>
  <c r="H923" i="1"/>
  <c r="G923" i="1"/>
  <c r="E923" i="1"/>
  <c r="D923" i="1"/>
  <c r="C923" i="1"/>
  <c r="AV922" i="1"/>
  <c r="AT922" i="1"/>
  <c r="AR922" i="1"/>
  <c r="I922" i="1"/>
  <c r="H922" i="1"/>
  <c r="G922" i="1"/>
  <c r="E922" i="1"/>
  <c r="D922" i="1"/>
  <c r="C922" i="1"/>
  <c r="AV921" i="1"/>
  <c r="AT921" i="1"/>
  <c r="I921" i="1"/>
  <c r="H921" i="1"/>
  <c r="G921" i="1"/>
  <c r="E921" i="1"/>
  <c r="D921" i="1"/>
  <c r="C921" i="1"/>
  <c r="AV920" i="1"/>
  <c r="AT920" i="1"/>
  <c r="I920" i="1"/>
  <c r="H920" i="1"/>
  <c r="E920" i="1"/>
  <c r="D920" i="1"/>
  <c r="C920" i="1"/>
  <c r="AV919" i="1"/>
  <c r="AT919" i="1"/>
  <c r="I919" i="1"/>
  <c r="H919" i="1"/>
  <c r="E919" i="1"/>
  <c r="D919" i="1"/>
  <c r="C919" i="1"/>
  <c r="AW918" i="1"/>
  <c r="AV918" i="1"/>
  <c r="AT918" i="1"/>
  <c r="AR918" i="1"/>
  <c r="I918" i="1"/>
  <c r="H918" i="1"/>
  <c r="G918" i="1"/>
  <c r="E918" i="1"/>
  <c r="D918" i="1"/>
  <c r="C918" i="1"/>
  <c r="AW917" i="1"/>
  <c r="AV917" i="1"/>
  <c r="AT917" i="1"/>
  <c r="AR917" i="1"/>
  <c r="I917" i="1"/>
  <c r="H917" i="1"/>
  <c r="G917" i="1"/>
  <c r="E917" i="1"/>
  <c r="D917" i="1"/>
  <c r="C917" i="1"/>
  <c r="AV916" i="1"/>
  <c r="AT916" i="1"/>
  <c r="AR916" i="1"/>
  <c r="I916" i="1"/>
  <c r="H916" i="1"/>
  <c r="G916" i="1"/>
  <c r="E916" i="1"/>
  <c r="D916" i="1"/>
  <c r="C916" i="1"/>
  <c r="AW915" i="1"/>
  <c r="AV915" i="1"/>
  <c r="AT915" i="1"/>
  <c r="AR915" i="1"/>
  <c r="I915" i="1"/>
  <c r="H915" i="1"/>
  <c r="G915" i="1"/>
  <c r="E915" i="1"/>
  <c r="D915" i="1"/>
  <c r="C915" i="1"/>
  <c r="AW914" i="1"/>
  <c r="AV914" i="1"/>
  <c r="AT914" i="1"/>
  <c r="AR914" i="1"/>
  <c r="I914" i="1"/>
  <c r="H914" i="1"/>
  <c r="G914" i="1"/>
  <c r="E914" i="1"/>
  <c r="D914" i="1"/>
  <c r="C914" i="1"/>
  <c r="AV913" i="1"/>
  <c r="AT913" i="1"/>
  <c r="AR913" i="1"/>
  <c r="I913" i="1"/>
  <c r="H913" i="1"/>
  <c r="E913" i="1"/>
  <c r="D913" i="1"/>
  <c r="C913" i="1"/>
  <c r="AV912" i="1"/>
  <c r="AT912" i="1"/>
  <c r="I912" i="1"/>
  <c r="H912" i="1"/>
  <c r="G912" i="1"/>
  <c r="E912" i="1"/>
  <c r="D912" i="1"/>
  <c r="C912" i="1"/>
  <c r="AW911" i="1"/>
  <c r="AV911" i="1"/>
  <c r="AT911" i="1"/>
  <c r="AR911" i="1"/>
  <c r="I911" i="1"/>
  <c r="H911" i="1"/>
  <c r="G911" i="1"/>
  <c r="E911" i="1"/>
  <c r="D911" i="1"/>
  <c r="C911" i="1"/>
  <c r="AW910" i="1"/>
  <c r="AV910" i="1"/>
  <c r="AT910" i="1"/>
  <c r="AR910" i="1"/>
  <c r="I910" i="1"/>
  <c r="H910" i="1"/>
  <c r="E910" i="1"/>
  <c r="D910" i="1"/>
  <c r="C910" i="1"/>
  <c r="AV909" i="1"/>
  <c r="AT909" i="1"/>
  <c r="AR909" i="1"/>
  <c r="I909" i="1"/>
  <c r="H909" i="1"/>
  <c r="G909" i="1"/>
  <c r="E909" i="1"/>
  <c r="D909" i="1"/>
  <c r="C909" i="1"/>
  <c r="AV908" i="1"/>
  <c r="AT908" i="1"/>
  <c r="AR908" i="1"/>
  <c r="I908" i="1"/>
  <c r="H908" i="1"/>
  <c r="G908" i="1"/>
  <c r="E908" i="1"/>
  <c r="D908" i="1"/>
  <c r="C908" i="1"/>
  <c r="AV907" i="1"/>
  <c r="AT907" i="1"/>
  <c r="AR907" i="1"/>
  <c r="I907" i="1"/>
  <c r="H907" i="1"/>
  <c r="G907" i="1"/>
  <c r="E907" i="1"/>
  <c r="D907" i="1"/>
  <c r="C907" i="1"/>
  <c r="AV906" i="1"/>
  <c r="AT906" i="1"/>
  <c r="I906" i="1"/>
  <c r="H906" i="1"/>
  <c r="G906" i="1"/>
  <c r="E906" i="1"/>
  <c r="D906" i="1"/>
  <c r="C906" i="1"/>
  <c r="AV905" i="1"/>
  <c r="AT905" i="1"/>
  <c r="I905" i="1"/>
  <c r="H905" i="1"/>
  <c r="E905" i="1"/>
  <c r="D905" i="1"/>
  <c r="C905" i="1"/>
  <c r="AW904" i="1"/>
  <c r="AV904" i="1"/>
  <c r="AT904" i="1"/>
  <c r="AR904" i="1"/>
  <c r="I904" i="1"/>
  <c r="H904" i="1"/>
  <c r="G904" i="1"/>
  <c r="E904" i="1"/>
  <c r="D904" i="1"/>
  <c r="C904" i="1"/>
  <c r="AV903" i="1"/>
  <c r="AT903" i="1"/>
  <c r="I903" i="1"/>
  <c r="H903" i="1"/>
  <c r="E903" i="1"/>
  <c r="D903" i="1"/>
  <c r="C903" i="1"/>
  <c r="AW902" i="1"/>
  <c r="AV902" i="1"/>
  <c r="AT902" i="1"/>
  <c r="AR902" i="1"/>
  <c r="I902" i="1"/>
  <c r="H902" i="1"/>
  <c r="G902" i="1"/>
  <c r="E902" i="1"/>
  <c r="D902" i="1"/>
  <c r="C902" i="1"/>
  <c r="AW901" i="1"/>
  <c r="AV901" i="1"/>
  <c r="AT901" i="1"/>
  <c r="AR901" i="1"/>
  <c r="I901" i="1"/>
  <c r="H901" i="1"/>
  <c r="G901" i="1"/>
  <c r="E901" i="1"/>
  <c r="D901" i="1"/>
  <c r="C901" i="1"/>
  <c r="AV900" i="1"/>
  <c r="AT900" i="1"/>
  <c r="AR900" i="1"/>
  <c r="I900" i="1"/>
  <c r="H900" i="1"/>
  <c r="G900" i="1"/>
  <c r="E900" i="1"/>
  <c r="D900" i="1"/>
  <c r="C900" i="1"/>
  <c r="AV899" i="1"/>
  <c r="AT899" i="1"/>
  <c r="AR899" i="1"/>
  <c r="I899" i="1"/>
  <c r="H899" i="1"/>
  <c r="G899" i="1"/>
  <c r="E899" i="1"/>
  <c r="D899" i="1"/>
  <c r="C899" i="1"/>
  <c r="AW898" i="1"/>
  <c r="AV898" i="1"/>
  <c r="AT898" i="1"/>
  <c r="AR898" i="1"/>
  <c r="I898" i="1"/>
  <c r="H898" i="1"/>
  <c r="G898" i="1"/>
  <c r="E898" i="1"/>
  <c r="D898" i="1"/>
  <c r="C898" i="1"/>
  <c r="AW897" i="1"/>
  <c r="AV897" i="1"/>
  <c r="AT897" i="1"/>
  <c r="AR897" i="1"/>
  <c r="I897" i="1"/>
  <c r="H897" i="1"/>
  <c r="G897" i="1"/>
  <c r="E897" i="1"/>
  <c r="D897" i="1"/>
  <c r="C897" i="1"/>
  <c r="AV896" i="1"/>
  <c r="AT896" i="1"/>
  <c r="AR896" i="1"/>
  <c r="I896" i="1"/>
  <c r="H896" i="1"/>
  <c r="E896" i="1"/>
  <c r="D896" i="1"/>
  <c r="C896" i="1"/>
  <c r="AW895" i="1"/>
  <c r="AV895" i="1"/>
  <c r="AT895" i="1"/>
  <c r="AR895" i="1"/>
  <c r="I895" i="1"/>
  <c r="H895" i="1"/>
  <c r="E895" i="1"/>
  <c r="D895" i="1"/>
  <c r="C895" i="1"/>
  <c r="AV894" i="1"/>
  <c r="AT894" i="1"/>
  <c r="AR894" i="1"/>
  <c r="I894" i="1"/>
  <c r="H894" i="1"/>
  <c r="E894" i="1"/>
  <c r="D894" i="1"/>
  <c r="C894" i="1"/>
  <c r="AW893" i="1"/>
  <c r="AV893" i="1"/>
  <c r="AT893" i="1"/>
  <c r="AR893" i="1"/>
  <c r="I893" i="1"/>
  <c r="H893" i="1"/>
  <c r="G893" i="1"/>
  <c r="E893" i="1"/>
  <c r="D893" i="1"/>
  <c r="C893" i="1"/>
  <c r="AW892" i="1"/>
  <c r="AV892" i="1"/>
  <c r="AT892" i="1"/>
  <c r="AR892" i="1"/>
  <c r="I892" i="1"/>
  <c r="H892" i="1"/>
  <c r="E892" i="1"/>
  <c r="D892" i="1"/>
  <c r="C892" i="1"/>
  <c r="AW891" i="1"/>
  <c r="AV891" i="1"/>
  <c r="AT891" i="1"/>
  <c r="AR891" i="1"/>
  <c r="I891" i="1"/>
  <c r="H891" i="1"/>
  <c r="G891" i="1"/>
  <c r="E891" i="1"/>
  <c r="D891" i="1"/>
  <c r="C891" i="1"/>
  <c r="AW890" i="1"/>
  <c r="AV890" i="1"/>
  <c r="AT890" i="1"/>
  <c r="AR890" i="1"/>
  <c r="I890" i="1"/>
  <c r="H890" i="1"/>
  <c r="G890" i="1"/>
  <c r="E890" i="1"/>
  <c r="D890" i="1"/>
  <c r="C890" i="1"/>
  <c r="AW889" i="1"/>
  <c r="AV889" i="1"/>
  <c r="AT889" i="1"/>
  <c r="AR889" i="1"/>
  <c r="I889" i="1"/>
  <c r="H889" i="1"/>
  <c r="G889" i="1"/>
  <c r="E889" i="1"/>
  <c r="D889" i="1"/>
  <c r="C889" i="1"/>
  <c r="AV888" i="1"/>
  <c r="AT888" i="1"/>
  <c r="AR888" i="1"/>
  <c r="I888" i="1"/>
  <c r="H888" i="1"/>
  <c r="G888" i="1"/>
  <c r="E888" i="1"/>
  <c r="D888" i="1"/>
  <c r="C888" i="1"/>
  <c r="AW887" i="1"/>
  <c r="AV887" i="1"/>
  <c r="AT887" i="1"/>
  <c r="AR887" i="1"/>
  <c r="I887" i="1"/>
  <c r="H887" i="1"/>
  <c r="G887" i="1"/>
  <c r="E887" i="1"/>
  <c r="D887" i="1"/>
  <c r="C887" i="1"/>
  <c r="AW886" i="1"/>
  <c r="AV886" i="1"/>
  <c r="AT886" i="1"/>
  <c r="AR886" i="1"/>
  <c r="I886" i="1"/>
  <c r="H886" i="1"/>
  <c r="E886" i="1"/>
  <c r="D886" i="1"/>
  <c r="C886" i="1"/>
  <c r="AW885" i="1"/>
  <c r="AV885" i="1"/>
  <c r="AT885" i="1"/>
  <c r="AR885" i="1"/>
  <c r="I885" i="1"/>
  <c r="H885" i="1"/>
  <c r="G885" i="1"/>
  <c r="E885" i="1"/>
  <c r="D885" i="1"/>
  <c r="C885" i="1"/>
  <c r="AV884" i="1"/>
  <c r="AT884" i="1"/>
  <c r="I884" i="1"/>
  <c r="H884" i="1"/>
  <c r="E884" i="1"/>
  <c r="D884" i="1"/>
  <c r="C884" i="1"/>
  <c r="AV883" i="1"/>
  <c r="AT883" i="1"/>
  <c r="AR883" i="1"/>
  <c r="I883" i="1"/>
  <c r="H883" i="1"/>
  <c r="G883" i="1"/>
  <c r="E883" i="1"/>
  <c r="D883" i="1"/>
  <c r="C883" i="1"/>
  <c r="AV882" i="1"/>
  <c r="AT882" i="1"/>
  <c r="AR882" i="1"/>
  <c r="I882" i="1"/>
  <c r="H882" i="1"/>
  <c r="G882" i="1"/>
  <c r="E882" i="1"/>
  <c r="D882" i="1"/>
  <c r="C882" i="1"/>
  <c r="AW881" i="1"/>
  <c r="AV881" i="1"/>
  <c r="AT881" i="1"/>
  <c r="AR881" i="1"/>
  <c r="I881" i="1"/>
  <c r="H881" i="1"/>
  <c r="G881" i="1"/>
  <c r="E881" i="1"/>
  <c r="D881" i="1"/>
  <c r="C881" i="1"/>
  <c r="AW880" i="1"/>
  <c r="AV880" i="1"/>
  <c r="AT880" i="1"/>
  <c r="AR880" i="1"/>
  <c r="I880" i="1"/>
  <c r="H880" i="1"/>
  <c r="E880" i="1"/>
  <c r="D880" i="1"/>
  <c r="C880" i="1"/>
  <c r="AV879" i="1"/>
  <c r="AT879" i="1"/>
  <c r="AR879" i="1"/>
  <c r="I879" i="1"/>
  <c r="H879" i="1"/>
  <c r="E879" i="1"/>
  <c r="D879" i="1"/>
  <c r="C879" i="1"/>
  <c r="AW878" i="1"/>
  <c r="AV878" i="1"/>
  <c r="AT878" i="1"/>
  <c r="AR878" i="1"/>
  <c r="I878" i="1"/>
  <c r="H878" i="1"/>
  <c r="G878" i="1"/>
  <c r="E878" i="1"/>
  <c r="D878" i="1"/>
  <c r="C878" i="1"/>
  <c r="AW877" i="1"/>
  <c r="AV877" i="1"/>
  <c r="AT877" i="1"/>
  <c r="AR877" i="1"/>
  <c r="I877" i="1"/>
  <c r="H877" i="1"/>
  <c r="E877" i="1"/>
  <c r="D877" i="1"/>
  <c r="C877" i="1"/>
  <c r="AW876" i="1"/>
  <c r="AV876" i="1"/>
  <c r="AT876" i="1"/>
  <c r="AR876" i="1"/>
  <c r="I876" i="1"/>
  <c r="H876" i="1"/>
  <c r="G876" i="1"/>
  <c r="E876" i="1"/>
  <c r="D876" i="1"/>
  <c r="C876" i="1"/>
  <c r="AW875" i="1"/>
  <c r="AV875" i="1"/>
  <c r="AT875" i="1"/>
  <c r="AR875" i="1"/>
  <c r="I875" i="1"/>
  <c r="H875" i="1"/>
  <c r="G875" i="1"/>
  <c r="E875" i="1"/>
  <c r="D875" i="1"/>
  <c r="C875" i="1"/>
  <c r="AV874" i="1"/>
  <c r="AT874" i="1"/>
  <c r="AR874" i="1"/>
  <c r="I874" i="1"/>
  <c r="H874" i="1"/>
  <c r="G874" i="1"/>
  <c r="E874" i="1"/>
  <c r="D874" i="1"/>
  <c r="C874" i="1"/>
  <c r="AV873" i="1"/>
  <c r="AT873" i="1"/>
  <c r="AR873" i="1"/>
  <c r="I873" i="1"/>
  <c r="H873" i="1"/>
  <c r="G873" i="1"/>
  <c r="E873" i="1"/>
  <c r="D873" i="1"/>
  <c r="C873" i="1"/>
  <c r="AW872" i="1"/>
  <c r="AV872" i="1"/>
  <c r="AT872" i="1"/>
  <c r="AR872" i="1"/>
  <c r="I872" i="1"/>
  <c r="H872" i="1"/>
  <c r="G872" i="1"/>
  <c r="E872" i="1"/>
  <c r="D872" i="1"/>
  <c r="C872" i="1"/>
  <c r="AW871" i="1"/>
  <c r="AV871" i="1"/>
  <c r="AT871" i="1"/>
  <c r="AR871" i="1"/>
  <c r="I871" i="1"/>
  <c r="H871" i="1"/>
  <c r="E871" i="1"/>
  <c r="D871" i="1"/>
  <c r="C871" i="1"/>
  <c r="AV870" i="1"/>
  <c r="AT870" i="1"/>
  <c r="I870" i="1"/>
  <c r="H870" i="1"/>
  <c r="E870" i="1"/>
  <c r="D870" i="1"/>
  <c r="C870" i="1"/>
  <c r="AV869" i="1"/>
  <c r="AT869" i="1"/>
  <c r="AR869" i="1"/>
  <c r="I869" i="1"/>
  <c r="H869" i="1"/>
  <c r="G869" i="1"/>
  <c r="E869" i="1"/>
  <c r="D869" i="1"/>
  <c r="C869" i="1"/>
  <c r="AV868" i="1"/>
  <c r="AT868" i="1"/>
  <c r="I868" i="1"/>
  <c r="H868" i="1"/>
  <c r="G868" i="1"/>
  <c r="E868" i="1"/>
  <c r="D868" i="1"/>
  <c r="C868" i="1"/>
  <c r="AW867" i="1"/>
  <c r="AV867" i="1"/>
  <c r="AT867" i="1"/>
  <c r="AR867" i="1"/>
  <c r="I867" i="1"/>
  <c r="H867" i="1"/>
  <c r="G867" i="1"/>
  <c r="E867" i="1"/>
  <c r="D867" i="1"/>
  <c r="C867" i="1"/>
  <c r="AV866" i="1"/>
  <c r="AT866" i="1"/>
  <c r="AR866" i="1"/>
  <c r="I866" i="1"/>
  <c r="H866" i="1"/>
  <c r="G866" i="1"/>
  <c r="E866" i="1"/>
  <c r="D866" i="1"/>
  <c r="C866" i="1"/>
  <c r="AW865" i="1"/>
  <c r="AV865" i="1"/>
  <c r="AT865" i="1"/>
  <c r="AR865" i="1"/>
  <c r="I865" i="1"/>
  <c r="H865" i="1"/>
  <c r="G865" i="1"/>
  <c r="E865" i="1"/>
  <c r="D865" i="1"/>
  <c r="C865" i="1"/>
  <c r="AW864" i="1"/>
  <c r="AV864" i="1"/>
  <c r="AT864" i="1"/>
  <c r="AR864" i="1"/>
  <c r="I864" i="1"/>
  <c r="H864" i="1"/>
  <c r="E864" i="1"/>
  <c r="D864" i="1"/>
  <c r="C864" i="1"/>
  <c r="AV863" i="1"/>
  <c r="AT863" i="1"/>
  <c r="AR863" i="1"/>
  <c r="I863" i="1"/>
  <c r="H863" i="1"/>
  <c r="G863" i="1"/>
  <c r="E863" i="1"/>
  <c r="D863" i="1"/>
  <c r="C863" i="1"/>
  <c r="AV862" i="1"/>
  <c r="AT862" i="1"/>
  <c r="AR862" i="1"/>
  <c r="I862" i="1"/>
  <c r="H862" i="1"/>
  <c r="G862" i="1"/>
  <c r="E862" i="1"/>
  <c r="D862" i="1"/>
  <c r="C862" i="1"/>
  <c r="AV861" i="1"/>
  <c r="AT861" i="1"/>
  <c r="AR861" i="1"/>
  <c r="I861" i="1"/>
  <c r="H861" i="1"/>
  <c r="G861" i="1"/>
  <c r="E861" i="1"/>
  <c r="D861" i="1"/>
  <c r="C861" i="1"/>
  <c r="AV860" i="1"/>
  <c r="AT860" i="1"/>
  <c r="AR860" i="1"/>
  <c r="I860" i="1"/>
  <c r="H860" i="1"/>
  <c r="E860" i="1"/>
  <c r="D860" i="1"/>
  <c r="C860" i="1"/>
  <c r="AW859" i="1"/>
  <c r="AV859" i="1"/>
  <c r="AT859" i="1"/>
  <c r="AR859" i="1"/>
  <c r="I859" i="1"/>
  <c r="H859" i="1"/>
  <c r="G859" i="1"/>
  <c r="E859" i="1"/>
  <c r="D859" i="1"/>
  <c r="C859" i="1"/>
  <c r="AW858" i="1"/>
  <c r="AV858" i="1"/>
  <c r="AT858" i="1"/>
  <c r="AR858" i="1"/>
  <c r="I858" i="1"/>
  <c r="H858" i="1"/>
  <c r="G858" i="1"/>
  <c r="E858" i="1"/>
  <c r="D858" i="1"/>
  <c r="C858" i="1"/>
  <c r="AV857" i="1"/>
  <c r="AT857" i="1"/>
  <c r="AR857" i="1"/>
  <c r="I857" i="1"/>
  <c r="H857" i="1"/>
  <c r="G857" i="1"/>
  <c r="E857" i="1"/>
  <c r="D857" i="1"/>
  <c r="C857" i="1"/>
  <c r="AW856" i="1"/>
  <c r="AV856" i="1"/>
  <c r="AT856" i="1"/>
  <c r="AR856" i="1"/>
  <c r="I856" i="1"/>
  <c r="H856" i="1"/>
  <c r="G856" i="1"/>
  <c r="E856" i="1"/>
  <c r="D856" i="1"/>
  <c r="C856" i="1"/>
  <c r="AW855" i="1"/>
  <c r="AV855" i="1"/>
  <c r="AT855" i="1"/>
  <c r="AR855" i="1"/>
  <c r="I855" i="1"/>
  <c r="H855" i="1"/>
  <c r="G855" i="1"/>
  <c r="E855" i="1"/>
  <c r="D855" i="1"/>
  <c r="C855" i="1"/>
  <c r="AV854" i="1"/>
  <c r="AT854" i="1"/>
  <c r="AR854" i="1"/>
  <c r="I854" i="1"/>
  <c r="H854" i="1"/>
  <c r="G854" i="1"/>
  <c r="E854" i="1"/>
  <c r="D854" i="1"/>
  <c r="C854" i="1"/>
  <c r="AW853" i="1"/>
  <c r="AV853" i="1"/>
  <c r="AT853" i="1"/>
  <c r="AR853" i="1"/>
  <c r="I853" i="1"/>
  <c r="H853" i="1"/>
  <c r="G853" i="1"/>
  <c r="E853" i="1"/>
  <c r="D853" i="1"/>
  <c r="C853" i="1"/>
  <c r="AV852" i="1"/>
  <c r="AT852" i="1"/>
  <c r="AR852" i="1"/>
  <c r="I852" i="1"/>
  <c r="H852" i="1"/>
  <c r="G852" i="1"/>
  <c r="E852" i="1"/>
  <c r="D852" i="1"/>
  <c r="C852" i="1"/>
  <c r="AW851" i="1"/>
  <c r="AV851" i="1"/>
  <c r="AT851" i="1"/>
  <c r="AR851" i="1"/>
  <c r="I851" i="1"/>
  <c r="H851" i="1"/>
  <c r="G851" i="1"/>
  <c r="E851" i="1"/>
  <c r="D851" i="1"/>
  <c r="C851" i="1"/>
  <c r="AV850" i="1"/>
  <c r="AT850" i="1"/>
  <c r="AR850" i="1"/>
  <c r="I850" i="1"/>
  <c r="H850" i="1"/>
  <c r="G850" i="1"/>
  <c r="E850" i="1"/>
  <c r="D850" i="1"/>
  <c r="C850" i="1"/>
  <c r="AV849" i="1"/>
  <c r="AT849" i="1"/>
  <c r="I849" i="1"/>
  <c r="H849" i="1"/>
  <c r="G849" i="1"/>
  <c r="E849" i="1"/>
  <c r="D849" i="1"/>
  <c r="C849" i="1"/>
  <c r="AV848" i="1"/>
  <c r="AT848" i="1"/>
  <c r="AR848" i="1"/>
  <c r="I848" i="1"/>
  <c r="H848" i="1"/>
  <c r="E848" i="1"/>
  <c r="D848" i="1"/>
  <c r="C848" i="1"/>
  <c r="AW847" i="1"/>
  <c r="AV847" i="1"/>
  <c r="AT847" i="1"/>
  <c r="AR847" i="1"/>
  <c r="I847" i="1"/>
  <c r="H847" i="1"/>
  <c r="G847" i="1"/>
  <c r="E847" i="1"/>
  <c r="D847" i="1"/>
  <c r="C847" i="1"/>
  <c r="AV846" i="1"/>
  <c r="AT846" i="1"/>
  <c r="AR846" i="1"/>
  <c r="I846" i="1"/>
  <c r="H846" i="1"/>
  <c r="G846" i="1"/>
  <c r="E846" i="1"/>
  <c r="D846" i="1"/>
  <c r="C846" i="1"/>
  <c r="AV845" i="1"/>
  <c r="AT845" i="1"/>
  <c r="AR845" i="1"/>
  <c r="I845" i="1"/>
  <c r="H845" i="1"/>
  <c r="G845" i="1"/>
  <c r="E845" i="1"/>
  <c r="D845" i="1"/>
  <c r="C845" i="1"/>
  <c r="AV844" i="1"/>
  <c r="AT844" i="1"/>
  <c r="AR844" i="1"/>
  <c r="I844" i="1"/>
  <c r="H844" i="1"/>
  <c r="G844" i="1"/>
  <c r="E844" i="1"/>
  <c r="D844" i="1"/>
  <c r="C844" i="1"/>
  <c r="AW843" i="1"/>
  <c r="AV843" i="1"/>
  <c r="AT843" i="1"/>
  <c r="AR843" i="1"/>
  <c r="I843" i="1"/>
  <c r="H843" i="1"/>
  <c r="E843" i="1"/>
  <c r="D843" i="1"/>
  <c r="C843" i="1"/>
  <c r="AV842" i="1"/>
  <c r="AT842" i="1"/>
  <c r="AR842" i="1"/>
  <c r="I842" i="1"/>
  <c r="H842" i="1"/>
  <c r="E842" i="1"/>
  <c r="D842" i="1"/>
  <c r="C842" i="1"/>
  <c r="AW841" i="1"/>
  <c r="AV841" i="1"/>
  <c r="AT841" i="1"/>
  <c r="AR841" i="1"/>
  <c r="I841" i="1"/>
  <c r="H841" i="1"/>
  <c r="G841" i="1"/>
  <c r="E841" i="1"/>
  <c r="D841" i="1"/>
  <c r="C841" i="1"/>
  <c r="AW840" i="1"/>
  <c r="AV840" i="1"/>
  <c r="AT840" i="1"/>
  <c r="AR840" i="1"/>
  <c r="I840" i="1"/>
  <c r="H840" i="1"/>
  <c r="E840" i="1"/>
  <c r="D840" i="1"/>
  <c r="C840" i="1"/>
  <c r="AW839" i="1"/>
  <c r="AV839" i="1"/>
  <c r="AT839" i="1"/>
  <c r="AR839" i="1"/>
  <c r="I839" i="1"/>
  <c r="H839" i="1"/>
  <c r="G839" i="1"/>
  <c r="E839" i="1"/>
  <c r="D839" i="1"/>
  <c r="C839" i="1"/>
  <c r="AW838" i="1"/>
  <c r="AV838" i="1"/>
  <c r="AT838" i="1"/>
  <c r="AR838" i="1"/>
  <c r="I838" i="1"/>
  <c r="H838" i="1"/>
  <c r="G838" i="1"/>
  <c r="E838" i="1"/>
  <c r="D838" i="1"/>
  <c r="C838" i="1"/>
  <c r="AW837" i="1"/>
  <c r="AV837" i="1"/>
  <c r="AT837" i="1"/>
  <c r="AR837" i="1"/>
  <c r="I837" i="1"/>
  <c r="H837" i="1"/>
  <c r="G837" i="1"/>
  <c r="E837" i="1"/>
  <c r="D837" i="1"/>
  <c r="C837" i="1"/>
  <c r="AW836" i="1"/>
  <c r="AV836" i="1"/>
  <c r="AT836" i="1"/>
  <c r="AR836" i="1"/>
  <c r="I836" i="1"/>
  <c r="H836" i="1"/>
  <c r="E836" i="1"/>
  <c r="D836" i="1"/>
  <c r="C836" i="1"/>
  <c r="AV835" i="1"/>
  <c r="AT835" i="1"/>
  <c r="AR835" i="1"/>
  <c r="I835" i="1"/>
  <c r="H835" i="1"/>
  <c r="E835" i="1"/>
  <c r="D835" i="1"/>
  <c r="C835" i="1"/>
  <c r="AW834" i="1"/>
  <c r="AV834" i="1"/>
  <c r="AT834" i="1"/>
  <c r="AR834" i="1"/>
  <c r="I834" i="1"/>
  <c r="H834" i="1"/>
  <c r="E834" i="1"/>
  <c r="D834" i="1"/>
  <c r="C834" i="1"/>
  <c r="AV833" i="1"/>
  <c r="AT833" i="1"/>
  <c r="AR833" i="1"/>
  <c r="I833" i="1"/>
  <c r="H833" i="1"/>
  <c r="G833" i="1"/>
  <c r="E833" i="1"/>
  <c r="D833" i="1"/>
  <c r="C833" i="1"/>
  <c r="AW832" i="1"/>
  <c r="AV832" i="1"/>
  <c r="AT832" i="1"/>
  <c r="AR832" i="1"/>
  <c r="I832" i="1"/>
  <c r="H832" i="1"/>
  <c r="G832" i="1"/>
  <c r="E832" i="1"/>
  <c r="D832" i="1"/>
  <c r="C832" i="1"/>
  <c r="AV831" i="1"/>
  <c r="AT831" i="1"/>
  <c r="AR831" i="1"/>
  <c r="I831" i="1"/>
  <c r="H831" i="1"/>
  <c r="G831" i="1"/>
  <c r="E831" i="1"/>
  <c r="D831" i="1"/>
  <c r="C831" i="1"/>
  <c r="AW830" i="1"/>
  <c r="AV830" i="1"/>
  <c r="AT830" i="1"/>
  <c r="AR830" i="1"/>
  <c r="I830" i="1"/>
  <c r="H830" i="1"/>
  <c r="E830" i="1"/>
  <c r="D830" i="1"/>
  <c r="C830" i="1"/>
  <c r="AV829" i="1"/>
  <c r="AT829" i="1"/>
  <c r="I829" i="1"/>
  <c r="H829" i="1"/>
  <c r="E829" i="1"/>
  <c r="D829" i="1"/>
  <c r="C829" i="1"/>
  <c r="AW828" i="1"/>
  <c r="AV828" i="1"/>
  <c r="AT828" i="1"/>
  <c r="AR828" i="1"/>
  <c r="I828" i="1"/>
  <c r="H828" i="1"/>
  <c r="G828" i="1"/>
  <c r="E828" i="1"/>
  <c r="D828" i="1"/>
  <c r="C828" i="1"/>
  <c r="AV827" i="1"/>
  <c r="AT827" i="1"/>
  <c r="AR827" i="1"/>
  <c r="I827" i="1"/>
  <c r="H827" i="1"/>
  <c r="G827" i="1"/>
  <c r="E827" i="1"/>
  <c r="D827" i="1"/>
  <c r="C827" i="1"/>
  <c r="AV826" i="1"/>
  <c r="AT826" i="1"/>
  <c r="AR826" i="1"/>
  <c r="I826" i="1"/>
  <c r="H826" i="1"/>
  <c r="G826" i="1"/>
  <c r="E826" i="1"/>
  <c r="D826" i="1"/>
  <c r="C826" i="1"/>
  <c r="AW825" i="1"/>
  <c r="AV825" i="1"/>
  <c r="AT825" i="1"/>
  <c r="AR825" i="1"/>
  <c r="I825" i="1"/>
  <c r="H825" i="1"/>
  <c r="G825" i="1"/>
  <c r="E825" i="1"/>
  <c r="D825" i="1"/>
  <c r="C825" i="1"/>
  <c r="AW824" i="1"/>
  <c r="AV824" i="1"/>
  <c r="AT824" i="1"/>
  <c r="AR824" i="1"/>
  <c r="I824" i="1"/>
  <c r="H824" i="1"/>
  <c r="G824" i="1"/>
  <c r="E824" i="1"/>
  <c r="D824" i="1"/>
  <c r="C824" i="1"/>
  <c r="AV823" i="1"/>
  <c r="AT823" i="1"/>
  <c r="AR823" i="1"/>
  <c r="I823" i="1"/>
  <c r="H823" i="1"/>
  <c r="G823" i="1"/>
  <c r="E823" i="1"/>
  <c r="D823" i="1"/>
  <c r="C823" i="1"/>
  <c r="AW822" i="1"/>
  <c r="AV822" i="1"/>
  <c r="AT822" i="1"/>
  <c r="AR822" i="1"/>
  <c r="I822" i="1"/>
  <c r="H822" i="1"/>
  <c r="G822" i="1"/>
  <c r="E822" i="1"/>
  <c r="D822" i="1"/>
  <c r="C822" i="1"/>
  <c r="AW821" i="1"/>
  <c r="AV821" i="1"/>
  <c r="AT821" i="1"/>
  <c r="AR821" i="1"/>
  <c r="I821" i="1"/>
  <c r="H821" i="1"/>
  <c r="E821" i="1"/>
  <c r="D821" i="1"/>
  <c r="C821" i="1"/>
  <c r="AV820" i="1"/>
  <c r="AT820" i="1"/>
  <c r="I820" i="1"/>
  <c r="H820" i="1"/>
  <c r="E820" i="1"/>
  <c r="D820" i="1"/>
  <c r="C820" i="1"/>
  <c r="AW819" i="1"/>
  <c r="AV819" i="1"/>
  <c r="AT819" i="1"/>
  <c r="AR819" i="1"/>
  <c r="I819" i="1"/>
  <c r="H819" i="1"/>
  <c r="E819" i="1"/>
  <c r="D819" i="1"/>
  <c r="C819" i="1"/>
  <c r="AV818" i="1"/>
  <c r="AT818" i="1"/>
  <c r="AR818" i="1"/>
  <c r="I818" i="1"/>
  <c r="H818" i="1"/>
  <c r="G818" i="1"/>
  <c r="E818" i="1"/>
  <c r="D818" i="1"/>
  <c r="C818" i="1"/>
  <c r="AW817" i="1"/>
  <c r="AV817" i="1"/>
  <c r="AT817" i="1"/>
  <c r="AR817" i="1"/>
  <c r="I817" i="1"/>
  <c r="H817" i="1"/>
  <c r="G817" i="1"/>
  <c r="E817" i="1"/>
  <c r="D817" i="1"/>
  <c r="C817" i="1"/>
  <c r="AW816" i="1"/>
  <c r="AV816" i="1"/>
  <c r="AT816" i="1"/>
  <c r="AR816" i="1"/>
  <c r="I816" i="1"/>
  <c r="H816" i="1"/>
  <c r="G816" i="1"/>
  <c r="E816" i="1"/>
  <c r="D816" i="1"/>
  <c r="C816" i="1"/>
  <c r="AV815" i="1"/>
  <c r="AT815" i="1"/>
  <c r="AR815" i="1"/>
  <c r="I815" i="1"/>
  <c r="H815" i="1"/>
  <c r="G815" i="1"/>
  <c r="E815" i="1"/>
  <c r="D815" i="1"/>
  <c r="C815" i="1"/>
  <c r="AW814" i="1"/>
  <c r="AV814" i="1"/>
  <c r="AT814" i="1"/>
  <c r="AR814" i="1"/>
  <c r="I814" i="1"/>
  <c r="H814" i="1"/>
  <c r="G814" i="1"/>
  <c r="E814" i="1"/>
  <c r="D814" i="1"/>
  <c r="C814" i="1"/>
  <c r="AV813" i="1"/>
  <c r="AT813" i="1"/>
  <c r="AR813" i="1"/>
  <c r="I813" i="1"/>
  <c r="H813" i="1"/>
  <c r="G813" i="1"/>
  <c r="E813" i="1"/>
  <c r="D813" i="1"/>
  <c r="C813" i="1"/>
  <c r="AW812" i="1"/>
  <c r="AV812" i="1"/>
  <c r="AT812" i="1"/>
  <c r="AR812" i="1"/>
  <c r="I812" i="1"/>
  <c r="H812" i="1"/>
  <c r="G812" i="1"/>
  <c r="E812" i="1"/>
  <c r="D812" i="1"/>
  <c r="C812" i="1"/>
  <c r="AV811" i="1"/>
  <c r="AT811" i="1"/>
  <c r="AR811" i="1"/>
  <c r="I811" i="1"/>
  <c r="H811" i="1"/>
  <c r="G811" i="1"/>
  <c r="E811" i="1"/>
  <c r="D811" i="1"/>
  <c r="C811" i="1"/>
  <c r="AV810" i="1"/>
  <c r="AT810" i="1"/>
  <c r="I810" i="1"/>
  <c r="H810" i="1"/>
  <c r="G810" i="1"/>
  <c r="E810" i="1"/>
  <c r="D810" i="1"/>
  <c r="C810" i="1"/>
  <c r="AV809" i="1"/>
  <c r="AT809" i="1"/>
  <c r="I809" i="1"/>
  <c r="H809" i="1"/>
  <c r="E809" i="1"/>
  <c r="D809" i="1"/>
  <c r="C809" i="1"/>
  <c r="AW808" i="1"/>
  <c r="AV808" i="1"/>
  <c r="AT808" i="1"/>
  <c r="AR808" i="1"/>
  <c r="I808" i="1"/>
  <c r="H808" i="1"/>
  <c r="G808" i="1"/>
  <c r="E808" i="1"/>
  <c r="D808" i="1"/>
  <c r="C808" i="1"/>
  <c r="AW807" i="1"/>
  <c r="AV807" i="1"/>
  <c r="AT807" i="1"/>
  <c r="AR807" i="1"/>
  <c r="I807" i="1"/>
  <c r="H807" i="1"/>
  <c r="G807" i="1"/>
  <c r="E807" i="1"/>
  <c r="D807" i="1"/>
  <c r="C807" i="1"/>
  <c r="AV806" i="1"/>
  <c r="AT806" i="1"/>
  <c r="AR806" i="1"/>
  <c r="I806" i="1"/>
  <c r="H806" i="1"/>
  <c r="G806" i="1"/>
  <c r="E806" i="1"/>
  <c r="D806" i="1"/>
  <c r="C806" i="1"/>
  <c r="AW805" i="1"/>
  <c r="AV805" i="1"/>
  <c r="AT805" i="1"/>
  <c r="AR805" i="1"/>
  <c r="I805" i="1"/>
  <c r="H805" i="1"/>
  <c r="G805" i="1"/>
  <c r="E805" i="1"/>
  <c r="D805" i="1"/>
  <c r="C805" i="1"/>
  <c r="AV804" i="1"/>
  <c r="AT804" i="1"/>
  <c r="AR804" i="1"/>
  <c r="I804" i="1"/>
  <c r="H804" i="1"/>
  <c r="G804" i="1"/>
  <c r="E804" i="1"/>
  <c r="D804" i="1"/>
  <c r="C804" i="1"/>
  <c r="AV803" i="1"/>
  <c r="AT803" i="1"/>
  <c r="I803" i="1"/>
  <c r="H803" i="1"/>
  <c r="G803" i="1"/>
  <c r="E803" i="1"/>
  <c r="D803" i="1"/>
  <c r="C803" i="1"/>
  <c r="AV802" i="1"/>
  <c r="AT802" i="1"/>
  <c r="AR802" i="1"/>
  <c r="I802" i="1"/>
  <c r="H802" i="1"/>
  <c r="G802" i="1"/>
  <c r="E802" i="1"/>
  <c r="D802" i="1"/>
  <c r="C802" i="1"/>
  <c r="AW801" i="1"/>
  <c r="AV801" i="1"/>
  <c r="AT801" i="1"/>
  <c r="AR801" i="1"/>
  <c r="I801" i="1"/>
  <c r="H801" i="1"/>
  <c r="G801" i="1"/>
  <c r="E801" i="1"/>
  <c r="D801" i="1"/>
  <c r="C801" i="1"/>
  <c r="AV800" i="1"/>
  <c r="AT800" i="1"/>
  <c r="AR800" i="1"/>
  <c r="I800" i="1"/>
  <c r="H800" i="1"/>
  <c r="G800" i="1"/>
  <c r="E800" i="1"/>
  <c r="D800" i="1"/>
  <c r="C800" i="1"/>
  <c r="AW799" i="1"/>
  <c r="AV799" i="1"/>
  <c r="AT799" i="1"/>
  <c r="AR799" i="1"/>
  <c r="I799" i="1"/>
  <c r="H799" i="1"/>
  <c r="G799" i="1"/>
  <c r="E799" i="1"/>
  <c r="D799" i="1"/>
  <c r="C799" i="1"/>
  <c r="AV798" i="1"/>
  <c r="AT798" i="1"/>
  <c r="I798" i="1"/>
  <c r="H798" i="1"/>
  <c r="G798" i="1"/>
  <c r="E798" i="1"/>
  <c r="D798" i="1"/>
  <c r="C798" i="1"/>
  <c r="AV797" i="1"/>
  <c r="AT797" i="1"/>
  <c r="AR797" i="1"/>
  <c r="I797" i="1"/>
  <c r="H797" i="1"/>
  <c r="E797" i="1"/>
  <c r="D797" i="1"/>
  <c r="C797" i="1"/>
  <c r="AW796" i="1"/>
  <c r="AV796" i="1"/>
  <c r="AT796" i="1"/>
  <c r="AR796" i="1"/>
  <c r="I796" i="1"/>
  <c r="H796" i="1"/>
  <c r="G796" i="1"/>
  <c r="E796" i="1"/>
  <c r="D796" i="1"/>
  <c r="C796" i="1"/>
  <c r="AV795" i="1"/>
  <c r="AT795" i="1"/>
  <c r="I795" i="1"/>
  <c r="H795" i="1"/>
  <c r="G795" i="1"/>
  <c r="E795" i="1"/>
  <c r="D795" i="1"/>
  <c r="C795" i="1"/>
  <c r="AW794" i="1"/>
  <c r="AV794" i="1"/>
  <c r="AT794" i="1"/>
  <c r="AR794" i="1"/>
  <c r="I794" i="1"/>
  <c r="H794" i="1"/>
  <c r="E794" i="1"/>
  <c r="D794" i="1"/>
  <c r="C794" i="1"/>
  <c r="AV793" i="1"/>
  <c r="AT793" i="1"/>
  <c r="AR793" i="1"/>
  <c r="I793" i="1"/>
  <c r="H793" i="1"/>
  <c r="G793" i="1"/>
  <c r="E793" i="1"/>
  <c r="D793" i="1"/>
  <c r="C793" i="1"/>
  <c r="AW792" i="1"/>
  <c r="AV792" i="1"/>
  <c r="AT792" i="1"/>
  <c r="AR792" i="1"/>
  <c r="I792" i="1"/>
  <c r="H792" i="1"/>
  <c r="G792" i="1"/>
  <c r="E792" i="1"/>
  <c r="D792" i="1"/>
  <c r="C792" i="1"/>
  <c r="AV791" i="1"/>
  <c r="AT791" i="1"/>
  <c r="AR791" i="1"/>
  <c r="I791" i="1"/>
  <c r="H791" i="1"/>
  <c r="G791" i="1"/>
  <c r="E791" i="1"/>
  <c r="D791" i="1"/>
  <c r="C791" i="1"/>
  <c r="AV790" i="1"/>
  <c r="AT790" i="1"/>
  <c r="I790" i="1"/>
  <c r="H790" i="1"/>
  <c r="G790" i="1"/>
  <c r="E790" i="1"/>
  <c r="D790" i="1"/>
  <c r="C790" i="1"/>
  <c r="AV789" i="1"/>
  <c r="AT789" i="1"/>
  <c r="I789" i="1"/>
  <c r="H789" i="1"/>
  <c r="E789" i="1"/>
  <c r="D789" i="1"/>
  <c r="C789" i="1"/>
  <c r="AV788" i="1"/>
  <c r="AT788" i="1"/>
  <c r="I788" i="1"/>
  <c r="H788" i="1"/>
  <c r="E788" i="1"/>
  <c r="D788" i="1"/>
  <c r="C788" i="1"/>
  <c r="AW787" i="1"/>
  <c r="AV787" i="1"/>
  <c r="AT787" i="1"/>
  <c r="AR787" i="1"/>
  <c r="I787" i="1"/>
  <c r="H787" i="1"/>
  <c r="G787" i="1"/>
  <c r="E787" i="1"/>
  <c r="D787" i="1"/>
  <c r="C787" i="1"/>
  <c r="AV786" i="1"/>
  <c r="AT786" i="1"/>
  <c r="AR786" i="1"/>
  <c r="I786" i="1"/>
  <c r="H786" i="1"/>
  <c r="G786" i="1"/>
  <c r="E786" i="1"/>
  <c r="D786" i="1"/>
  <c r="C786" i="1"/>
  <c r="AV785" i="1"/>
  <c r="AT785" i="1"/>
  <c r="AR785" i="1"/>
  <c r="I785" i="1"/>
  <c r="H785" i="1"/>
  <c r="G785" i="1"/>
  <c r="E785" i="1"/>
  <c r="D785" i="1"/>
  <c r="C785" i="1"/>
  <c r="AW784" i="1"/>
  <c r="AV784" i="1"/>
  <c r="AT784" i="1"/>
  <c r="AR784" i="1"/>
  <c r="I784" i="1"/>
  <c r="H784" i="1"/>
  <c r="G784" i="1"/>
  <c r="E784" i="1"/>
  <c r="D784" i="1"/>
  <c r="C784" i="1"/>
  <c r="AV783" i="1"/>
  <c r="AT783" i="1"/>
  <c r="AR783" i="1"/>
  <c r="I783" i="1"/>
  <c r="H783" i="1"/>
  <c r="E783" i="1"/>
  <c r="D783" i="1"/>
  <c r="C783" i="1"/>
  <c r="AW782" i="1"/>
  <c r="AV782" i="1"/>
  <c r="AT782" i="1"/>
  <c r="AR782" i="1"/>
  <c r="I782" i="1"/>
  <c r="H782" i="1"/>
  <c r="E782" i="1"/>
  <c r="D782" i="1"/>
  <c r="C782" i="1"/>
  <c r="AV781" i="1"/>
  <c r="AT781" i="1"/>
  <c r="AR781" i="1"/>
  <c r="I781" i="1"/>
  <c r="H781" i="1"/>
  <c r="E781" i="1"/>
  <c r="D781" i="1"/>
  <c r="C781" i="1"/>
  <c r="AW780" i="1"/>
  <c r="AV780" i="1"/>
  <c r="AT780" i="1"/>
  <c r="AR780" i="1"/>
  <c r="I780" i="1"/>
  <c r="H780" i="1"/>
  <c r="G780" i="1"/>
  <c r="E780" i="1"/>
  <c r="D780" i="1"/>
  <c r="C780" i="1"/>
  <c r="AW779" i="1"/>
  <c r="AV779" i="1"/>
  <c r="AT779" i="1"/>
  <c r="AR779" i="1"/>
  <c r="I779" i="1"/>
  <c r="H779" i="1"/>
  <c r="E779" i="1"/>
  <c r="D779" i="1"/>
  <c r="C779" i="1"/>
  <c r="AV778" i="1"/>
  <c r="AT778" i="1"/>
  <c r="AR778" i="1"/>
  <c r="I778" i="1"/>
  <c r="H778" i="1"/>
  <c r="G778" i="1"/>
  <c r="E778" i="1"/>
  <c r="D778" i="1"/>
  <c r="C778" i="1"/>
  <c r="AW777" i="1"/>
  <c r="AV777" i="1"/>
  <c r="AT777" i="1"/>
  <c r="AR777" i="1"/>
  <c r="I777" i="1"/>
  <c r="H777" i="1"/>
  <c r="G777" i="1"/>
  <c r="E777" i="1"/>
  <c r="D777" i="1"/>
  <c r="C777" i="1"/>
  <c r="AV776" i="1"/>
  <c r="AT776" i="1"/>
  <c r="AR776" i="1"/>
  <c r="I776" i="1"/>
  <c r="H776" i="1"/>
  <c r="G776" i="1"/>
  <c r="E776" i="1"/>
  <c r="D776" i="1"/>
  <c r="C776" i="1"/>
  <c r="AW775" i="1"/>
  <c r="AV775" i="1"/>
  <c r="AT775" i="1"/>
  <c r="AR775" i="1"/>
  <c r="I775" i="1"/>
  <c r="H775" i="1"/>
  <c r="G775" i="1"/>
  <c r="E775" i="1"/>
  <c r="D775" i="1"/>
  <c r="C775" i="1"/>
  <c r="AV774" i="1"/>
  <c r="AT774" i="1"/>
  <c r="I774" i="1"/>
  <c r="H774" i="1"/>
  <c r="E774" i="1"/>
  <c r="D774" i="1"/>
  <c r="C774" i="1"/>
  <c r="AW773" i="1"/>
  <c r="AV773" i="1"/>
  <c r="AT773" i="1"/>
  <c r="AR773" i="1"/>
  <c r="I773" i="1"/>
  <c r="H773" i="1"/>
  <c r="G773" i="1"/>
  <c r="E773" i="1"/>
  <c r="D773" i="1"/>
  <c r="C773" i="1"/>
  <c r="AW772" i="1"/>
  <c r="AV772" i="1"/>
  <c r="AT772" i="1"/>
  <c r="AR772" i="1"/>
  <c r="I772" i="1"/>
  <c r="H772" i="1"/>
  <c r="G772" i="1"/>
  <c r="E772" i="1"/>
  <c r="D772" i="1"/>
  <c r="C772" i="1"/>
  <c r="AV771" i="1"/>
  <c r="AT771" i="1"/>
  <c r="AR771" i="1"/>
  <c r="I771" i="1"/>
  <c r="H771" i="1"/>
  <c r="G771" i="1"/>
  <c r="E771" i="1"/>
  <c r="D771" i="1"/>
  <c r="C771" i="1"/>
  <c r="AV770" i="1"/>
  <c r="AT770" i="1"/>
  <c r="AR770" i="1"/>
  <c r="I770" i="1"/>
  <c r="H770" i="1"/>
  <c r="G770" i="1"/>
  <c r="E770" i="1"/>
  <c r="D770" i="1"/>
  <c r="C770" i="1"/>
  <c r="AW769" i="1"/>
  <c r="AV769" i="1"/>
  <c r="AT769" i="1"/>
  <c r="AR769" i="1"/>
  <c r="I769" i="1"/>
  <c r="H769" i="1"/>
  <c r="G769" i="1"/>
  <c r="E769" i="1"/>
  <c r="D769" i="1"/>
  <c r="C769" i="1"/>
  <c r="AW768" i="1"/>
  <c r="AV768" i="1"/>
  <c r="AT768" i="1"/>
  <c r="AR768" i="1"/>
  <c r="I768" i="1"/>
  <c r="H768" i="1"/>
  <c r="G768" i="1"/>
  <c r="E768" i="1"/>
  <c r="D768" i="1"/>
  <c r="C768" i="1"/>
  <c r="AV767" i="1"/>
  <c r="AT767" i="1"/>
  <c r="AR767" i="1"/>
  <c r="I767" i="1"/>
  <c r="H767" i="1"/>
  <c r="E767" i="1"/>
  <c r="D767" i="1"/>
  <c r="C767" i="1"/>
  <c r="AW766" i="1"/>
  <c r="AV766" i="1"/>
  <c r="AT766" i="1"/>
  <c r="AR766" i="1"/>
  <c r="I766" i="1"/>
  <c r="H766" i="1"/>
  <c r="E766" i="1"/>
  <c r="D766" i="1"/>
  <c r="C766" i="1"/>
  <c r="AV765" i="1"/>
  <c r="AT765" i="1"/>
  <c r="AR765" i="1"/>
  <c r="I765" i="1"/>
  <c r="H765" i="1"/>
  <c r="E765" i="1"/>
  <c r="D765" i="1"/>
  <c r="C765" i="1"/>
  <c r="AW764" i="1"/>
  <c r="AV764" i="1"/>
  <c r="AT764" i="1"/>
  <c r="AR764" i="1"/>
  <c r="I764" i="1"/>
  <c r="H764" i="1"/>
  <c r="G764" i="1"/>
  <c r="E764" i="1"/>
  <c r="D764" i="1"/>
  <c r="C764" i="1"/>
  <c r="AW763" i="1"/>
  <c r="AV763" i="1"/>
  <c r="AT763" i="1"/>
  <c r="AR763" i="1"/>
  <c r="I763" i="1"/>
  <c r="H763" i="1"/>
  <c r="E763" i="1"/>
  <c r="D763" i="1"/>
  <c r="C763" i="1"/>
  <c r="AW762" i="1"/>
  <c r="AV762" i="1"/>
  <c r="AT762" i="1"/>
  <c r="AR762" i="1"/>
  <c r="I762" i="1"/>
  <c r="H762" i="1"/>
  <c r="G762" i="1"/>
  <c r="E762" i="1"/>
  <c r="D762" i="1"/>
  <c r="C762" i="1"/>
  <c r="AW761" i="1"/>
  <c r="AV761" i="1"/>
  <c r="AT761" i="1"/>
  <c r="AR761" i="1"/>
  <c r="I761" i="1"/>
  <c r="H761" i="1"/>
  <c r="G761" i="1"/>
  <c r="E761" i="1"/>
  <c r="D761" i="1"/>
  <c r="C761" i="1"/>
  <c r="AW760" i="1"/>
  <c r="AV760" i="1"/>
  <c r="AT760" i="1"/>
  <c r="AR760" i="1"/>
  <c r="I760" i="1"/>
  <c r="H760" i="1"/>
  <c r="G760" i="1"/>
  <c r="E760" i="1"/>
  <c r="D760" i="1"/>
  <c r="C760" i="1"/>
  <c r="AV759" i="1"/>
  <c r="AT759" i="1"/>
  <c r="AR759" i="1"/>
  <c r="I759" i="1"/>
  <c r="H759" i="1"/>
  <c r="G759" i="1"/>
  <c r="E759" i="1"/>
  <c r="D759" i="1"/>
  <c r="C759" i="1"/>
  <c r="AV758" i="1"/>
  <c r="AT758" i="1"/>
  <c r="AR758" i="1"/>
  <c r="I758" i="1"/>
  <c r="H758" i="1"/>
  <c r="G758" i="1"/>
  <c r="E758" i="1"/>
  <c r="D758" i="1"/>
  <c r="C758" i="1"/>
  <c r="AV757" i="1"/>
  <c r="AT757" i="1"/>
  <c r="AR757" i="1"/>
  <c r="I757" i="1"/>
  <c r="H757" i="1"/>
  <c r="G757" i="1"/>
  <c r="E757" i="1"/>
  <c r="D757" i="1"/>
  <c r="C757" i="1"/>
  <c r="AW756" i="1"/>
  <c r="AV756" i="1"/>
  <c r="AT756" i="1"/>
  <c r="AR756" i="1"/>
  <c r="I756" i="1"/>
  <c r="H756" i="1"/>
  <c r="E756" i="1"/>
  <c r="D756" i="1"/>
  <c r="C756" i="1"/>
  <c r="AW755" i="1"/>
  <c r="AV755" i="1"/>
  <c r="AT755" i="1"/>
  <c r="AR755" i="1"/>
  <c r="I755" i="1"/>
  <c r="H755" i="1"/>
  <c r="G755" i="1"/>
  <c r="E755" i="1"/>
  <c r="D755" i="1"/>
  <c r="C755" i="1"/>
  <c r="AV754" i="1"/>
  <c r="AT754" i="1"/>
  <c r="I754" i="1"/>
  <c r="H754" i="1"/>
  <c r="E754" i="1"/>
  <c r="D754" i="1"/>
  <c r="C754" i="1"/>
  <c r="AV753" i="1"/>
  <c r="AT753" i="1"/>
  <c r="AR753" i="1"/>
  <c r="I753" i="1"/>
  <c r="H753" i="1"/>
  <c r="G753" i="1"/>
  <c r="E753" i="1"/>
  <c r="D753" i="1"/>
  <c r="C753" i="1"/>
  <c r="AV752" i="1"/>
  <c r="AT752" i="1"/>
  <c r="AR752" i="1"/>
  <c r="I752" i="1"/>
  <c r="H752" i="1"/>
  <c r="G752" i="1"/>
  <c r="E752" i="1"/>
  <c r="D752" i="1"/>
  <c r="C752" i="1"/>
  <c r="AW751" i="1"/>
  <c r="AV751" i="1"/>
  <c r="AT751" i="1"/>
  <c r="AR751" i="1"/>
  <c r="I751" i="1"/>
  <c r="H751" i="1"/>
  <c r="G751" i="1"/>
  <c r="E751" i="1"/>
  <c r="D751" i="1"/>
  <c r="C751" i="1"/>
  <c r="AV750" i="1"/>
  <c r="AT750" i="1"/>
  <c r="AR750" i="1"/>
  <c r="I750" i="1"/>
  <c r="H750" i="1"/>
  <c r="G750" i="1"/>
  <c r="E750" i="1"/>
  <c r="D750" i="1"/>
  <c r="C750" i="1"/>
  <c r="AW749" i="1"/>
  <c r="AV749" i="1"/>
  <c r="AT749" i="1"/>
  <c r="AR749" i="1"/>
  <c r="I749" i="1"/>
  <c r="H749" i="1"/>
  <c r="G749" i="1"/>
  <c r="E749" i="1"/>
  <c r="D749" i="1"/>
  <c r="C749" i="1"/>
  <c r="AW748" i="1"/>
  <c r="AV748" i="1"/>
  <c r="AT748" i="1"/>
  <c r="AR748" i="1"/>
  <c r="I748" i="1"/>
  <c r="H748" i="1"/>
  <c r="E748" i="1"/>
  <c r="D748" i="1"/>
  <c r="C748" i="1"/>
  <c r="AV747" i="1"/>
  <c r="AT747" i="1"/>
  <c r="AR747" i="1"/>
  <c r="I747" i="1"/>
  <c r="H747" i="1"/>
  <c r="G747" i="1"/>
  <c r="E747" i="1"/>
  <c r="D747" i="1"/>
  <c r="C747" i="1"/>
  <c r="AV746" i="1"/>
  <c r="AT746" i="1"/>
  <c r="AR746" i="1"/>
  <c r="I746" i="1"/>
  <c r="H746" i="1"/>
  <c r="G746" i="1"/>
  <c r="E746" i="1"/>
  <c r="D746" i="1"/>
  <c r="C746" i="1"/>
  <c r="AV745" i="1"/>
  <c r="AT745" i="1"/>
  <c r="AR745" i="1"/>
  <c r="I745" i="1"/>
  <c r="H745" i="1"/>
  <c r="G745" i="1"/>
  <c r="E745" i="1"/>
  <c r="D745" i="1"/>
  <c r="C745" i="1"/>
  <c r="AV744" i="1"/>
  <c r="AT744" i="1"/>
  <c r="I744" i="1"/>
  <c r="H744" i="1"/>
  <c r="G744" i="1"/>
  <c r="E744" i="1"/>
  <c r="D744" i="1"/>
  <c r="C744" i="1"/>
  <c r="AV743" i="1"/>
  <c r="AT743" i="1"/>
  <c r="I743" i="1"/>
  <c r="H743" i="1"/>
  <c r="E743" i="1"/>
  <c r="D743" i="1"/>
  <c r="C743" i="1"/>
  <c r="AV742" i="1"/>
  <c r="AT742" i="1"/>
  <c r="AR742" i="1"/>
  <c r="I742" i="1"/>
  <c r="H742" i="1"/>
  <c r="G742" i="1"/>
  <c r="E742" i="1"/>
  <c r="D742" i="1"/>
  <c r="C742" i="1"/>
  <c r="AW741" i="1"/>
  <c r="AV741" i="1"/>
  <c r="AT741" i="1"/>
  <c r="AR741" i="1"/>
  <c r="I741" i="1"/>
  <c r="H741" i="1"/>
  <c r="G741" i="1"/>
  <c r="E741" i="1"/>
  <c r="D741" i="1"/>
  <c r="C741" i="1"/>
  <c r="AW740" i="1"/>
  <c r="AV740" i="1"/>
  <c r="AT740" i="1"/>
  <c r="AR740" i="1"/>
  <c r="I740" i="1"/>
  <c r="H740" i="1"/>
  <c r="E740" i="1"/>
  <c r="D740" i="1"/>
  <c r="C740" i="1"/>
  <c r="AV739" i="1"/>
  <c r="AT739" i="1"/>
  <c r="AR739" i="1"/>
  <c r="I739" i="1"/>
  <c r="H739" i="1"/>
  <c r="E739" i="1"/>
  <c r="D739" i="1"/>
  <c r="C739" i="1"/>
  <c r="AV738" i="1"/>
  <c r="AT738" i="1"/>
  <c r="AR738" i="1"/>
  <c r="I738" i="1"/>
  <c r="H738" i="1"/>
  <c r="G738" i="1"/>
  <c r="E738" i="1"/>
  <c r="D738" i="1"/>
  <c r="C738" i="1"/>
  <c r="AV737" i="1"/>
  <c r="AT737" i="1"/>
  <c r="I737" i="1"/>
  <c r="H737" i="1"/>
  <c r="G737" i="1"/>
  <c r="E737" i="1"/>
  <c r="D737" i="1"/>
  <c r="C737" i="1"/>
  <c r="AW736" i="1"/>
  <c r="AV736" i="1"/>
  <c r="AT736" i="1"/>
  <c r="AR736" i="1"/>
  <c r="I736" i="1"/>
  <c r="H736" i="1"/>
  <c r="G736" i="1"/>
  <c r="E736" i="1"/>
  <c r="D736" i="1"/>
  <c r="C736" i="1"/>
  <c r="AV735" i="1"/>
  <c r="AT735" i="1"/>
  <c r="AR735" i="1"/>
  <c r="I735" i="1"/>
  <c r="H735" i="1"/>
  <c r="G735" i="1"/>
  <c r="E735" i="1"/>
  <c r="D735" i="1"/>
  <c r="C735" i="1"/>
  <c r="AV734" i="1"/>
  <c r="AT734" i="1"/>
  <c r="AR734" i="1"/>
  <c r="I734" i="1"/>
  <c r="H734" i="1"/>
  <c r="G734" i="1"/>
  <c r="E734" i="1"/>
  <c r="D734" i="1"/>
  <c r="C734" i="1"/>
  <c r="AW733" i="1"/>
  <c r="AV733" i="1"/>
  <c r="AT733" i="1"/>
  <c r="AR733" i="1"/>
  <c r="I733" i="1"/>
  <c r="H733" i="1"/>
  <c r="E733" i="1"/>
  <c r="D733" i="1"/>
  <c r="C733" i="1"/>
  <c r="AV732" i="1"/>
  <c r="AT732" i="1"/>
  <c r="AR732" i="1"/>
  <c r="I732" i="1"/>
  <c r="H732" i="1"/>
  <c r="G732" i="1"/>
  <c r="E732" i="1"/>
  <c r="D732" i="1"/>
  <c r="C732" i="1"/>
  <c r="AV731" i="1"/>
  <c r="AT731" i="1"/>
  <c r="AR731" i="1"/>
  <c r="I731" i="1"/>
  <c r="H731" i="1"/>
  <c r="G731" i="1"/>
  <c r="E731" i="1"/>
  <c r="D731" i="1"/>
  <c r="C731" i="1"/>
  <c r="AV730" i="1"/>
  <c r="AT730" i="1"/>
  <c r="AR730" i="1"/>
  <c r="I730" i="1"/>
  <c r="H730" i="1"/>
  <c r="G730" i="1"/>
  <c r="E730" i="1"/>
  <c r="D730" i="1"/>
  <c r="C730" i="1"/>
  <c r="AV729" i="1"/>
  <c r="AT729" i="1"/>
  <c r="AR729" i="1"/>
  <c r="I729" i="1"/>
  <c r="H729" i="1"/>
  <c r="E729" i="1"/>
  <c r="D729" i="1"/>
  <c r="C729" i="1"/>
  <c r="AW728" i="1"/>
  <c r="AV728" i="1"/>
  <c r="AT728" i="1"/>
  <c r="AR728" i="1"/>
  <c r="I728" i="1"/>
  <c r="H728" i="1"/>
  <c r="G728" i="1"/>
  <c r="E728" i="1"/>
  <c r="D728" i="1"/>
  <c r="C728" i="1"/>
  <c r="AW727" i="1"/>
  <c r="AV727" i="1"/>
  <c r="AT727" i="1"/>
  <c r="AR727" i="1"/>
  <c r="I727" i="1"/>
  <c r="H727" i="1"/>
  <c r="G727" i="1"/>
  <c r="E727" i="1"/>
  <c r="D727" i="1"/>
  <c r="C727" i="1"/>
  <c r="AV726" i="1"/>
  <c r="AT726" i="1"/>
  <c r="AR726" i="1"/>
  <c r="I726" i="1"/>
  <c r="H726" i="1"/>
  <c r="G726" i="1"/>
  <c r="E726" i="1"/>
  <c r="D726" i="1"/>
  <c r="C726" i="1"/>
  <c r="AW725" i="1"/>
  <c r="AV725" i="1"/>
  <c r="AT725" i="1"/>
  <c r="AR725" i="1"/>
  <c r="I725" i="1"/>
  <c r="H725" i="1"/>
  <c r="G725" i="1"/>
  <c r="E725" i="1"/>
  <c r="D725" i="1"/>
  <c r="C725" i="1"/>
  <c r="AW724" i="1"/>
  <c r="AV724" i="1"/>
  <c r="AT724" i="1"/>
  <c r="AR724" i="1"/>
  <c r="I724" i="1"/>
  <c r="H724" i="1"/>
  <c r="G724" i="1"/>
  <c r="E724" i="1"/>
  <c r="D724" i="1"/>
  <c r="C724" i="1"/>
  <c r="AW723" i="1"/>
  <c r="AV723" i="1"/>
  <c r="AT723" i="1"/>
  <c r="AR723" i="1"/>
  <c r="I723" i="1"/>
  <c r="H723" i="1"/>
  <c r="E723" i="1"/>
  <c r="D723" i="1"/>
  <c r="C723" i="1"/>
  <c r="AV722" i="1"/>
  <c r="AT722" i="1"/>
  <c r="AR722" i="1"/>
  <c r="I722" i="1"/>
  <c r="H722" i="1"/>
  <c r="E722" i="1"/>
  <c r="D722" i="1"/>
  <c r="C722" i="1"/>
  <c r="AW721" i="1"/>
  <c r="AV721" i="1"/>
  <c r="AT721" i="1"/>
  <c r="AR721" i="1"/>
  <c r="I721" i="1"/>
  <c r="H721" i="1"/>
  <c r="G721" i="1"/>
  <c r="E721" i="1"/>
  <c r="D721" i="1"/>
  <c r="C721" i="1"/>
  <c r="AW720" i="1"/>
  <c r="AV720" i="1"/>
  <c r="AT720" i="1"/>
  <c r="AR720" i="1"/>
  <c r="I720" i="1"/>
  <c r="H720" i="1"/>
  <c r="E720" i="1"/>
  <c r="D720" i="1"/>
  <c r="C720" i="1"/>
  <c r="AV719" i="1"/>
  <c r="AT719" i="1"/>
  <c r="AR719" i="1"/>
  <c r="I719" i="1"/>
  <c r="H719" i="1"/>
  <c r="G719" i="1"/>
  <c r="E719" i="1"/>
  <c r="D719" i="1"/>
  <c r="C719" i="1"/>
  <c r="AW718" i="1"/>
  <c r="AV718" i="1"/>
  <c r="AT718" i="1"/>
  <c r="AR718" i="1"/>
  <c r="I718" i="1"/>
  <c r="H718" i="1"/>
  <c r="G718" i="1"/>
  <c r="E718" i="1"/>
  <c r="D718" i="1"/>
  <c r="C718" i="1"/>
  <c r="AV717" i="1"/>
  <c r="AT717" i="1"/>
  <c r="AR717" i="1"/>
  <c r="I717" i="1"/>
  <c r="H717" i="1"/>
  <c r="G717" i="1"/>
  <c r="E717" i="1"/>
  <c r="D717" i="1"/>
  <c r="C717" i="1"/>
  <c r="AW716" i="1"/>
  <c r="AV716" i="1"/>
  <c r="AT716" i="1"/>
  <c r="AR716" i="1"/>
  <c r="I716" i="1"/>
  <c r="H716" i="1"/>
  <c r="G716" i="1"/>
  <c r="E716" i="1"/>
  <c r="D716" i="1"/>
  <c r="C716" i="1"/>
  <c r="AW715" i="1"/>
  <c r="AV715" i="1"/>
  <c r="AT715" i="1"/>
  <c r="AR715" i="1"/>
  <c r="I715" i="1"/>
  <c r="H715" i="1"/>
  <c r="G715" i="1"/>
  <c r="E715" i="1"/>
  <c r="D715" i="1"/>
  <c r="C715" i="1"/>
  <c r="AV714" i="1"/>
  <c r="AT714" i="1"/>
  <c r="AR714" i="1"/>
  <c r="I714" i="1"/>
  <c r="H714" i="1"/>
  <c r="G714" i="1"/>
  <c r="E714" i="1"/>
  <c r="D714" i="1"/>
  <c r="C714" i="1"/>
  <c r="AW713" i="1"/>
  <c r="AV713" i="1"/>
  <c r="AT713" i="1"/>
  <c r="AR713" i="1"/>
  <c r="I713" i="1"/>
  <c r="H713" i="1"/>
  <c r="G713" i="1"/>
  <c r="E713" i="1"/>
  <c r="D713" i="1"/>
  <c r="C713" i="1"/>
  <c r="AV712" i="1"/>
  <c r="AT712" i="1"/>
  <c r="AR712" i="1"/>
  <c r="I712" i="1"/>
  <c r="H712" i="1"/>
  <c r="G712" i="1"/>
  <c r="E712" i="1"/>
  <c r="D712" i="1"/>
  <c r="C712" i="1"/>
  <c r="AV711" i="1"/>
  <c r="AT711" i="1"/>
  <c r="I711" i="1"/>
  <c r="H711" i="1"/>
  <c r="G711" i="1"/>
  <c r="E711" i="1"/>
  <c r="D711" i="1"/>
  <c r="C711" i="1"/>
  <c r="AW710" i="1"/>
  <c r="AV710" i="1"/>
  <c r="AT710" i="1"/>
  <c r="AR710" i="1"/>
  <c r="I710" i="1"/>
  <c r="H710" i="1"/>
  <c r="E710" i="1"/>
  <c r="D710" i="1"/>
  <c r="C710" i="1"/>
  <c r="AV709" i="1"/>
  <c r="AT709" i="1"/>
  <c r="AR709" i="1"/>
  <c r="I709" i="1"/>
  <c r="H709" i="1"/>
  <c r="E709" i="1"/>
  <c r="D709" i="1"/>
  <c r="C709" i="1"/>
  <c r="AW708" i="1"/>
  <c r="AV708" i="1"/>
  <c r="AT708" i="1"/>
  <c r="AR708" i="1"/>
  <c r="I708" i="1"/>
  <c r="H708" i="1"/>
  <c r="G708" i="1"/>
  <c r="E708" i="1"/>
  <c r="D708" i="1"/>
  <c r="C708" i="1"/>
  <c r="AV707" i="1"/>
  <c r="AT707" i="1"/>
  <c r="AR707" i="1"/>
  <c r="I707" i="1"/>
  <c r="H707" i="1"/>
  <c r="G707" i="1"/>
  <c r="E707" i="1"/>
  <c r="D707" i="1"/>
  <c r="C707" i="1"/>
  <c r="AW706" i="1"/>
  <c r="AV706" i="1"/>
  <c r="AT706" i="1"/>
  <c r="AR706" i="1"/>
  <c r="I706" i="1"/>
  <c r="H706" i="1"/>
  <c r="G706" i="1"/>
  <c r="E706" i="1"/>
  <c r="D706" i="1"/>
  <c r="C706" i="1"/>
  <c r="AW705" i="1"/>
  <c r="AV705" i="1"/>
  <c r="AT705" i="1"/>
  <c r="AR705" i="1"/>
  <c r="I705" i="1"/>
  <c r="H705" i="1"/>
  <c r="G705" i="1"/>
  <c r="E705" i="1"/>
  <c r="D705" i="1"/>
  <c r="C705" i="1"/>
  <c r="AW704" i="1"/>
  <c r="AV704" i="1"/>
  <c r="AT704" i="1"/>
  <c r="AR704" i="1"/>
  <c r="I704" i="1"/>
  <c r="H704" i="1"/>
  <c r="G704" i="1"/>
  <c r="E704" i="1"/>
  <c r="D704" i="1"/>
  <c r="C704" i="1"/>
  <c r="AW703" i="1"/>
  <c r="AV703" i="1"/>
  <c r="AT703" i="1"/>
  <c r="AR703" i="1"/>
  <c r="I703" i="1"/>
  <c r="H703" i="1"/>
  <c r="G703" i="1"/>
  <c r="E703" i="1"/>
  <c r="D703" i="1"/>
  <c r="C703" i="1"/>
  <c r="AW702" i="1"/>
  <c r="AV702" i="1"/>
  <c r="AT702" i="1"/>
  <c r="AR702" i="1"/>
  <c r="I702" i="1"/>
  <c r="H702" i="1"/>
  <c r="G702" i="1"/>
  <c r="E702" i="1"/>
  <c r="D702" i="1"/>
  <c r="C702" i="1"/>
  <c r="AW701" i="1"/>
  <c r="AV701" i="1"/>
  <c r="AT701" i="1"/>
  <c r="AR701" i="1"/>
  <c r="I701" i="1"/>
  <c r="H701" i="1"/>
  <c r="E701" i="1"/>
  <c r="D701" i="1"/>
  <c r="C701" i="1"/>
  <c r="AV700" i="1"/>
  <c r="AT700" i="1"/>
  <c r="I700" i="1"/>
  <c r="H700" i="1"/>
  <c r="E700" i="1"/>
  <c r="D700" i="1"/>
  <c r="C700" i="1"/>
  <c r="AW699" i="1"/>
  <c r="AV699" i="1"/>
  <c r="AT699" i="1"/>
  <c r="AR699" i="1"/>
  <c r="I699" i="1"/>
  <c r="H699" i="1"/>
  <c r="E699" i="1"/>
  <c r="D699" i="1"/>
  <c r="C699" i="1"/>
  <c r="AV698" i="1"/>
  <c r="AT698" i="1"/>
  <c r="AR698" i="1"/>
  <c r="I698" i="1"/>
  <c r="H698" i="1"/>
  <c r="G698" i="1"/>
  <c r="E698" i="1"/>
  <c r="D698" i="1"/>
  <c r="C698" i="1"/>
  <c r="AW697" i="1"/>
  <c r="AV697" i="1"/>
  <c r="AT697" i="1"/>
  <c r="AR697" i="1"/>
  <c r="I697" i="1"/>
  <c r="H697" i="1"/>
  <c r="G697" i="1"/>
  <c r="E697" i="1"/>
  <c r="D697" i="1"/>
  <c r="C697" i="1"/>
  <c r="AW696" i="1"/>
  <c r="AV696" i="1"/>
  <c r="AT696" i="1"/>
  <c r="AR696" i="1"/>
  <c r="I696" i="1"/>
  <c r="H696" i="1"/>
  <c r="G696" i="1"/>
  <c r="E696" i="1"/>
  <c r="D696" i="1"/>
  <c r="C696" i="1"/>
  <c r="AV695" i="1"/>
  <c r="AT695" i="1"/>
  <c r="AR695" i="1"/>
  <c r="I695" i="1"/>
  <c r="H695" i="1"/>
  <c r="G695" i="1"/>
  <c r="E695" i="1"/>
  <c r="D695" i="1"/>
  <c r="C695" i="1"/>
  <c r="AW694" i="1"/>
  <c r="AV694" i="1"/>
  <c r="AT694" i="1"/>
  <c r="AR694" i="1"/>
  <c r="I694" i="1"/>
  <c r="H694" i="1"/>
  <c r="G694" i="1"/>
  <c r="E694" i="1"/>
  <c r="D694" i="1"/>
  <c r="C694" i="1"/>
  <c r="AV693" i="1"/>
  <c r="AT693" i="1"/>
  <c r="AR693" i="1"/>
  <c r="I693" i="1"/>
  <c r="H693" i="1"/>
  <c r="G693" i="1"/>
  <c r="E693" i="1"/>
  <c r="D693" i="1"/>
  <c r="C693" i="1"/>
  <c r="AW692" i="1"/>
  <c r="AV692" i="1"/>
  <c r="AT692" i="1"/>
  <c r="AR692" i="1"/>
  <c r="I692" i="1"/>
  <c r="H692" i="1"/>
  <c r="G692" i="1"/>
  <c r="E692" i="1"/>
  <c r="D692" i="1"/>
  <c r="C692" i="1"/>
  <c r="AV691" i="1"/>
  <c r="AT691" i="1"/>
  <c r="AR691" i="1"/>
  <c r="I691" i="1"/>
  <c r="H691" i="1"/>
  <c r="G691" i="1"/>
  <c r="E691" i="1"/>
  <c r="D691" i="1"/>
  <c r="C691" i="1"/>
  <c r="AV690" i="1"/>
  <c r="AT690" i="1"/>
  <c r="I690" i="1"/>
  <c r="H690" i="1"/>
  <c r="G690" i="1"/>
  <c r="E690" i="1"/>
  <c r="D690" i="1"/>
  <c r="C690" i="1"/>
  <c r="AV689" i="1"/>
  <c r="AT689" i="1"/>
  <c r="I689" i="1"/>
  <c r="H689" i="1"/>
  <c r="E689" i="1"/>
  <c r="D689" i="1"/>
  <c r="C689" i="1"/>
  <c r="AW688" i="1"/>
  <c r="AV688" i="1"/>
  <c r="AT688" i="1"/>
  <c r="AR688" i="1"/>
  <c r="I688" i="1"/>
  <c r="H688" i="1"/>
  <c r="E688" i="1"/>
  <c r="D688" i="1"/>
  <c r="C688" i="1"/>
  <c r="AV687" i="1"/>
  <c r="AT687" i="1"/>
  <c r="I687" i="1"/>
  <c r="H687" i="1"/>
  <c r="E687" i="1"/>
  <c r="D687" i="1"/>
  <c r="C687" i="1"/>
  <c r="AW686" i="1"/>
  <c r="AV686" i="1"/>
  <c r="AT686" i="1"/>
  <c r="AR686" i="1"/>
  <c r="I686" i="1"/>
  <c r="H686" i="1"/>
  <c r="G686" i="1"/>
  <c r="E686" i="1"/>
  <c r="D686" i="1"/>
  <c r="C686" i="1"/>
  <c r="AW685" i="1"/>
  <c r="AV685" i="1"/>
  <c r="AT685" i="1"/>
  <c r="AR685" i="1"/>
  <c r="I685" i="1"/>
  <c r="H685" i="1"/>
  <c r="E685" i="1"/>
  <c r="D685" i="1"/>
  <c r="C685" i="1"/>
  <c r="AV684" i="1"/>
  <c r="AT684" i="1"/>
  <c r="AR684" i="1"/>
  <c r="I684" i="1"/>
  <c r="H684" i="1"/>
  <c r="G684" i="1"/>
  <c r="E684" i="1"/>
  <c r="D684" i="1"/>
  <c r="C684" i="1"/>
  <c r="AW683" i="1"/>
  <c r="AV683" i="1"/>
  <c r="AT683" i="1"/>
  <c r="AR683" i="1"/>
  <c r="I683" i="1"/>
  <c r="H683" i="1"/>
  <c r="G683" i="1"/>
  <c r="E683" i="1"/>
  <c r="D683" i="1"/>
  <c r="C683" i="1"/>
  <c r="AV682" i="1"/>
  <c r="AT682" i="1"/>
  <c r="AR682" i="1"/>
  <c r="I682" i="1"/>
  <c r="H682" i="1"/>
  <c r="G682" i="1"/>
  <c r="E682" i="1"/>
  <c r="D682" i="1"/>
  <c r="C682" i="1"/>
  <c r="AV681" i="1"/>
  <c r="AT681" i="1"/>
  <c r="AR681" i="1"/>
  <c r="I681" i="1"/>
  <c r="H681" i="1"/>
  <c r="G681" i="1"/>
  <c r="E681" i="1"/>
  <c r="D681" i="1"/>
  <c r="C681" i="1"/>
  <c r="AW680" i="1"/>
  <c r="AV680" i="1"/>
  <c r="AT680" i="1"/>
  <c r="AR680" i="1"/>
  <c r="I680" i="1"/>
  <c r="H680" i="1"/>
  <c r="G680" i="1"/>
  <c r="E680" i="1"/>
  <c r="D680" i="1"/>
  <c r="C680" i="1"/>
  <c r="AV679" i="1"/>
  <c r="AT679" i="1"/>
  <c r="I679" i="1"/>
  <c r="H679" i="1"/>
  <c r="G679" i="1"/>
  <c r="E679" i="1"/>
  <c r="D679" i="1"/>
  <c r="C679" i="1"/>
  <c r="AV678" i="1"/>
  <c r="AT678" i="1"/>
  <c r="AR678" i="1"/>
  <c r="I678" i="1"/>
  <c r="H678" i="1"/>
  <c r="E678" i="1"/>
  <c r="D678" i="1"/>
  <c r="C678" i="1"/>
  <c r="AW677" i="1"/>
  <c r="AV677" i="1"/>
  <c r="AT677" i="1"/>
  <c r="AR677" i="1"/>
  <c r="I677" i="1"/>
  <c r="H677" i="1"/>
  <c r="G677" i="1"/>
  <c r="E677" i="1"/>
  <c r="D677" i="1"/>
  <c r="C677" i="1"/>
  <c r="AW676" i="1"/>
  <c r="AV676" i="1"/>
  <c r="AT676" i="1"/>
  <c r="AR676" i="1"/>
  <c r="I676" i="1"/>
  <c r="H676" i="1"/>
  <c r="E676" i="1"/>
  <c r="D676" i="1"/>
  <c r="C676" i="1"/>
  <c r="AV675" i="1"/>
  <c r="AT675" i="1"/>
  <c r="AR675" i="1"/>
  <c r="I675" i="1"/>
  <c r="H675" i="1"/>
  <c r="G675" i="1"/>
  <c r="E675" i="1"/>
  <c r="D675" i="1"/>
  <c r="C675" i="1"/>
  <c r="AW674" i="1"/>
  <c r="AV674" i="1"/>
  <c r="AT674" i="1"/>
  <c r="AR674" i="1"/>
  <c r="I674" i="1"/>
  <c r="H674" i="1"/>
  <c r="G674" i="1"/>
  <c r="E674" i="1"/>
  <c r="D674" i="1"/>
  <c r="C674" i="1"/>
  <c r="AV673" i="1"/>
  <c r="AT673" i="1"/>
  <c r="AR673" i="1"/>
  <c r="I673" i="1"/>
  <c r="H673" i="1"/>
  <c r="G673" i="1"/>
  <c r="E673" i="1"/>
  <c r="D673" i="1"/>
  <c r="C673" i="1"/>
  <c r="AV672" i="1"/>
  <c r="AT672" i="1"/>
  <c r="I672" i="1"/>
  <c r="H672" i="1"/>
  <c r="G672" i="1"/>
  <c r="E672" i="1"/>
  <c r="D672" i="1"/>
  <c r="C672" i="1"/>
  <c r="AV671" i="1"/>
  <c r="AT671" i="1"/>
  <c r="I671" i="1"/>
  <c r="H671" i="1"/>
  <c r="E671" i="1"/>
  <c r="D671" i="1"/>
  <c r="C671" i="1"/>
  <c r="AV670" i="1"/>
  <c r="AT670" i="1"/>
  <c r="I670" i="1"/>
  <c r="H670" i="1"/>
  <c r="E670" i="1"/>
  <c r="D670" i="1"/>
  <c r="C670" i="1"/>
  <c r="AW669" i="1"/>
  <c r="AV669" i="1"/>
  <c r="AT669" i="1"/>
  <c r="AR669" i="1"/>
  <c r="I669" i="1"/>
  <c r="H669" i="1"/>
  <c r="G669" i="1"/>
  <c r="E669" i="1"/>
  <c r="D669" i="1"/>
  <c r="C669" i="1"/>
  <c r="AW668" i="1"/>
  <c r="AV668" i="1"/>
  <c r="AT668" i="1"/>
  <c r="AR668" i="1"/>
  <c r="I668" i="1"/>
  <c r="H668" i="1"/>
  <c r="G668" i="1"/>
  <c r="E668" i="1"/>
  <c r="D668" i="1"/>
  <c r="C668" i="1"/>
  <c r="AV667" i="1"/>
  <c r="AT667" i="1"/>
  <c r="AR667" i="1"/>
  <c r="I667" i="1"/>
  <c r="H667" i="1"/>
  <c r="G667" i="1"/>
  <c r="E667" i="1"/>
  <c r="D667" i="1"/>
  <c r="C667" i="1"/>
  <c r="AW666" i="1"/>
  <c r="AV666" i="1"/>
  <c r="AT666" i="1"/>
  <c r="AR666" i="1"/>
  <c r="I666" i="1"/>
  <c r="H666" i="1"/>
  <c r="G666" i="1"/>
  <c r="E666" i="1"/>
  <c r="D666" i="1"/>
  <c r="C666" i="1"/>
  <c r="AW665" i="1"/>
  <c r="AV665" i="1"/>
  <c r="AT665" i="1"/>
  <c r="AR665" i="1"/>
  <c r="I665" i="1"/>
  <c r="H665" i="1"/>
  <c r="G665" i="1"/>
  <c r="E665" i="1"/>
  <c r="D665" i="1"/>
  <c r="C665" i="1"/>
  <c r="AV664" i="1"/>
  <c r="AT664" i="1"/>
  <c r="AR664" i="1"/>
  <c r="I664" i="1"/>
  <c r="H664" i="1"/>
  <c r="E664" i="1"/>
  <c r="D664" i="1"/>
  <c r="C664" i="1"/>
  <c r="AV663" i="1"/>
  <c r="AT663" i="1"/>
  <c r="AR663" i="1"/>
  <c r="I663" i="1"/>
  <c r="H663" i="1"/>
  <c r="G663" i="1"/>
  <c r="E663" i="1"/>
  <c r="D663" i="1"/>
  <c r="C663" i="1"/>
  <c r="AW662" i="1"/>
  <c r="AV662" i="1"/>
  <c r="AT662" i="1"/>
  <c r="AR662" i="1"/>
  <c r="I662" i="1"/>
  <c r="H662" i="1"/>
  <c r="G662" i="1"/>
  <c r="E662" i="1"/>
  <c r="D662" i="1"/>
  <c r="C662" i="1"/>
  <c r="AV661" i="1"/>
  <c r="AT661" i="1"/>
  <c r="I661" i="1"/>
  <c r="H661" i="1"/>
  <c r="G661" i="1"/>
  <c r="E661" i="1"/>
  <c r="D661" i="1"/>
  <c r="C661" i="1"/>
  <c r="AV660" i="1"/>
  <c r="AT660" i="1"/>
  <c r="AR660" i="1"/>
  <c r="I660" i="1"/>
  <c r="H660" i="1"/>
  <c r="G660" i="1"/>
  <c r="E660" i="1"/>
  <c r="D660" i="1"/>
  <c r="C660" i="1"/>
  <c r="AW659" i="1"/>
  <c r="AV659" i="1"/>
  <c r="AT659" i="1"/>
  <c r="AR659" i="1"/>
  <c r="I659" i="1"/>
  <c r="H659" i="1"/>
  <c r="E659" i="1"/>
  <c r="D659" i="1"/>
  <c r="C659" i="1"/>
  <c r="AV658" i="1"/>
  <c r="AT658" i="1"/>
  <c r="AR658" i="1"/>
  <c r="I658" i="1"/>
  <c r="H658" i="1"/>
  <c r="G658" i="1"/>
  <c r="E658" i="1"/>
  <c r="D658" i="1"/>
  <c r="C658" i="1"/>
  <c r="AV657" i="1"/>
  <c r="AT657" i="1"/>
  <c r="AR657" i="1"/>
  <c r="I657" i="1"/>
  <c r="H657" i="1"/>
  <c r="G657" i="1"/>
  <c r="E657" i="1"/>
  <c r="D657" i="1"/>
  <c r="C657" i="1"/>
  <c r="AV656" i="1"/>
  <c r="AT656" i="1"/>
  <c r="AR656" i="1"/>
  <c r="I656" i="1"/>
  <c r="H656" i="1"/>
  <c r="G656" i="1"/>
  <c r="E656" i="1"/>
  <c r="D656" i="1"/>
  <c r="C656" i="1"/>
  <c r="AV655" i="1"/>
  <c r="AT655" i="1"/>
  <c r="I655" i="1"/>
  <c r="H655" i="1"/>
  <c r="G655" i="1"/>
  <c r="E655" i="1"/>
  <c r="D655" i="1"/>
  <c r="C655" i="1"/>
  <c r="AV654" i="1"/>
  <c r="AT654" i="1"/>
  <c r="I654" i="1"/>
  <c r="H654" i="1"/>
  <c r="E654" i="1"/>
  <c r="D654" i="1"/>
  <c r="C654" i="1"/>
  <c r="AW653" i="1"/>
  <c r="AV653" i="1"/>
  <c r="AT653" i="1"/>
  <c r="AR653" i="1"/>
  <c r="I653" i="1"/>
  <c r="H653" i="1"/>
  <c r="G653" i="1"/>
  <c r="E653" i="1"/>
  <c r="D653" i="1"/>
  <c r="C653" i="1"/>
  <c r="AV652" i="1"/>
  <c r="AT652" i="1"/>
  <c r="I652" i="1"/>
  <c r="H652" i="1"/>
  <c r="E652" i="1"/>
  <c r="D652" i="1"/>
  <c r="C652" i="1"/>
  <c r="AW651" i="1"/>
  <c r="AV651" i="1"/>
  <c r="AT651" i="1"/>
  <c r="AR651" i="1"/>
  <c r="I651" i="1"/>
  <c r="H651" i="1"/>
  <c r="G651" i="1"/>
  <c r="E651" i="1"/>
  <c r="D651" i="1"/>
  <c r="C651" i="1"/>
  <c r="AW650" i="1"/>
  <c r="AV650" i="1"/>
  <c r="AT650" i="1"/>
  <c r="AR650" i="1"/>
  <c r="I650" i="1"/>
  <c r="H650" i="1"/>
  <c r="G650" i="1"/>
  <c r="E650" i="1"/>
  <c r="D650" i="1"/>
  <c r="C650" i="1"/>
  <c r="AV649" i="1"/>
  <c r="AT649" i="1"/>
  <c r="AR649" i="1"/>
  <c r="I649" i="1"/>
  <c r="H649" i="1"/>
  <c r="G649" i="1"/>
  <c r="E649" i="1"/>
  <c r="D649" i="1"/>
  <c r="C649" i="1"/>
  <c r="AV648" i="1"/>
  <c r="AT648" i="1"/>
  <c r="AR648" i="1"/>
  <c r="I648" i="1"/>
  <c r="H648" i="1"/>
  <c r="G648" i="1"/>
  <c r="E648" i="1"/>
  <c r="D648" i="1"/>
  <c r="C648" i="1"/>
  <c r="AW647" i="1"/>
  <c r="AV647" i="1"/>
  <c r="AT647" i="1"/>
  <c r="AR647" i="1"/>
  <c r="I647" i="1"/>
  <c r="H647" i="1"/>
  <c r="G647" i="1"/>
  <c r="E647" i="1"/>
  <c r="D647" i="1"/>
  <c r="C647" i="1"/>
  <c r="AW646" i="1"/>
  <c r="AV646" i="1"/>
  <c r="AT646" i="1"/>
  <c r="AR646" i="1"/>
  <c r="I646" i="1"/>
  <c r="H646" i="1"/>
  <c r="G646" i="1"/>
  <c r="E646" i="1"/>
  <c r="D646" i="1"/>
  <c r="C646" i="1"/>
  <c r="AV645" i="1"/>
  <c r="AT645" i="1"/>
  <c r="AR645" i="1"/>
  <c r="I645" i="1"/>
  <c r="H645" i="1"/>
  <c r="E645" i="1"/>
  <c r="D645" i="1"/>
  <c r="C645" i="1"/>
  <c r="AW644" i="1"/>
  <c r="AV644" i="1"/>
  <c r="AT644" i="1"/>
  <c r="AR644" i="1"/>
  <c r="I644" i="1"/>
  <c r="H644" i="1"/>
  <c r="E644" i="1"/>
  <c r="D644" i="1"/>
  <c r="C644" i="1"/>
  <c r="AV643" i="1"/>
  <c r="AT643" i="1"/>
  <c r="AR643" i="1"/>
  <c r="I643" i="1"/>
  <c r="H643" i="1"/>
  <c r="E643" i="1"/>
  <c r="D643" i="1"/>
  <c r="C643" i="1"/>
  <c r="AW642" i="1"/>
  <c r="AV642" i="1"/>
  <c r="AT642" i="1"/>
  <c r="AR642" i="1"/>
  <c r="I642" i="1"/>
  <c r="H642" i="1"/>
  <c r="G642" i="1"/>
  <c r="E642" i="1"/>
  <c r="D642" i="1"/>
  <c r="C642" i="1"/>
  <c r="AW641" i="1"/>
  <c r="AV641" i="1"/>
  <c r="AT641" i="1"/>
  <c r="AR641" i="1"/>
  <c r="I641" i="1"/>
  <c r="H641" i="1"/>
  <c r="E641" i="1"/>
  <c r="D641" i="1"/>
  <c r="C641" i="1"/>
  <c r="AV640" i="1"/>
  <c r="AT640" i="1"/>
  <c r="AR640" i="1"/>
  <c r="I640" i="1"/>
  <c r="H640" i="1"/>
  <c r="G640" i="1"/>
  <c r="E640" i="1"/>
  <c r="D640" i="1"/>
  <c r="C640" i="1"/>
  <c r="AW639" i="1"/>
  <c r="AV639" i="1"/>
  <c r="AT639" i="1"/>
  <c r="AR639" i="1"/>
  <c r="I639" i="1"/>
  <c r="H639" i="1"/>
  <c r="G639" i="1"/>
  <c r="E639" i="1"/>
  <c r="D639" i="1"/>
  <c r="C639" i="1"/>
  <c r="AW638" i="1"/>
  <c r="AV638" i="1"/>
  <c r="AT638" i="1"/>
  <c r="AR638" i="1"/>
  <c r="I638" i="1"/>
  <c r="H638" i="1"/>
  <c r="G638" i="1"/>
  <c r="E638" i="1"/>
  <c r="D638" i="1"/>
  <c r="C638" i="1"/>
  <c r="AV637" i="1"/>
  <c r="AT637" i="1"/>
  <c r="AR637" i="1"/>
  <c r="I637" i="1"/>
  <c r="H637" i="1"/>
  <c r="G637" i="1"/>
  <c r="E637" i="1"/>
  <c r="D637" i="1"/>
  <c r="C637" i="1"/>
  <c r="AW636" i="1"/>
  <c r="AV636" i="1"/>
  <c r="AT636" i="1"/>
  <c r="AR636" i="1"/>
  <c r="I636" i="1"/>
  <c r="H636" i="1"/>
  <c r="G636" i="1"/>
  <c r="E636" i="1"/>
  <c r="D636" i="1"/>
  <c r="C636" i="1"/>
  <c r="AV635" i="1"/>
  <c r="AT635" i="1"/>
  <c r="AR635" i="1"/>
  <c r="I635" i="1"/>
  <c r="H635" i="1"/>
  <c r="G635" i="1"/>
  <c r="E635" i="1"/>
  <c r="D635" i="1"/>
  <c r="C635" i="1"/>
  <c r="AW634" i="1"/>
  <c r="AV634" i="1"/>
  <c r="AT634" i="1"/>
  <c r="AR634" i="1"/>
  <c r="I634" i="1"/>
  <c r="H634" i="1"/>
  <c r="E634" i="1"/>
  <c r="D634" i="1"/>
  <c r="C634" i="1"/>
  <c r="AW633" i="1"/>
  <c r="AV633" i="1"/>
  <c r="AT633" i="1"/>
  <c r="AR633" i="1"/>
  <c r="I633" i="1"/>
  <c r="H633" i="1"/>
  <c r="G633" i="1"/>
  <c r="E633" i="1"/>
  <c r="D633" i="1"/>
  <c r="C633" i="1"/>
  <c r="AV632" i="1"/>
  <c r="AT632" i="1"/>
  <c r="I632" i="1"/>
  <c r="H632" i="1"/>
  <c r="E632" i="1"/>
  <c r="D632" i="1"/>
  <c r="C632" i="1"/>
  <c r="AV631" i="1"/>
  <c r="AT631" i="1"/>
  <c r="AR631" i="1"/>
  <c r="I631" i="1"/>
  <c r="H631" i="1"/>
  <c r="G631" i="1"/>
  <c r="E631" i="1"/>
  <c r="D631" i="1"/>
  <c r="C631" i="1"/>
  <c r="AW630" i="1"/>
  <c r="AV630" i="1"/>
  <c r="AT630" i="1"/>
  <c r="AR630" i="1"/>
  <c r="I630" i="1"/>
  <c r="H630" i="1"/>
  <c r="E630" i="1"/>
  <c r="D630" i="1"/>
  <c r="C630" i="1"/>
  <c r="AV629" i="1"/>
  <c r="AT629" i="1"/>
  <c r="AR629" i="1"/>
  <c r="I629" i="1"/>
  <c r="H629" i="1"/>
  <c r="E629" i="1"/>
  <c r="D629" i="1"/>
  <c r="C629" i="1"/>
  <c r="AW628" i="1"/>
  <c r="AV628" i="1"/>
  <c r="AT628" i="1"/>
  <c r="AR628" i="1"/>
  <c r="I628" i="1"/>
  <c r="H628" i="1"/>
  <c r="G628" i="1"/>
  <c r="E628" i="1"/>
  <c r="D628" i="1"/>
  <c r="C628" i="1"/>
  <c r="AW627" i="1"/>
  <c r="AV627" i="1"/>
  <c r="AT627" i="1"/>
  <c r="AR627" i="1"/>
  <c r="I627" i="1"/>
  <c r="H627" i="1"/>
  <c r="E627" i="1"/>
  <c r="D627" i="1"/>
  <c r="C627" i="1"/>
  <c r="AW626" i="1"/>
  <c r="AV626" i="1"/>
  <c r="AT626" i="1"/>
  <c r="AR626" i="1"/>
  <c r="I626" i="1"/>
  <c r="H626" i="1"/>
  <c r="G626" i="1"/>
  <c r="E626" i="1"/>
  <c r="D626" i="1"/>
  <c r="C626" i="1"/>
  <c r="AW625" i="1"/>
  <c r="AV625" i="1"/>
  <c r="AT625" i="1"/>
  <c r="AR625" i="1"/>
  <c r="I625" i="1"/>
  <c r="H625" i="1"/>
  <c r="G625" i="1"/>
  <c r="E625" i="1"/>
  <c r="D625" i="1"/>
  <c r="C625" i="1"/>
  <c r="AV624" i="1"/>
  <c r="AT624" i="1"/>
  <c r="AR624" i="1"/>
  <c r="I624" i="1"/>
  <c r="H624" i="1"/>
  <c r="G624" i="1"/>
  <c r="E624" i="1"/>
  <c r="D624" i="1"/>
  <c r="C624" i="1"/>
  <c r="AW623" i="1"/>
  <c r="AV623" i="1"/>
  <c r="AT623" i="1"/>
  <c r="AR623" i="1"/>
  <c r="I623" i="1"/>
  <c r="H623" i="1"/>
  <c r="G623" i="1"/>
  <c r="E623" i="1"/>
  <c r="D623" i="1"/>
  <c r="C623" i="1"/>
  <c r="AV622" i="1"/>
  <c r="AT622" i="1"/>
  <c r="AR622" i="1"/>
  <c r="I622" i="1"/>
  <c r="H622" i="1"/>
  <c r="G622" i="1"/>
  <c r="E622" i="1"/>
  <c r="D622" i="1"/>
  <c r="C622" i="1"/>
  <c r="AW621" i="1"/>
  <c r="AV621" i="1"/>
  <c r="AT621" i="1"/>
  <c r="AR621" i="1"/>
  <c r="I621" i="1"/>
  <c r="H621" i="1"/>
  <c r="E621" i="1"/>
  <c r="D621" i="1"/>
  <c r="C621" i="1"/>
  <c r="AV620" i="1"/>
  <c r="AT620" i="1"/>
  <c r="I620" i="1"/>
  <c r="H620" i="1"/>
  <c r="E620" i="1"/>
  <c r="D620" i="1"/>
  <c r="C620" i="1"/>
  <c r="AV619" i="1"/>
  <c r="AT619" i="1"/>
  <c r="AR619" i="1"/>
  <c r="I619" i="1"/>
  <c r="H619" i="1"/>
  <c r="G619" i="1"/>
  <c r="E619" i="1"/>
  <c r="D619" i="1"/>
  <c r="C619" i="1"/>
  <c r="AV618" i="1"/>
  <c r="AT618" i="1"/>
  <c r="I618" i="1"/>
  <c r="H618" i="1"/>
  <c r="G618" i="1"/>
  <c r="E618" i="1"/>
  <c r="D618" i="1"/>
  <c r="C618" i="1"/>
  <c r="AW617" i="1"/>
  <c r="AV617" i="1"/>
  <c r="AT617" i="1"/>
  <c r="AR617" i="1"/>
  <c r="I617" i="1"/>
  <c r="H617" i="1"/>
  <c r="G617" i="1"/>
  <c r="E617" i="1"/>
  <c r="D617" i="1"/>
  <c r="C617" i="1"/>
  <c r="AV616" i="1"/>
  <c r="AT616" i="1"/>
  <c r="AR616" i="1"/>
  <c r="I616" i="1"/>
  <c r="H616" i="1"/>
  <c r="G616" i="1"/>
  <c r="E616" i="1"/>
  <c r="D616" i="1"/>
  <c r="C616" i="1"/>
  <c r="AW615" i="1"/>
  <c r="AV615" i="1"/>
  <c r="AT615" i="1"/>
  <c r="AR615" i="1"/>
  <c r="I615" i="1"/>
  <c r="H615" i="1"/>
  <c r="G615" i="1"/>
  <c r="E615" i="1"/>
  <c r="D615" i="1"/>
  <c r="C615" i="1"/>
  <c r="AW614" i="1"/>
  <c r="AV614" i="1"/>
  <c r="AT614" i="1"/>
  <c r="AR614" i="1"/>
  <c r="I614" i="1"/>
  <c r="H614" i="1"/>
  <c r="E614" i="1"/>
  <c r="D614" i="1"/>
  <c r="C614" i="1"/>
  <c r="AV613" i="1"/>
  <c r="AT613" i="1"/>
  <c r="AR613" i="1"/>
  <c r="I613" i="1"/>
  <c r="H613" i="1"/>
  <c r="G613" i="1"/>
  <c r="E613" i="1"/>
  <c r="D613" i="1"/>
  <c r="C613" i="1"/>
  <c r="AV612" i="1"/>
  <c r="AT612" i="1"/>
  <c r="AR612" i="1"/>
  <c r="I612" i="1"/>
  <c r="H612" i="1"/>
  <c r="G612" i="1"/>
  <c r="E612" i="1"/>
  <c r="D612" i="1"/>
  <c r="C612" i="1"/>
  <c r="AV611" i="1"/>
  <c r="AT611" i="1"/>
  <c r="AR611" i="1"/>
  <c r="I611" i="1"/>
  <c r="H611" i="1"/>
  <c r="G611" i="1"/>
  <c r="E611" i="1"/>
  <c r="D611" i="1"/>
  <c r="C611" i="1"/>
  <c r="AV610" i="1"/>
  <c r="AT610" i="1"/>
  <c r="AR610" i="1"/>
  <c r="I610" i="1"/>
  <c r="H610" i="1"/>
  <c r="E610" i="1"/>
  <c r="D610" i="1"/>
  <c r="C610" i="1"/>
  <c r="AW609" i="1"/>
  <c r="AV609" i="1"/>
  <c r="AT609" i="1"/>
  <c r="AR609" i="1"/>
  <c r="I609" i="1"/>
  <c r="H609" i="1"/>
  <c r="G609" i="1"/>
  <c r="E609" i="1"/>
  <c r="D609" i="1"/>
  <c r="C609" i="1"/>
  <c r="AW608" i="1"/>
  <c r="AV608" i="1"/>
  <c r="AT608" i="1"/>
  <c r="AR608" i="1"/>
  <c r="I608" i="1"/>
  <c r="H608" i="1"/>
  <c r="G608" i="1"/>
  <c r="E608" i="1"/>
  <c r="D608" i="1"/>
  <c r="C608" i="1"/>
  <c r="AV607" i="1"/>
  <c r="AT607" i="1"/>
  <c r="AR607" i="1"/>
  <c r="I607" i="1"/>
  <c r="H607" i="1"/>
  <c r="G607" i="1"/>
  <c r="E607" i="1"/>
  <c r="D607" i="1"/>
  <c r="C607" i="1"/>
  <c r="AW606" i="1"/>
  <c r="AV606" i="1"/>
  <c r="AT606" i="1"/>
  <c r="AR606" i="1"/>
  <c r="I606" i="1"/>
  <c r="H606" i="1"/>
  <c r="G606" i="1"/>
  <c r="E606" i="1"/>
  <c r="D606" i="1"/>
  <c r="C606" i="1"/>
  <c r="AW605" i="1"/>
  <c r="AV605" i="1"/>
  <c r="AT605" i="1"/>
  <c r="AR605" i="1"/>
  <c r="I605" i="1"/>
  <c r="H605" i="1"/>
  <c r="G605" i="1"/>
  <c r="E605" i="1"/>
  <c r="D605" i="1"/>
  <c r="C605" i="1"/>
  <c r="AV604" i="1"/>
  <c r="AT604" i="1"/>
  <c r="I604" i="1"/>
  <c r="H604" i="1"/>
  <c r="G604" i="1"/>
  <c r="E604" i="1"/>
  <c r="D604" i="1"/>
  <c r="C604" i="1"/>
  <c r="AW603" i="1"/>
  <c r="AV603" i="1"/>
  <c r="AT603" i="1"/>
  <c r="AR603" i="1"/>
  <c r="I603" i="1"/>
  <c r="H603" i="1"/>
  <c r="G603" i="1"/>
  <c r="E603" i="1"/>
  <c r="D603" i="1"/>
  <c r="C603" i="1"/>
  <c r="AV602" i="1"/>
  <c r="AT602" i="1"/>
  <c r="AR602" i="1"/>
  <c r="I602" i="1"/>
  <c r="H602" i="1"/>
  <c r="G602" i="1"/>
  <c r="E602" i="1"/>
  <c r="D602" i="1"/>
  <c r="C602" i="1"/>
  <c r="AW601" i="1"/>
  <c r="AV601" i="1"/>
  <c r="AT601" i="1"/>
  <c r="AR601" i="1"/>
  <c r="I601" i="1"/>
  <c r="H601" i="1"/>
  <c r="G601" i="1"/>
  <c r="E601" i="1"/>
  <c r="D601" i="1"/>
  <c r="C601" i="1"/>
  <c r="AW600" i="1"/>
  <c r="AV600" i="1"/>
  <c r="AT600" i="1"/>
  <c r="AR600" i="1"/>
  <c r="I600" i="1"/>
  <c r="H600" i="1"/>
  <c r="E600" i="1"/>
  <c r="D600" i="1"/>
  <c r="C600" i="1"/>
  <c r="AV599" i="1"/>
  <c r="AT599" i="1"/>
  <c r="AR599" i="1"/>
  <c r="I599" i="1"/>
  <c r="H599" i="1"/>
  <c r="G599" i="1"/>
  <c r="E599" i="1"/>
  <c r="D599" i="1"/>
  <c r="C599" i="1"/>
  <c r="AW598" i="1"/>
  <c r="AV598" i="1"/>
  <c r="AT598" i="1"/>
  <c r="AR598" i="1"/>
  <c r="I598" i="1"/>
  <c r="H598" i="1"/>
  <c r="G598" i="1"/>
  <c r="E598" i="1"/>
  <c r="D598" i="1"/>
  <c r="C598" i="1"/>
  <c r="AV597" i="1"/>
  <c r="AT597" i="1"/>
  <c r="AR597" i="1"/>
  <c r="I597" i="1"/>
  <c r="H597" i="1"/>
  <c r="G597" i="1"/>
  <c r="E597" i="1"/>
  <c r="D597" i="1"/>
  <c r="C597" i="1"/>
  <c r="AV596" i="1"/>
  <c r="AT596" i="1"/>
  <c r="AR596" i="1"/>
  <c r="I596" i="1"/>
  <c r="H596" i="1"/>
  <c r="G596" i="1"/>
  <c r="E596" i="1"/>
  <c r="D596" i="1"/>
  <c r="C596" i="1"/>
  <c r="AV595" i="1"/>
  <c r="AT595" i="1"/>
  <c r="AR595" i="1"/>
  <c r="I595" i="1"/>
  <c r="H595" i="1"/>
  <c r="E595" i="1"/>
  <c r="D595" i="1"/>
  <c r="C595" i="1"/>
  <c r="AW594" i="1"/>
  <c r="AV594" i="1"/>
  <c r="AT594" i="1"/>
  <c r="AR594" i="1"/>
  <c r="I594" i="1"/>
  <c r="H594" i="1"/>
  <c r="G594" i="1"/>
  <c r="E594" i="1"/>
  <c r="D594" i="1"/>
  <c r="C594" i="1"/>
  <c r="AW593" i="1"/>
  <c r="AV593" i="1"/>
  <c r="AT593" i="1"/>
  <c r="AR593" i="1"/>
  <c r="I593" i="1"/>
  <c r="H593" i="1"/>
  <c r="G593" i="1"/>
  <c r="E593" i="1"/>
  <c r="D593" i="1"/>
  <c r="C593" i="1"/>
  <c r="AV592" i="1"/>
  <c r="AT592" i="1"/>
  <c r="AR592" i="1"/>
  <c r="I592" i="1"/>
  <c r="H592" i="1"/>
  <c r="G592" i="1"/>
  <c r="E592" i="1"/>
  <c r="D592" i="1"/>
  <c r="C592" i="1"/>
  <c r="AV591" i="1"/>
  <c r="AT591" i="1"/>
  <c r="AR591" i="1"/>
  <c r="I591" i="1"/>
  <c r="H591" i="1"/>
  <c r="G591" i="1"/>
  <c r="E591" i="1"/>
  <c r="D591" i="1"/>
  <c r="C591" i="1"/>
  <c r="AW590" i="1"/>
  <c r="AV590" i="1"/>
  <c r="AT590" i="1"/>
  <c r="AR590" i="1"/>
  <c r="I590" i="1"/>
  <c r="H590" i="1"/>
  <c r="E590" i="1"/>
  <c r="D590" i="1"/>
  <c r="C590" i="1"/>
  <c r="AV589" i="1"/>
  <c r="AT589" i="1"/>
  <c r="AR589" i="1"/>
  <c r="I589" i="1"/>
  <c r="H589" i="1"/>
  <c r="E589" i="1"/>
  <c r="D589" i="1"/>
  <c r="C589" i="1"/>
  <c r="AW588" i="1"/>
  <c r="AV588" i="1"/>
  <c r="AT588" i="1"/>
  <c r="AR588" i="1"/>
  <c r="I588" i="1"/>
  <c r="H588" i="1"/>
  <c r="G588" i="1"/>
  <c r="E588" i="1"/>
  <c r="D588" i="1"/>
  <c r="C588" i="1"/>
  <c r="AW587" i="1"/>
  <c r="AV587" i="1"/>
  <c r="AT587" i="1"/>
  <c r="AR587" i="1"/>
  <c r="I587" i="1"/>
  <c r="H587" i="1"/>
  <c r="E587" i="1"/>
  <c r="D587" i="1"/>
  <c r="C587" i="1"/>
  <c r="AV586" i="1"/>
  <c r="AT586" i="1"/>
  <c r="AR586" i="1"/>
  <c r="I586" i="1"/>
  <c r="H586" i="1"/>
  <c r="G586" i="1"/>
  <c r="E586" i="1"/>
  <c r="D586" i="1"/>
  <c r="C586" i="1"/>
  <c r="AW585" i="1"/>
  <c r="AV585" i="1"/>
  <c r="AT585" i="1"/>
  <c r="AR585" i="1"/>
  <c r="I585" i="1"/>
  <c r="H585" i="1"/>
  <c r="G585" i="1"/>
  <c r="E585" i="1"/>
  <c r="D585" i="1"/>
  <c r="C585" i="1"/>
  <c r="AW584" i="1"/>
  <c r="AV584" i="1"/>
  <c r="AT584" i="1"/>
  <c r="AR584" i="1"/>
  <c r="I584" i="1"/>
  <c r="H584" i="1"/>
  <c r="G584" i="1"/>
  <c r="E584" i="1"/>
  <c r="D584" i="1"/>
  <c r="C584" i="1"/>
  <c r="AV583" i="1"/>
  <c r="AT583" i="1"/>
  <c r="AR583" i="1"/>
  <c r="I583" i="1"/>
  <c r="H583" i="1"/>
  <c r="G583" i="1"/>
  <c r="E583" i="1"/>
  <c r="D583" i="1"/>
  <c r="C583" i="1"/>
  <c r="AW582" i="1"/>
  <c r="AV582" i="1"/>
  <c r="AT582" i="1"/>
  <c r="AR582" i="1"/>
  <c r="I582" i="1"/>
  <c r="H582" i="1"/>
  <c r="G582" i="1"/>
  <c r="E582" i="1"/>
  <c r="D582" i="1"/>
  <c r="C582" i="1"/>
  <c r="AW581" i="1"/>
  <c r="AV581" i="1"/>
  <c r="AT581" i="1"/>
  <c r="AR581" i="1"/>
  <c r="I581" i="1"/>
  <c r="H581" i="1"/>
  <c r="E581" i="1"/>
  <c r="D581" i="1"/>
  <c r="C581" i="1"/>
  <c r="AV580" i="1"/>
  <c r="AT580" i="1"/>
  <c r="AR580" i="1"/>
  <c r="I580" i="1"/>
  <c r="H580" i="1"/>
  <c r="E580" i="1"/>
  <c r="D580" i="1"/>
  <c r="C580" i="1"/>
  <c r="AV579" i="1"/>
  <c r="AT579" i="1"/>
  <c r="AR579" i="1"/>
  <c r="I579" i="1"/>
  <c r="H579" i="1"/>
  <c r="G579" i="1"/>
  <c r="E579" i="1"/>
  <c r="D579" i="1"/>
  <c r="C579" i="1"/>
  <c r="AW578" i="1"/>
  <c r="AV578" i="1"/>
  <c r="AT578" i="1"/>
  <c r="AR578" i="1"/>
  <c r="I578" i="1"/>
  <c r="H578" i="1"/>
  <c r="E578" i="1"/>
  <c r="D578" i="1"/>
  <c r="C578" i="1"/>
  <c r="AV577" i="1"/>
  <c r="AT577" i="1"/>
  <c r="AR577" i="1"/>
  <c r="I577" i="1"/>
  <c r="H577" i="1"/>
  <c r="E577" i="1"/>
  <c r="D577" i="1"/>
  <c r="C577" i="1"/>
  <c r="AW576" i="1"/>
  <c r="AV576" i="1"/>
  <c r="AT576" i="1"/>
  <c r="AR576" i="1"/>
  <c r="I576" i="1"/>
  <c r="H576" i="1"/>
  <c r="G576" i="1"/>
  <c r="E576" i="1"/>
  <c r="D576" i="1"/>
  <c r="C576" i="1"/>
  <c r="AV575" i="1"/>
  <c r="AT575" i="1"/>
  <c r="AR575" i="1"/>
  <c r="I575" i="1"/>
  <c r="H575" i="1"/>
  <c r="G575" i="1"/>
  <c r="E575" i="1"/>
  <c r="D575" i="1"/>
  <c r="C575" i="1"/>
  <c r="AW574" i="1"/>
  <c r="AV574" i="1"/>
  <c r="AT574" i="1"/>
  <c r="AR574" i="1"/>
  <c r="I574" i="1"/>
  <c r="H574" i="1"/>
  <c r="G574" i="1"/>
  <c r="E574" i="1"/>
  <c r="D574" i="1"/>
  <c r="C574" i="1"/>
  <c r="AW573" i="1"/>
  <c r="AV573" i="1"/>
  <c r="AT573" i="1"/>
  <c r="AR573" i="1"/>
  <c r="I573" i="1"/>
  <c r="H573" i="1"/>
  <c r="G573" i="1"/>
  <c r="E573" i="1"/>
  <c r="D573" i="1"/>
  <c r="C573" i="1"/>
  <c r="AW572" i="1"/>
  <c r="AV572" i="1"/>
  <c r="AT572" i="1"/>
  <c r="AR572" i="1"/>
  <c r="I572" i="1"/>
  <c r="H572" i="1"/>
  <c r="G572" i="1"/>
  <c r="E572" i="1"/>
  <c r="D572" i="1"/>
  <c r="C572" i="1"/>
  <c r="AV571" i="1"/>
  <c r="AT571" i="1"/>
  <c r="AR571" i="1"/>
  <c r="I571" i="1"/>
  <c r="H571" i="1"/>
  <c r="G571" i="1"/>
  <c r="E571" i="1"/>
  <c r="D571" i="1"/>
  <c r="C571" i="1"/>
  <c r="AW570" i="1"/>
  <c r="AV570" i="1"/>
  <c r="AT570" i="1"/>
  <c r="AR570" i="1"/>
  <c r="I570" i="1"/>
  <c r="H570" i="1"/>
  <c r="G570" i="1"/>
  <c r="E570" i="1"/>
  <c r="D570" i="1"/>
  <c r="C570" i="1"/>
  <c r="AW569" i="1"/>
  <c r="AV569" i="1"/>
  <c r="AT569" i="1"/>
  <c r="AR569" i="1"/>
  <c r="I569" i="1"/>
  <c r="H569" i="1"/>
  <c r="E569" i="1"/>
  <c r="D569" i="1"/>
  <c r="C569" i="1"/>
  <c r="AV568" i="1"/>
  <c r="AT568" i="1"/>
  <c r="I568" i="1"/>
  <c r="H568" i="1"/>
  <c r="E568" i="1"/>
  <c r="D568" i="1"/>
  <c r="C568" i="1"/>
  <c r="AW567" i="1"/>
  <c r="AV567" i="1"/>
  <c r="AT567" i="1"/>
  <c r="AR567" i="1"/>
  <c r="I567" i="1"/>
  <c r="H567" i="1"/>
  <c r="E567" i="1"/>
  <c r="D567" i="1"/>
  <c r="C567" i="1"/>
  <c r="AV566" i="1"/>
  <c r="AT566" i="1"/>
  <c r="AR566" i="1"/>
  <c r="I566" i="1"/>
  <c r="H566" i="1"/>
  <c r="G566" i="1"/>
  <c r="E566" i="1"/>
  <c r="D566" i="1"/>
  <c r="C566" i="1"/>
  <c r="AW565" i="1"/>
  <c r="AV565" i="1"/>
  <c r="AT565" i="1"/>
  <c r="AR565" i="1"/>
  <c r="I565" i="1"/>
  <c r="H565" i="1"/>
  <c r="G565" i="1"/>
  <c r="E565" i="1"/>
  <c r="D565" i="1"/>
  <c r="C565" i="1"/>
  <c r="AW564" i="1"/>
  <c r="AV564" i="1"/>
  <c r="AT564" i="1"/>
  <c r="AR564" i="1"/>
  <c r="I564" i="1"/>
  <c r="H564" i="1"/>
  <c r="G564" i="1"/>
  <c r="E564" i="1"/>
  <c r="D564" i="1"/>
  <c r="C564" i="1"/>
  <c r="AV563" i="1"/>
  <c r="AT563" i="1"/>
  <c r="AR563" i="1"/>
  <c r="I563" i="1"/>
  <c r="H563" i="1"/>
  <c r="G563" i="1"/>
  <c r="E563" i="1"/>
  <c r="D563" i="1"/>
  <c r="C563" i="1"/>
  <c r="AW562" i="1"/>
  <c r="AV562" i="1"/>
  <c r="AT562" i="1"/>
  <c r="AR562" i="1"/>
  <c r="I562" i="1"/>
  <c r="H562" i="1"/>
  <c r="G562" i="1"/>
  <c r="E562" i="1"/>
  <c r="D562" i="1"/>
  <c r="C562" i="1"/>
  <c r="AV561" i="1"/>
  <c r="AT561" i="1"/>
  <c r="AR561" i="1"/>
  <c r="I561" i="1"/>
  <c r="H561" i="1"/>
  <c r="G561" i="1"/>
  <c r="E561" i="1"/>
  <c r="D561" i="1"/>
  <c r="C561" i="1"/>
  <c r="AW560" i="1"/>
  <c r="AV560" i="1"/>
  <c r="AT560" i="1"/>
  <c r="AR560" i="1"/>
  <c r="I560" i="1"/>
  <c r="H560" i="1"/>
  <c r="G560" i="1"/>
  <c r="E560" i="1"/>
  <c r="D560" i="1"/>
  <c r="C560" i="1"/>
  <c r="AV559" i="1"/>
  <c r="AT559" i="1"/>
  <c r="AR559" i="1"/>
  <c r="I559" i="1"/>
  <c r="H559" i="1"/>
  <c r="G559" i="1"/>
  <c r="E559" i="1"/>
  <c r="D559" i="1"/>
  <c r="C559" i="1"/>
  <c r="AV558" i="1"/>
  <c r="AT558" i="1"/>
  <c r="I558" i="1"/>
  <c r="H558" i="1"/>
  <c r="G558" i="1"/>
  <c r="E558" i="1"/>
  <c r="D558" i="1"/>
  <c r="C558" i="1"/>
  <c r="AV557" i="1"/>
  <c r="AT557" i="1"/>
  <c r="I557" i="1"/>
  <c r="H557" i="1"/>
  <c r="E557" i="1"/>
  <c r="D557" i="1"/>
  <c r="C557" i="1"/>
  <c r="AW556" i="1"/>
  <c r="AV556" i="1"/>
  <c r="AT556" i="1"/>
  <c r="AR556" i="1"/>
  <c r="I556" i="1"/>
  <c r="H556" i="1"/>
  <c r="G556" i="1"/>
  <c r="E556" i="1"/>
  <c r="D556" i="1"/>
  <c r="C556" i="1"/>
  <c r="AW555" i="1"/>
  <c r="AV555" i="1"/>
  <c r="AT555" i="1"/>
  <c r="AR555" i="1"/>
  <c r="I555" i="1"/>
  <c r="H555" i="1"/>
  <c r="G555" i="1"/>
  <c r="E555" i="1"/>
  <c r="D555" i="1"/>
  <c r="C555" i="1"/>
  <c r="AV554" i="1"/>
  <c r="AT554" i="1"/>
  <c r="AR554" i="1"/>
  <c r="I554" i="1"/>
  <c r="H554" i="1"/>
  <c r="G554" i="1"/>
  <c r="E554" i="1"/>
  <c r="D554" i="1"/>
  <c r="C554" i="1"/>
  <c r="AW553" i="1"/>
  <c r="AV553" i="1"/>
  <c r="AT553" i="1"/>
  <c r="AR553" i="1"/>
  <c r="I553" i="1"/>
  <c r="H553" i="1"/>
  <c r="G553" i="1"/>
  <c r="E553" i="1"/>
  <c r="D553" i="1"/>
  <c r="C553" i="1"/>
  <c r="AV552" i="1"/>
  <c r="AT552" i="1"/>
  <c r="AR552" i="1"/>
  <c r="I552" i="1"/>
  <c r="H552" i="1"/>
  <c r="G552" i="1"/>
  <c r="E552" i="1"/>
  <c r="D552" i="1"/>
  <c r="C552" i="1"/>
  <c r="AV551" i="1"/>
  <c r="AT551" i="1"/>
  <c r="I551" i="1"/>
  <c r="H551" i="1"/>
  <c r="G551" i="1"/>
  <c r="E551" i="1"/>
  <c r="D551" i="1"/>
  <c r="C551" i="1"/>
  <c r="AV550" i="1"/>
  <c r="AT550" i="1"/>
  <c r="AR550" i="1"/>
  <c r="I550" i="1"/>
  <c r="H550" i="1"/>
  <c r="G550" i="1"/>
  <c r="E550" i="1"/>
  <c r="D550" i="1"/>
  <c r="C550" i="1"/>
  <c r="AV549" i="1"/>
  <c r="AT549" i="1"/>
  <c r="AR549" i="1"/>
  <c r="I549" i="1"/>
  <c r="H549" i="1"/>
  <c r="G549" i="1"/>
  <c r="E549" i="1"/>
  <c r="D549" i="1"/>
  <c r="C549" i="1"/>
  <c r="AW548" i="1"/>
  <c r="AV548" i="1"/>
  <c r="AT548" i="1"/>
  <c r="AR548" i="1"/>
  <c r="I548" i="1"/>
  <c r="H548" i="1"/>
  <c r="G548" i="1"/>
  <c r="E548" i="1"/>
  <c r="D548" i="1"/>
  <c r="C548" i="1"/>
  <c r="AV547" i="1"/>
  <c r="AT547" i="1"/>
  <c r="AR547" i="1"/>
  <c r="I547" i="1"/>
  <c r="H547" i="1"/>
  <c r="G547" i="1"/>
  <c r="E547" i="1"/>
  <c r="D547" i="1"/>
  <c r="C547" i="1"/>
  <c r="AW546" i="1"/>
  <c r="AV546" i="1"/>
  <c r="AT546" i="1"/>
  <c r="AR546" i="1"/>
  <c r="I546" i="1"/>
  <c r="H546" i="1"/>
  <c r="E546" i="1"/>
  <c r="D546" i="1"/>
  <c r="C546" i="1"/>
  <c r="AV545" i="1"/>
  <c r="AT545" i="1"/>
  <c r="I545" i="1"/>
  <c r="H545" i="1"/>
  <c r="G545" i="1"/>
  <c r="E545" i="1"/>
  <c r="D545" i="1"/>
  <c r="C545" i="1"/>
  <c r="AV544" i="1"/>
  <c r="AT544" i="1"/>
  <c r="AR544" i="1"/>
  <c r="I544" i="1"/>
  <c r="H544" i="1"/>
  <c r="E544" i="1"/>
  <c r="D544" i="1"/>
  <c r="C544" i="1"/>
  <c r="AW543" i="1"/>
  <c r="AV543" i="1"/>
  <c r="AT543" i="1"/>
  <c r="AR543" i="1"/>
  <c r="I543" i="1"/>
  <c r="H543" i="1"/>
  <c r="G543" i="1"/>
  <c r="E543" i="1"/>
  <c r="D543" i="1"/>
  <c r="C543" i="1"/>
  <c r="AW542" i="1"/>
  <c r="AV542" i="1"/>
  <c r="AT542" i="1"/>
  <c r="AR542" i="1"/>
  <c r="I542" i="1"/>
  <c r="H542" i="1"/>
  <c r="E542" i="1"/>
  <c r="D542" i="1"/>
  <c r="C542" i="1"/>
  <c r="AV541" i="1"/>
  <c r="AT541" i="1"/>
  <c r="AR541" i="1"/>
  <c r="I541" i="1"/>
  <c r="H541" i="1"/>
  <c r="G541" i="1"/>
  <c r="E541" i="1"/>
  <c r="D541" i="1"/>
  <c r="C541" i="1"/>
  <c r="AW540" i="1"/>
  <c r="AV540" i="1"/>
  <c r="AT540" i="1"/>
  <c r="AR540" i="1"/>
  <c r="I540" i="1"/>
  <c r="H540" i="1"/>
  <c r="G540" i="1"/>
  <c r="E540" i="1"/>
  <c r="D540" i="1"/>
  <c r="C540" i="1"/>
  <c r="AV539" i="1"/>
  <c r="AT539" i="1"/>
  <c r="AR539" i="1"/>
  <c r="I539" i="1"/>
  <c r="H539" i="1"/>
  <c r="G539" i="1"/>
  <c r="E539" i="1"/>
  <c r="D539" i="1"/>
  <c r="C539" i="1"/>
  <c r="AV538" i="1"/>
  <c r="AT538" i="1"/>
  <c r="I538" i="1"/>
  <c r="H538" i="1"/>
  <c r="G538" i="1"/>
  <c r="E538" i="1"/>
  <c r="D538" i="1"/>
  <c r="C538" i="1"/>
  <c r="AV537" i="1"/>
  <c r="AT537" i="1"/>
  <c r="I537" i="1"/>
  <c r="H537" i="1"/>
  <c r="E537" i="1"/>
  <c r="D537" i="1"/>
  <c r="C537" i="1"/>
  <c r="AV536" i="1"/>
  <c r="AT536" i="1"/>
  <c r="I536" i="1"/>
  <c r="H536" i="1"/>
  <c r="E536" i="1"/>
  <c r="D536" i="1"/>
  <c r="C536" i="1"/>
  <c r="AW535" i="1"/>
  <c r="AV535" i="1"/>
  <c r="AT535" i="1"/>
  <c r="AR535" i="1"/>
  <c r="I535" i="1"/>
  <c r="H535" i="1"/>
  <c r="G535" i="1"/>
  <c r="E535" i="1"/>
  <c r="D535" i="1"/>
  <c r="C535" i="1"/>
  <c r="AW534" i="1"/>
  <c r="AV534" i="1"/>
  <c r="AT534" i="1"/>
  <c r="AR534" i="1"/>
  <c r="I534" i="1"/>
  <c r="H534" i="1"/>
  <c r="G534" i="1"/>
  <c r="E534" i="1"/>
  <c r="D534" i="1"/>
  <c r="C534" i="1"/>
  <c r="AV533" i="1"/>
  <c r="AT533" i="1"/>
  <c r="AR533" i="1"/>
  <c r="I533" i="1"/>
  <c r="H533" i="1"/>
  <c r="G533" i="1"/>
  <c r="E533" i="1"/>
  <c r="D533" i="1"/>
  <c r="C533" i="1"/>
  <c r="AW532" i="1"/>
  <c r="AV532" i="1"/>
  <c r="AT532" i="1"/>
  <c r="AR532" i="1"/>
  <c r="I532" i="1"/>
  <c r="H532" i="1"/>
  <c r="G532" i="1"/>
  <c r="E532" i="1"/>
  <c r="D532" i="1"/>
  <c r="C532" i="1"/>
  <c r="AW531" i="1"/>
  <c r="AV531" i="1"/>
  <c r="AT531" i="1"/>
  <c r="AR531" i="1"/>
  <c r="I531" i="1"/>
  <c r="H531" i="1"/>
  <c r="G531" i="1"/>
  <c r="E531" i="1"/>
  <c r="D531" i="1"/>
  <c r="C531" i="1"/>
  <c r="AV530" i="1"/>
  <c r="AT530" i="1"/>
  <c r="AR530" i="1"/>
  <c r="I530" i="1"/>
  <c r="H530" i="1"/>
  <c r="E530" i="1"/>
  <c r="D530" i="1"/>
  <c r="C530" i="1"/>
  <c r="AW529" i="1"/>
  <c r="AV529" i="1"/>
  <c r="AT529" i="1"/>
  <c r="AR529" i="1"/>
  <c r="I529" i="1"/>
  <c r="H529" i="1"/>
  <c r="E529" i="1"/>
  <c r="D529" i="1"/>
  <c r="C529" i="1"/>
  <c r="AV528" i="1"/>
  <c r="AT528" i="1"/>
  <c r="AR528" i="1"/>
  <c r="I528" i="1"/>
  <c r="H528" i="1"/>
  <c r="E528" i="1"/>
  <c r="D528" i="1"/>
  <c r="C528" i="1"/>
  <c r="AW527" i="1"/>
  <c r="AV527" i="1"/>
  <c r="AT527" i="1"/>
  <c r="AR527" i="1"/>
  <c r="I527" i="1"/>
  <c r="H527" i="1"/>
  <c r="G527" i="1"/>
  <c r="E527" i="1"/>
  <c r="D527" i="1"/>
  <c r="C527" i="1"/>
  <c r="AW526" i="1"/>
  <c r="AV526" i="1"/>
  <c r="AT526" i="1"/>
  <c r="AR526" i="1"/>
  <c r="I526" i="1"/>
  <c r="H526" i="1"/>
  <c r="E526" i="1"/>
  <c r="D526" i="1"/>
  <c r="C526" i="1"/>
  <c r="AV525" i="1"/>
  <c r="AT525" i="1"/>
  <c r="AR525" i="1"/>
  <c r="I525" i="1"/>
  <c r="H525" i="1"/>
  <c r="G525" i="1"/>
  <c r="E525" i="1"/>
  <c r="D525" i="1"/>
  <c r="C525" i="1"/>
  <c r="AV524" i="1"/>
  <c r="AT524" i="1"/>
  <c r="I524" i="1"/>
  <c r="H524" i="1"/>
  <c r="E524" i="1"/>
  <c r="D524" i="1"/>
  <c r="C524" i="1"/>
  <c r="AW523" i="1"/>
  <c r="AV523" i="1"/>
  <c r="AT523" i="1"/>
  <c r="AR523" i="1"/>
  <c r="I523" i="1"/>
  <c r="H523" i="1"/>
  <c r="G523" i="1"/>
  <c r="E523" i="1"/>
  <c r="D523" i="1"/>
  <c r="C523" i="1"/>
  <c r="AV522" i="1"/>
  <c r="AT522" i="1"/>
  <c r="I522" i="1"/>
  <c r="H522" i="1"/>
  <c r="E522" i="1"/>
  <c r="D522" i="1"/>
  <c r="C522" i="1"/>
  <c r="AW521" i="1"/>
  <c r="AV521" i="1"/>
  <c r="AT521" i="1"/>
  <c r="AR521" i="1"/>
  <c r="I521" i="1"/>
  <c r="H521" i="1"/>
  <c r="G521" i="1"/>
  <c r="E521" i="1"/>
  <c r="D521" i="1"/>
  <c r="C521" i="1"/>
  <c r="AW520" i="1"/>
  <c r="AV520" i="1"/>
  <c r="AT520" i="1"/>
  <c r="AR520" i="1"/>
  <c r="I520" i="1"/>
  <c r="H520" i="1"/>
  <c r="G520" i="1"/>
  <c r="E520" i="1"/>
  <c r="D520" i="1"/>
  <c r="C520" i="1"/>
  <c r="AV519" i="1"/>
  <c r="AT519" i="1"/>
  <c r="AR519" i="1"/>
  <c r="I519" i="1"/>
  <c r="H519" i="1"/>
  <c r="G519" i="1"/>
  <c r="E519" i="1"/>
  <c r="D519" i="1"/>
  <c r="C519" i="1"/>
  <c r="AV518" i="1"/>
  <c r="AT518" i="1"/>
  <c r="AR518" i="1"/>
  <c r="I518" i="1"/>
  <c r="H518" i="1"/>
  <c r="G518" i="1"/>
  <c r="E518" i="1"/>
  <c r="D518" i="1"/>
  <c r="C518" i="1"/>
  <c r="AW517" i="1"/>
  <c r="AV517" i="1"/>
  <c r="AT517" i="1"/>
  <c r="AR517" i="1"/>
  <c r="I517" i="1"/>
  <c r="H517" i="1"/>
  <c r="G517" i="1"/>
  <c r="E517" i="1"/>
  <c r="D517" i="1"/>
  <c r="C517" i="1"/>
  <c r="AW516" i="1"/>
  <c r="AV516" i="1"/>
  <c r="AT516" i="1"/>
  <c r="AR516" i="1"/>
  <c r="I516" i="1"/>
  <c r="H516" i="1"/>
  <c r="G516" i="1"/>
  <c r="E516" i="1"/>
  <c r="D516" i="1"/>
  <c r="C516" i="1"/>
  <c r="AV515" i="1"/>
  <c r="AT515" i="1"/>
  <c r="AR515" i="1"/>
  <c r="I515" i="1"/>
  <c r="H515" i="1"/>
  <c r="E515" i="1"/>
  <c r="D515" i="1"/>
  <c r="C515" i="1"/>
  <c r="AW514" i="1"/>
  <c r="AV514" i="1"/>
  <c r="AT514" i="1"/>
  <c r="AR514" i="1"/>
  <c r="I514" i="1"/>
  <c r="H514" i="1"/>
  <c r="E514" i="1"/>
  <c r="D514" i="1"/>
  <c r="C514" i="1"/>
  <c r="AV513" i="1"/>
  <c r="AT513" i="1"/>
  <c r="AR513" i="1"/>
  <c r="I513" i="1"/>
  <c r="H513" i="1"/>
  <c r="E513" i="1"/>
  <c r="D513" i="1"/>
  <c r="C513" i="1"/>
  <c r="AW512" i="1"/>
  <c r="AV512" i="1"/>
  <c r="AT512" i="1"/>
  <c r="AR512" i="1"/>
  <c r="I512" i="1"/>
  <c r="H512" i="1"/>
  <c r="E512" i="1"/>
  <c r="D512" i="1"/>
  <c r="C512" i="1"/>
  <c r="AW511" i="1"/>
  <c r="AV511" i="1"/>
  <c r="AT511" i="1"/>
  <c r="AR511" i="1"/>
  <c r="I511" i="1"/>
  <c r="H511" i="1"/>
  <c r="G511" i="1"/>
  <c r="E511" i="1"/>
  <c r="D511" i="1"/>
  <c r="C511" i="1"/>
  <c r="AW510" i="1"/>
  <c r="AV510" i="1"/>
  <c r="AT510" i="1"/>
  <c r="AR510" i="1"/>
  <c r="I510" i="1"/>
  <c r="H510" i="1"/>
  <c r="G510" i="1"/>
  <c r="E510" i="1"/>
  <c r="D510" i="1"/>
  <c r="C510" i="1"/>
  <c r="AW509" i="1"/>
  <c r="AV509" i="1"/>
  <c r="AT509" i="1"/>
  <c r="AR509" i="1"/>
  <c r="I509" i="1"/>
  <c r="H509" i="1"/>
  <c r="G509" i="1"/>
  <c r="E509" i="1"/>
  <c r="D509" i="1"/>
  <c r="C509" i="1"/>
  <c r="AV508" i="1"/>
  <c r="AT508" i="1"/>
  <c r="AR508" i="1"/>
  <c r="I508" i="1"/>
  <c r="H508" i="1"/>
  <c r="G508" i="1"/>
  <c r="E508" i="1"/>
  <c r="D508" i="1"/>
  <c r="C508" i="1"/>
  <c r="AV507" i="1"/>
  <c r="AT507" i="1"/>
  <c r="AR507" i="1"/>
  <c r="I507" i="1"/>
  <c r="H507" i="1"/>
  <c r="G507" i="1"/>
  <c r="E507" i="1"/>
  <c r="D507" i="1"/>
  <c r="C507" i="1"/>
  <c r="AV506" i="1"/>
  <c r="AT506" i="1"/>
  <c r="AR506" i="1"/>
  <c r="I506" i="1"/>
  <c r="H506" i="1"/>
  <c r="G506" i="1"/>
  <c r="E506" i="1"/>
  <c r="D506" i="1"/>
  <c r="C506" i="1"/>
  <c r="AW505" i="1"/>
  <c r="AV505" i="1"/>
  <c r="AT505" i="1"/>
  <c r="AR505" i="1"/>
  <c r="I505" i="1"/>
  <c r="H505" i="1"/>
  <c r="E505" i="1"/>
  <c r="D505" i="1"/>
  <c r="C505" i="1"/>
  <c r="AW504" i="1"/>
  <c r="AV504" i="1"/>
  <c r="AT504" i="1"/>
  <c r="AR504" i="1"/>
  <c r="I504" i="1"/>
  <c r="H504" i="1"/>
  <c r="G504" i="1"/>
  <c r="E504" i="1"/>
  <c r="D504" i="1"/>
  <c r="C504" i="1"/>
  <c r="AV503" i="1"/>
  <c r="AT503" i="1"/>
  <c r="I503" i="1"/>
  <c r="H503" i="1"/>
  <c r="E503" i="1"/>
  <c r="D503" i="1"/>
  <c r="C503" i="1"/>
  <c r="AV502" i="1"/>
  <c r="AT502" i="1"/>
  <c r="AR502" i="1"/>
  <c r="I502" i="1"/>
  <c r="H502" i="1"/>
  <c r="G502" i="1"/>
  <c r="E502" i="1"/>
  <c r="D502" i="1"/>
  <c r="C502" i="1"/>
  <c r="AV501" i="1"/>
  <c r="AT501" i="1"/>
  <c r="AR501" i="1"/>
  <c r="I501" i="1"/>
  <c r="H501" i="1"/>
  <c r="G501" i="1"/>
  <c r="E501" i="1"/>
  <c r="D501" i="1"/>
  <c r="C501" i="1"/>
  <c r="AW500" i="1"/>
  <c r="AV500" i="1"/>
  <c r="AT500" i="1"/>
  <c r="AR500" i="1"/>
  <c r="I500" i="1"/>
  <c r="H500" i="1"/>
  <c r="G500" i="1"/>
  <c r="E500" i="1"/>
  <c r="D500" i="1"/>
  <c r="C500" i="1"/>
  <c r="AV499" i="1"/>
  <c r="AT499" i="1"/>
  <c r="AR499" i="1"/>
  <c r="I499" i="1"/>
  <c r="H499" i="1"/>
  <c r="G499" i="1"/>
  <c r="E499" i="1"/>
  <c r="C499" i="1"/>
  <c r="AW498" i="1"/>
  <c r="AV498" i="1"/>
  <c r="AT498" i="1"/>
  <c r="AR498" i="1"/>
  <c r="I498" i="1"/>
  <c r="H498" i="1"/>
  <c r="G498" i="1"/>
  <c r="E498" i="1"/>
  <c r="D498" i="1"/>
  <c r="C498" i="1"/>
  <c r="AW497" i="1"/>
  <c r="AV497" i="1"/>
  <c r="AT497" i="1"/>
  <c r="AR497" i="1"/>
  <c r="I497" i="1"/>
  <c r="H497" i="1"/>
  <c r="E497" i="1"/>
  <c r="D497" i="1"/>
  <c r="C497" i="1"/>
  <c r="AV496" i="1"/>
  <c r="AT496" i="1"/>
  <c r="AR496" i="1"/>
  <c r="I496" i="1"/>
  <c r="H496" i="1"/>
  <c r="G496" i="1"/>
  <c r="E496" i="1"/>
  <c r="D496" i="1"/>
  <c r="C496" i="1"/>
  <c r="AV495" i="1"/>
  <c r="AT495" i="1"/>
  <c r="AR495" i="1"/>
  <c r="I495" i="1"/>
  <c r="H495" i="1"/>
  <c r="G495" i="1"/>
  <c r="E495" i="1"/>
  <c r="D495" i="1"/>
  <c r="C495" i="1"/>
  <c r="AV494" i="1"/>
  <c r="AT494" i="1"/>
  <c r="AR494" i="1"/>
  <c r="I494" i="1"/>
  <c r="H494" i="1"/>
  <c r="G494" i="1"/>
  <c r="E494" i="1"/>
  <c r="D494" i="1"/>
  <c r="C494" i="1"/>
  <c r="AV493" i="1"/>
  <c r="AT493" i="1"/>
  <c r="I493" i="1"/>
  <c r="H493" i="1"/>
  <c r="G493" i="1"/>
  <c r="E493" i="1"/>
  <c r="D493" i="1"/>
  <c r="C493" i="1"/>
  <c r="AW492" i="1"/>
  <c r="AV492" i="1"/>
  <c r="AT492" i="1"/>
  <c r="AR492" i="1"/>
  <c r="I492" i="1"/>
  <c r="H492" i="1"/>
  <c r="G492" i="1"/>
  <c r="E492" i="1"/>
  <c r="D492" i="1"/>
  <c r="C492" i="1"/>
  <c r="AV491" i="1"/>
  <c r="AT491" i="1"/>
  <c r="AR491" i="1"/>
  <c r="I491" i="1"/>
  <c r="H491" i="1"/>
  <c r="G491" i="1"/>
  <c r="E491" i="1"/>
  <c r="D491" i="1"/>
  <c r="C491" i="1"/>
  <c r="AV490" i="1"/>
  <c r="AT490" i="1"/>
  <c r="AR490" i="1"/>
  <c r="I490" i="1"/>
  <c r="H490" i="1"/>
  <c r="G490" i="1"/>
  <c r="E490" i="1"/>
  <c r="D490" i="1"/>
  <c r="C490" i="1"/>
  <c r="AW489" i="1"/>
  <c r="AV489" i="1"/>
  <c r="AT489" i="1"/>
  <c r="AR489" i="1"/>
  <c r="I489" i="1"/>
  <c r="H489" i="1"/>
  <c r="G489" i="1"/>
  <c r="E489" i="1"/>
  <c r="D489" i="1"/>
  <c r="C489" i="1"/>
  <c r="AW488" i="1"/>
  <c r="AV488" i="1"/>
  <c r="AT488" i="1"/>
  <c r="AR488" i="1"/>
  <c r="I488" i="1"/>
  <c r="H488" i="1"/>
  <c r="E488" i="1"/>
  <c r="D488" i="1"/>
  <c r="C488" i="1"/>
  <c r="AV487" i="1"/>
  <c r="AT487" i="1"/>
  <c r="AR487" i="1"/>
  <c r="I487" i="1"/>
  <c r="H487" i="1"/>
  <c r="E487" i="1"/>
  <c r="C487" i="1"/>
  <c r="AV486" i="1"/>
  <c r="AT486" i="1"/>
  <c r="AR486" i="1"/>
  <c r="I486" i="1"/>
  <c r="H486" i="1"/>
  <c r="G486" i="1"/>
  <c r="E486" i="1"/>
  <c r="D486" i="1"/>
  <c r="C486" i="1"/>
  <c r="AV485" i="1"/>
  <c r="AT485" i="1"/>
  <c r="I485" i="1"/>
  <c r="H485" i="1"/>
  <c r="G485" i="1"/>
  <c r="E485" i="1"/>
  <c r="D485" i="1"/>
  <c r="C485" i="1"/>
  <c r="AW484" i="1"/>
  <c r="AV484" i="1"/>
  <c r="AT484" i="1"/>
  <c r="AR484" i="1"/>
  <c r="I484" i="1"/>
  <c r="H484" i="1"/>
  <c r="G484" i="1"/>
  <c r="E484" i="1"/>
  <c r="D484" i="1"/>
  <c r="C484" i="1"/>
  <c r="AV483" i="1"/>
  <c r="AT483" i="1"/>
  <c r="AR483" i="1"/>
  <c r="I483" i="1"/>
  <c r="H483" i="1"/>
  <c r="G483" i="1"/>
  <c r="E483" i="1"/>
  <c r="D483" i="1"/>
  <c r="C483" i="1"/>
  <c r="AV482" i="1"/>
  <c r="AT482" i="1"/>
  <c r="AR482" i="1"/>
  <c r="I482" i="1"/>
  <c r="H482" i="1"/>
  <c r="G482" i="1"/>
  <c r="E482" i="1"/>
  <c r="D482" i="1"/>
  <c r="C482" i="1"/>
  <c r="AW481" i="1"/>
  <c r="AV481" i="1"/>
  <c r="AT481" i="1"/>
  <c r="AR481" i="1"/>
  <c r="I481" i="1"/>
  <c r="H481" i="1"/>
  <c r="E481" i="1"/>
  <c r="D481" i="1"/>
  <c r="C481" i="1"/>
  <c r="AV480" i="1"/>
  <c r="AT480" i="1"/>
  <c r="AR480" i="1"/>
  <c r="I480" i="1"/>
  <c r="H480" i="1"/>
  <c r="G480" i="1"/>
  <c r="E480" i="1"/>
  <c r="D480" i="1"/>
  <c r="C480" i="1"/>
  <c r="AV479" i="1"/>
  <c r="AT479" i="1"/>
  <c r="AR479" i="1"/>
  <c r="I479" i="1"/>
  <c r="H479" i="1"/>
  <c r="G479" i="1"/>
  <c r="E479" i="1"/>
  <c r="D479" i="1"/>
  <c r="C479" i="1"/>
  <c r="AV478" i="1"/>
  <c r="AT478" i="1"/>
  <c r="AR478" i="1"/>
  <c r="I478" i="1"/>
  <c r="H478" i="1"/>
  <c r="G478" i="1"/>
  <c r="E478" i="1"/>
  <c r="D478" i="1"/>
  <c r="C478" i="1"/>
  <c r="AV477" i="1"/>
  <c r="AT477" i="1"/>
  <c r="AR477" i="1"/>
  <c r="I477" i="1"/>
  <c r="H477" i="1"/>
  <c r="E477" i="1"/>
  <c r="D477" i="1"/>
  <c r="C477" i="1"/>
  <c r="AW476" i="1"/>
  <c r="AV476" i="1"/>
  <c r="AT476" i="1"/>
  <c r="AR476" i="1"/>
  <c r="I476" i="1"/>
  <c r="H476" i="1"/>
  <c r="G476" i="1"/>
  <c r="E476" i="1"/>
  <c r="D476" i="1"/>
  <c r="C476" i="1"/>
  <c r="AW475" i="1"/>
  <c r="AV475" i="1"/>
  <c r="AT475" i="1"/>
  <c r="AR475" i="1"/>
  <c r="I475" i="1"/>
  <c r="H475" i="1"/>
  <c r="G475" i="1"/>
  <c r="E475" i="1"/>
  <c r="D475" i="1"/>
  <c r="C475" i="1"/>
  <c r="AV474" i="1"/>
  <c r="AT474" i="1"/>
  <c r="AR474" i="1"/>
  <c r="I474" i="1"/>
  <c r="H474" i="1"/>
  <c r="G474" i="1"/>
  <c r="E474" i="1"/>
  <c r="D474" i="1"/>
  <c r="C474" i="1"/>
  <c r="AW473" i="1"/>
  <c r="AV473" i="1"/>
  <c r="AT473" i="1"/>
  <c r="AR473" i="1"/>
  <c r="I473" i="1"/>
  <c r="H473" i="1"/>
  <c r="G473" i="1"/>
  <c r="E473" i="1"/>
  <c r="D473" i="1"/>
  <c r="C473" i="1"/>
  <c r="AW472" i="1"/>
  <c r="AV472" i="1"/>
  <c r="AT472" i="1"/>
  <c r="AR472" i="1"/>
  <c r="I472" i="1"/>
  <c r="H472" i="1"/>
  <c r="G472" i="1"/>
  <c r="E472" i="1"/>
  <c r="D472" i="1"/>
  <c r="C472" i="1"/>
  <c r="AW471" i="1"/>
  <c r="AV471" i="1"/>
  <c r="AT471" i="1"/>
  <c r="AR471" i="1"/>
  <c r="I471" i="1"/>
  <c r="H471" i="1"/>
  <c r="E471" i="1"/>
  <c r="D471" i="1"/>
  <c r="C471" i="1"/>
  <c r="AV470" i="1"/>
  <c r="AT470" i="1"/>
  <c r="AR470" i="1"/>
  <c r="I470" i="1"/>
  <c r="H470" i="1"/>
  <c r="E470" i="1"/>
  <c r="D470" i="1"/>
  <c r="C470" i="1"/>
  <c r="AW469" i="1"/>
  <c r="AV469" i="1"/>
  <c r="AT469" i="1"/>
  <c r="AR469" i="1"/>
  <c r="I469" i="1"/>
  <c r="H469" i="1"/>
  <c r="G469" i="1"/>
  <c r="E469" i="1"/>
  <c r="D469" i="1"/>
  <c r="C469" i="1"/>
  <c r="AW468" i="1"/>
  <c r="AV468" i="1"/>
  <c r="AT468" i="1"/>
  <c r="AR468" i="1"/>
  <c r="I468" i="1"/>
  <c r="H468" i="1"/>
  <c r="E468" i="1"/>
  <c r="D468" i="1"/>
  <c r="C468" i="1"/>
  <c r="AV467" i="1"/>
  <c r="AT467" i="1"/>
  <c r="AR467" i="1"/>
  <c r="I467" i="1"/>
  <c r="H467" i="1"/>
  <c r="G467" i="1"/>
  <c r="E467" i="1"/>
  <c r="D467" i="1"/>
  <c r="C467" i="1"/>
  <c r="AV466" i="1"/>
  <c r="AT466" i="1"/>
  <c r="I466" i="1"/>
  <c r="H466" i="1"/>
  <c r="E466" i="1"/>
  <c r="D466" i="1"/>
  <c r="C466" i="1"/>
  <c r="AW465" i="1"/>
  <c r="AV465" i="1"/>
  <c r="AT465" i="1"/>
  <c r="AR465" i="1"/>
  <c r="I465" i="1"/>
  <c r="H465" i="1"/>
  <c r="G465" i="1"/>
  <c r="E465" i="1"/>
  <c r="D465" i="1"/>
  <c r="C465" i="1"/>
  <c r="AV464" i="1"/>
  <c r="AT464" i="1"/>
  <c r="AR464" i="1"/>
  <c r="I464" i="1"/>
  <c r="H464" i="1"/>
  <c r="G464" i="1"/>
  <c r="E464" i="1"/>
  <c r="D464" i="1"/>
  <c r="C464" i="1"/>
  <c r="AW463" i="1"/>
  <c r="AV463" i="1"/>
  <c r="AT463" i="1"/>
  <c r="AR463" i="1"/>
  <c r="I463" i="1"/>
  <c r="H463" i="1"/>
  <c r="G463" i="1"/>
  <c r="E463" i="1"/>
  <c r="D463" i="1"/>
  <c r="C463" i="1"/>
  <c r="AV462" i="1"/>
  <c r="AT462" i="1"/>
  <c r="AR462" i="1"/>
  <c r="I462" i="1"/>
  <c r="H462" i="1"/>
  <c r="G462" i="1"/>
  <c r="E462" i="1"/>
  <c r="D462" i="1"/>
  <c r="C462" i="1"/>
  <c r="AW461" i="1"/>
  <c r="AV461" i="1"/>
  <c r="AT461" i="1"/>
  <c r="AR461" i="1"/>
  <c r="I461" i="1"/>
  <c r="H461" i="1"/>
  <c r="E461" i="1"/>
  <c r="D461" i="1"/>
  <c r="C461" i="1"/>
  <c r="AV460" i="1"/>
  <c r="AT460" i="1"/>
  <c r="AR460" i="1"/>
  <c r="I460" i="1"/>
  <c r="H460" i="1"/>
  <c r="E460" i="1"/>
  <c r="D460" i="1"/>
  <c r="C460" i="1"/>
  <c r="AW459" i="1"/>
  <c r="AV459" i="1"/>
  <c r="AT459" i="1"/>
  <c r="AR459" i="1"/>
  <c r="I459" i="1"/>
  <c r="H459" i="1"/>
  <c r="G459" i="1"/>
  <c r="E459" i="1"/>
  <c r="D459" i="1"/>
  <c r="C459" i="1"/>
  <c r="AV458" i="1"/>
  <c r="AT458" i="1"/>
  <c r="AR458" i="1"/>
  <c r="I458" i="1"/>
  <c r="H458" i="1"/>
  <c r="G458" i="1"/>
  <c r="E458" i="1"/>
  <c r="C458" i="1"/>
  <c r="AW457" i="1"/>
  <c r="AV457" i="1"/>
  <c r="AT457" i="1"/>
  <c r="AR457" i="1"/>
  <c r="I457" i="1"/>
  <c r="H457" i="1"/>
  <c r="G457" i="1"/>
  <c r="E457" i="1"/>
  <c r="D457" i="1"/>
  <c r="C457" i="1"/>
  <c r="AW456" i="1"/>
  <c r="AV456" i="1"/>
  <c r="AT456" i="1"/>
  <c r="AR456" i="1"/>
  <c r="I456" i="1"/>
  <c r="H456" i="1"/>
  <c r="G456" i="1"/>
  <c r="E456" i="1"/>
  <c r="D456" i="1"/>
  <c r="C456" i="1"/>
  <c r="AW455" i="1"/>
  <c r="AV455" i="1"/>
  <c r="AT455" i="1"/>
  <c r="AR455" i="1"/>
  <c r="I455" i="1"/>
  <c r="H455" i="1"/>
  <c r="G455" i="1"/>
  <c r="E455" i="1"/>
  <c r="D455" i="1"/>
  <c r="C455" i="1"/>
  <c r="AW454" i="1"/>
  <c r="AV454" i="1"/>
  <c r="AT454" i="1"/>
  <c r="AR454" i="1"/>
  <c r="I454" i="1"/>
  <c r="H454" i="1"/>
  <c r="G454" i="1"/>
  <c r="E454" i="1"/>
  <c r="D454" i="1"/>
  <c r="C454" i="1"/>
  <c r="AW453" i="1"/>
  <c r="AV453" i="1"/>
  <c r="AT453" i="1"/>
  <c r="AR453" i="1"/>
  <c r="I453" i="1"/>
  <c r="H453" i="1"/>
  <c r="G453" i="1"/>
  <c r="E453" i="1"/>
  <c r="D453" i="1"/>
  <c r="C453" i="1"/>
  <c r="AW452" i="1"/>
  <c r="AV452" i="1"/>
  <c r="AT452" i="1"/>
  <c r="AR452" i="1"/>
  <c r="I452" i="1"/>
  <c r="H452" i="1"/>
  <c r="E452" i="1"/>
  <c r="D452" i="1"/>
  <c r="C452" i="1"/>
  <c r="AV451" i="1"/>
  <c r="AT451" i="1"/>
  <c r="I451" i="1"/>
  <c r="H451" i="1"/>
  <c r="E451" i="1"/>
  <c r="D451" i="1"/>
  <c r="C451" i="1"/>
  <c r="AW450" i="1"/>
  <c r="AV450" i="1"/>
  <c r="AT450" i="1"/>
  <c r="AR450" i="1"/>
  <c r="I450" i="1"/>
  <c r="H450" i="1"/>
  <c r="E450" i="1"/>
  <c r="D450" i="1"/>
  <c r="C450" i="1"/>
  <c r="AV449" i="1"/>
  <c r="AT449" i="1"/>
  <c r="AR449" i="1"/>
  <c r="I449" i="1"/>
  <c r="H449" i="1"/>
  <c r="G449" i="1"/>
  <c r="E449" i="1"/>
  <c r="D449" i="1"/>
  <c r="C449" i="1"/>
  <c r="AW448" i="1"/>
  <c r="AV448" i="1"/>
  <c r="AT448" i="1"/>
  <c r="AR448" i="1"/>
  <c r="I448" i="1"/>
  <c r="H448" i="1"/>
  <c r="G448" i="1"/>
  <c r="E448" i="1"/>
  <c r="D448" i="1"/>
  <c r="C448" i="1"/>
  <c r="AW447" i="1"/>
  <c r="AV447" i="1"/>
  <c r="AT447" i="1"/>
  <c r="AR447" i="1"/>
  <c r="I447" i="1"/>
  <c r="H447" i="1"/>
  <c r="G447" i="1"/>
  <c r="E447" i="1"/>
  <c r="D447" i="1"/>
  <c r="C447" i="1"/>
  <c r="AV446" i="1"/>
  <c r="AT446" i="1"/>
  <c r="AR446" i="1"/>
  <c r="I446" i="1"/>
  <c r="H446" i="1"/>
  <c r="G446" i="1"/>
  <c r="E446" i="1"/>
  <c r="D446" i="1"/>
  <c r="C446" i="1"/>
  <c r="AW445" i="1"/>
  <c r="AV445" i="1"/>
  <c r="AT445" i="1"/>
  <c r="AR445" i="1"/>
  <c r="I445" i="1"/>
  <c r="H445" i="1"/>
  <c r="G445" i="1"/>
  <c r="E445" i="1"/>
  <c r="D445" i="1"/>
  <c r="C445" i="1"/>
  <c r="AV444" i="1"/>
  <c r="AT444" i="1"/>
  <c r="AR444" i="1"/>
  <c r="I444" i="1"/>
  <c r="H444" i="1"/>
  <c r="G444" i="1"/>
  <c r="E444" i="1"/>
  <c r="D444" i="1"/>
  <c r="C444" i="1"/>
  <c r="AV443" i="1"/>
  <c r="AT443" i="1"/>
  <c r="AR443" i="1"/>
  <c r="I443" i="1"/>
  <c r="H443" i="1"/>
  <c r="G443" i="1"/>
  <c r="E443" i="1"/>
  <c r="D443" i="1"/>
  <c r="C443" i="1"/>
  <c r="AV442" i="1"/>
  <c r="AT442" i="1"/>
  <c r="I442" i="1"/>
  <c r="H442" i="1"/>
  <c r="G442" i="1"/>
  <c r="E442" i="1"/>
  <c r="D442" i="1"/>
  <c r="C442" i="1"/>
  <c r="AW441" i="1"/>
  <c r="AV441" i="1"/>
  <c r="AT441" i="1"/>
  <c r="AR441" i="1"/>
  <c r="I441" i="1"/>
  <c r="H441" i="1"/>
  <c r="G441" i="1"/>
  <c r="E441" i="1"/>
  <c r="D441" i="1"/>
  <c r="C441" i="1"/>
  <c r="AV440" i="1"/>
  <c r="AT440" i="1"/>
  <c r="AR440" i="1"/>
  <c r="I440" i="1"/>
  <c r="H440" i="1"/>
  <c r="G440" i="1"/>
  <c r="E440" i="1"/>
  <c r="D440" i="1"/>
  <c r="C440" i="1"/>
  <c r="AW439" i="1"/>
  <c r="AV439" i="1"/>
  <c r="AT439" i="1"/>
  <c r="AR439" i="1"/>
  <c r="I439" i="1"/>
  <c r="H439" i="1"/>
  <c r="E439" i="1"/>
  <c r="D439" i="1"/>
  <c r="C439" i="1"/>
  <c r="AV438" i="1"/>
  <c r="AT438" i="1"/>
  <c r="I438" i="1"/>
  <c r="H438" i="1"/>
  <c r="E438" i="1"/>
  <c r="D438" i="1"/>
  <c r="C438" i="1"/>
  <c r="AW437" i="1"/>
  <c r="AV437" i="1"/>
  <c r="AT437" i="1"/>
  <c r="AR437" i="1"/>
  <c r="I437" i="1"/>
  <c r="H437" i="1"/>
  <c r="G437" i="1"/>
  <c r="E437" i="1"/>
  <c r="D437" i="1"/>
  <c r="C437" i="1"/>
  <c r="AW436" i="1"/>
  <c r="AV436" i="1"/>
  <c r="AT436" i="1"/>
  <c r="AR436" i="1"/>
  <c r="I436" i="1"/>
  <c r="H436" i="1"/>
  <c r="E436" i="1"/>
  <c r="D436" i="1"/>
  <c r="C436" i="1"/>
  <c r="AV435" i="1"/>
  <c r="AT435" i="1"/>
  <c r="AR435" i="1"/>
  <c r="I435" i="1"/>
  <c r="H435" i="1"/>
  <c r="G435" i="1"/>
  <c r="E435" i="1"/>
  <c r="D435" i="1"/>
  <c r="C435" i="1"/>
  <c r="AW434" i="1"/>
  <c r="AV434" i="1"/>
  <c r="AT434" i="1"/>
  <c r="AR434" i="1"/>
  <c r="I434" i="1"/>
  <c r="H434" i="1"/>
  <c r="G434" i="1"/>
  <c r="E434" i="1"/>
  <c r="D434" i="1"/>
  <c r="C434" i="1"/>
  <c r="AV433" i="1"/>
  <c r="AT433" i="1"/>
  <c r="AR433" i="1"/>
  <c r="I433" i="1"/>
  <c r="H433" i="1"/>
  <c r="G433" i="1"/>
  <c r="E433" i="1"/>
  <c r="D433" i="1"/>
  <c r="C433" i="1"/>
  <c r="AV432" i="1"/>
  <c r="AT432" i="1"/>
  <c r="AR432" i="1"/>
  <c r="I432" i="1"/>
  <c r="H432" i="1"/>
  <c r="G432" i="1"/>
  <c r="E432" i="1"/>
  <c r="D432" i="1"/>
  <c r="C432" i="1"/>
  <c r="AW431" i="1"/>
  <c r="AV431" i="1"/>
  <c r="AT431" i="1"/>
  <c r="AR431" i="1"/>
  <c r="I431" i="1"/>
  <c r="H431" i="1"/>
  <c r="G431" i="1"/>
  <c r="E431" i="1"/>
  <c r="D431" i="1"/>
  <c r="C431" i="1"/>
  <c r="AV430" i="1"/>
  <c r="AT430" i="1"/>
  <c r="AR430" i="1"/>
  <c r="I430" i="1"/>
  <c r="H430" i="1"/>
  <c r="G430" i="1"/>
  <c r="E430" i="1"/>
  <c r="D430" i="1"/>
  <c r="C430" i="1"/>
  <c r="AV429" i="1"/>
  <c r="AT429" i="1"/>
  <c r="I429" i="1"/>
  <c r="H429" i="1"/>
  <c r="G429" i="1"/>
  <c r="E429" i="1"/>
  <c r="D429" i="1"/>
  <c r="C429" i="1"/>
  <c r="AV428" i="1"/>
  <c r="AT428" i="1"/>
  <c r="I428" i="1"/>
  <c r="H428" i="1"/>
  <c r="E428" i="1"/>
  <c r="D428" i="1"/>
  <c r="C428" i="1"/>
  <c r="AW427" i="1"/>
  <c r="AV427" i="1"/>
  <c r="AT427" i="1"/>
  <c r="AR427" i="1"/>
  <c r="I427" i="1"/>
  <c r="H427" i="1"/>
  <c r="G427" i="1"/>
  <c r="E427" i="1"/>
  <c r="D427" i="1"/>
  <c r="C427" i="1"/>
  <c r="AW426" i="1"/>
  <c r="AV426" i="1"/>
  <c r="AT426" i="1"/>
  <c r="AR426" i="1"/>
  <c r="I426" i="1"/>
  <c r="H426" i="1"/>
  <c r="E426" i="1"/>
  <c r="D426" i="1"/>
  <c r="C426" i="1"/>
  <c r="AV425" i="1"/>
  <c r="AT425" i="1"/>
  <c r="AR425" i="1"/>
  <c r="I425" i="1"/>
  <c r="H425" i="1"/>
  <c r="G425" i="1"/>
  <c r="E425" i="1"/>
  <c r="D425" i="1"/>
  <c r="C425" i="1"/>
  <c r="AW424" i="1"/>
  <c r="AV424" i="1"/>
  <c r="AT424" i="1"/>
  <c r="AR424" i="1"/>
  <c r="I424" i="1"/>
  <c r="H424" i="1"/>
  <c r="G424" i="1"/>
  <c r="E424" i="1"/>
  <c r="D424" i="1"/>
  <c r="C424" i="1"/>
  <c r="AV423" i="1"/>
  <c r="AT423" i="1"/>
  <c r="AR423" i="1"/>
  <c r="I423" i="1"/>
  <c r="H423" i="1"/>
  <c r="G423" i="1"/>
  <c r="E423" i="1"/>
  <c r="D423" i="1"/>
  <c r="C423" i="1"/>
  <c r="AV422" i="1"/>
  <c r="AT422" i="1"/>
  <c r="I422" i="1"/>
  <c r="H422" i="1"/>
  <c r="G422" i="1"/>
  <c r="E422" i="1"/>
  <c r="D422" i="1"/>
  <c r="C422" i="1"/>
  <c r="AV421" i="1"/>
  <c r="AT421" i="1"/>
  <c r="I421" i="1"/>
  <c r="H421" i="1"/>
  <c r="E421" i="1"/>
  <c r="D421" i="1"/>
  <c r="C421" i="1"/>
  <c r="AV420" i="1"/>
  <c r="AT420" i="1"/>
  <c r="I420" i="1"/>
  <c r="H420" i="1"/>
  <c r="E420" i="1"/>
  <c r="D420" i="1"/>
  <c r="C420" i="1"/>
  <c r="AW419" i="1"/>
  <c r="AV419" i="1"/>
  <c r="AT419" i="1"/>
  <c r="AR419" i="1"/>
  <c r="I419" i="1"/>
  <c r="H419" i="1"/>
  <c r="G419" i="1"/>
  <c r="E419" i="1"/>
  <c r="D419" i="1"/>
  <c r="C419" i="1"/>
  <c r="AW418" i="1"/>
  <c r="AV418" i="1"/>
  <c r="AT418" i="1"/>
  <c r="AR418" i="1"/>
  <c r="I418" i="1"/>
  <c r="H418" i="1"/>
  <c r="G418" i="1"/>
  <c r="E418" i="1"/>
  <c r="D418" i="1"/>
  <c r="C418" i="1"/>
  <c r="AV417" i="1"/>
  <c r="AT417" i="1"/>
  <c r="AR417" i="1"/>
  <c r="I417" i="1"/>
  <c r="H417" i="1"/>
  <c r="G417" i="1"/>
  <c r="E417" i="1"/>
  <c r="D417" i="1"/>
  <c r="C417" i="1"/>
  <c r="AW416" i="1"/>
  <c r="AV416" i="1"/>
  <c r="AT416" i="1"/>
  <c r="AR416" i="1"/>
  <c r="I416" i="1"/>
  <c r="H416" i="1"/>
  <c r="G416" i="1"/>
  <c r="E416" i="1"/>
  <c r="D416" i="1"/>
  <c r="C416" i="1"/>
  <c r="AV415" i="1"/>
  <c r="AT415" i="1"/>
  <c r="I415" i="1"/>
  <c r="H415" i="1"/>
  <c r="E415" i="1"/>
  <c r="D415" i="1"/>
  <c r="C415" i="1"/>
  <c r="AV414" i="1"/>
  <c r="AT414" i="1"/>
  <c r="AR414" i="1"/>
  <c r="I414" i="1"/>
  <c r="H414" i="1"/>
  <c r="G414" i="1"/>
  <c r="E414" i="1"/>
  <c r="D414" i="1"/>
  <c r="C414" i="1"/>
  <c r="AV413" i="1"/>
  <c r="AT413" i="1"/>
  <c r="AR413" i="1"/>
  <c r="I413" i="1"/>
  <c r="H413" i="1"/>
  <c r="G413" i="1"/>
  <c r="E413" i="1"/>
  <c r="D413" i="1"/>
  <c r="C413" i="1"/>
  <c r="AW412" i="1"/>
  <c r="AV412" i="1"/>
  <c r="AT412" i="1"/>
  <c r="AR412" i="1"/>
  <c r="I412" i="1"/>
  <c r="H412" i="1"/>
  <c r="G412" i="1"/>
  <c r="E412" i="1"/>
  <c r="D412" i="1"/>
  <c r="C412" i="1"/>
  <c r="AV411" i="1"/>
  <c r="AT411" i="1"/>
  <c r="I411" i="1"/>
  <c r="H411" i="1"/>
  <c r="G411" i="1"/>
  <c r="E411" i="1"/>
  <c r="D411" i="1"/>
  <c r="C411" i="1"/>
  <c r="AV410" i="1"/>
  <c r="AT410" i="1"/>
  <c r="AR410" i="1"/>
  <c r="I410" i="1"/>
  <c r="H410" i="1"/>
  <c r="G410" i="1"/>
  <c r="E410" i="1"/>
  <c r="D410" i="1"/>
  <c r="C410" i="1"/>
  <c r="AW409" i="1"/>
  <c r="AV409" i="1"/>
  <c r="AT409" i="1"/>
  <c r="AR409" i="1"/>
  <c r="I409" i="1"/>
  <c r="H409" i="1"/>
  <c r="E409" i="1"/>
  <c r="D409" i="1"/>
  <c r="C409" i="1"/>
  <c r="AV408" i="1"/>
  <c r="AT408" i="1"/>
  <c r="AR408" i="1"/>
  <c r="I408" i="1"/>
  <c r="H408" i="1"/>
  <c r="G408" i="1"/>
  <c r="E408" i="1"/>
  <c r="D408" i="1"/>
  <c r="C408" i="1"/>
  <c r="AV407" i="1"/>
  <c r="AT407" i="1"/>
  <c r="AR407" i="1"/>
  <c r="I407" i="1"/>
  <c r="H407" i="1"/>
  <c r="G407" i="1"/>
  <c r="E407" i="1"/>
  <c r="D407" i="1"/>
  <c r="C407" i="1"/>
  <c r="AV406" i="1"/>
  <c r="AT406" i="1"/>
  <c r="I406" i="1"/>
  <c r="H406" i="1"/>
  <c r="G406" i="1"/>
  <c r="E406" i="1"/>
  <c r="D406" i="1"/>
  <c r="C406" i="1"/>
  <c r="AV405" i="1"/>
  <c r="AT405" i="1"/>
  <c r="I405" i="1"/>
  <c r="H405" i="1"/>
  <c r="E405" i="1"/>
  <c r="D405" i="1"/>
  <c r="C405" i="1"/>
  <c r="AW404" i="1"/>
  <c r="AV404" i="1"/>
  <c r="AT404" i="1"/>
  <c r="AR404" i="1"/>
  <c r="I404" i="1"/>
  <c r="H404" i="1"/>
  <c r="G404" i="1"/>
  <c r="E404" i="1"/>
  <c r="D404" i="1"/>
  <c r="C404" i="1"/>
  <c r="AV403" i="1"/>
  <c r="AT403" i="1"/>
  <c r="I403" i="1"/>
  <c r="H403" i="1"/>
  <c r="E403" i="1"/>
  <c r="D403" i="1"/>
  <c r="C403" i="1"/>
  <c r="AW402" i="1"/>
  <c r="AV402" i="1"/>
  <c r="AT402" i="1"/>
  <c r="AR402" i="1"/>
  <c r="I402" i="1"/>
  <c r="H402" i="1"/>
  <c r="G402" i="1"/>
  <c r="E402" i="1"/>
  <c r="D402" i="1"/>
  <c r="C402" i="1"/>
  <c r="AW401" i="1"/>
  <c r="AV401" i="1"/>
  <c r="AT401" i="1"/>
  <c r="AR401" i="1"/>
  <c r="I401" i="1"/>
  <c r="H401" i="1"/>
  <c r="G401" i="1"/>
  <c r="E401" i="1"/>
  <c r="D401" i="1"/>
  <c r="C401" i="1"/>
  <c r="AV400" i="1"/>
  <c r="AT400" i="1"/>
  <c r="AR400" i="1"/>
  <c r="I400" i="1"/>
  <c r="H400" i="1"/>
  <c r="G400" i="1"/>
  <c r="E400" i="1"/>
  <c r="D400" i="1"/>
  <c r="C400" i="1"/>
  <c r="AV399" i="1"/>
  <c r="AT399" i="1"/>
  <c r="AR399" i="1"/>
  <c r="I399" i="1"/>
  <c r="H399" i="1"/>
  <c r="G399" i="1"/>
  <c r="E399" i="1"/>
  <c r="D399" i="1"/>
  <c r="C399" i="1"/>
  <c r="AW398" i="1"/>
  <c r="AV398" i="1"/>
  <c r="AT398" i="1"/>
  <c r="AR398" i="1"/>
  <c r="I398" i="1"/>
  <c r="H398" i="1"/>
  <c r="G398" i="1"/>
  <c r="E398" i="1"/>
  <c r="D398" i="1"/>
  <c r="C398" i="1"/>
  <c r="AW397" i="1"/>
  <c r="AV397" i="1"/>
  <c r="AT397" i="1"/>
  <c r="AR397" i="1"/>
  <c r="I397" i="1"/>
  <c r="H397" i="1"/>
  <c r="G397" i="1"/>
  <c r="E397" i="1"/>
  <c r="D397" i="1"/>
  <c r="C397" i="1"/>
  <c r="AV396" i="1"/>
  <c r="AT396" i="1"/>
  <c r="AR396" i="1"/>
  <c r="I396" i="1"/>
  <c r="H396" i="1"/>
  <c r="E396" i="1"/>
  <c r="D396" i="1"/>
  <c r="C396" i="1"/>
  <c r="AW395" i="1"/>
  <c r="AV395" i="1"/>
  <c r="AT395" i="1"/>
  <c r="AR395" i="1"/>
  <c r="I395" i="1"/>
  <c r="H395" i="1"/>
  <c r="E395" i="1"/>
  <c r="D395" i="1"/>
  <c r="C395" i="1"/>
  <c r="AV394" i="1"/>
  <c r="AT394" i="1"/>
  <c r="AR394" i="1"/>
  <c r="I394" i="1"/>
  <c r="H394" i="1"/>
  <c r="E394" i="1"/>
  <c r="D394" i="1"/>
  <c r="C394" i="1"/>
  <c r="AW393" i="1"/>
  <c r="AV393" i="1"/>
  <c r="AT393" i="1"/>
  <c r="AR393" i="1"/>
  <c r="I393" i="1"/>
  <c r="H393" i="1"/>
  <c r="G393" i="1"/>
  <c r="E393" i="1"/>
  <c r="D393" i="1"/>
  <c r="C393" i="1"/>
  <c r="AW392" i="1"/>
  <c r="AV392" i="1"/>
  <c r="AT392" i="1"/>
  <c r="AR392" i="1"/>
  <c r="I392" i="1"/>
  <c r="H392" i="1"/>
  <c r="E392" i="1"/>
  <c r="D392" i="1"/>
  <c r="C392" i="1"/>
  <c r="AV391" i="1"/>
  <c r="AT391" i="1"/>
  <c r="AR391" i="1"/>
  <c r="I391" i="1"/>
  <c r="H391" i="1"/>
  <c r="G391" i="1"/>
  <c r="E391" i="1"/>
  <c r="D391" i="1"/>
  <c r="C391" i="1"/>
  <c r="AW390" i="1"/>
  <c r="AV390" i="1"/>
  <c r="AT390" i="1"/>
  <c r="AR390" i="1"/>
  <c r="I390" i="1"/>
  <c r="H390" i="1"/>
  <c r="G390" i="1"/>
  <c r="E390" i="1"/>
  <c r="D390" i="1"/>
  <c r="C390" i="1"/>
  <c r="AW389" i="1"/>
  <c r="AV389" i="1"/>
  <c r="AT389" i="1"/>
  <c r="AR389" i="1"/>
  <c r="I389" i="1"/>
  <c r="H389" i="1"/>
  <c r="G389" i="1"/>
  <c r="E389" i="1"/>
  <c r="D389" i="1"/>
  <c r="C389" i="1"/>
  <c r="AV388" i="1"/>
  <c r="AT388" i="1"/>
  <c r="AR388" i="1"/>
  <c r="I388" i="1"/>
  <c r="H388" i="1"/>
  <c r="G388" i="1"/>
  <c r="E388" i="1"/>
  <c r="D388" i="1"/>
  <c r="C388" i="1"/>
  <c r="AW387" i="1"/>
  <c r="AV387" i="1"/>
  <c r="AT387" i="1"/>
  <c r="AR387" i="1"/>
  <c r="I387" i="1"/>
  <c r="H387" i="1"/>
  <c r="G387" i="1"/>
  <c r="E387" i="1"/>
  <c r="D387" i="1"/>
  <c r="C387" i="1"/>
  <c r="AV386" i="1"/>
  <c r="AT386" i="1"/>
  <c r="AR386" i="1"/>
  <c r="I386" i="1"/>
  <c r="H386" i="1"/>
  <c r="G386" i="1"/>
  <c r="E386" i="1"/>
  <c r="D386" i="1"/>
  <c r="C386" i="1"/>
  <c r="AW385" i="1"/>
  <c r="AV385" i="1"/>
  <c r="AT385" i="1"/>
  <c r="AR385" i="1"/>
  <c r="I385" i="1"/>
  <c r="H385" i="1"/>
  <c r="E385" i="1"/>
  <c r="D385" i="1"/>
  <c r="C385" i="1"/>
  <c r="AW384" i="1"/>
  <c r="AV384" i="1"/>
  <c r="AT384" i="1"/>
  <c r="AR384" i="1"/>
  <c r="I384" i="1"/>
  <c r="H384" i="1"/>
  <c r="G384" i="1"/>
  <c r="E384" i="1"/>
  <c r="D384" i="1"/>
  <c r="C384" i="1"/>
  <c r="AW383" i="1"/>
  <c r="AV383" i="1"/>
  <c r="AT383" i="1"/>
  <c r="AR383" i="1"/>
  <c r="I383" i="1"/>
  <c r="H383" i="1"/>
  <c r="G383" i="1"/>
  <c r="E383" i="1"/>
  <c r="D383" i="1"/>
  <c r="C383" i="1"/>
  <c r="AV382" i="1"/>
  <c r="AT382" i="1"/>
  <c r="AR382" i="1"/>
  <c r="I382" i="1"/>
  <c r="H382" i="1"/>
  <c r="E382" i="1"/>
  <c r="D382" i="1"/>
  <c r="C382" i="1"/>
  <c r="AW381" i="1"/>
  <c r="AV381" i="1"/>
  <c r="AT381" i="1"/>
  <c r="AR381" i="1"/>
  <c r="I381" i="1"/>
  <c r="H381" i="1"/>
  <c r="E381" i="1"/>
  <c r="D381" i="1"/>
  <c r="C381" i="1"/>
  <c r="AV380" i="1"/>
  <c r="AT380" i="1"/>
  <c r="AR380" i="1"/>
  <c r="I380" i="1"/>
  <c r="H380" i="1"/>
  <c r="E380" i="1"/>
  <c r="D380" i="1"/>
  <c r="C380" i="1"/>
  <c r="AW379" i="1"/>
  <c r="AV379" i="1"/>
  <c r="AT379" i="1"/>
  <c r="AR379" i="1"/>
  <c r="I379" i="1"/>
  <c r="H379" i="1"/>
  <c r="G379" i="1"/>
  <c r="E379" i="1"/>
  <c r="D379" i="1"/>
  <c r="C379" i="1"/>
  <c r="AW378" i="1"/>
  <c r="AV378" i="1"/>
  <c r="AT378" i="1"/>
  <c r="AR378" i="1"/>
  <c r="I378" i="1"/>
  <c r="H378" i="1"/>
  <c r="E378" i="1"/>
  <c r="D378" i="1"/>
  <c r="C378" i="1"/>
  <c r="AW377" i="1"/>
  <c r="AV377" i="1"/>
  <c r="AT377" i="1"/>
  <c r="AR377" i="1"/>
  <c r="I377" i="1"/>
  <c r="H377" i="1"/>
  <c r="G377" i="1"/>
  <c r="E377" i="1"/>
  <c r="D377" i="1"/>
  <c r="C377" i="1"/>
  <c r="AW376" i="1"/>
  <c r="AV376" i="1"/>
  <c r="AT376" i="1"/>
  <c r="AR376" i="1"/>
  <c r="I376" i="1"/>
  <c r="H376" i="1"/>
  <c r="G376" i="1"/>
  <c r="E376" i="1"/>
  <c r="D376" i="1"/>
  <c r="C376" i="1"/>
  <c r="AV375" i="1"/>
  <c r="AT375" i="1"/>
  <c r="AR375" i="1"/>
  <c r="I375" i="1"/>
  <c r="H375" i="1"/>
  <c r="G375" i="1"/>
  <c r="E375" i="1"/>
  <c r="D375" i="1"/>
  <c r="C375" i="1"/>
  <c r="AW374" i="1"/>
  <c r="AV374" i="1"/>
  <c r="AT374" i="1"/>
  <c r="AR374" i="1"/>
  <c r="I374" i="1"/>
  <c r="H374" i="1"/>
  <c r="G374" i="1"/>
  <c r="E374" i="1"/>
  <c r="D374" i="1"/>
  <c r="C374" i="1"/>
  <c r="AV373" i="1"/>
  <c r="AT373" i="1"/>
  <c r="AR373" i="1"/>
  <c r="I373" i="1"/>
  <c r="H373" i="1"/>
  <c r="G373" i="1"/>
  <c r="E373" i="1"/>
  <c r="D373" i="1"/>
  <c r="C373" i="1"/>
  <c r="AW372" i="1"/>
  <c r="AV372" i="1"/>
  <c r="AT372" i="1"/>
  <c r="AR372" i="1"/>
  <c r="I372" i="1"/>
  <c r="H372" i="1"/>
  <c r="E372" i="1"/>
  <c r="D372" i="1"/>
  <c r="C372" i="1"/>
  <c r="AW371" i="1"/>
  <c r="AV371" i="1"/>
  <c r="AT371" i="1"/>
  <c r="AR371" i="1"/>
  <c r="I371" i="1"/>
  <c r="H371" i="1"/>
  <c r="G371" i="1"/>
  <c r="E371" i="1"/>
  <c r="D371" i="1"/>
  <c r="C371" i="1"/>
  <c r="AV370" i="1"/>
  <c r="AT370" i="1"/>
  <c r="I370" i="1"/>
  <c r="H370" i="1"/>
  <c r="E370" i="1"/>
  <c r="D370" i="1"/>
  <c r="C370" i="1"/>
  <c r="AV369" i="1"/>
  <c r="AT369" i="1"/>
  <c r="AR369" i="1"/>
  <c r="I369" i="1"/>
  <c r="H369" i="1"/>
  <c r="G369" i="1"/>
  <c r="E369" i="1"/>
  <c r="D369" i="1"/>
  <c r="C369" i="1"/>
  <c r="AV368" i="1"/>
  <c r="AT368" i="1"/>
  <c r="I368" i="1"/>
  <c r="H368" i="1"/>
  <c r="G368" i="1"/>
  <c r="E368" i="1"/>
  <c r="D368" i="1"/>
  <c r="C368" i="1"/>
  <c r="AW367" i="1"/>
  <c r="AV367" i="1"/>
  <c r="AT367" i="1"/>
  <c r="AR367" i="1"/>
  <c r="I367" i="1"/>
  <c r="H367" i="1"/>
  <c r="G367" i="1"/>
  <c r="E367" i="1"/>
  <c r="D367" i="1"/>
  <c r="C367" i="1"/>
  <c r="AV366" i="1"/>
  <c r="AT366" i="1"/>
  <c r="AR366" i="1"/>
  <c r="I366" i="1"/>
  <c r="H366" i="1"/>
  <c r="G366" i="1"/>
  <c r="E366" i="1"/>
  <c r="D366" i="1"/>
  <c r="C366" i="1"/>
  <c r="AW365" i="1"/>
  <c r="AV365" i="1"/>
  <c r="AT365" i="1"/>
  <c r="AR365" i="1"/>
  <c r="I365" i="1"/>
  <c r="H365" i="1"/>
  <c r="G365" i="1"/>
  <c r="E365" i="1"/>
  <c r="D365" i="1"/>
  <c r="C365" i="1"/>
  <c r="AW364" i="1"/>
  <c r="AV364" i="1"/>
  <c r="AT364" i="1"/>
  <c r="AR364" i="1"/>
  <c r="I364" i="1"/>
  <c r="H364" i="1"/>
  <c r="E364" i="1"/>
  <c r="D364" i="1"/>
  <c r="C364" i="1"/>
  <c r="AV363" i="1"/>
  <c r="AT363" i="1"/>
  <c r="AR363" i="1"/>
  <c r="I363" i="1"/>
  <c r="H363" i="1"/>
  <c r="G363" i="1"/>
  <c r="E363" i="1"/>
  <c r="D363" i="1"/>
  <c r="C363" i="1"/>
  <c r="AV362" i="1"/>
  <c r="AT362" i="1"/>
  <c r="AR362" i="1"/>
  <c r="I362" i="1"/>
  <c r="H362" i="1"/>
  <c r="G362" i="1"/>
  <c r="E362" i="1"/>
  <c r="D362" i="1"/>
  <c r="C362" i="1"/>
  <c r="AV361" i="1"/>
  <c r="AT361" i="1"/>
  <c r="AR361" i="1"/>
  <c r="I361" i="1"/>
  <c r="H361" i="1"/>
  <c r="G361" i="1"/>
  <c r="E361" i="1"/>
  <c r="D361" i="1"/>
  <c r="C361" i="1"/>
  <c r="AV360" i="1"/>
  <c r="AT360" i="1"/>
  <c r="AR360" i="1"/>
  <c r="I360" i="1"/>
  <c r="H360" i="1"/>
  <c r="E360" i="1"/>
  <c r="D360" i="1"/>
  <c r="C360" i="1"/>
  <c r="AW359" i="1"/>
  <c r="AV359" i="1"/>
  <c r="AT359" i="1"/>
  <c r="AR359" i="1"/>
  <c r="I359" i="1"/>
  <c r="H359" i="1"/>
  <c r="G359" i="1"/>
  <c r="E359" i="1"/>
  <c r="D359" i="1"/>
  <c r="C359" i="1"/>
  <c r="AV358" i="1"/>
  <c r="AT358" i="1"/>
  <c r="I358" i="1"/>
  <c r="H358" i="1"/>
  <c r="E358" i="1"/>
  <c r="D358" i="1"/>
  <c r="C358" i="1"/>
  <c r="AW357" i="1"/>
  <c r="AV357" i="1"/>
  <c r="AT357" i="1"/>
  <c r="AR357" i="1"/>
  <c r="I357" i="1"/>
  <c r="H357" i="1"/>
  <c r="G357" i="1"/>
  <c r="E357" i="1"/>
  <c r="D357" i="1"/>
  <c r="C357" i="1"/>
  <c r="AW356" i="1"/>
  <c r="AV356" i="1"/>
  <c r="AT356" i="1"/>
  <c r="AR356" i="1"/>
  <c r="I356" i="1"/>
  <c r="H356" i="1"/>
  <c r="G356" i="1"/>
  <c r="E356" i="1"/>
  <c r="D356" i="1"/>
  <c r="C356" i="1"/>
  <c r="AV355" i="1"/>
  <c r="AT355" i="1"/>
  <c r="AR355" i="1"/>
  <c r="I355" i="1"/>
  <c r="H355" i="1"/>
  <c r="G355" i="1"/>
  <c r="E355" i="1"/>
  <c r="D355" i="1"/>
  <c r="C355" i="1"/>
  <c r="AV354" i="1"/>
  <c r="AT354" i="1"/>
  <c r="AR354" i="1"/>
  <c r="I354" i="1"/>
  <c r="H354" i="1"/>
  <c r="G354" i="1"/>
  <c r="E354" i="1"/>
  <c r="D354" i="1"/>
  <c r="C354" i="1"/>
  <c r="AW353" i="1"/>
  <c r="AV353" i="1"/>
  <c r="AT353" i="1"/>
  <c r="AR353" i="1"/>
  <c r="I353" i="1"/>
  <c r="H353" i="1"/>
  <c r="G353" i="1"/>
  <c r="E353" i="1"/>
  <c r="D353" i="1"/>
  <c r="C353" i="1"/>
  <c r="AV352" i="1"/>
  <c r="AT352" i="1"/>
  <c r="AR352" i="1"/>
  <c r="I352" i="1"/>
  <c r="H352" i="1"/>
  <c r="E352" i="1"/>
  <c r="D352" i="1"/>
  <c r="C352" i="1"/>
  <c r="AV351" i="1"/>
  <c r="AT351" i="1"/>
  <c r="AR351" i="1"/>
  <c r="I351" i="1"/>
  <c r="H351" i="1"/>
  <c r="G351" i="1"/>
  <c r="E351" i="1"/>
  <c r="D351" i="1"/>
  <c r="C351" i="1"/>
  <c r="AW350" i="1"/>
  <c r="AV350" i="1"/>
  <c r="AT350" i="1"/>
  <c r="AR350" i="1"/>
  <c r="I350" i="1"/>
  <c r="H350" i="1"/>
  <c r="G350" i="1"/>
  <c r="E350" i="1"/>
  <c r="D350" i="1"/>
  <c r="C350" i="1"/>
  <c r="AV349" i="1"/>
  <c r="AT349" i="1"/>
  <c r="AR349" i="1"/>
  <c r="I349" i="1"/>
  <c r="H349" i="1"/>
  <c r="G349" i="1"/>
  <c r="E349" i="1"/>
  <c r="D349" i="1"/>
  <c r="C349" i="1"/>
  <c r="AV348" i="1"/>
  <c r="AT348" i="1"/>
  <c r="AR348" i="1"/>
  <c r="I348" i="1"/>
  <c r="H348" i="1"/>
  <c r="G348" i="1"/>
  <c r="E348" i="1"/>
  <c r="D348" i="1"/>
  <c r="C348" i="1"/>
  <c r="AW347" i="1"/>
  <c r="AV347" i="1"/>
  <c r="AT347" i="1"/>
  <c r="AR347" i="1"/>
  <c r="I347" i="1"/>
  <c r="H347" i="1"/>
  <c r="E347" i="1"/>
  <c r="D347" i="1"/>
  <c r="C347" i="1"/>
  <c r="AV346" i="1"/>
  <c r="AT346" i="1"/>
  <c r="AR346" i="1"/>
  <c r="I346" i="1"/>
  <c r="H346" i="1"/>
  <c r="G346" i="1"/>
  <c r="E346" i="1"/>
  <c r="C346" i="1"/>
  <c r="AV345" i="1"/>
  <c r="AT345" i="1"/>
  <c r="AR345" i="1"/>
  <c r="I345" i="1"/>
  <c r="H345" i="1"/>
  <c r="G345" i="1"/>
  <c r="E345" i="1"/>
  <c r="D345" i="1"/>
  <c r="C345" i="1"/>
  <c r="AV344" i="1"/>
  <c r="AT344" i="1"/>
  <c r="AR344" i="1"/>
  <c r="I344" i="1"/>
  <c r="H344" i="1"/>
  <c r="G344" i="1"/>
  <c r="E344" i="1"/>
  <c r="D344" i="1"/>
  <c r="C344" i="1"/>
  <c r="AV343" i="1"/>
  <c r="AT343" i="1"/>
  <c r="AR343" i="1"/>
  <c r="I343" i="1"/>
  <c r="H343" i="1"/>
  <c r="E343" i="1"/>
  <c r="D343" i="1"/>
  <c r="C343" i="1"/>
  <c r="AW342" i="1"/>
  <c r="AV342" i="1"/>
  <c r="AT342" i="1"/>
  <c r="AR342" i="1"/>
  <c r="I342" i="1"/>
  <c r="H342" i="1"/>
  <c r="G342" i="1"/>
  <c r="E342" i="1"/>
  <c r="D342" i="1"/>
  <c r="C342" i="1"/>
  <c r="AW341" i="1"/>
  <c r="AV341" i="1"/>
  <c r="AT341" i="1"/>
  <c r="AR341" i="1"/>
  <c r="I341" i="1"/>
  <c r="H341" i="1"/>
  <c r="G341" i="1"/>
  <c r="E341" i="1"/>
  <c r="D341" i="1"/>
  <c r="C341" i="1"/>
  <c r="AV340" i="1"/>
  <c r="AT340" i="1"/>
  <c r="AR340" i="1"/>
  <c r="I340" i="1"/>
  <c r="H340" i="1"/>
  <c r="G340" i="1"/>
  <c r="E340" i="1"/>
  <c r="D340" i="1"/>
  <c r="C340" i="1"/>
  <c r="AV339" i="1"/>
  <c r="AT339" i="1"/>
  <c r="AR339" i="1"/>
  <c r="I339" i="1"/>
  <c r="H339" i="1"/>
  <c r="G339" i="1"/>
  <c r="E339" i="1"/>
  <c r="D339" i="1"/>
  <c r="C339" i="1"/>
  <c r="AW338" i="1"/>
  <c r="AV338" i="1"/>
  <c r="AT338" i="1"/>
  <c r="AR338" i="1"/>
  <c r="I338" i="1"/>
  <c r="H338" i="1"/>
  <c r="E338" i="1"/>
  <c r="D338" i="1"/>
  <c r="C338" i="1"/>
  <c r="AV337" i="1"/>
  <c r="AT337" i="1"/>
  <c r="AR337" i="1"/>
  <c r="I337" i="1"/>
  <c r="H337" i="1"/>
  <c r="E337" i="1"/>
  <c r="D337" i="1"/>
  <c r="C337" i="1"/>
  <c r="AW336" i="1"/>
  <c r="AV336" i="1"/>
  <c r="AT336" i="1"/>
  <c r="AR336" i="1"/>
  <c r="I336" i="1"/>
  <c r="H336" i="1"/>
  <c r="G336" i="1"/>
  <c r="E336" i="1"/>
  <c r="D336" i="1"/>
  <c r="C336" i="1"/>
  <c r="AW335" i="1"/>
  <c r="AV335" i="1"/>
  <c r="AT335" i="1"/>
  <c r="AR335" i="1"/>
  <c r="I335" i="1"/>
  <c r="H335" i="1"/>
  <c r="E335" i="1"/>
  <c r="D335" i="1"/>
  <c r="C335" i="1"/>
  <c r="AV334" i="1"/>
  <c r="AT334" i="1"/>
  <c r="AR334" i="1"/>
  <c r="I334" i="1"/>
  <c r="H334" i="1"/>
  <c r="G334" i="1"/>
  <c r="E334" i="1"/>
  <c r="D334" i="1"/>
  <c r="C334" i="1"/>
  <c r="AW333" i="1"/>
  <c r="AV333" i="1"/>
  <c r="AT333" i="1"/>
  <c r="AR333" i="1"/>
  <c r="I333" i="1"/>
  <c r="H333" i="1"/>
  <c r="G333" i="1"/>
  <c r="E333" i="1"/>
  <c r="D333" i="1"/>
  <c r="C333" i="1"/>
  <c r="AW332" i="1"/>
  <c r="AV332" i="1"/>
  <c r="AT332" i="1"/>
  <c r="AR332" i="1"/>
  <c r="I332" i="1"/>
  <c r="H332" i="1"/>
  <c r="G332" i="1"/>
  <c r="E332" i="1"/>
  <c r="D332" i="1"/>
  <c r="C332" i="1"/>
  <c r="AW331" i="1"/>
  <c r="AV331" i="1"/>
  <c r="AT331" i="1"/>
  <c r="AR331" i="1"/>
  <c r="I331" i="1"/>
  <c r="H331" i="1"/>
  <c r="G331" i="1"/>
  <c r="E331" i="1"/>
  <c r="D331" i="1"/>
  <c r="C331" i="1"/>
  <c r="AV330" i="1"/>
  <c r="AT330" i="1"/>
  <c r="AR330" i="1"/>
  <c r="I330" i="1"/>
  <c r="H330" i="1"/>
  <c r="G330" i="1"/>
  <c r="E330" i="1"/>
  <c r="D330" i="1"/>
  <c r="C330" i="1"/>
  <c r="AW329" i="1"/>
  <c r="AV329" i="1"/>
  <c r="AT329" i="1"/>
  <c r="AR329" i="1"/>
  <c r="I329" i="1"/>
  <c r="H329" i="1"/>
  <c r="G329" i="1"/>
  <c r="E329" i="1"/>
  <c r="D329" i="1"/>
  <c r="C329" i="1"/>
  <c r="AW328" i="1"/>
  <c r="AV328" i="1"/>
  <c r="AT328" i="1"/>
  <c r="AR328" i="1"/>
  <c r="I328" i="1"/>
  <c r="H328" i="1"/>
  <c r="E328" i="1"/>
  <c r="D328" i="1"/>
  <c r="C328" i="1"/>
  <c r="AV327" i="1"/>
  <c r="AT327" i="1"/>
  <c r="AR327" i="1"/>
  <c r="I327" i="1"/>
  <c r="H327" i="1"/>
  <c r="G327" i="1"/>
  <c r="E327" i="1"/>
  <c r="D327" i="1"/>
  <c r="C327" i="1"/>
  <c r="AV326" i="1"/>
  <c r="AT326" i="1"/>
  <c r="I326" i="1"/>
  <c r="H326" i="1"/>
  <c r="G326" i="1"/>
  <c r="E326" i="1"/>
  <c r="D326" i="1"/>
  <c r="C326" i="1"/>
  <c r="AW325" i="1"/>
  <c r="AV325" i="1"/>
  <c r="AT325" i="1"/>
  <c r="AR325" i="1"/>
  <c r="I325" i="1"/>
  <c r="H325" i="1"/>
  <c r="E325" i="1"/>
  <c r="D325" i="1"/>
  <c r="C325" i="1"/>
  <c r="AV324" i="1"/>
  <c r="AT324" i="1"/>
  <c r="AR324" i="1"/>
  <c r="I324" i="1"/>
  <c r="H324" i="1"/>
  <c r="E324" i="1"/>
  <c r="D324" i="1"/>
  <c r="C324" i="1"/>
  <c r="AW323" i="1"/>
  <c r="AV323" i="1"/>
  <c r="AT323" i="1"/>
  <c r="AR323" i="1"/>
  <c r="I323" i="1"/>
  <c r="H323" i="1"/>
  <c r="G323" i="1"/>
  <c r="E323" i="1"/>
  <c r="D323" i="1"/>
  <c r="C323" i="1"/>
  <c r="AV322" i="1"/>
  <c r="AT322" i="1"/>
  <c r="AR322" i="1"/>
  <c r="I322" i="1"/>
  <c r="H322" i="1"/>
  <c r="G322" i="1"/>
  <c r="E322" i="1"/>
  <c r="D322" i="1"/>
  <c r="C322" i="1"/>
  <c r="AW321" i="1"/>
  <c r="AV321" i="1"/>
  <c r="AT321" i="1"/>
  <c r="AR321" i="1"/>
  <c r="I321" i="1"/>
  <c r="H321" i="1"/>
  <c r="G321" i="1"/>
  <c r="E321" i="1"/>
  <c r="D321" i="1"/>
  <c r="C321" i="1"/>
  <c r="AW320" i="1"/>
  <c r="AV320" i="1"/>
  <c r="AT320" i="1"/>
  <c r="AR320" i="1"/>
  <c r="I320" i="1"/>
  <c r="H320" i="1"/>
  <c r="G320" i="1"/>
  <c r="E320" i="1"/>
  <c r="D320" i="1"/>
  <c r="C320" i="1"/>
  <c r="AV319" i="1"/>
  <c r="AT319" i="1"/>
  <c r="AR319" i="1"/>
  <c r="I319" i="1"/>
  <c r="H319" i="1"/>
  <c r="G319" i="1"/>
  <c r="E319" i="1"/>
  <c r="D319" i="1"/>
  <c r="C319" i="1"/>
  <c r="AW318" i="1"/>
  <c r="AV318" i="1"/>
  <c r="AT318" i="1"/>
  <c r="AR318" i="1"/>
  <c r="I318" i="1"/>
  <c r="H318" i="1"/>
  <c r="G318" i="1"/>
  <c r="E318" i="1"/>
  <c r="D318" i="1"/>
  <c r="C318" i="1"/>
  <c r="AW317" i="1"/>
  <c r="AV317" i="1"/>
  <c r="AT317" i="1"/>
  <c r="AR317" i="1"/>
  <c r="I317" i="1"/>
  <c r="H317" i="1"/>
  <c r="E317" i="1"/>
  <c r="D317" i="1"/>
  <c r="C317" i="1"/>
  <c r="AV316" i="1"/>
  <c r="AT316" i="1"/>
  <c r="I316" i="1"/>
  <c r="H316" i="1"/>
  <c r="E316" i="1"/>
  <c r="D316" i="1"/>
  <c r="C316" i="1"/>
  <c r="AW315" i="1"/>
  <c r="AV315" i="1"/>
  <c r="AT315" i="1"/>
  <c r="AR315" i="1"/>
  <c r="I315" i="1"/>
  <c r="H315" i="1"/>
  <c r="E315" i="1"/>
  <c r="D315" i="1"/>
  <c r="C315" i="1"/>
  <c r="AV314" i="1"/>
  <c r="AT314" i="1"/>
  <c r="AR314" i="1"/>
  <c r="I314" i="1"/>
  <c r="H314" i="1"/>
  <c r="G314" i="1"/>
  <c r="E314" i="1"/>
  <c r="D314" i="1"/>
  <c r="C314" i="1"/>
  <c r="AW313" i="1"/>
  <c r="AV313" i="1"/>
  <c r="AT313" i="1"/>
  <c r="AR313" i="1"/>
  <c r="I313" i="1"/>
  <c r="H313" i="1"/>
  <c r="G313" i="1"/>
  <c r="E313" i="1"/>
  <c r="D313" i="1"/>
  <c r="C313" i="1"/>
  <c r="AV312" i="1"/>
  <c r="AT312" i="1"/>
  <c r="AR312" i="1"/>
  <c r="I312" i="1"/>
  <c r="H312" i="1"/>
  <c r="G312" i="1"/>
  <c r="E312" i="1"/>
  <c r="D312" i="1"/>
  <c r="C312" i="1"/>
  <c r="AW311" i="1"/>
  <c r="AV311" i="1"/>
  <c r="AT311" i="1"/>
  <c r="AR311" i="1"/>
  <c r="I311" i="1"/>
  <c r="H311" i="1"/>
  <c r="G311" i="1"/>
  <c r="E311" i="1"/>
  <c r="D311" i="1"/>
  <c r="C311" i="1"/>
  <c r="AV310" i="1"/>
  <c r="AT310" i="1"/>
  <c r="AR310" i="1"/>
  <c r="I310" i="1"/>
  <c r="H310" i="1"/>
  <c r="G310" i="1"/>
  <c r="E310" i="1"/>
  <c r="D310" i="1"/>
  <c r="C310" i="1"/>
  <c r="AW309" i="1"/>
  <c r="AV309" i="1"/>
  <c r="AT309" i="1"/>
  <c r="AR309" i="1"/>
  <c r="I309" i="1"/>
  <c r="H309" i="1"/>
  <c r="G309" i="1"/>
  <c r="E309" i="1"/>
  <c r="D309" i="1"/>
  <c r="C309" i="1"/>
  <c r="AV308" i="1"/>
  <c r="AT308" i="1"/>
  <c r="AR308" i="1"/>
  <c r="I308" i="1"/>
  <c r="H308" i="1"/>
  <c r="G308" i="1"/>
  <c r="E308" i="1"/>
  <c r="D308" i="1"/>
  <c r="C308" i="1"/>
  <c r="AV307" i="1"/>
  <c r="AT307" i="1"/>
  <c r="I307" i="1"/>
  <c r="H307" i="1"/>
  <c r="G307" i="1"/>
  <c r="E307" i="1"/>
  <c r="D307" i="1"/>
  <c r="C307" i="1"/>
  <c r="AV306" i="1"/>
  <c r="AT306" i="1"/>
  <c r="I306" i="1"/>
  <c r="H306" i="1"/>
  <c r="E306" i="1"/>
  <c r="D306" i="1"/>
  <c r="C306" i="1"/>
  <c r="AW305" i="1"/>
  <c r="AV305" i="1"/>
  <c r="AT305" i="1"/>
  <c r="AR305" i="1"/>
  <c r="I305" i="1"/>
  <c r="H305" i="1"/>
  <c r="G305" i="1"/>
  <c r="E305" i="1"/>
  <c r="D305" i="1"/>
  <c r="C305" i="1"/>
  <c r="AW304" i="1"/>
  <c r="AV304" i="1"/>
  <c r="AT304" i="1"/>
  <c r="AR304" i="1"/>
  <c r="I304" i="1"/>
  <c r="H304" i="1"/>
  <c r="G304" i="1"/>
  <c r="E304" i="1"/>
  <c r="D304" i="1"/>
  <c r="C304" i="1"/>
  <c r="AV303" i="1"/>
  <c r="AT303" i="1"/>
  <c r="AR303" i="1"/>
  <c r="I303" i="1"/>
  <c r="H303" i="1"/>
  <c r="G303" i="1"/>
  <c r="E303" i="1"/>
  <c r="D303" i="1"/>
  <c r="C303" i="1"/>
  <c r="AW302" i="1"/>
  <c r="AV302" i="1"/>
  <c r="AT302" i="1"/>
  <c r="AR302" i="1"/>
  <c r="I302" i="1"/>
  <c r="H302" i="1"/>
  <c r="G302" i="1"/>
  <c r="E302" i="1"/>
  <c r="D302" i="1"/>
  <c r="C302" i="1"/>
  <c r="AV301" i="1"/>
  <c r="AT301" i="1"/>
  <c r="AR301" i="1"/>
  <c r="I301" i="1"/>
  <c r="H301" i="1"/>
  <c r="E301" i="1"/>
  <c r="D301" i="1"/>
  <c r="C301" i="1"/>
  <c r="AW300" i="1"/>
  <c r="AV300" i="1"/>
  <c r="AT300" i="1"/>
  <c r="AR300" i="1"/>
  <c r="I300" i="1"/>
  <c r="H300" i="1"/>
  <c r="G300" i="1"/>
  <c r="E300" i="1"/>
  <c r="D300" i="1"/>
  <c r="C300" i="1"/>
  <c r="AW299" i="1"/>
  <c r="AV299" i="1"/>
  <c r="AT299" i="1"/>
  <c r="AR299" i="1"/>
  <c r="I299" i="1"/>
  <c r="H299" i="1"/>
  <c r="E299" i="1"/>
  <c r="D299" i="1"/>
  <c r="C299" i="1"/>
  <c r="AV298" i="1"/>
  <c r="AT298" i="1"/>
  <c r="AR298" i="1"/>
  <c r="I298" i="1"/>
  <c r="H298" i="1"/>
  <c r="G298" i="1"/>
  <c r="E298" i="1"/>
  <c r="D298" i="1"/>
  <c r="C298" i="1"/>
  <c r="AV297" i="1"/>
  <c r="AT297" i="1"/>
  <c r="AR297" i="1"/>
  <c r="I297" i="1"/>
  <c r="H297" i="1"/>
  <c r="G297" i="1"/>
  <c r="E297" i="1"/>
  <c r="D297" i="1"/>
  <c r="C297" i="1"/>
  <c r="AV296" i="1"/>
  <c r="AT296" i="1"/>
  <c r="AR296" i="1"/>
  <c r="I296" i="1"/>
  <c r="H296" i="1"/>
  <c r="G296" i="1"/>
  <c r="E296" i="1"/>
  <c r="D296" i="1"/>
  <c r="C296" i="1"/>
  <c r="AW295" i="1"/>
  <c r="AV295" i="1"/>
  <c r="AT295" i="1"/>
  <c r="AR295" i="1"/>
  <c r="I295" i="1"/>
  <c r="H295" i="1"/>
  <c r="G295" i="1"/>
  <c r="E295" i="1"/>
  <c r="D295" i="1"/>
  <c r="C295" i="1"/>
  <c r="AW294" i="1"/>
  <c r="AV294" i="1"/>
  <c r="AT294" i="1"/>
  <c r="AR294" i="1"/>
  <c r="I294" i="1"/>
  <c r="H294" i="1"/>
  <c r="E294" i="1"/>
  <c r="D294" i="1"/>
  <c r="C294" i="1"/>
  <c r="AV293" i="1"/>
  <c r="AT293" i="1"/>
  <c r="I293" i="1"/>
  <c r="H293" i="1"/>
  <c r="G293" i="1"/>
  <c r="E293" i="1"/>
  <c r="D293" i="1"/>
  <c r="C293" i="1"/>
  <c r="AV292" i="1"/>
  <c r="AT292" i="1"/>
  <c r="AR292" i="1"/>
  <c r="I292" i="1"/>
  <c r="H292" i="1"/>
  <c r="E292" i="1"/>
  <c r="D292" i="1"/>
  <c r="C292" i="1"/>
  <c r="AW291" i="1"/>
  <c r="AV291" i="1"/>
  <c r="AT291" i="1"/>
  <c r="AR291" i="1"/>
  <c r="I291" i="1"/>
  <c r="H291" i="1"/>
  <c r="G291" i="1"/>
  <c r="E291" i="1"/>
  <c r="D291" i="1"/>
  <c r="C291" i="1"/>
  <c r="AW290" i="1"/>
  <c r="AV290" i="1"/>
  <c r="AT290" i="1"/>
  <c r="AR290" i="1"/>
  <c r="I290" i="1"/>
  <c r="H290" i="1"/>
  <c r="E290" i="1"/>
  <c r="D290" i="1"/>
  <c r="C290" i="1"/>
  <c r="AV289" i="1"/>
  <c r="AT289" i="1"/>
  <c r="AR289" i="1"/>
  <c r="I289" i="1"/>
  <c r="H289" i="1"/>
  <c r="G289" i="1"/>
  <c r="E289" i="1"/>
  <c r="D289" i="1"/>
  <c r="C289" i="1"/>
  <c r="AW288" i="1"/>
  <c r="AV288" i="1"/>
  <c r="AT288" i="1"/>
  <c r="AR288" i="1"/>
  <c r="I288" i="1"/>
  <c r="H288" i="1"/>
  <c r="G288" i="1"/>
  <c r="E288" i="1"/>
  <c r="D288" i="1"/>
  <c r="C288" i="1"/>
  <c r="AV287" i="1"/>
  <c r="AT287" i="1"/>
  <c r="AR287" i="1"/>
  <c r="I287" i="1"/>
  <c r="H287" i="1"/>
  <c r="G287" i="1"/>
  <c r="E287" i="1"/>
  <c r="D287" i="1"/>
  <c r="C287" i="1"/>
  <c r="AV286" i="1"/>
  <c r="AT286" i="1"/>
  <c r="I286" i="1"/>
  <c r="H286" i="1"/>
  <c r="G286" i="1"/>
  <c r="E286" i="1"/>
  <c r="D286" i="1"/>
  <c r="C286" i="1"/>
  <c r="AV285" i="1"/>
  <c r="AT285" i="1"/>
  <c r="I285" i="1"/>
  <c r="H285" i="1"/>
  <c r="E285" i="1"/>
  <c r="D285" i="1"/>
  <c r="C285" i="1"/>
  <c r="AV284" i="1"/>
  <c r="AT284" i="1"/>
  <c r="I284" i="1"/>
  <c r="H284" i="1"/>
  <c r="E284" i="1"/>
  <c r="D284" i="1"/>
  <c r="C284" i="1"/>
  <c r="AW283" i="1"/>
  <c r="AV283" i="1"/>
  <c r="AT283" i="1"/>
  <c r="AR283" i="1"/>
  <c r="I283" i="1"/>
  <c r="H283" i="1"/>
  <c r="G283" i="1"/>
  <c r="E283" i="1"/>
  <c r="D283" i="1"/>
  <c r="C283" i="1"/>
  <c r="AV282" i="1"/>
  <c r="AT282" i="1"/>
  <c r="AR282" i="1"/>
  <c r="I282" i="1"/>
  <c r="H282" i="1"/>
  <c r="G282" i="1"/>
  <c r="E282" i="1"/>
  <c r="D282" i="1"/>
  <c r="C282" i="1"/>
  <c r="AW281" i="1"/>
  <c r="AV281" i="1"/>
  <c r="AT281" i="1"/>
  <c r="AR281" i="1"/>
  <c r="I281" i="1"/>
  <c r="H281" i="1"/>
  <c r="G281" i="1"/>
  <c r="E281" i="1"/>
  <c r="D281" i="1"/>
  <c r="C281" i="1"/>
  <c r="AW280" i="1"/>
  <c r="AV280" i="1"/>
  <c r="AT280" i="1"/>
  <c r="AR280" i="1"/>
  <c r="I280" i="1"/>
  <c r="H280" i="1"/>
  <c r="G280" i="1"/>
  <c r="E280" i="1"/>
  <c r="D280" i="1"/>
  <c r="C280" i="1"/>
  <c r="AV279" i="1"/>
  <c r="AT279" i="1"/>
  <c r="AR279" i="1"/>
  <c r="I279" i="1"/>
  <c r="H279" i="1"/>
  <c r="E279" i="1"/>
  <c r="D279" i="1"/>
  <c r="C279" i="1"/>
  <c r="AW278" i="1"/>
  <c r="AV278" i="1"/>
  <c r="AT278" i="1"/>
  <c r="AR278" i="1"/>
  <c r="I278" i="1"/>
  <c r="H278" i="1"/>
  <c r="E278" i="1"/>
  <c r="D278" i="1"/>
  <c r="C278" i="1"/>
  <c r="AV277" i="1"/>
  <c r="AT277" i="1"/>
  <c r="AR277" i="1"/>
  <c r="I277" i="1"/>
  <c r="H277" i="1"/>
  <c r="G277" i="1"/>
  <c r="E277" i="1"/>
  <c r="D277" i="1"/>
  <c r="C277" i="1"/>
  <c r="AV276" i="1"/>
  <c r="AT276" i="1"/>
  <c r="AR276" i="1"/>
  <c r="I276" i="1"/>
  <c r="H276" i="1"/>
  <c r="G276" i="1"/>
  <c r="E276" i="1"/>
  <c r="D276" i="1"/>
  <c r="C276" i="1"/>
  <c r="AV275" i="1"/>
  <c r="AT275" i="1"/>
  <c r="I275" i="1"/>
  <c r="H275" i="1"/>
  <c r="G275" i="1"/>
  <c r="E275" i="1"/>
  <c r="D275" i="1"/>
  <c r="C275" i="1"/>
  <c r="AV274" i="1"/>
  <c r="AT274" i="1"/>
  <c r="I274" i="1"/>
  <c r="H274" i="1"/>
  <c r="E274" i="1"/>
  <c r="D274" i="1"/>
  <c r="C274" i="1"/>
  <c r="AW273" i="1"/>
  <c r="AV273" i="1"/>
  <c r="AT273" i="1"/>
  <c r="AR273" i="1"/>
  <c r="I273" i="1"/>
  <c r="H273" i="1"/>
  <c r="G273" i="1"/>
  <c r="E273" i="1"/>
  <c r="D273" i="1"/>
  <c r="C273" i="1"/>
  <c r="AV272" i="1"/>
  <c r="AT272" i="1"/>
  <c r="I272" i="1"/>
  <c r="H272" i="1"/>
  <c r="E272" i="1"/>
  <c r="D272" i="1"/>
  <c r="C272" i="1"/>
  <c r="AW271" i="1"/>
  <c r="AV271" i="1"/>
  <c r="AT271" i="1"/>
  <c r="AR271" i="1"/>
  <c r="I271" i="1"/>
  <c r="H271" i="1"/>
  <c r="G271" i="1"/>
  <c r="E271" i="1"/>
  <c r="D271" i="1"/>
  <c r="C271" i="1"/>
  <c r="AW270" i="1"/>
  <c r="AV270" i="1"/>
  <c r="AT270" i="1"/>
  <c r="AR270" i="1"/>
  <c r="I270" i="1"/>
  <c r="H270" i="1"/>
  <c r="G270" i="1"/>
  <c r="E270" i="1"/>
  <c r="D270" i="1"/>
  <c r="C270" i="1"/>
  <c r="AV269" i="1"/>
  <c r="AT269" i="1"/>
  <c r="AR269" i="1"/>
  <c r="I269" i="1"/>
  <c r="H269" i="1"/>
  <c r="G269" i="1"/>
  <c r="E269" i="1"/>
  <c r="D269" i="1"/>
  <c r="C269" i="1"/>
  <c r="AV268" i="1"/>
  <c r="AT268" i="1"/>
  <c r="AR268" i="1"/>
  <c r="I268" i="1"/>
  <c r="H268" i="1"/>
  <c r="G268" i="1"/>
  <c r="E268" i="1"/>
  <c r="D268" i="1"/>
  <c r="C268" i="1"/>
  <c r="AW267" i="1"/>
  <c r="AV267" i="1"/>
  <c r="AT267" i="1"/>
  <c r="AR267" i="1"/>
  <c r="I267" i="1"/>
  <c r="H267" i="1"/>
  <c r="G267" i="1"/>
  <c r="E267" i="1"/>
  <c r="D267" i="1"/>
  <c r="C267" i="1"/>
  <c r="AW266" i="1"/>
  <c r="AV266" i="1"/>
  <c r="AT266" i="1"/>
  <c r="AR266" i="1"/>
  <c r="I266" i="1"/>
  <c r="H266" i="1"/>
  <c r="G266" i="1"/>
  <c r="E266" i="1"/>
  <c r="D266" i="1"/>
  <c r="C266" i="1"/>
  <c r="AW265" i="1"/>
  <c r="AV265" i="1"/>
  <c r="AT265" i="1"/>
  <c r="AR265" i="1"/>
  <c r="I265" i="1"/>
  <c r="H265" i="1"/>
  <c r="E265" i="1"/>
  <c r="D265" i="1"/>
  <c r="C265" i="1"/>
  <c r="AV264" i="1"/>
  <c r="AT264" i="1"/>
  <c r="AR264" i="1"/>
  <c r="I264" i="1"/>
  <c r="H264" i="1"/>
  <c r="E264" i="1"/>
  <c r="D264" i="1"/>
  <c r="C264" i="1"/>
  <c r="AW263" i="1"/>
  <c r="AV263" i="1"/>
  <c r="AT263" i="1"/>
  <c r="AR263" i="1"/>
  <c r="I263" i="1"/>
  <c r="H263" i="1"/>
  <c r="G263" i="1"/>
  <c r="E263" i="1"/>
  <c r="D263" i="1"/>
  <c r="C263" i="1"/>
  <c r="AW262" i="1"/>
  <c r="AV262" i="1"/>
  <c r="AT262" i="1"/>
  <c r="AR262" i="1"/>
  <c r="I262" i="1"/>
  <c r="H262" i="1"/>
  <c r="E262" i="1"/>
  <c r="D262" i="1"/>
  <c r="C262" i="1"/>
  <c r="AW261" i="1"/>
  <c r="AV261" i="1"/>
  <c r="AT261" i="1"/>
  <c r="AR261" i="1"/>
  <c r="I261" i="1"/>
  <c r="H261" i="1"/>
  <c r="G261" i="1"/>
  <c r="E261" i="1"/>
  <c r="D261" i="1"/>
  <c r="C261" i="1"/>
  <c r="AW260" i="1"/>
  <c r="AV260" i="1"/>
  <c r="AT260" i="1"/>
  <c r="AR260" i="1"/>
  <c r="I260" i="1"/>
  <c r="H260" i="1"/>
  <c r="G260" i="1"/>
  <c r="E260" i="1"/>
  <c r="D260" i="1"/>
  <c r="C260" i="1"/>
  <c r="AW259" i="1"/>
  <c r="AV259" i="1"/>
  <c r="AT259" i="1"/>
  <c r="AR259" i="1"/>
  <c r="I259" i="1"/>
  <c r="H259" i="1"/>
  <c r="G259" i="1"/>
  <c r="E259" i="1"/>
  <c r="D259" i="1"/>
  <c r="C259" i="1"/>
  <c r="AV258" i="1"/>
  <c r="AT258" i="1"/>
  <c r="AR258" i="1"/>
  <c r="I258" i="1"/>
  <c r="H258" i="1"/>
  <c r="G258" i="1"/>
  <c r="E258" i="1"/>
  <c r="D258" i="1"/>
  <c r="C258" i="1"/>
  <c r="AV257" i="1"/>
  <c r="AT257" i="1"/>
  <c r="AR257" i="1"/>
  <c r="I257" i="1"/>
  <c r="H257" i="1"/>
  <c r="G257" i="1"/>
  <c r="E257" i="1"/>
  <c r="D257" i="1"/>
  <c r="C257" i="1"/>
  <c r="AW256" i="1"/>
  <c r="AV256" i="1"/>
  <c r="AT256" i="1"/>
  <c r="AR256" i="1"/>
  <c r="I256" i="1"/>
  <c r="H256" i="1"/>
  <c r="E256" i="1"/>
  <c r="D256" i="1"/>
  <c r="C256" i="1"/>
  <c r="AW255" i="1"/>
  <c r="AV255" i="1"/>
  <c r="AT255" i="1"/>
  <c r="AR255" i="1"/>
  <c r="I255" i="1"/>
  <c r="H255" i="1"/>
  <c r="G255" i="1"/>
  <c r="E255" i="1"/>
  <c r="C255" i="1"/>
  <c r="AV254" i="1"/>
  <c r="AT254" i="1"/>
  <c r="I254" i="1"/>
  <c r="H254" i="1"/>
  <c r="E254" i="1"/>
  <c r="D254" i="1"/>
  <c r="C254" i="1"/>
  <c r="AV253" i="1"/>
  <c r="AT253" i="1"/>
  <c r="AR253" i="1"/>
  <c r="I253" i="1"/>
  <c r="H253" i="1"/>
  <c r="G253" i="1"/>
  <c r="E253" i="1"/>
  <c r="D253" i="1"/>
  <c r="C253" i="1"/>
  <c r="AV252" i="1"/>
  <c r="AT252" i="1"/>
  <c r="AR252" i="1"/>
  <c r="I252" i="1"/>
  <c r="H252" i="1"/>
  <c r="G252" i="1"/>
  <c r="E252" i="1"/>
  <c r="D252" i="1"/>
  <c r="C252" i="1"/>
  <c r="AW251" i="1"/>
  <c r="AV251" i="1"/>
  <c r="AT251" i="1"/>
  <c r="AR251" i="1"/>
  <c r="I251" i="1"/>
  <c r="H251" i="1"/>
  <c r="G251" i="1"/>
  <c r="E251" i="1"/>
  <c r="D251" i="1"/>
  <c r="C251" i="1"/>
  <c r="AV250" i="1"/>
  <c r="AT250" i="1"/>
  <c r="I250" i="1"/>
  <c r="H250" i="1"/>
  <c r="G250" i="1"/>
  <c r="E250" i="1"/>
  <c r="D250" i="1"/>
  <c r="C250" i="1"/>
  <c r="AW249" i="1"/>
  <c r="AV249" i="1"/>
  <c r="AT249" i="1"/>
  <c r="AR249" i="1"/>
  <c r="I249" i="1"/>
  <c r="H249" i="1"/>
  <c r="G249" i="1"/>
  <c r="E249" i="1"/>
  <c r="D249" i="1"/>
  <c r="C249" i="1"/>
  <c r="AW248" i="1"/>
  <c r="AV248" i="1"/>
  <c r="AT248" i="1"/>
  <c r="AR248" i="1"/>
  <c r="I248" i="1"/>
  <c r="H248" i="1"/>
  <c r="E248" i="1"/>
  <c r="D248" i="1"/>
  <c r="C248" i="1"/>
  <c r="AV247" i="1"/>
  <c r="AT247" i="1"/>
  <c r="AR247" i="1"/>
  <c r="I247" i="1"/>
  <c r="H247" i="1"/>
  <c r="G247" i="1"/>
  <c r="E247" i="1"/>
  <c r="D247" i="1"/>
  <c r="C247" i="1"/>
  <c r="AV246" i="1"/>
  <c r="AT246" i="1"/>
  <c r="AR246" i="1"/>
  <c r="I246" i="1"/>
  <c r="H246" i="1"/>
  <c r="E246" i="1"/>
  <c r="D246" i="1"/>
  <c r="C246" i="1"/>
  <c r="AW245" i="1"/>
  <c r="AV245" i="1"/>
  <c r="AT245" i="1"/>
  <c r="AR245" i="1"/>
  <c r="I245" i="1"/>
  <c r="H245" i="1"/>
  <c r="G245" i="1"/>
  <c r="E245" i="1"/>
  <c r="D245" i="1"/>
  <c r="C245" i="1"/>
  <c r="AW244" i="1"/>
  <c r="AV244" i="1"/>
  <c r="AT244" i="1"/>
  <c r="AR244" i="1"/>
  <c r="I244" i="1"/>
  <c r="H244" i="1"/>
  <c r="E244" i="1"/>
  <c r="D244" i="1"/>
  <c r="C244" i="1"/>
  <c r="AV243" i="1"/>
  <c r="AT243" i="1"/>
  <c r="AR243" i="1"/>
  <c r="I243" i="1"/>
  <c r="H243" i="1"/>
  <c r="G243" i="1"/>
  <c r="E243" i="1"/>
  <c r="D243" i="1"/>
  <c r="C243" i="1"/>
  <c r="AW242" i="1"/>
  <c r="AV242" i="1"/>
  <c r="AT242" i="1"/>
  <c r="AR242" i="1"/>
  <c r="I242" i="1"/>
  <c r="H242" i="1"/>
  <c r="G242" i="1"/>
  <c r="E242" i="1"/>
  <c r="D242" i="1"/>
  <c r="C242" i="1"/>
  <c r="AV241" i="1"/>
  <c r="AT241" i="1"/>
  <c r="AR241" i="1"/>
  <c r="I241" i="1"/>
  <c r="H241" i="1"/>
  <c r="G241" i="1"/>
  <c r="E241" i="1"/>
  <c r="D241" i="1"/>
  <c r="C241" i="1"/>
  <c r="AV240" i="1"/>
  <c r="AT240" i="1"/>
  <c r="AR240" i="1"/>
  <c r="I240" i="1"/>
  <c r="H240" i="1"/>
  <c r="G240" i="1"/>
  <c r="E240" i="1"/>
  <c r="D240" i="1"/>
  <c r="C240" i="1"/>
  <c r="AW239" i="1"/>
  <c r="AV239" i="1"/>
  <c r="AT239" i="1"/>
  <c r="AR239" i="1"/>
  <c r="I239" i="1"/>
  <c r="H239" i="1"/>
  <c r="G239" i="1"/>
  <c r="E239" i="1"/>
  <c r="D239" i="1"/>
  <c r="C239" i="1"/>
  <c r="AW238" i="1"/>
  <c r="AV238" i="1"/>
  <c r="AT238" i="1"/>
  <c r="AR238" i="1"/>
  <c r="I238" i="1"/>
  <c r="H238" i="1"/>
  <c r="E238" i="1"/>
  <c r="D238" i="1"/>
  <c r="C238" i="1"/>
  <c r="AV237" i="1"/>
  <c r="AT237" i="1"/>
  <c r="I237" i="1"/>
  <c r="H237" i="1"/>
  <c r="E237" i="1"/>
  <c r="D237" i="1"/>
  <c r="C237" i="1"/>
  <c r="AV236" i="1"/>
  <c r="AT236" i="1"/>
  <c r="AR236" i="1"/>
  <c r="I236" i="1"/>
  <c r="H236" i="1"/>
  <c r="G236" i="1"/>
  <c r="E236" i="1"/>
  <c r="D236" i="1"/>
  <c r="C236" i="1"/>
  <c r="AV235" i="1"/>
  <c r="AT235" i="1"/>
  <c r="I235" i="1"/>
  <c r="H235" i="1"/>
  <c r="G235" i="1"/>
  <c r="E235" i="1"/>
  <c r="D235" i="1"/>
  <c r="C235" i="1"/>
  <c r="AW234" i="1"/>
  <c r="AV234" i="1"/>
  <c r="AT234" i="1"/>
  <c r="AR234" i="1"/>
  <c r="I234" i="1"/>
  <c r="H234" i="1"/>
  <c r="G234" i="1"/>
  <c r="E234" i="1"/>
  <c r="D234" i="1"/>
  <c r="C234" i="1"/>
  <c r="AV233" i="1"/>
  <c r="AT233" i="1"/>
  <c r="AR233" i="1"/>
  <c r="I233" i="1"/>
  <c r="H233" i="1"/>
  <c r="G233" i="1"/>
  <c r="E233" i="1"/>
  <c r="D233" i="1"/>
  <c r="C233" i="1"/>
  <c r="AW232" i="1"/>
  <c r="AV232" i="1"/>
  <c r="AT232" i="1"/>
  <c r="AR232" i="1"/>
  <c r="I232" i="1"/>
  <c r="H232" i="1"/>
  <c r="G232" i="1"/>
  <c r="E232" i="1"/>
  <c r="D232" i="1"/>
  <c r="C232" i="1"/>
  <c r="AW231" i="1"/>
  <c r="AV231" i="1"/>
  <c r="AT231" i="1"/>
  <c r="AR231" i="1"/>
  <c r="I231" i="1"/>
  <c r="H231" i="1"/>
  <c r="E231" i="1"/>
  <c r="D231" i="1"/>
  <c r="C231" i="1"/>
  <c r="AV230" i="1"/>
  <c r="AT230" i="1"/>
  <c r="AR230" i="1"/>
  <c r="I230" i="1"/>
  <c r="H230" i="1"/>
  <c r="G230" i="1"/>
  <c r="E230" i="1"/>
  <c r="D230" i="1"/>
  <c r="C230" i="1"/>
  <c r="AV229" i="1"/>
  <c r="AT229" i="1"/>
  <c r="AR229" i="1"/>
  <c r="I229" i="1"/>
  <c r="H229" i="1"/>
  <c r="G229" i="1"/>
  <c r="E229" i="1"/>
  <c r="D229" i="1"/>
  <c r="C229" i="1"/>
  <c r="AV228" i="1"/>
  <c r="AT228" i="1"/>
  <c r="AR228" i="1"/>
  <c r="I228" i="1"/>
  <c r="H228" i="1"/>
  <c r="G228" i="1"/>
  <c r="E228" i="1"/>
  <c r="D228" i="1"/>
  <c r="C228" i="1"/>
  <c r="AV227" i="1"/>
  <c r="AT227" i="1"/>
  <c r="AR227" i="1"/>
  <c r="I227" i="1"/>
  <c r="H227" i="1"/>
  <c r="E227" i="1"/>
  <c r="D227" i="1"/>
  <c r="C227" i="1"/>
  <c r="AW226" i="1"/>
  <c r="AV226" i="1"/>
  <c r="AT226" i="1"/>
  <c r="AR226" i="1"/>
  <c r="I226" i="1"/>
  <c r="H226" i="1"/>
  <c r="G226" i="1"/>
  <c r="E226" i="1"/>
  <c r="D226" i="1"/>
  <c r="C226" i="1"/>
  <c r="AW225" i="1"/>
  <c r="AV225" i="1"/>
  <c r="AT225" i="1"/>
  <c r="AR225" i="1"/>
  <c r="I225" i="1"/>
  <c r="H225" i="1"/>
  <c r="G225" i="1"/>
  <c r="E225" i="1"/>
  <c r="D225" i="1"/>
  <c r="C225" i="1"/>
  <c r="AV224" i="1"/>
  <c r="AT224" i="1"/>
  <c r="AR224" i="1"/>
  <c r="I224" i="1"/>
  <c r="H224" i="1"/>
  <c r="G224" i="1"/>
  <c r="E224" i="1"/>
  <c r="D224" i="1"/>
  <c r="C224" i="1"/>
  <c r="AW223" i="1"/>
  <c r="AV223" i="1"/>
  <c r="AT223" i="1"/>
  <c r="AR223" i="1"/>
  <c r="I223" i="1"/>
  <c r="H223" i="1"/>
  <c r="G223" i="1"/>
  <c r="E223" i="1"/>
  <c r="D223" i="1"/>
  <c r="C223" i="1"/>
  <c r="AW222" i="1"/>
  <c r="AV222" i="1"/>
  <c r="AT222" i="1"/>
  <c r="AR222" i="1"/>
  <c r="I222" i="1"/>
  <c r="H222" i="1"/>
  <c r="G222" i="1"/>
  <c r="E222" i="1"/>
  <c r="D222" i="1"/>
  <c r="C222" i="1"/>
  <c r="AW221" i="1"/>
  <c r="AV221" i="1"/>
  <c r="AT221" i="1"/>
  <c r="AR221" i="1"/>
  <c r="I221" i="1"/>
  <c r="H221" i="1"/>
  <c r="E221" i="1"/>
  <c r="D221" i="1"/>
  <c r="C221" i="1"/>
  <c r="AV220" i="1"/>
  <c r="AT220" i="1"/>
  <c r="AR220" i="1"/>
  <c r="I220" i="1"/>
  <c r="H220" i="1"/>
  <c r="G220" i="1"/>
  <c r="E220" i="1"/>
  <c r="D220" i="1"/>
  <c r="C220" i="1"/>
  <c r="AV219" i="1"/>
  <c r="AT219" i="1"/>
  <c r="I219" i="1"/>
  <c r="H219" i="1"/>
  <c r="G219" i="1"/>
  <c r="E219" i="1"/>
  <c r="D219" i="1"/>
  <c r="C219" i="1"/>
  <c r="AV218" i="1"/>
  <c r="AT218" i="1"/>
  <c r="I218" i="1"/>
  <c r="H218" i="1"/>
  <c r="E218" i="1"/>
  <c r="D218" i="1"/>
  <c r="C218" i="1"/>
  <c r="AW217" i="1"/>
  <c r="AV217" i="1"/>
  <c r="AT217" i="1"/>
  <c r="AR217" i="1"/>
  <c r="I217" i="1"/>
  <c r="H217" i="1"/>
  <c r="G217" i="1"/>
  <c r="E217" i="1"/>
  <c r="D217" i="1"/>
  <c r="C217" i="1"/>
  <c r="AV216" i="1"/>
  <c r="AT216" i="1"/>
  <c r="AR216" i="1"/>
  <c r="I216" i="1"/>
  <c r="H216" i="1"/>
  <c r="G216" i="1"/>
  <c r="E216" i="1"/>
  <c r="D216" i="1"/>
  <c r="C216" i="1"/>
  <c r="AW215" i="1"/>
  <c r="AV215" i="1"/>
  <c r="AT215" i="1"/>
  <c r="AR215" i="1"/>
  <c r="I215" i="1"/>
  <c r="H215" i="1"/>
  <c r="G215" i="1"/>
  <c r="E215" i="1"/>
  <c r="D215" i="1"/>
  <c r="C215" i="1"/>
  <c r="AV214" i="1"/>
  <c r="AT214" i="1"/>
  <c r="AR214" i="1"/>
  <c r="I214" i="1"/>
  <c r="H214" i="1"/>
  <c r="G214" i="1"/>
  <c r="E214" i="1"/>
  <c r="D214" i="1"/>
  <c r="C214" i="1"/>
  <c r="AW213" i="1"/>
  <c r="AV213" i="1"/>
  <c r="AT213" i="1"/>
  <c r="AR213" i="1"/>
  <c r="I213" i="1"/>
  <c r="H213" i="1"/>
  <c r="E213" i="1"/>
  <c r="D213" i="1"/>
  <c r="C213" i="1"/>
  <c r="AV212" i="1"/>
  <c r="AT212" i="1"/>
  <c r="AR212" i="1"/>
  <c r="I212" i="1"/>
  <c r="H212" i="1"/>
  <c r="E212" i="1"/>
  <c r="D212" i="1"/>
  <c r="C212" i="1"/>
  <c r="AW211" i="1"/>
  <c r="AV211" i="1"/>
  <c r="AT211" i="1"/>
  <c r="AR211" i="1"/>
  <c r="I211" i="1"/>
  <c r="H211" i="1"/>
  <c r="G211" i="1"/>
  <c r="E211" i="1"/>
  <c r="D211" i="1"/>
  <c r="C211" i="1"/>
  <c r="AW210" i="1"/>
  <c r="AV210" i="1"/>
  <c r="AT210" i="1"/>
  <c r="AR210" i="1"/>
  <c r="I210" i="1"/>
  <c r="H210" i="1"/>
  <c r="E210" i="1"/>
  <c r="D210" i="1"/>
  <c r="C210" i="1"/>
  <c r="AW209" i="1"/>
  <c r="AV209" i="1"/>
  <c r="AT209" i="1"/>
  <c r="AR209" i="1"/>
  <c r="I209" i="1"/>
  <c r="H209" i="1"/>
  <c r="G209" i="1"/>
  <c r="E209" i="1"/>
  <c r="D209" i="1"/>
  <c r="C209" i="1"/>
  <c r="AW208" i="1"/>
  <c r="AV208" i="1"/>
  <c r="AT208" i="1"/>
  <c r="AR208" i="1"/>
  <c r="I208" i="1"/>
  <c r="H208" i="1"/>
  <c r="G208" i="1"/>
  <c r="E208" i="1"/>
  <c r="D208" i="1"/>
  <c r="C208" i="1"/>
  <c r="AW207" i="1"/>
  <c r="AV207" i="1"/>
  <c r="AT207" i="1"/>
  <c r="AR207" i="1"/>
  <c r="I207" i="1"/>
  <c r="H207" i="1"/>
  <c r="G207" i="1"/>
  <c r="E207" i="1"/>
  <c r="D207" i="1"/>
  <c r="C207" i="1"/>
  <c r="AW206" i="1"/>
  <c r="AV206" i="1"/>
  <c r="AT206" i="1"/>
  <c r="AR206" i="1"/>
  <c r="I206" i="1"/>
  <c r="H206" i="1"/>
  <c r="G206" i="1"/>
  <c r="E206" i="1"/>
  <c r="D206" i="1"/>
  <c r="C206" i="1"/>
  <c r="AW205" i="1"/>
  <c r="AV205" i="1"/>
  <c r="AT205" i="1"/>
  <c r="AR205" i="1"/>
  <c r="I205" i="1"/>
  <c r="H205" i="1"/>
  <c r="E205" i="1"/>
  <c r="D205" i="1"/>
  <c r="C205" i="1"/>
  <c r="AV204" i="1"/>
  <c r="AT204" i="1"/>
  <c r="AR204" i="1"/>
  <c r="I204" i="1"/>
  <c r="H204" i="1"/>
  <c r="E204" i="1"/>
  <c r="D204" i="1"/>
  <c r="C204" i="1"/>
  <c r="AW203" i="1"/>
  <c r="AV203" i="1"/>
  <c r="AT203" i="1"/>
  <c r="AR203" i="1"/>
  <c r="I203" i="1"/>
  <c r="H203" i="1"/>
  <c r="E203" i="1"/>
  <c r="D203" i="1"/>
  <c r="C203" i="1"/>
  <c r="AV202" i="1"/>
  <c r="AT202" i="1"/>
  <c r="AR202" i="1"/>
  <c r="I202" i="1"/>
  <c r="H202" i="1"/>
  <c r="G202" i="1"/>
  <c r="E202" i="1"/>
  <c r="D202" i="1"/>
  <c r="C202" i="1"/>
  <c r="AW201" i="1"/>
  <c r="AV201" i="1"/>
  <c r="AT201" i="1"/>
  <c r="AR201" i="1"/>
  <c r="I201" i="1"/>
  <c r="H201" i="1"/>
  <c r="G201" i="1"/>
  <c r="E201" i="1"/>
  <c r="D201" i="1"/>
  <c r="C201" i="1"/>
  <c r="AV200" i="1"/>
  <c r="AT200" i="1"/>
  <c r="AR200" i="1"/>
  <c r="I200" i="1"/>
  <c r="H200" i="1"/>
  <c r="G200" i="1"/>
  <c r="E200" i="1"/>
  <c r="D200" i="1"/>
  <c r="C200" i="1"/>
  <c r="AV199" i="1"/>
  <c r="AT199" i="1"/>
  <c r="AR199" i="1"/>
  <c r="I199" i="1"/>
  <c r="H199" i="1"/>
  <c r="G199" i="1"/>
  <c r="E199" i="1"/>
  <c r="D199" i="1"/>
  <c r="C199" i="1"/>
  <c r="AW198" i="1"/>
  <c r="AV198" i="1"/>
  <c r="AT198" i="1"/>
  <c r="AR198" i="1"/>
  <c r="I198" i="1"/>
  <c r="H198" i="1"/>
  <c r="G198" i="1"/>
  <c r="E198" i="1"/>
  <c r="D198" i="1"/>
  <c r="C198" i="1"/>
  <c r="AV197" i="1"/>
  <c r="AT197" i="1"/>
  <c r="AR197" i="1"/>
  <c r="I197" i="1"/>
  <c r="H197" i="1"/>
  <c r="G197" i="1"/>
  <c r="E197" i="1"/>
  <c r="D197" i="1"/>
  <c r="C197" i="1"/>
  <c r="AV196" i="1"/>
  <c r="AT196" i="1"/>
  <c r="I196" i="1"/>
  <c r="H196" i="1"/>
  <c r="E196" i="1"/>
  <c r="D196" i="1"/>
  <c r="C196" i="1"/>
  <c r="AW195" i="1"/>
  <c r="AV195" i="1"/>
  <c r="AT195" i="1"/>
  <c r="AR195" i="1"/>
  <c r="I195" i="1"/>
  <c r="H195" i="1"/>
  <c r="G195" i="1"/>
  <c r="E195" i="1"/>
  <c r="D195" i="1"/>
  <c r="C195" i="1"/>
  <c r="AW194" i="1"/>
  <c r="AV194" i="1"/>
  <c r="AT194" i="1"/>
  <c r="AR194" i="1"/>
  <c r="I194" i="1"/>
  <c r="H194" i="1"/>
  <c r="G194" i="1"/>
  <c r="E194" i="1"/>
  <c r="D194" i="1"/>
  <c r="C194" i="1"/>
  <c r="AV193" i="1"/>
  <c r="AT193" i="1"/>
  <c r="AR193" i="1"/>
  <c r="I193" i="1"/>
  <c r="H193" i="1"/>
  <c r="G193" i="1"/>
  <c r="E193" i="1"/>
  <c r="D193" i="1"/>
  <c r="C193" i="1"/>
  <c r="AW192" i="1"/>
  <c r="AV192" i="1"/>
  <c r="AT192" i="1"/>
  <c r="AR192" i="1"/>
  <c r="I192" i="1"/>
  <c r="H192" i="1"/>
  <c r="G192" i="1"/>
  <c r="E192" i="1"/>
  <c r="D192" i="1"/>
  <c r="C192" i="1"/>
  <c r="AW191" i="1"/>
  <c r="AV191" i="1"/>
  <c r="AT191" i="1"/>
  <c r="AR191" i="1"/>
  <c r="I191" i="1"/>
  <c r="H191" i="1"/>
  <c r="G191" i="1"/>
  <c r="E191" i="1"/>
  <c r="D191" i="1"/>
  <c r="C191" i="1"/>
  <c r="AV190" i="1"/>
  <c r="AT190" i="1"/>
  <c r="AR190" i="1"/>
  <c r="I190" i="1"/>
  <c r="H190" i="1"/>
  <c r="G190" i="1"/>
  <c r="E190" i="1"/>
  <c r="D190" i="1"/>
  <c r="C190" i="1"/>
  <c r="AW189" i="1"/>
  <c r="AV189" i="1"/>
  <c r="AT189" i="1"/>
  <c r="AR189" i="1"/>
  <c r="I189" i="1"/>
  <c r="H189" i="1"/>
  <c r="E189" i="1"/>
  <c r="D189" i="1"/>
  <c r="C189" i="1"/>
  <c r="AV188" i="1"/>
  <c r="AT188" i="1"/>
  <c r="I188" i="1"/>
  <c r="H188" i="1"/>
  <c r="E188" i="1"/>
  <c r="D188" i="1"/>
  <c r="C188" i="1"/>
  <c r="AW187" i="1"/>
  <c r="AV187" i="1"/>
  <c r="AT187" i="1"/>
  <c r="AR187" i="1"/>
  <c r="I187" i="1"/>
  <c r="H187" i="1"/>
  <c r="G187" i="1"/>
  <c r="E187" i="1"/>
  <c r="D187" i="1"/>
  <c r="C187" i="1"/>
  <c r="AW186" i="1"/>
  <c r="AV186" i="1"/>
  <c r="AT186" i="1"/>
  <c r="AR186" i="1"/>
  <c r="I186" i="1"/>
  <c r="H186" i="1"/>
  <c r="E186" i="1"/>
  <c r="D186" i="1"/>
  <c r="C186" i="1"/>
  <c r="AV185" i="1"/>
  <c r="AT185" i="1"/>
  <c r="AR185" i="1"/>
  <c r="I185" i="1"/>
  <c r="H185" i="1"/>
  <c r="G185" i="1"/>
  <c r="E185" i="1"/>
  <c r="D185" i="1"/>
  <c r="C185" i="1"/>
  <c r="AW184" i="1"/>
  <c r="AV184" i="1"/>
  <c r="AT184" i="1"/>
  <c r="AR184" i="1"/>
  <c r="I184" i="1"/>
  <c r="H184" i="1"/>
  <c r="G184" i="1"/>
  <c r="E184" i="1"/>
  <c r="D184" i="1"/>
  <c r="C184" i="1"/>
  <c r="AV183" i="1"/>
  <c r="AT183" i="1"/>
  <c r="AR183" i="1"/>
  <c r="I183" i="1"/>
  <c r="H183" i="1"/>
  <c r="G183" i="1"/>
  <c r="E183" i="1"/>
  <c r="D183" i="1"/>
  <c r="C183" i="1"/>
  <c r="AW182" i="1"/>
  <c r="AV182" i="1"/>
  <c r="AT182" i="1"/>
  <c r="AR182" i="1"/>
  <c r="I182" i="1"/>
  <c r="H182" i="1"/>
  <c r="G182" i="1"/>
  <c r="E182" i="1"/>
  <c r="D182" i="1"/>
  <c r="C182" i="1"/>
  <c r="AW181" i="1"/>
  <c r="AV181" i="1"/>
  <c r="AT181" i="1"/>
  <c r="AR181" i="1"/>
  <c r="I181" i="1"/>
  <c r="H181" i="1"/>
  <c r="G181" i="1"/>
  <c r="E181" i="1"/>
  <c r="D181" i="1"/>
  <c r="C181" i="1"/>
  <c r="AV180" i="1"/>
  <c r="AT180" i="1"/>
  <c r="AR180" i="1"/>
  <c r="I180" i="1"/>
  <c r="H180" i="1"/>
  <c r="G180" i="1"/>
  <c r="E180" i="1"/>
  <c r="D180" i="1"/>
  <c r="C180" i="1"/>
  <c r="AV179" i="1"/>
  <c r="AT179" i="1"/>
  <c r="I179" i="1"/>
  <c r="H179" i="1"/>
  <c r="G179" i="1"/>
  <c r="E179" i="1"/>
  <c r="D179" i="1"/>
  <c r="C179" i="1"/>
  <c r="AV178" i="1"/>
  <c r="AT178" i="1"/>
  <c r="I178" i="1"/>
  <c r="H178" i="1"/>
  <c r="E178" i="1"/>
  <c r="D178" i="1"/>
  <c r="C178" i="1"/>
  <c r="AW177" i="1"/>
  <c r="AV177" i="1"/>
  <c r="AT177" i="1"/>
  <c r="AR177" i="1"/>
  <c r="I177" i="1"/>
  <c r="H177" i="1"/>
  <c r="G177" i="1"/>
  <c r="E177" i="1"/>
  <c r="D177" i="1"/>
  <c r="C177" i="1"/>
  <c r="AW176" i="1"/>
  <c r="AV176" i="1"/>
  <c r="AT176" i="1"/>
  <c r="AR176" i="1"/>
  <c r="I176" i="1"/>
  <c r="H176" i="1"/>
  <c r="G176" i="1"/>
  <c r="E176" i="1"/>
  <c r="D176" i="1"/>
  <c r="C176" i="1"/>
  <c r="AV175" i="1"/>
  <c r="AT175" i="1"/>
  <c r="AR175" i="1"/>
  <c r="I175" i="1"/>
  <c r="H175" i="1"/>
  <c r="G175" i="1"/>
  <c r="E175" i="1"/>
  <c r="D175" i="1"/>
  <c r="C175" i="1"/>
  <c r="AW174" i="1"/>
  <c r="AV174" i="1"/>
  <c r="AT174" i="1"/>
  <c r="AR174" i="1"/>
  <c r="I174" i="1"/>
  <c r="H174" i="1"/>
  <c r="G174" i="1"/>
  <c r="E174" i="1"/>
  <c r="D174" i="1"/>
  <c r="C174" i="1"/>
  <c r="AV173" i="1"/>
  <c r="AT173" i="1"/>
  <c r="AR173" i="1"/>
  <c r="I173" i="1"/>
  <c r="H173" i="1"/>
  <c r="E173" i="1"/>
  <c r="D173" i="1"/>
  <c r="C173" i="1"/>
  <c r="AV172" i="1"/>
  <c r="AT172" i="1"/>
  <c r="AR172" i="1"/>
  <c r="I172" i="1"/>
  <c r="H172" i="1"/>
  <c r="G172" i="1"/>
  <c r="E172" i="1"/>
  <c r="D172" i="1"/>
  <c r="C172" i="1"/>
  <c r="AV171" i="1"/>
  <c r="AT171" i="1"/>
  <c r="I171" i="1"/>
  <c r="H171" i="1"/>
  <c r="G171" i="1"/>
  <c r="E171" i="1"/>
  <c r="D171" i="1"/>
  <c r="C171" i="1"/>
  <c r="AV170" i="1"/>
  <c r="AT170" i="1"/>
  <c r="I170" i="1"/>
  <c r="H170" i="1"/>
  <c r="E170" i="1"/>
  <c r="D170" i="1"/>
  <c r="C170" i="1"/>
  <c r="AV169" i="1"/>
  <c r="AT169" i="1"/>
  <c r="AR169" i="1"/>
  <c r="I169" i="1"/>
  <c r="H169" i="1"/>
  <c r="G169" i="1"/>
  <c r="E169" i="1"/>
  <c r="D169" i="1"/>
  <c r="C169" i="1"/>
  <c r="AW168" i="1"/>
  <c r="AV168" i="1"/>
  <c r="AT168" i="1"/>
  <c r="AR168" i="1"/>
  <c r="I168" i="1"/>
  <c r="H168" i="1"/>
  <c r="G168" i="1"/>
  <c r="E168" i="1"/>
  <c r="D168" i="1"/>
  <c r="C168" i="1"/>
  <c r="AV167" i="1"/>
  <c r="AT167" i="1"/>
  <c r="AR167" i="1"/>
  <c r="I167" i="1"/>
  <c r="H167" i="1"/>
  <c r="E167" i="1"/>
  <c r="D167" i="1"/>
  <c r="C167" i="1"/>
  <c r="AW166" i="1"/>
  <c r="AV166" i="1"/>
  <c r="AT166" i="1"/>
  <c r="AR166" i="1"/>
  <c r="I166" i="1"/>
  <c r="H166" i="1"/>
  <c r="G166" i="1"/>
  <c r="E166" i="1"/>
  <c r="D166" i="1"/>
  <c r="C166" i="1"/>
  <c r="AV165" i="1"/>
  <c r="AT165" i="1"/>
  <c r="I165" i="1"/>
  <c r="H165" i="1"/>
  <c r="G165" i="1"/>
  <c r="E165" i="1"/>
  <c r="D165" i="1"/>
  <c r="C165" i="1"/>
  <c r="AW164" i="1"/>
  <c r="AV164" i="1"/>
  <c r="AT164" i="1"/>
  <c r="AR164" i="1"/>
  <c r="I164" i="1"/>
  <c r="H164" i="1"/>
  <c r="E164" i="1"/>
  <c r="D164" i="1"/>
  <c r="C164" i="1"/>
  <c r="AV163" i="1"/>
  <c r="AT163" i="1"/>
  <c r="AR163" i="1"/>
  <c r="I163" i="1"/>
  <c r="H163" i="1"/>
  <c r="G163" i="1"/>
  <c r="E163" i="1"/>
  <c r="D163" i="1"/>
  <c r="C163" i="1"/>
  <c r="AW162" i="1"/>
  <c r="AV162" i="1"/>
  <c r="AT162" i="1"/>
  <c r="AR162" i="1"/>
  <c r="I162" i="1"/>
  <c r="H162" i="1"/>
  <c r="G162" i="1"/>
  <c r="E162" i="1"/>
  <c r="D162" i="1"/>
  <c r="C162" i="1"/>
  <c r="AV161" i="1"/>
  <c r="AT161" i="1"/>
  <c r="AR161" i="1"/>
  <c r="I161" i="1"/>
  <c r="H161" i="1"/>
  <c r="G161" i="1"/>
  <c r="E161" i="1"/>
  <c r="D161" i="1"/>
  <c r="C161" i="1"/>
  <c r="AV160" i="1"/>
  <c r="AT160" i="1"/>
  <c r="I160" i="1"/>
  <c r="H160" i="1"/>
  <c r="G160" i="1"/>
  <c r="E160" i="1"/>
  <c r="D160" i="1"/>
  <c r="C160" i="1"/>
  <c r="AV159" i="1"/>
  <c r="AT159" i="1"/>
  <c r="I159" i="1"/>
  <c r="H159" i="1"/>
  <c r="E159" i="1"/>
  <c r="D159" i="1"/>
  <c r="C159" i="1"/>
  <c r="AV158" i="1"/>
  <c r="AT158" i="1"/>
  <c r="I158" i="1"/>
  <c r="H158" i="1"/>
  <c r="E158" i="1"/>
  <c r="D158" i="1"/>
  <c r="C158" i="1"/>
  <c r="AW157" i="1"/>
  <c r="AV157" i="1"/>
  <c r="AT157" i="1"/>
  <c r="AR157" i="1"/>
  <c r="I157" i="1"/>
  <c r="H157" i="1"/>
  <c r="G157" i="1"/>
  <c r="E157" i="1"/>
  <c r="D157" i="1"/>
  <c r="C157" i="1"/>
  <c r="AV156" i="1"/>
  <c r="AT156" i="1"/>
  <c r="AR156" i="1"/>
  <c r="I156" i="1"/>
  <c r="H156" i="1"/>
  <c r="G156" i="1"/>
  <c r="E156" i="1"/>
  <c r="D156" i="1"/>
  <c r="C156" i="1"/>
  <c r="AV155" i="1"/>
  <c r="AT155" i="1"/>
  <c r="AR155" i="1"/>
  <c r="I155" i="1"/>
  <c r="H155" i="1"/>
  <c r="G155" i="1"/>
  <c r="E155" i="1"/>
  <c r="D155" i="1"/>
  <c r="C155" i="1"/>
  <c r="AW154" i="1"/>
  <c r="AV154" i="1"/>
  <c r="AT154" i="1"/>
  <c r="AR154" i="1"/>
  <c r="I154" i="1"/>
  <c r="H154" i="1"/>
  <c r="G154" i="1"/>
  <c r="E154" i="1"/>
  <c r="D154" i="1"/>
  <c r="C154" i="1"/>
  <c r="AV153" i="1"/>
  <c r="AT153" i="1"/>
  <c r="AR153" i="1"/>
  <c r="I153" i="1"/>
  <c r="H153" i="1"/>
  <c r="E153" i="1"/>
  <c r="D153" i="1"/>
  <c r="C153" i="1"/>
  <c r="AW152" i="1"/>
  <c r="AV152" i="1"/>
  <c r="AT152" i="1"/>
  <c r="AR152" i="1"/>
  <c r="I152" i="1"/>
  <c r="H152" i="1"/>
  <c r="E152" i="1"/>
  <c r="D152" i="1"/>
  <c r="C152" i="1"/>
  <c r="AV151" i="1"/>
  <c r="AT151" i="1"/>
  <c r="AR151" i="1"/>
  <c r="I151" i="1"/>
  <c r="H151" i="1"/>
  <c r="E151" i="1"/>
  <c r="D151" i="1"/>
  <c r="C151" i="1"/>
  <c r="AW150" i="1"/>
  <c r="AV150" i="1"/>
  <c r="AT150" i="1"/>
  <c r="AR150" i="1"/>
  <c r="I150" i="1"/>
  <c r="H150" i="1"/>
  <c r="G150" i="1"/>
  <c r="E150" i="1"/>
  <c r="D150" i="1"/>
  <c r="C150" i="1"/>
  <c r="AW149" i="1"/>
  <c r="AV149" i="1"/>
  <c r="AT149" i="1"/>
  <c r="AR149" i="1"/>
  <c r="I149" i="1"/>
  <c r="H149" i="1"/>
  <c r="E149" i="1"/>
  <c r="D149" i="1"/>
  <c r="C149" i="1"/>
  <c r="AV148" i="1"/>
  <c r="AT148" i="1"/>
  <c r="AR148" i="1"/>
  <c r="I148" i="1"/>
  <c r="H148" i="1"/>
  <c r="G148" i="1"/>
  <c r="E148" i="1"/>
  <c r="D148" i="1"/>
  <c r="C148" i="1"/>
  <c r="AW147" i="1"/>
  <c r="AV147" i="1"/>
  <c r="AT147" i="1"/>
  <c r="AR147" i="1"/>
  <c r="I147" i="1"/>
  <c r="H147" i="1"/>
  <c r="G147" i="1"/>
  <c r="E147" i="1"/>
  <c r="D147" i="1"/>
  <c r="C147" i="1"/>
  <c r="AW146" i="1"/>
  <c r="AV146" i="1"/>
  <c r="AT146" i="1"/>
  <c r="AR146" i="1"/>
  <c r="I146" i="1"/>
  <c r="H146" i="1"/>
  <c r="G146" i="1"/>
  <c r="E146" i="1"/>
  <c r="D146" i="1"/>
  <c r="C146" i="1"/>
  <c r="AV145" i="1"/>
  <c r="AT145" i="1"/>
  <c r="AR145" i="1"/>
  <c r="I145" i="1"/>
  <c r="H145" i="1"/>
  <c r="G145" i="1"/>
  <c r="E145" i="1"/>
  <c r="D145" i="1"/>
  <c r="C145" i="1"/>
  <c r="AW144" i="1"/>
  <c r="AV144" i="1"/>
  <c r="AT144" i="1"/>
  <c r="AR144" i="1"/>
  <c r="I144" i="1"/>
  <c r="H144" i="1"/>
  <c r="G144" i="1"/>
  <c r="E144" i="1"/>
  <c r="D144" i="1"/>
  <c r="C144" i="1"/>
  <c r="AW143" i="1"/>
  <c r="AV143" i="1"/>
  <c r="AT143" i="1"/>
  <c r="AR143" i="1"/>
  <c r="I143" i="1"/>
  <c r="H143" i="1"/>
  <c r="G143" i="1"/>
  <c r="E143" i="1"/>
  <c r="D143" i="1"/>
  <c r="C143" i="1"/>
  <c r="AW142" i="1"/>
  <c r="AV142" i="1"/>
  <c r="AT142" i="1"/>
  <c r="AR142" i="1"/>
  <c r="I142" i="1"/>
  <c r="H142" i="1"/>
  <c r="G142" i="1"/>
  <c r="E142" i="1"/>
  <c r="D142" i="1"/>
  <c r="C142" i="1"/>
  <c r="AW141" i="1"/>
  <c r="AV141" i="1"/>
  <c r="AT141" i="1"/>
  <c r="AR141" i="1"/>
  <c r="I141" i="1"/>
  <c r="H141" i="1"/>
  <c r="G141" i="1"/>
  <c r="E141" i="1"/>
  <c r="D141" i="1"/>
  <c r="C141" i="1"/>
  <c r="AW140" i="1"/>
  <c r="AV140" i="1"/>
  <c r="AT140" i="1"/>
  <c r="AR140" i="1"/>
  <c r="I140" i="1"/>
  <c r="H140" i="1"/>
  <c r="G140" i="1"/>
  <c r="E140" i="1"/>
  <c r="D140" i="1"/>
  <c r="C140" i="1"/>
  <c r="AW139" i="1"/>
  <c r="AV139" i="1"/>
  <c r="AT139" i="1"/>
  <c r="AR139" i="1"/>
  <c r="I139" i="1"/>
  <c r="H139" i="1"/>
  <c r="G139" i="1"/>
  <c r="E139" i="1"/>
  <c r="D139" i="1"/>
  <c r="C139" i="1"/>
  <c r="AW138" i="1"/>
  <c r="AV138" i="1"/>
  <c r="AT138" i="1"/>
  <c r="AR138" i="1"/>
  <c r="I138" i="1"/>
  <c r="H138" i="1"/>
  <c r="G138" i="1"/>
  <c r="E138" i="1"/>
  <c r="D138" i="1"/>
  <c r="C138" i="1"/>
  <c r="AW137" i="1"/>
  <c r="AV137" i="1"/>
  <c r="AT137" i="1"/>
  <c r="AR137" i="1"/>
  <c r="I137" i="1"/>
  <c r="H137" i="1"/>
  <c r="G137" i="1"/>
  <c r="E137" i="1"/>
  <c r="D137" i="1"/>
  <c r="C137" i="1"/>
  <c r="AW136" i="1"/>
  <c r="AV136" i="1"/>
  <c r="AT136" i="1"/>
  <c r="AR136" i="1"/>
  <c r="I136" i="1"/>
  <c r="H136" i="1"/>
  <c r="G136" i="1"/>
  <c r="E136" i="1"/>
  <c r="D136" i="1"/>
  <c r="C136" i="1"/>
  <c r="AW135" i="1"/>
  <c r="AV135" i="1"/>
  <c r="AT135" i="1"/>
  <c r="AR135" i="1"/>
  <c r="I135" i="1"/>
  <c r="H135" i="1"/>
  <c r="G135" i="1"/>
  <c r="E135" i="1"/>
  <c r="D135" i="1"/>
  <c r="C135" i="1"/>
  <c r="AW134" i="1"/>
  <c r="AV134" i="1"/>
  <c r="AT134" i="1"/>
  <c r="AR134" i="1"/>
  <c r="I134" i="1"/>
  <c r="H134" i="1"/>
  <c r="G134" i="1"/>
  <c r="E134" i="1"/>
  <c r="D134" i="1"/>
  <c r="C134" i="1"/>
  <c r="AW133" i="1"/>
  <c r="AV133" i="1"/>
  <c r="AT133" i="1"/>
  <c r="AR133" i="1"/>
  <c r="I133" i="1"/>
  <c r="H133" i="1"/>
  <c r="G133" i="1"/>
  <c r="E133" i="1"/>
  <c r="D133" i="1"/>
  <c r="C133" i="1"/>
  <c r="AW132" i="1"/>
  <c r="AV132" i="1"/>
  <c r="AT132" i="1"/>
  <c r="AR132" i="1"/>
  <c r="I132" i="1"/>
  <c r="H132" i="1"/>
  <c r="G132" i="1"/>
  <c r="E132" i="1"/>
  <c r="D132" i="1"/>
  <c r="C132" i="1"/>
  <c r="AW131" i="1"/>
  <c r="AV131" i="1"/>
  <c r="AT131" i="1"/>
  <c r="AR131" i="1"/>
  <c r="I131" i="1"/>
  <c r="H131" i="1"/>
  <c r="G131" i="1"/>
  <c r="E131" i="1"/>
  <c r="D131" i="1"/>
  <c r="C131" i="1"/>
  <c r="AW130" i="1"/>
  <c r="AV130" i="1"/>
  <c r="AT130" i="1"/>
  <c r="AR130" i="1"/>
  <c r="I130" i="1"/>
  <c r="H130" i="1"/>
  <c r="G130" i="1"/>
  <c r="E130" i="1"/>
  <c r="D130" i="1"/>
  <c r="C130" i="1"/>
  <c r="AW129" i="1"/>
  <c r="AV129" i="1"/>
  <c r="AT129" i="1"/>
  <c r="AR129" i="1"/>
  <c r="I129" i="1"/>
  <c r="H129" i="1"/>
  <c r="G129" i="1"/>
  <c r="E129" i="1"/>
  <c r="D129" i="1"/>
  <c r="C129" i="1"/>
  <c r="AW128" i="1"/>
  <c r="AV128" i="1"/>
  <c r="AT128" i="1"/>
  <c r="AR128" i="1"/>
  <c r="I128" i="1"/>
  <c r="H128" i="1"/>
  <c r="G128" i="1"/>
  <c r="E128" i="1"/>
  <c r="D128" i="1"/>
  <c r="C128" i="1"/>
  <c r="AW127" i="1"/>
  <c r="AV127" i="1"/>
  <c r="AT127" i="1"/>
  <c r="AR127" i="1"/>
  <c r="I127" i="1"/>
  <c r="H127" i="1"/>
  <c r="G127" i="1"/>
  <c r="E127" i="1"/>
  <c r="D127" i="1"/>
  <c r="C127" i="1"/>
  <c r="AW126" i="1"/>
  <c r="AV126" i="1"/>
  <c r="AT126" i="1"/>
  <c r="AR126" i="1"/>
  <c r="I126" i="1"/>
  <c r="H126" i="1"/>
  <c r="G126" i="1"/>
  <c r="E126" i="1"/>
  <c r="D126" i="1"/>
  <c r="C126" i="1"/>
  <c r="AW125" i="1"/>
  <c r="AV125" i="1"/>
  <c r="AT125" i="1"/>
  <c r="AR125" i="1"/>
  <c r="I125" i="1"/>
  <c r="H125" i="1"/>
  <c r="G125" i="1"/>
  <c r="E125" i="1"/>
  <c r="D125" i="1"/>
  <c r="C125" i="1"/>
  <c r="AW124" i="1"/>
  <c r="AV124" i="1"/>
  <c r="AT124" i="1"/>
  <c r="AR124" i="1"/>
  <c r="I124" i="1"/>
  <c r="H124" i="1"/>
  <c r="G124" i="1"/>
  <c r="E124" i="1"/>
  <c r="D124" i="1"/>
  <c r="C124" i="1"/>
  <c r="AW123" i="1"/>
  <c r="AV123" i="1"/>
  <c r="AT123" i="1"/>
  <c r="AR123" i="1"/>
  <c r="I123" i="1"/>
  <c r="H123" i="1"/>
  <c r="G123" i="1"/>
  <c r="E123" i="1"/>
  <c r="D123" i="1"/>
  <c r="C123" i="1"/>
  <c r="AW122" i="1"/>
  <c r="AV122" i="1"/>
  <c r="AT122" i="1"/>
  <c r="AR122" i="1"/>
  <c r="I122" i="1"/>
  <c r="H122" i="1"/>
  <c r="G122" i="1"/>
  <c r="E122" i="1"/>
  <c r="D122" i="1"/>
  <c r="C122" i="1"/>
  <c r="AW121" i="1"/>
  <c r="AV121" i="1"/>
  <c r="AT121" i="1"/>
  <c r="AR121" i="1"/>
  <c r="I121" i="1"/>
  <c r="H121" i="1"/>
  <c r="G121" i="1"/>
  <c r="E121" i="1"/>
  <c r="D121" i="1"/>
  <c r="C121" i="1"/>
  <c r="AW120" i="1"/>
  <c r="AV120" i="1"/>
  <c r="AT120" i="1"/>
  <c r="AR120" i="1"/>
  <c r="I120" i="1"/>
  <c r="H120" i="1"/>
  <c r="G120" i="1"/>
  <c r="E120" i="1"/>
  <c r="D120" i="1"/>
  <c r="C120" i="1"/>
  <c r="AW119" i="1"/>
  <c r="AV119" i="1"/>
  <c r="AT119" i="1"/>
  <c r="AR119" i="1"/>
  <c r="I119" i="1"/>
  <c r="H119" i="1"/>
  <c r="G119" i="1"/>
  <c r="E119" i="1"/>
  <c r="D119" i="1"/>
  <c r="C119" i="1"/>
  <c r="AW118" i="1"/>
  <c r="AV118" i="1"/>
  <c r="AT118" i="1"/>
  <c r="AR118" i="1"/>
  <c r="I118" i="1"/>
  <c r="H118" i="1"/>
  <c r="G118" i="1"/>
  <c r="E118" i="1"/>
  <c r="D118" i="1"/>
  <c r="C118" i="1"/>
  <c r="AW117" i="1"/>
  <c r="AV117" i="1"/>
  <c r="AT117" i="1"/>
  <c r="AR117" i="1"/>
  <c r="I117" i="1"/>
  <c r="H117" i="1"/>
  <c r="G117" i="1"/>
  <c r="E117" i="1"/>
  <c r="D117" i="1"/>
  <c r="C117" i="1"/>
  <c r="AV116" i="1"/>
  <c r="AT116" i="1"/>
  <c r="I116" i="1"/>
  <c r="H116" i="1"/>
  <c r="E116" i="1"/>
  <c r="D116" i="1"/>
  <c r="C116" i="1"/>
  <c r="AV115" i="1"/>
  <c r="AT115" i="1"/>
  <c r="I115" i="1"/>
  <c r="H115" i="1"/>
  <c r="E115" i="1"/>
  <c r="D115" i="1"/>
  <c r="C115" i="1"/>
  <c r="AV114" i="1"/>
  <c r="AT114" i="1"/>
  <c r="I114" i="1"/>
  <c r="H114" i="1"/>
  <c r="E114" i="1"/>
  <c r="D114" i="1"/>
  <c r="C114" i="1"/>
  <c r="AV113" i="1"/>
  <c r="AT113" i="1"/>
  <c r="I113" i="1"/>
  <c r="H113" i="1"/>
  <c r="E113" i="1"/>
  <c r="D113" i="1"/>
  <c r="C113" i="1"/>
  <c r="AV112" i="1"/>
  <c r="AT112" i="1"/>
  <c r="I112" i="1"/>
  <c r="H112" i="1"/>
  <c r="E112" i="1"/>
  <c r="D112" i="1"/>
  <c r="C112" i="1"/>
  <c r="AV111" i="1"/>
  <c r="AT111" i="1"/>
  <c r="I111" i="1"/>
  <c r="H111" i="1"/>
  <c r="E111" i="1"/>
  <c r="D111" i="1"/>
  <c r="C111" i="1"/>
  <c r="AV110" i="1"/>
  <c r="AT110" i="1"/>
  <c r="I110" i="1"/>
  <c r="H110" i="1"/>
  <c r="G110" i="1"/>
  <c r="E110" i="1"/>
  <c r="D110" i="1"/>
  <c r="C110" i="1"/>
  <c r="AV109" i="1"/>
  <c r="AT109" i="1"/>
  <c r="I109" i="1"/>
  <c r="H109" i="1"/>
  <c r="E109" i="1"/>
  <c r="D109" i="1"/>
  <c r="C109" i="1"/>
  <c r="AV108" i="1"/>
  <c r="AT108" i="1"/>
  <c r="I108" i="1"/>
  <c r="H108" i="1"/>
  <c r="E108" i="1"/>
  <c r="D108" i="1"/>
  <c r="C108" i="1"/>
  <c r="AV107" i="1"/>
  <c r="AT107" i="1"/>
  <c r="I107" i="1"/>
  <c r="H107" i="1"/>
  <c r="E107" i="1"/>
  <c r="D107" i="1"/>
  <c r="C107" i="1"/>
  <c r="AV106" i="1"/>
  <c r="AT106" i="1"/>
  <c r="I106" i="1"/>
  <c r="H106" i="1"/>
  <c r="E106" i="1"/>
  <c r="D106" i="1"/>
  <c r="C106" i="1"/>
  <c r="AV105" i="1"/>
  <c r="AT105" i="1"/>
  <c r="I105" i="1"/>
  <c r="H105" i="1"/>
  <c r="E105" i="1"/>
  <c r="D105" i="1"/>
  <c r="C105" i="1"/>
  <c r="AV104" i="1"/>
  <c r="AT104" i="1"/>
  <c r="I104" i="1"/>
  <c r="H104" i="1"/>
  <c r="E104" i="1"/>
  <c r="D104" i="1"/>
  <c r="C104" i="1"/>
  <c r="AV103" i="1"/>
  <c r="AT103" i="1"/>
  <c r="AR103" i="1"/>
  <c r="I103" i="1"/>
  <c r="H103" i="1"/>
  <c r="G103" i="1"/>
  <c r="E103" i="1"/>
  <c r="D103" i="1"/>
  <c r="C103" i="1"/>
  <c r="AV102" i="1"/>
  <c r="AT102" i="1"/>
  <c r="I102" i="1"/>
  <c r="H102" i="1"/>
  <c r="E102" i="1"/>
  <c r="D102" i="1"/>
  <c r="C102" i="1"/>
  <c r="AV101" i="1"/>
  <c r="AT101" i="1"/>
  <c r="I101" i="1"/>
  <c r="H101" i="1"/>
  <c r="E101" i="1"/>
  <c r="D101" i="1"/>
  <c r="C101" i="1"/>
  <c r="AV100" i="1"/>
  <c r="AT100" i="1"/>
  <c r="I100" i="1"/>
  <c r="H100" i="1"/>
  <c r="E100" i="1"/>
  <c r="D100" i="1"/>
  <c r="C100" i="1"/>
  <c r="AV99" i="1"/>
  <c r="AT99" i="1"/>
  <c r="I99" i="1"/>
  <c r="H99" i="1"/>
  <c r="E99" i="1"/>
  <c r="D99" i="1"/>
  <c r="C99" i="1"/>
  <c r="AV98" i="1"/>
  <c r="AT98" i="1"/>
  <c r="I98" i="1"/>
  <c r="H98" i="1"/>
  <c r="G98" i="1"/>
  <c r="E98" i="1"/>
  <c r="D98" i="1"/>
  <c r="C98" i="1"/>
  <c r="AV97" i="1"/>
  <c r="AT97" i="1"/>
  <c r="I97" i="1"/>
  <c r="H97" i="1"/>
  <c r="E97" i="1"/>
  <c r="D97" i="1"/>
  <c r="C97" i="1"/>
  <c r="AV96" i="1"/>
  <c r="AT96" i="1"/>
  <c r="I96" i="1"/>
  <c r="H96" i="1"/>
  <c r="E96" i="1"/>
  <c r="D96" i="1"/>
  <c r="C96" i="1"/>
  <c r="AV95" i="1"/>
  <c r="AT95" i="1"/>
  <c r="I95" i="1"/>
  <c r="H95" i="1"/>
  <c r="E95" i="1"/>
  <c r="D95" i="1"/>
  <c r="C95" i="1"/>
  <c r="AV94" i="1"/>
  <c r="AT94" i="1"/>
  <c r="I94" i="1"/>
  <c r="H94" i="1"/>
  <c r="E94" i="1"/>
  <c r="D94" i="1"/>
  <c r="C94" i="1"/>
  <c r="AV93" i="1"/>
  <c r="AT93" i="1"/>
  <c r="I93" i="1"/>
  <c r="H93" i="1"/>
  <c r="E93" i="1"/>
  <c r="D93" i="1"/>
  <c r="C93" i="1"/>
  <c r="AV92" i="1"/>
  <c r="AT92" i="1"/>
  <c r="I92" i="1"/>
  <c r="H92" i="1"/>
  <c r="E92" i="1"/>
  <c r="D92" i="1"/>
  <c r="C92" i="1"/>
  <c r="AV91" i="1"/>
  <c r="AT91" i="1"/>
  <c r="I91" i="1"/>
  <c r="H91" i="1"/>
  <c r="E91" i="1"/>
  <c r="D91" i="1"/>
  <c r="C91" i="1"/>
  <c r="AV90" i="1"/>
  <c r="AT90" i="1"/>
  <c r="I90" i="1"/>
  <c r="H90" i="1"/>
  <c r="G90" i="1"/>
  <c r="E90" i="1"/>
  <c r="D90" i="1"/>
  <c r="C90" i="1"/>
  <c r="AV89" i="1"/>
  <c r="AT89" i="1"/>
  <c r="AR89" i="1"/>
  <c r="I89" i="1"/>
  <c r="H89" i="1"/>
  <c r="G89" i="1"/>
  <c r="E89" i="1"/>
  <c r="D89" i="1"/>
  <c r="C89" i="1"/>
  <c r="AV88" i="1"/>
  <c r="AT88" i="1"/>
  <c r="I88" i="1"/>
  <c r="H88" i="1"/>
  <c r="E88" i="1"/>
  <c r="D88" i="1"/>
  <c r="C88" i="1"/>
  <c r="AV87" i="1"/>
  <c r="AT87" i="1"/>
  <c r="I87" i="1"/>
  <c r="H87" i="1"/>
  <c r="E87" i="1"/>
  <c r="D87" i="1"/>
  <c r="C87" i="1"/>
  <c r="AV86" i="1"/>
  <c r="AT86" i="1"/>
  <c r="I86" i="1"/>
  <c r="H86" i="1"/>
  <c r="E86" i="1"/>
  <c r="D86" i="1"/>
  <c r="C86" i="1"/>
  <c r="AV85" i="1"/>
  <c r="AT85" i="1"/>
  <c r="I85" i="1"/>
  <c r="H85" i="1"/>
  <c r="E85" i="1"/>
  <c r="D85" i="1"/>
  <c r="C85" i="1"/>
  <c r="AV84" i="1"/>
  <c r="AT84" i="1"/>
  <c r="I84" i="1"/>
  <c r="H84" i="1"/>
  <c r="E84" i="1"/>
  <c r="D84" i="1"/>
  <c r="C84" i="1"/>
  <c r="AV83" i="1"/>
  <c r="AT83" i="1"/>
  <c r="I83" i="1"/>
  <c r="H83" i="1"/>
  <c r="E83" i="1"/>
  <c r="D83" i="1"/>
  <c r="C83" i="1"/>
  <c r="AV82" i="1"/>
  <c r="AT82" i="1"/>
  <c r="I82" i="1"/>
  <c r="H82" i="1"/>
  <c r="G82" i="1"/>
  <c r="E82" i="1"/>
  <c r="D82" i="1"/>
  <c r="C82" i="1"/>
  <c r="AV81" i="1"/>
  <c r="AT81" i="1"/>
  <c r="I81" i="1"/>
  <c r="H81" i="1"/>
  <c r="E81" i="1"/>
  <c r="D81" i="1"/>
  <c r="C81" i="1"/>
  <c r="AV80" i="1"/>
  <c r="AT80" i="1"/>
  <c r="I80" i="1"/>
  <c r="H80" i="1"/>
  <c r="E80" i="1"/>
  <c r="D80" i="1"/>
  <c r="C80" i="1"/>
  <c r="AV79" i="1"/>
  <c r="AT79" i="1"/>
  <c r="I79" i="1"/>
  <c r="H79" i="1"/>
  <c r="E79" i="1"/>
  <c r="D79" i="1"/>
  <c r="C79" i="1"/>
  <c r="AV78" i="1"/>
  <c r="AT78" i="1"/>
  <c r="I78" i="1"/>
  <c r="H78" i="1"/>
  <c r="E78" i="1"/>
  <c r="D78" i="1"/>
  <c r="C78" i="1"/>
  <c r="AV77" i="1"/>
  <c r="AT77" i="1"/>
  <c r="I77" i="1"/>
  <c r="H77" i="1"/>
  <c r="E77" i="1"/>
  <c r="D77" i="1"/>
  <c r="C77" i="1"/>
  <c r="AV76" i="1"/>
  <c r="AT76" i="1"/>
  <c r="I76" i="1"/>
  <c r="H76" i="1"/>
  <c r="E76" i="1"/>
  <c r="D76" i="1"/>
  <c r="C76" i="1"/>
  <c r="AV75" i="1"/>
  <c r="AT75" i="1"/>
  <c r="I75" i="1"/>
  <c r="H75" i="1"/>
  <c r="G75" i="1"/>
  <c r="E75" i="1"/>
  <c r="D75" i="1"/>
  <c r="C75" i="1"/>
  <c r="AV74" i="1"/>
  <c r="AT74" i="1"/>
  <c r="AR74" i="1"/>
  <c r="I74" i="1"/>
  <c r="H74" i="1"/>
  <c r="G74" i="1"/>
  <c r="E74" i="1"/>
  <c r="D74" i="1"/>
  <c r="C74" i="1"/>
  <c r="AV73" i="1"/>
  <c r="AT73" i="1"/>
  <c r="AR73" i="1"/>
  <c r="I73" i="1"/>
  <c r="H73" i="1"/>
  <c r="E73" i="1"/>
  <c r="D73" i="1"/>
  <c r="C73" i="1"/>
  <c r="AV72" i="1"/>
  <c r="AT72" i="1"/>
  <c r="I72" i="1"/>
  <c r="H72" i="1"/>
  <c r="E72" i="1"/>
  <c r="D72" i="1"/>
  <c r="C72" i="1"/>
  <c r="AV71" i="1"/>
  <c r="AT71" i="1"/>
  <c r="I71" i="1"/>
  <c r="H71" i="1"/>
  <c r="E71" i="1"/>
  <c r="D71" i="1"/>
  <c r="C71" i="1"/>
  <c r="AV70" i="1"/>
  <c r="AT70" i="1"/>
  <c r="I70" i="1"/>
  <c r="H70" i="1"/>
  <c r="E70" i="1"/>
  <c r="D70" i="1"/>
  <c r="C70" i="1"/>
  <c r="AV69" i="1"/>
  <c r="AT69" i="1"/>
  <c r="I69" i="1"/>
  <c r="H69" i="1"/>
  <c r="E69" i="1"/>
  <c r="D69" i="1"/>
  <c r="C69" i="1"/>
  <c r="AV68" i="1"/>
  <c r="AT68" i="1"/>
  <c r="I68" i="1"/>
  <c r="H68" i="1"/>
  <c r="E68" i="1"/>
  <c r="D68" i="1"/>
  <c r="C68" i="1"/>
  <c r="AV67" i="1"/>
  <c r="AT67" i="1"/>
  <c r="I67" i="1"/>
  <c r="H67" i="1"/>
  <c r="E67" i="1"/>
  <c r="D67" i="1"/>
  <c r="C67" i="1"/>
  <c r="AV66" i="1"/>
  <c r="AT66" i="1"/>
  <c r="I66" i="1"/>
  <c r="H66" i="1"/>
  <c r="G66" i="1"/>
  <c r="E66" i="1"/>
  <c r="D66" i="1"/>
  <c r="C66" i="1"/>
  <c r="AV65" i="1"/>
  <c r="AT65" i="1"/>
  <c r="I65" i="1"/>
  <c r="H65" i="1"/>
  <c r="G65" i="1"/>
  <c r="E65" i="1"/>
  <c r="D65" i="1"/>
  <c r="C65" i="1"/>
  <c r="AW64" i="1"/>
  <c r="AV64" i="1"/>
  <c r="AT64" i="1"/>
  <c r="AR64" i="1"/>
  <c r="I64" i="1"/>
  <c r="H64" i="1"/>
  <c r="G64" i="1"/>
  <c r="E64" i="1"/>
  <c r="D64" i="1"/>
  <c r="C64" i="1"/>
  <c r="AW63" i="1"/>
  <c r="AV63" i="1"/>
  <c r="AT63" i="1"/>
  <c r="AR63" i="1"/>
  <c r="I63" i="1"/>
  <c r="H63" i="1"/>
  <c r="G63" i="1"/>
  <c r="E63" i="1"/>
  <c r="D63" i="1"/>
  <c r="C63" i="1"/>
  <c r="AV62" i="1"/>
  <c r="AT62" i="1"/>
  <c r="AR62" i="1"/>
  <c r="I62" i="1"/>
  <c r="H62" i="1"/>
  <c r="G62" i="1"/>
  <c r="E62" i="1"/>
  <c r="D62" i="1"/>
  <c r="C62" i="1"/>
  <c r="AV61" i="1"/>
  <c r="AT61" i="1"/>
  <c r="AR61" i="1"/>
  <c r="I61" i="1"/>
  <c r="H61" i="1"/>
  <c r="G61" i="1"/>
  <c r="E61" i="1"/>
  <c r="D61" i="1"/>
  <c r="C61" i="1"/>
  <c r="AW60" i="1"/>
  <c r="AV60" i="1"/>
  <c r="AT60" i="1"/>
  <c r="AR60" i="1"/>
  <c r="I60" i="1"/>
  <c r="H60" i="1"/>
  <c r="G60" i="1"/>
  <c r="E60" i="1"/>
  <c r="D60" i="1"/>
  <c r="C60" i="1"/>
  <c r="AW59" i="1"/>
  <c r="AV59" i="1"/>
  <c r="AT59" i="1"/>
  <c r="AR59" i="1"/>
  <c r="I59" i="1"/>
  <c r="H59" i="1"/>
  <c r="G59" i="1"/>
  <c r="E59" i="1"/>
  <c r="D59" i="1"/>
  <c r="C59" i="1"/>
  <c r="AW58" i="1"/>
  <c r="AV58" i="1"/>
  <c r="AT58" i="1"/>
  <c r="AR58" i="1"/>
  <c r="I58" i="1"/>
  <c r="H58" i="1"/>
  <c r="G58" i="1"/>
  <c r="E58" i="1"/>
  <c r="D58" i="1"/>
  <c r="C58" i="1"/>
  <c r="AW57" i="1"/>
  <c r="AV57" i="1"/>
  <c r="AT57" i="1"/>
  <c r="AR57" i="1"/>
  <c r="I57" i="1"/>
  <c r="H57" i="1"/>
  <c r="G57" i="1"/>
  <c r="E57" i="1"/>
  <c r="D57" i="1"/>
  <c r="C57" i="1"/>
  <c r="AW56" i="1"/>
  <c r="AV56" i="1"/>
  <c r="AT56" i="1"/>
  <c r="AR56" i="1"/>
  <c r="I56" i="1"/>
  <c r="H56" i="1"/>
  <c r="G56" i="1"/>
  <c r="E56" i="1"/>
  <c r="D56" i="1"/>
  <c r="C56" i="1"/>
  <c r="AW55" i="1"/>
  <c r="AV55" i="1"/>
  <c r="AT55" i="1"/>
  <c r="AR55" i="1"/>
  <c r="I55" i="1"/>
  <c r="H55" i="1"/>
  <c r="G55" i="1"/>
  <c r="E55" i="1"/>
  <c r="D55" i="1"/>
  <c r="C55" i="1"/>
  <c r="AW54" i="1"/>
  <c r="AV54" i="1"/>
  <c r="AT54" i="1"/>
  <c r="AR54" i="1"/>
  <c r="I54" i="1"/>
  <c r="H54" i="1"/>
  <c r="G54" i="1"/>
  <c r="E54" i="1"/>
  <c r="D54" i="1"/>
  <c r="C54" i="1"/>
  <c r="AW53" i="1"/>
  <c r="AV53" i="1"/>
  <c r="AT53" i="1"/>
  <c r="AR53" i="1"/>
  <c r="I53" i="1"/>
  <c r="H53" i="1"/>
  <c r="G53" i="1"/>
  <c r="E53" i="1"/>
  <c r="D53" i="1"/>
  <c r="C53" i="1"/>
  <c r="AW52" i="1"/>
  <c r="AV52" i="1"/>
  <c r="AT52" i="1"/>
  <c r="AR52" i="1"/>
  <c r="I52" i="1"/>
  <c r="H52" i="1"/>
  <c r="G52" i="1"/>
  <c r="E52" i="1"/>
  <c r="D52" i="1"/>
  <c r="C52" i="1"/>
  <c r="AW51" i="1"/>
  <c r="AV51" i="1"/>
  <c r="AT51" i="1"/>
  <c r="AR51" i="1"/>
  <c r="I51" i="1"/>
  <c r="H51" i="1"/>
  <c r="G51" i="1"/>
  <c r="E51" i="1"/>
  <c r="D51" i="1"/>
  <c r="C51" i="1"/>
  <c r="AW50" i="1"/>
  <c r="AV50" i="1"/>
  <c r="AT50" i="1"/>
  <c r="AR50" i="1"/>
  <c r="I50" i="1"/>
  <c r="H50" i="1"/>
  <c r="G50" i="1"/>
  <c r="E50" i="1"/>
  <c r="D50" i="1"/>
  <c r="C50" i="1"/>
  <c r="AW49" i="1"/>
  <c r="AV49" i="1"/>
  <c r="AT49" i="1"/>
  <c r="AR49" i="1"/>
  <c r="I49" i="1"/>
  <c r="H49" i="1"/>
  <c r="G49" i="1"/>
  <c r="E49" i="1"/>
  <c r="D49" i="1"/>
  <c r="C49" i="1"/>
  <c r="AW48" i="1"/>
  <c r="AV48" i="1"/>
  <c r="AT48" i="1"/>
  <c r="AR48" i="1"/>
  <c r="I48" i="1"/>
  <c r="H48" i="1"/>
  <c r="G48" i="1"/>
  <c r="E48" i="1"/>
  <c r="D48" i="1"/>
  <c r="C48" i="1"/>
  <c r="AW47" i="1"/>
  <c r="AV47" i="1"/>
  <c r="AT47" i="1"/>
  <c r="AR47" i="1"/>
  <c r="I47" i="1"/>
  <c r="H47" i="1"/>
  <c r="G47" i="1"/>
  <c r="E47" i="1"/>
  <c r="D47" i="1"/>
  <c r="C47" i="1"/>
  <c r="AW46" i="1"/>
  <c r="AV46" i="1"/>
  <c r="AT46" i="1"/>
  <c r="AR46" i="1"/>
  <c r="I46" i="1"/>
  <c r="H46" i="1"/>
  <c r="G46" i="1"/>
  <c r="E46" i="1"/>
  <c r="D46" i="1"/>
  <c r="C46" i="1"/>
  <c r="AW45" i="1"/>
  <c r="AV45" i="1"/>
  <c r="AT45" i="1"/>
  <c r="AR45" i="1"/>
  <c r="I45" i="1"/>
  <c r="H45" i="1"/>
  <c r="G45" i="1"/>
  <c r="E45" i="1"/>
  <c r="D45" i="1"/>
  <c r="C45" i="1"/>
  <c r="AW44" i="1"/>
  <c r="AV44" i="1"/>
  <c r="AT44" i="1"/>
  <c r="AR44" i="1"/>
  <c r="I44" i="1"/>
  <c r="H44" i="1"/>
  <c r="G44" i="1"/>
  <c r="E44" i="1"/>
  <c r="D44" i="1"/>
  <c r="C44" i="1"/>
  <c r="AW43" i="1"/>
  <c r="AV43" i="1"/>
  <c r="AT43" i="1"/>
  <c r="AR43" i="1"/>
  <c r="I43" i="1"/>
  <c r="H43" i="1"/>
  <c r="G43" i="1"/>
  <c r="E43" i="1"/>
  <c r="D43" i="1"/>
  <c r="C43" i="1"/>
  <c r="AW42" i="1"/>
  <c r="AV42" i="1"/>
  <c r="AT42" i="1"/>
  <c r="AR42" i="1"/>
  <c r="I42" i="1"/>
  <c r="H42" i="1"/>
  <c r="G42" i="1"/>
  <c r="E42" i="1"/>
  <c r="D42" i="1"/>
  <c r="C42" i="1"/>
  <c r="AW41" i="1"/>
  <c r="AV41" i="1"/>
  <c r="AT41" i="1"/>
  <c r="AR41" i="1"/>
  <c r="I41" i="1"/>
  <c r="H41" i="1"/>
  <c r="G41" i="1"/>
  <c r="E41" i="1"/>
  <c r="D41" i="1"/>
  <c r="C41" i="1"/>
  <c r="AW40" i="1"/>
  <c r="AV40" i="1"/>
  <c r="AT40" i="1"/>
  <c r="AR40" i="1"/>
  <c r="I40" i="1"/>
  <c r="H40" i="1"/>
  <c r="G40" i="1"/>
  <c r="E40" i="1"/>
  <c r="D40" i="1"/>
  <c r="C40" i="1"/>
  <c r="AW39" i="1"/>
  <c r="AV39" i="1"/>
  <c r="AT39" i="1"/>
  <c r="AR39" i="1"/>
  <c r="I39" i="1"/>
  <c r="H39" i="1"/>
  <c r="G39" i="1"/>
  <c r="E39" i="1"/>
  <c r="D39" i="1"/>
  <c r="C39" i="1"/>
  <c r="AW38" i="1"/>
  <c r="AV38" i="1"/>
  <c r="AT38" i="1"/>
  <c r="AR38" i="1"/>
  <c r="I38" i="1"/>
  <c r="H38" i="1"/>
  <c r="G38" i="1"/>
  <c r="E38" i="1"/>
  <c r="D38" i="1"/>
  <c r="C38" i="1"/>
  <c r="AW37" i="1"/>
  <c r="AV37" i="1"/>
  <c r="AT37" i="1"/>
  <c r="AR37" i="1"/>
  <c r="I37" i="1"/>
  <c r="H37" i="1"/>
  <c r="G37" i="1"/>
  <c r="E37" i="1"/>
  <c r="D37" i="1"/>
  <c r="C37" i="1"/>
  <c r="AW36" i="1"/>
  <c r="AV36" i="1"/>
  <c r="AT36" i="1"/>
  <c r="AR36" i="1"/>
  <c r="I36" i="1"/>
  <c r="H36" i="1"/>
  <c r="G36" i="1"/>
  <c r="E36" i="1"/>
  <c r="D36" i="1"/>
  <c r="C36" i="1"/>
  <c r="AW35" i="1"/>
  <c r="AV35" i="1"/>
  <c r="AT35" i="1"/>
  <c r="AR35" i="1"/>
  <c r="I35" i="1"/>
  <c r="H35" i="1"/>
  <c r="G35" i="1"/>
  <c r="E35" i="1"/>
  <c r="D35" i="1"/>
  <c r="C35" i="1"/>
  <c r="AW34" i="1"/>
  <c r="AV34" i="1"/>
  <c r="AT34" i="1"/>
  <c r="AR34" i="1"/>
  <c r="I34" i="1"/>
  <c r="H34" i="1"/>
  <c r="G34" i="1"/>
  <c r="E34" i="1"/>
  <c r="D34" i="1"/>
  <c r="C34" i="1"/>
  <c r="AW33" i="1"/>
  <c r="AV33" i="1"/>
  <c r="AT33" i="1"/>
  <c r="AR33" i="1"/>
  <c r="I33" i="1"/>
  <c r="H33" i="1"/>
  <c r="G33" i="1"/>
  <c r="E33" i="1"/>
  <c r="D33" i="1"/>
  <c r="C33" i="1"/>
  <c r="AW32" i="1"/>
  <c r="AV32" i="1"/>
  <c r="AT32" i="1"/>
  <c r="AR32" i="1"/>
  <c r="I32" i="1"/>
  <c r="H32" i="1"/>
  <c r="G32" i="1"/>
  <c r="E32" i="1"/>
  <c r="D32" i="1"/>
  <c r="C32" i="1"/>
  <c r="AW31" i="1"/>
  <c r="AV31" i="1"/>
  <c r="AT31" i="1"/>
  <c r="AR31" i="1"/>
  <c r="I31" i="1"/>
  <c r="H31" i="1"/>
  <c r="G31" i="1"/>
  <c r="E31" i="1"/>
  <c r="D31" i="1"/>
  <c r="C31" i="1"/>
  <c r="AW30" i="1"/>
  <c r="AV30" i="1"/>
  <c r="AT30" i="1"/>
  <c r="AR30" i="1"/>
  <c r="I30" i="1"/>
  <c r="H30" i="1"/>
  <c r="G30" i="1"/>
  <c r="E30" i="1"/>
  <c r="D30" i="1"/>
  <c r="C30" i="1"/>
  <c r="AW29" i="1"/>
  <c r="AV29" i="1"/>
  <c r="AT29" i="1"/>
  <c r="AR29" i="1"/>
  <c r="I29" i="1"/>
  <c r="H29" i="1"/>
  <c r="G29" i="1"/>
  <c r="E29" i="1"/>
  <c r="D29" i="1"/>
  <c r="C29" i="1"/>
  <c r="AW28" i="1"/>
  <c r="AV28" i="1"/>
  <c r="AT28" i="1"/>
  <c r="AR28" i="1"/>
  <c r="I28" i="1"/>
  <c r="H28" i="1"/>
  <c r="G28" i="1"/>
  <c r="E28" i="1"/>
  <c r="D28" i="1"/>
  <c r="C28" i="1"/>
  <c r="AW27" i="1"/>
  <c r="AV27" i="1"/>
  <c r="AT27" i="1"/>
  <c r="AR27" i="1"/>
  <c r="I27" i="1"/>
  <c r="H27" i="1"/>
  <c r="G27" i="1"/>
  <c r="E27" i="1"/>
  <c r="D27" i="1"/>
  <c r="C27" i="1"/>
  <c r="AW26" i="1"/>
  <c r="AV26" i="1"/>
  <c r="AT26" i="1"/>
  <c r="AR26" i="1"/>
  <c r="I26" i="1"/>
  <c r="H26" i="1"/>
  <c r="G26" i="1"/>
  <c r="E26" i="1"/>
  <c r="D26" i="1"/>
  <c r="C26" i="1"/>
  <c r="AW25" i="1"/>
  <c r="AV25" i="1"/>
  <c r="AT25" i="1"/>
  <c r="AR25" i="1"/>
  <c r="I25" i="1"/>
  <c r="H25" i="1"/>
  <c r="G25" i="1"/>
  <c r="E25" i="1"/>
  <c r="D25" i="1"/>
  <c r="C25" i="1"/>
  <c r="AV24" i="1"/>
  <c r="AT24" i="1"/>
  <c r="AR24" i="1"/>
  <c r="I24" i="1"/>
  <c r="H24" i="1"/>
  <c r="G24" i="1"/>
  <c r="E24" i="1"/>
  <c r="D24" i="1"/>
  <c r="C24" i="1"/>
  <c r="AV23" i="1"/>
  <c r="AT23" i="1"/>
  <c r="AR23" i="1"/>
  <c r="I23" i="1"/>
  <c r="H23" i="1"/>
  <c r="G23" i="1"/>
  <c r="E23" i="1"/>
  <c r="D23" i="1"/>
  <c r="C23" i="1"/>
  <c r="AV22" i="1"/>
  <c r="AT22" i="1"/>
  <c r="AR22" i="1"/>
  <c r="I22" i="1"/>
  <c r="H22" i="1"/>
  <c r="G22" i="1"/>
  <c r="E22" i="1"/>
  <c r="D22" i="1"/>
  <c r="C22" i="1"/>
  <c r="AV21" i="1"/>
  <c r="AT21" i="1"/>
  <c r="AR21" i="1"/>
  <c r="I21" i="1"/>
  <c r="H21" i="1"/>
  <c r="G21" i="1"/>
  <c r="E21" i="1"/>
  <c r="D21" i="1"/>
  <c r="C21" i="1"/>
  <c r="AV20" i="1"/>
  <c r="AT20" i="1"/>
  <c r="AR20" i="1"/>
  <c r="I20" i="1"/>
  <c r="H20" i="1"/>
  <c r="G20" i="1"/>
  <c r="E20" i="1"/>
  <c r="D20" i="1"/>
  <c r="C20" i="1"/>
  <c r="AV19" i="1"/>
  <c r="AT19" i="1"/>
  <c r="AR19" i="1"/>
  <c r="I19" i="1"/>
  <c r="H19" i="1"/>
  <c r="G19" i="1"/>
  <c r="E19" i="1"/>
  <c r="D19" i="1"/>
  <c r="C19" i="1"/>
  <c r="AV18" i="1"/>
  <c r="AT18" i="1"/>
  <c r="AR18" i="1"/>
  <c r="I18" i="1"/>
  <c r="H18" i="1"/>
  <c r="G18" i="1"/>
  <c r="E18" i="1"/>
  <c r="D18" i="1"/>
  <c r="C18" i="1"/>
  <c r="AV17" i="1"/>
  <c r="AT17" i="1"/>
  <c r="AR17" i="1"/>
  <c r="I17" i="1"/>
  <c r="H17" i="1"/>
  <c r="G17" i="1"/>
  <c r="E17" i="1"/>
  <c r="D17" i="1"/>
  <c r="C17" i="1"/>
  <c r="AV16" i="1"/>
  <c r="AT16" i="1"/>
  <c r="AR16" i="1"/>
  <c r="I16" i="1"/>
  <c r="H16" i="1"/>
  <c r="G16" i="1"/>
  <c r="E16" i="1"/>
  <c r="D16" i="1"/>
  <c r="C16" i="1"/>
  <c r="AV15" i="1"/>
  <c r="AT15" i="1"/>
  <c r="AR15" i="1"/>
  <c r="I15" i="1"/>
  <c r="H15" i="1"/>
  <c r="G15" i="1"/>
  <c r="E15" i="1"/>
  <c r="D15" i="1"/>
  <c r="C15" i="1"/>
  <c r="AV14" i="1"/>
  <c r="AT14" i="1"/>
  <c r="AR14" i="1"/>
  <c r="I14" i="1"/>
  <c r="H14" i="1"/>
  <c r="G14" i="1"/>
  <c r="E14" i="1"/>
  <c r="D14" i="1"/>
  <c r="C14" i="1"/>
  <c r="AV13" i="1"/>
  <c r="AT13" i="1"/>
  <c r="AR13" i="1"/>
  <c r="I13" i="1"/>
  <c r="H13" i="1"/>
  <c r="G13" i="1"/>
  <c r="E13" i="1"/>
  <c r="D13" i="1"/>
  <c r="C13" i="1"/>
  <c r="AV12" i="1"/>
  <c r="AT12" i="1"/>
  <c r="AR12" i="1"/>
  <c r="I12" i="1"/>
  <c r="H12" i="1"/>
  <c r="G12" i="1"/>
  <c r="E12" i="1"/>
  <c r="D12" i="1"/>
  <c r="C12" i="1"/>
  <c r="AV11" i="1"/>
  <c r="AT11" i="1"/>
  <c r="AR11" i="1"/>
  <c r="I11" i="1"/>
  <c r="H11" i="1"/>
  <c r="G11" i="1"/>
  <c r="E11" i="1"/>
  <c r="D11" i="1"/>
  <c r="C11" i="1"/>
  <c r="AV10" i="1"/>
  <c r="AT10" i="1"/>
  <c r="AR10" i="1"/>
  <c r="I10" i="1"/>
  <c r="H10" i="1"/>
  <c r="G10" i="1"/>
  <c r="E10" i="1"/>
  <c r="D10" i="1"/>
  <c r="C10" i="1"/>
  <c r="AV9" i="1"/>
  <c r="AT9" i="1"/>
  <c r="AR9" i="1"/>
  <c r="I9" i="1"/>
  <c r="H9" i="1"/>
  <c r="G9" i="1"/>
  <c r="E9" i="1"/>
  <c r="D9" i="1"/>
  <c r="C9" i="1"/>
  <c r="AV8" i="1"/>
  <c r="AT8" i="1"/>
  <c r="AR8" i="1"/>
  <c r="I8" i="1"/>
  <c r="H8" i="1"/>
  <c r="G8" i="1"/>
  <c r="E8" i="1"/>
  <c r="D8" i="1"/>
  <c r="C8" i="1"/>
  <c r="AV7" i="1"/>
  <c r="AT7" i="1"/>
  <c r="AR7" i="1"/>
  <c r="I7" i="1"/>
  <c r="H7" i="1"/>
  <c r="G7" i="1"/>
  <c r="E7" i="1"/>
  <c r="D7" i="1"/>
  <c r="C7" i="1"/>
  <c r="AV6" i="1"/>
  <c r="AT6" i="1"/>
  <c r="AR6" i="1"/>
  <c r="I6" i="1"/>
  <c r="H6" i="1"/>
  <c r="G6" i="1"/>
  <c r="E6" i="1"/>
  <c r="D6" i="1"/>
  <c r="C6" i="1"/>
  <c r="AV5" i="1"/>
  <c r="AT5" i="1"/>
  <c r="AR5" i="1"/>
  <c r="I5" i="1"/>
  <c r="H5" i="1"/>
  <c r="G5" i="1"/>
  <c r="E5" i="1"/>
  <c r="D5" i="1"/>
  <c r="C5" i="1"/>
  <c r="AV4" i="1"/>
  <c r="AT4" i="1"/>
  <c r="AR4" i="1"/>
  <c r="I4" i="1"/>
  <c r="H4" i="1"/>
  <c r="G4" i="1"/>
  <c r="E4" i="1"/>
  <c r="D4" i="1"/>
  <c r="C4" i="1"/>
  <c r="AV3" i="1"/>
  <c r="AT3" i="1"/>
  <c r="AR3" i="1"/>
  <c r="I3" i="1"/>
  <c r="H3" i="1"/>
  <c r="G3" i="1"/>
  <c r="E3" i="1"/>
  <c r="D3" i="1"/>
  <c r="C3" i="1"/>
  <c r="AV2" i="1"/>
  <c r="AT2" i="1"/>
  <c r="AR2" i="1"/>
  <c r="I2" i="1"/>
  <c r="H2" i="1"/>
  <c r="G2" i="1"/>
  <c r="E2" i="1"/>
  <c r="D2" i="1"/>
  <c r="C2" i="1"/>
  <c r="B9" i="2" l="1"/>
  <c r="AP1023" i="1" l="1"/>
</calcChain>
</file>

<file path=xl/sharedStrings.xml><?xml version="1.0" encoding="utf-8"?>
<sst xmlns="http://schemas.openxmlformats.org/spreadsheetml/2006/main" count="91" uniqueCount="78">
  <si>
    <t>시리즈 ID</t>
  </si>
  <si>
    <t>도서 ID</t>
  </si>
  <si>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</si>
  <si>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</si>
  <si>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</si>
  <si>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</si>
  <si>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</si>
  <si>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</si>
  <si>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</si>
  <si>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</si>
  <si>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</si>
  <si>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</si>
  <si>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</si>
  <si>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</si>
  <si>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대여유료권( ~ 2020-04 대여권)</t>
  </si>
  <si>
    <t>대여무료권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</si>
  <si>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</si>
  <si>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</si>
  <si>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</si>
  <si>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</si>
  <si>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</si>
  <si>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</si>
  <si>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</si>
  <si>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</si>
  <si>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</si>
  <si>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</si>
  <si>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</si>
  <si>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</si>
  <si>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</si>
  <si>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</si>
  <si>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</si>
  <si>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</si>
  <si>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판매액</t>
  </si>
  <si>
    <t>판매권</t>
  </si>
  <si>
    <t>취소액</t>
  </si>
  <si>
    <t>취소권</t>
  </si>
  <si>
    <t>일반 판매액</t>
  </si>
  <si>
    <t>일반 취소액</t>
  </si>
  <si>
    <t>앱마켓 정산대상액</t>
  </si>
  <si>
    <t>앱마켓 수수료</t>
  </si>
  <si>
    <t>앱마켓 취소액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</si>
  <si>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</si>
  <si>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</si>
  <si>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</si>
  <si>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</si>
  <si>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</si>
  <si>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</si>
  <si>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</si>
  <si>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</si>
  <si>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총 정산액</t>
    <phoneticPr fontId="18" type="noConversion"/>
  </si>
  <si>
    <t>계산서 발행금액</t>
    <phoneticPr fontId="18" type="noConversion"/>
  </si>
  <si>
    <t>&lt;테주시&gt; MG차감</t>
    <phoneticPr fontId="18" type="noConversion"/>
  </si>
  <si>
    <t>관리 번호</t>
  </si>
  <si>
    <t>선인세 도서</t>
  </si>
  <si>
    <t>정산월</t>
  </si>
  <si>
    <t>판매 기간</t>
  </si>
  <si>
    <t>총 계약금액</t>
  </si>
  <si>
    <t>전월 선인세 잔액</t>
  </si>
  <si>
    <t>자유다운액</t>
  </si>
  <si>
    <t>월 정산액(합계)</t>
  </si>
  <si>
    <t>수기 조정1(선인세 및 정산)</t>
  </si>
  <si>
    <t>차감 정산액(합계)</t>
  </si>
  <si>
    <t>선인세 초과금액(합계)</t>
  </si>
  <si>
    <t>추가 정산액</t>
  </si>
  <si>
    <t>최종 정산액</t>
  </si>
  <si>
    <t>당월 선인세 잔액</t>
  </si>
  <si>
    <t>판매 시작일</t>
  </si>
  <si>
    <t>판매 종료일</t>
  </si>
  <si>
    <t>계약 종료일</t>
  </si>
  <si>
    <t>테두리는 주시하지 않는다</t>
  </si>
  <si>
    <t>판매중</t>
  </si>
  <si>
    <t>선인세 차감까지</t>
  </si>
  <si>
    <t>ㅇ MG차감 내역</t>
    <phoneticPr fontId="23" type="noConversion"/>
  </si>
  <si>
    <t>유통년월</t>
    <phoneticPr fontId="23" type="noConversion"/>
  </si>
  <si>
    <t xml:space="preserve">선MG </t>
    <phoneticPr fontId="18" type="noConversion"/>
  </si>
  <si>
    <t xml:space="preserve">KT 매출 </t>
    <phoneticPr fontId="18" type="noConversion"/>
  </si>
  <si>
    <t>MG 잔여</t>
    <phoneticPr fontId="18" type="noConversion"/>
  </si>
  <si>
    <t>합계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</si>
</sst>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4" fillId="0" borderId="0">
      <alignment vertical="center"/>
    </xf>
  </cellStyleXfs>
  <cellXfs count="16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33" borderId="0" xfId="1" applyFont="1" applyFill="1">
      <alignment vertical="center"/>
    </xf>
    <xf numFmtId="41" fontId="0" fillId="0" borderId="0" xfId="1" applyFont="1">
      <alignment vertical="center"/>
    </xf>
    <xf numFmtId="14" fontId="0" fillId="0" borderId="0" xfId="0" applyNumberFormat="1">
      <alignment vertical="center"/>
    </xf>
    <xf numFmtId="0" fontId="19" fillId="0" borderId="0" xfId="43" applyFont="1" applyAlignment="1">
      <alignment vertical="center"/>
    </xf>
    <xf numFmtId="0" fontId="22" fillId="0" borderId="0" xfId="43" applyAlignment="1">
      <alignment vertical="center"/>
    </xf>
    <xf numFmtId="0" fontId="24" fillId="0" borderId="0" xfId="44">
      <alignment vertical="center"/>
    </xf>
    <xf numFmtId="0" fontId="19" fillId="34" borderId="10" xfId="43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0" fillId="0" borderId="10" xfId="1" applyFont="1" applyBorder="1">
      <alignment vertical="center"/>
    </xf>
    <xf numFmtId="41" fontId="0" fillId="0" borderId="10" xfId="0" applyNumberFormat="1" applyBorder="1">
      <alignment vertical="center"/>
    </xf>
    <xf numFmtId="41" fontId="19" fillId="34" borderId="10" xfId="1" applyFont="1" applyFill="1" applyBorder="1" applyAlignment="1">
      <alignment horizontal="center" vertical="center"/>
    </xf>
    <xf numFmtId="41" fontId="25" fillId="33" borderId="0" xfId="1" applyFont="1" applyFill="1">
      <alignment vertical="center"/>
    </xf>
    <xf numFmtId="41" fontId="20" fillId="0" borderId="0" xfId="1" applyFont="1" applyAlignment="1">
      <alignment horizontal="center" vertical="center"/>
    </xf>
    <xf numFmtId="41" fontId="21" fillId="0" borderId="0" xfId="1" applyFont="1" applyAlignment="1">
      <alignment horizontal="center" vertical="center"/>
    </xf>
  </cellXfs>
  <cellStyles count="45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3" xfId="43"/>
    <cellStyle name="표준 4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23"/>
  <sheetViews>
    <sheetView tabSelected="1" topLeftCell="U990" zoomScale="70" zoomScaleNormal="70" workbookViewId="0">
      <selection activeCell="AD1012" sqref="AD1012"/>
    </sheetView>
  </sheetViews>
  <sheetFormatPr defaultRowHeight="17.399999999999999" x14ac:dyDescent="0.4"/>
  <cols>
    <col min="8" max="8" width="10.3984375" bestFit="1" customWidth="1"/>
    <col min="9" max="9" width="31.09765625" bestFit="1" customWidth="1"/>
    <col min="33" max="33" width="9.5" style="3" bestFit="1" customWidth="1"/>
    <col min="34" max="36" width="8.8984375" style="3" bestFit="1" customWidth="1"/>
    <col min="37" max="37" width="9.5" style="3" bestFit="1" customWidth="1"/>
    <col min="38" max="41" width="8.8984375" style="3" bestFit="1" customWidth="1"/>
    <col min="42" max="42" width="11.09765625" style="3" bestFit="1" customWidth="1"/>
  </cols>
  <sheetData>
    <row r="1" spans="1:49" x14ac:dyDescent="0.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2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4">
      <c r="A2">
        <v>4421002825</v>
      </c>
      <c r="B2">
        <v>4421002919</v>
      </c>
      <c r="C2" t="str">
        <f>T("테두리는 주시하지 않는다 12화")</f>
        <v>테두리는 주시하지 않는다 12화</v>
      </c>
      <c r="D2" t="str">
        <f>T("12")</f>
        <v>12</v>
      </c>
      <c r="E2" t="str">
        <f t="shared" ref="E2:E24" si="0">T("토찌, 키로즈")</f>
        <v>토찌, 키로즈</v>
      </c>
      <c r="G2" t="str">
        <f t="shared" ref="G2:G24" si="1">T("마린")</f>
        <v>마린</v>
      </c>
      <c r="H2" t="str">
        <f t="shared" ref="H2:H65" si="2">T("스토리위즈")</f>
        <v>스토리위즈</v>
      </c>
      <c r="I2" t="str">
        <f t="shared" ref="I2:I15" si="3">T("테두리는 주시하지 않는다")</f>
        <v>테두리는 주시하지 않는다</v>
      </c>
      <c r="J2">
        <v>500</v>
      </c>
      <c r="K2">
        <v>371500</v>
      </c>
      <c r="L2">
        <v>743</v>
      </c>
      <c r="M2">
        <v>0</v>
      </c>
      <c r="N2">
        <v>385200</v>
      </c>
      <c r="O2">
        <v>1284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-1000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3">
        <v>756700</v>
      </c>
      <c r="AH2" s="3">
        <v>2027</v>
      </c>
      <c r="AI2" s="3">
        <v>-1000</v>
      </c>
      <c r="AJ2" s="3">
        <v>2</v>
      </c>
      <c r="AK2" s="3">
        <v>711341</v>
      </c>
      <c r="AL2" s="3">
        <v>-1000</v>
      </c>
      <c r="AM2" s="3">
        <v>54428.55</v>
      </c>
      <c r="AN2" s="3">
        <v>-16328.59</v>
      </c>
      <c r="AO2" s="3">
        <v>0</v>
      </c>
      <c r="AP2" s="3">
        <v>449064.59</v>
      </c>
      <c r="AR2" t="str">
        <f t="shared" ref="AR2:AR64" si="4">T("0000000000000")</f>
        <v>0000000000000</v>
      </c>
      <c r="AT2" t="str">
        <f t="shared" ref="AT2:AT15" si="5">T("9791137604674")</f>
        <v>9791137604674</v>
      </c>
      <c r="AV2" t="str">
        <f t="shared" ref="AV2:AV24" si="6">T("BL 웹툰 &gt; 웹툰")</f>
        <v>BL 웹툰 &gt; 웹툰</v>
      </c>
    </row>
    <row r="3" spans="1:49" x14ac:dyDescent="0.4">
      <c r="A3">
        <v>4421002825</v>
      </c>
      <c r="B3">
        <v>4421002920</v>
      </c>
      <c r="C3" t="str">
        <f>T("테두리는 주시하지 않는다 13화")</f>
        <v>테두리는 주시하지 않는다 13화</v>
      </c>
      <c r="D3" t="str">
        <f>T("13")</f>
        <v>13</v>
      </c>
      <c r="E3" t="str">
        <f t="shared" si="0"/>
        <v>토찌, 키로즈</v>
      </c>
      <c r="G3" t="str">
        <f t="shared" si="1"/>
        <v>마린</v>
      </c>
      <c r="H3" t="str">
        <f t="shared" si="2"/>
        <v>스토리위즈</v>
      </c>
      <c r="I3" t="str">
        <f t="shared" si="3"/>
        <v>테두리는 주시하지 않는다</v>
      </c>
      <c r="J3">
        <v>500</v>
      </c>
      <c r="K3">
        <v>272500</v>
      </c>
      <c r="L3">
        <v>545</v>
      </c>
      <c r="M3">
        <v>0</v>
      </c>
      <c r="N3">
        <v>271200</v>
      </c>
      <c r="O3">
        <v>904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3">
        <v>543700</v>
      </c>
      <c r="AH3" s="3">
        <v>1449</v>
      </c>
      <c r="AI3" s="3">
        <v>0</v>
      </c>
      <c r="AJ3" s="3">
        <v>0</v>
      </c>
      <c r="AK3" s="3">
        <v>511987</v>
      </c>
      <c r="AL3" s="3">
        <v>0</v>
      </c>
      <c r="AM3" s="3">
        <v>38050.5</v>
      </c>
      <c r="AN3" s="3">
        <v>-11415.18</v>
      </c>
      <c r="AO3" s="3">
        <v>0</v>
      </c>
      <c r="AP3" s="3">
        <v>323173.40999999997</v>
      </c>
      <c r="AR3" t="str">
        <f t="shared" si="4"/>
        <v>0000000000000</v>
      </c>
      <c r="AT3" t="str">
        <f t="shared" si="5"/>
        <v>9791137604674</v>
      </c>
      <c r="AV3" t="str">
        <f t="shared" si="6"/>
        <v>BL 웹툰 &gt; 웹툰</v>
      </c>
    </row>
    <row r="4" spans="1:49" x14ac:dyDescent="0.4">
      <c r="A4">
        <v>4421002825</v>
      </c>
      <c r="B4">
        <v>4421002839</v>
      </c>
      <c r="C4" t="str">
        <f>T("테두리는 주시하지 않는다 11화")</f>
        <v>테두리는 주시하지 않는다 11화</v>
      </c>
      <c r="D4" t="str">
        <f>T("11")</f>
        <v>11</v>
      </c>
      <c r="E4" t="str">
        <f t="shared" si="0"/>
        <v>토찌, 키로즈</v>
      </c>
      <c r="G4" t="str">
        <f t="shared" si="1"/>
        <v>마린</v>
      </c>
      <c r="H4" t="str">
        <f t="shared" si="2"/>
        <v>스토리위즈</v>
      </c>
      <c r="I4" t="str">
        <f t="shared" si="3"/>
        <v>테두리는 주시하지 않는다</v>
      </c>
      <c r="J4">
        <v>500</v>
      </c>
      <c r="K4">
        <v>236000</v>
      </c>
      <c r="L4">
        <v>472</v>
      </c>
      <c r="M4">
        <v>0</v>
      </c>
      <c r="N4">
        <v>288300</v>
      </c>
      <c r="O4">
        <v>961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3">
        <v>524300</v>
      </c>
      <c r="AH4" s="3">
        <v>1433</v>
      </c>
      <c r="AI4" s="3">
        <v>0</v>
      </c>
      <c r="AJ4" s="3">
        <v>0</v>
      </c>
      <c r="AK4" s="3">
        <v>492207</v>
      </c>
      <c r="AL4" s="3">
        <v>0</v>
      </c>
      <c r="AM4" s="3">
        <v>38508.6</v>
      </c>
      <c r="AN4" s="3">
        <v>-11552.6</v>
      </c>
      <c r="AO4" s="3">
        <v>0</v>
      </c>
      <c r="AP4" s="3">
        <v>311497.82</v>
      </c>
      <c r="AR4" t="str">
        <f t="shared" si="4"/>
        <v>0000000000000</v>
      </c>
      <c r="AT4" t="str">
        <f t="shared" si="5"/>
        <v>9791137604674</v>
      </c>
      <c r="AV4" t="str">
        <f t="shared" si="6"/>
        <v>BL 웹툰 &gt; 웹툰</v>
      </c>
    </row>
    <row r="5" spans="1:49" x14ac:dyDescent="0.4">
      <c r="A5">
        <v>4421002825</v>
      </c>
      <c r="B5">
        <v>4421002921</v>
      </c>
      <c r="C5" t="str">
        <f>T("테두리는 주시하지 않는다 14화")</f>
        <v>테두리는 주시하지 않는다 14화</v>
      </c>
      <c r="D5" t="str">
        <f>T("14")</f>
        <v>14</v>
      </c>
      <c r="E5" t="str">
        <f t="shared" si="0"/>
        <v>토찌, 키로즈</v>
      </c>
      <c r="G5" t="str">
        <f t="shared" si="1"/>
        <v>마린</v>
      </c>
      <c r="H5" t="str">
        <f t="shared" si="2"/>
        <v>스토리위즈</v>
      </c>
      <c r="I5" t="str">
        <f t="shared" si="3"/>
        <v>테두리는 주시하지 않는다</v>
      </c>
      <c r="J5">
        <v>500</v>
      </c>
      <c r="K5">
        <v>191500</v>
      </c>
      <c r="L5">
        <v>383</v>
      </c>
      <c r="M5">
        <v>0</v>
      </c>
      <c r="N5">
        <v>202800</v>
      </c>
      <c r="O5">
        <v>676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-500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3">
        <v>394300</v>
      </c>
      <c r="AH5" s="3">
        <v>1059</v>
      </c>
      <c r="AI5" s="3">
        <v>-500</v>
      </c>
      <c r="AJ5" s="3">
        <v>1</v>
      </c>
      <c r="AK5" s="3">
        <v>374364</v>
      </c>
      <c r="AL5" s="3">
        <v>-500</v>
      </c>
      <c r="AM5" s="3">
        <v>23917.26</v>
      </c>
      <c r="AN5" s="3">
        <v>-7175.2</v>
      </c>
      <c r="AO5" s="3">
        <v>0</v>
      </c>
      <c r="AP5" s="3">
        <v>234363.64</v>
      </c>
      <c r="AR5" t="str">
        <f t="shared" si="4"/>
        <v>0000000000000</v>
      </c>
      <c r="AT5" t="str">
        <f t="shared" si="5"/>
        <v>9791137604674</v>
      </c>
      <c r="AV5" t="str">
        <f t="shared" si="6"/>
        <v>BL 웹툰 &gt; 웹툰</v>
      </c>
    </row>
    <row r="6" spans="1:49" x14ac:dyDescent="0.4">
      <c r="A6">
        <v>4421002825</v>
      </c>
      <c r="B6">
        <v>4421002838</v>
      </c>
      <c r="C6" t="str">
        <f>T("테두리는 주시하지 않는다 10화")</f>
        <v>테두리는 주시하지 않는다 10화</v>
      </c>
      <c r="D6" t="str">
        <f>T("10")</f>
        <v>10</v>
      </c>
      <c r="E6" t="str">
        <f t="shared" si="0"/>
        <v>토찌, 키로즈</v>
      </c>
      <c r="G6" t="str">
        <f t="shared" si="1"/>
        <v>마린</v>
      </c>
      <c r="H6" t="str">
        <f t="shared" si="2"/>
        <v>스토리위즈</v>
      </c>
      <c r="I6" t="str">
        <f t="shared" si="3"/>
        <v>테두리는 주시하지 않는다</v>
      </c>
      <c r="J6">
        <v>500</v>
      </c>
      <c r="K6">
        <v>136000</v>
      </c>
      <c r="L6">
        <v>272</v>
      </c>
      <c r="M6">
        <v>0</v>
      </c>
      <c r="N6">
        <v>196200</v>
      </c>
      <c r="O6">
        <v>654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-600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3">
        <v>332200</v>
      </c>
      <c r="AH6" s="3">
        <v>926</v>
      </c>
      <c r="AI6" s="3">
        <v>-600</v>
      </c>
      <c r="AJ6" s="3">
        <v>2</v>
      </c>
      <c r="AK6" s="3">
        <v>310256</v>
      </c>
      <c r="AL6" s="3">
        <v>-600</v>
      </c>
      <c r="AM6" s="3">
        <v>26328.5</v>
      </c>
      <c r="AN6" s="3">
        <v>-7898.57</v>
      </c>
      <c r="AO6" s="3">
        <v>0</v>
      </c>
      <c r="AP6" s="3">
        <v>196851.58</v>
      </c>
      <c r="AR6" t="str">
        <f t="shared" si="4"/>
        <v>0000000000000</v>
      </c>
      <c r="AT6" t="str">
        <f t="shared" si="5"/>
        <v>9791137604674</v>
      </c>
      <c r="AV6" t="str">
        <f t="shared" si="6"/>
        <v>BL 웹툰 &gt; 웹툰</v>
      </c>
    </row>
    <row r="7" spans="1:49" x14ac:dyDescent="0.4">
      <c r="A7">
        <v>4421002825</v>
      </c>
      <c r="B7">
        <v>4421002836</v>
      </c>
      <c r="C7" t="str">
        <f>T("테두리는 주시하지 않는다 8화")</f>
        <v>테두리는 주시하지 않는다 8화</v>
      </c>
      <c r="D7" t="str">
        <f>T("8")</f>
        <v>8</v>
      </c>
      <c r="E7" t="str">
        <f t="shared" si="0"/>
        <v>토찌, 키로즈</v>
      </c>
      <c r="G7" t="str">
        <f t="shared" si="1"/>
        <v>마린</v>
      </c>
      <c r="H7" t="str">
        <f t="shared" si="2"/>
        <v>스토리위즈</v>
      </c>
      <c r="I7" t="str">
        <f t="shared" si="3"/>
        <v>테두리는 주시하지 않는다</v>
      </c>
      <c r="J7">
        <v>500</v>
      </c>
      <c r="K7">
        <v>107000</v>
      </c>
      <c r="L7">
        <v>214</v>
      </c>
      <c r="M7">
        <v>0</v>
      </c>
      <c r="N7">
        <v>186000</v>
      </c>
      <c r="O7">
        <v>620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-600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3">
        <v>293000</v>
      </c>
      <c r="AH7" s="3">
        <v>834</v>
      </c>
      <c r="AI7" s="3">
        <v>-600</v>
      </c>
      <c r="AJ7" s="3">
        <v>2</v>
      </c>
      <c r="AK7" s="3">
        <v>269395</v>
      </c>
      <c r="AL7" s="3">
        <v>-600</v>
      </c>
      <c r="AM7" s="3">
        <v>28330.7</v>
      </c>
      <c r="AN7" s="3">
        <v>-8499.24</v>
      </c>
      <c r="AO7" s="3">
        <v>0</v>
      </c>
      <c r="AP7" s="3">
        <v>173175.9</v>
      </c>
      <c r="AR7" t="str">
        <f t="shared" si="4"/>
        <v>0000000000000</v>
      </c>
      <c r="AT7" t="str">
        <f t="shared" si="5"/>
        <v>9791137604674</v>
      </c>
      <c r="AV7" t="str">
        <f t="shared" si="6"/>
        <v>BL 웹툰 &gt; 웹툰</v>
      </c>
    </row>
    <row r="8" spans="1:49" x14ac:dyDescent="0.4">
      <c r="A8">
        <v>4421002825</v>
      </c>
      <c r="B8">
        <v>4421002837</v>
      </c>
      <c r="C8" t="str">
        <f>T("테두리는 주시하지 않는다 9화")</f>
        <v>테두리는 주시하지 않는다 9화</v>
      </c>
      <c r="D8" t="str">
        <f>T("9")</f>
        <v>9</v>
      </c>
      <c r="E8" t="str">
        <f t="shared" si="0"/>
        <v>토찌, 키로즈</v>
      </c>
      <c r="G8" t="str">
        <f t="shared" si="1"/>
        <v>마린</v>
      </c>
      <c r="H8" t="str">
        <f t="shared" si="2"/>
        <v>스토리위즈</v>
      </c>
      <c r="I8" t="str">
        <f t="shared" si="3"/>
        <v>테두리는 주시하지 않는다</v>
      </c>
      <c r="J8">
        <v>500</v>
      </c>
      <c r="K8">
        <v>101000</v>
      </c>
      <c r="L8">
        <v>202</v>
      </c>
      <c r="M8">
        <v>0</v>
      </c>
      <c r="N8">
        <v>177300</v>
      </c>
      <c r="O8">
        <v>591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-900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3">
        <v>278300</v>
      </c>
      <c r="AH8" s="3">
        <v>793</v>
      </c>
      <c r="AI8" s="3">
        <v>-900</v>
      </c>
      <c r="AJ8" s="3">
        <v>3</v>
      </c>
      <c r="AK8" s="3">
        <v>254205</v>
      </c>
      <c r="AL8" s="3">
        <v>-900</v>
      </c>
      <c r="AM8" s="3">
        <v>28908.080000000002</v>
      </c>
      <c r="AN8" s="3">
        <v>-8672.4500000000007</v>
      </c>
      <c r="AO8" s="3">
        <v>0</v>
      </c>
      <c r="AP8" s="3">
        <v>164124.4</v>
      </c>
      <c r="AR8" t="str">
        <f t="shared" si="4"/>
        <v>0000000000000</v>
      </c>
      <c r="AT8" t="str">
        <f t="shared" si="5"/>
        <v>9791137604674</v>
      </c>
      <c r="AV8" t="str">
        <f t="shared" si="6"/>
        <v>BL 웹툰 &gt; 웹툰</v>
      </c>
    </row>
    <row r="9" spans="1:49" x14ac:dyDescent="0.4">
      <c r="A9">
        <v>4421002825</v>
      </c>
      <c r="B9">
        <v>4421002835</v>
      </c>
      <c r="C9" t="str">
        <f>T("테두리는 주시하지 않는다 7화")</f>
        <v>테두리는 주시하지 않는다 7화</v>
      </c>
      <c r="D9" t="str">
        <f>T("7")</f>
        <v>7</v>
      </c>
      <c r="E9" t="str">
        <f t="shared" si="0"/>
        <v>토찌, 키로즈</v>
      </c>
      <c r="G9" t="str">
        <f t="shared" si="1"/>
        <v>마린</v>
      </c>
      <c r="H9" t="str">
        <f t="shared" si="2"/>
        <v>스토리위즈</v>
      </c>
      <c r="I9" t="str">
        <f t="shared" si="3"/>
        <v>테두리는 주시하지 않는다</v>
      </c>
      <c r="J9">
        <v>500</v>
      </c>
      <c r="K9">
        <v>101000</v>
      </c>
      <c r="L9">
        <v>202</v>
      </c>
      <c r="M9">
        <v>0</v>
      </c>
      <c r="N9">
        <v>130800</v>
      </c>
      <c r="O9">
        <v>436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-300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3">
        <v>231800</v>
      </c>
      <c r="AH9" s="3">
        <v>638</v>
      </c>
      <c r="AI9" s="3">
        <v>-300</v>
      </c>
      <c r="AJ9" s="3">
        <v>1</v>
      </c>
      <c r="AK9" s="3">
        <v>209527</v>
      </c>
      <c r="AL9" s="3">
        <v>-300</v>
      </c>
      <c r="AM9" s="3">
        <v>26733.77</v>
      </c>
      <c r="AN9" s="3">
        <v>-8020.15</v>
      </c>
      <c r="AO9" s="3">
        <v>0</v>
      </c>
      <c r="AP9" s="3">
        <v>136764.39000000001</v>
      </c>
      <c r="AR9" t="str">
        <f t="shared" si="4"/>
        <v>0000000000000</v>
      </c>
      <c r="AT9" t="str">
        <f t="shared" si="5"/>
        <v>9791137604674</v>
      </c>
      <c r="AV9" t="str">
        <f t="shared" si="6"/>
        <v>BL 웹툰 &gt; 웹툰</v>
      </c>
    </row>
    <row r="10" spans="1:49" x14ac:dyDescent="0.4">
      <c r="A10">
        <v>4421002825</v>
      </c>
      <c r="B10">
        <v>4421002834</v>
      </c>
      <c r="C10" t="str">
        <f>T("테두리는 주시하지 않는다 6화")</f>
        <v>테두리는 주시하지 않는다 6화</v>
      </c>
      <c r="D10" t="str">
        <f>T("6")</f>
        <v>6</v>
      </c>
      <c r="E10" t="str">
        <f t="shared" si="0"/>
        <v>토찌, 키로즈</v>
      </c>
      <c r="G10" t="str">
        <f t="shared" si="1"/>
        <v>마린</v>
      </c>
      <c r="H10" t="str">
        <f t="shared" si="2"/>
        <v>스토리위즈</v>
      </c>
      <c r="I10" t="str">
        <f t="shared" si="3"/>
        <v>테두리는 주시하지 않는다</v>
      </c>
      <c r="J10">
        <v>500</v>
      </c>
      <c r="K10">
        <v>94500</v>
      </c>
      <c r="L10">
        <v>189</v>
      </c>
      <c r="M10">
        <v>0</v>
      </c>
      <c r="N10">
        <v>133800</v>
      </c>
      <c r="O10">
        <v>446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-300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s="3">
        <v>228300</v>
      </c>
      <c r="AH10" s="3">
        <v>635</v>
      </c>
      <c r="AI10" s="3">
        <v>-300</v>
      </c>
      <c r="AJ10" s="3">
        <v>1</v>
      </c>
      <c r="AK10" s="3">
        <v>208097</v>
      </c>
      <c r="AL10" s="3">
        <v>-300</v>
      </c>
      <c r="AM10" s="3">
        <v>24246.080000000002</v>
      </c>
      <c r="AN10" s="3">
        <v>-7273.83</v>
      </c>
      <c r="AO10" s="3">
        <v>0</v>
      </c>
      <c r="AP10" s="3">
        <v>134861.56</v>
      </c>
      <c r="AR10" t="str">
        <f t="shared" si="4"/>
        <v>0000000000000</v>
      </c>
      <c r="AT10" t="str">
        <f t="shared" si="5"/>
        <v>9791137604674</v>
      </c>
      <c r="AV10" t="str">
        <f t="shared" si="6"/>
        <v>BL 웹툰 &gt; 웹툰</v>
      </c>
    </row>
    <row r="11" spans="1:49" x14ac:dyDescent="0.4">
      <c r="A11">
        <v>4421002825</v>
      </c>
      <c r="B11">
        <v>4421002832</v>
      </c>
      <c r="C11" t="str">
        <f>T("테두리는 주시하지 않는다 4화")</f>
        <v>테두리는 주시하지 않는다 4화</v>
      </c>
      <c r="D11" t="str">
        <f>T("4")</f>
        <v>4</v>
      </c>
      <c r="E11" t="str">
        <f t="shared" si="0"/>
        <v>토찌, 키로즈</v>
      </c>
      <c r="G11" t="str">
        <f t="shared" si="1"/>
        <v>마린</v>
      </c>
      <c r="H11" t="str">
        <f t="shared" si="2"/>
        <v>스토리위즈</v>
      </c>
      <c r="I11" t="str">
        <f t="shared" si="3"/>
        <v>테두리는 주시하지 않는다</v>
      </c>
      <c r="J11">
        <v>500</v>
      </c>
      <c r="K11">
        <v>40500</v>
      </c>
      <c r="L11">
        <v>81</v>
      </c>
      <c r="M11">
        <v>0</v>
      </c>
      <c r="N11">
        <v>33900</v>
      </c>
      <c r="O11">
        <v>113</v>
      </c>
      <c r="P11">
        <v>1114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-300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s="3">
        <v>74400</v>
      </c>
      <c r="AH11" s="3">
        <v>1308</v>
      </c>
      <c r="AI11" s="3">
        <v>-300</v>
      </c>
      <c r="AJ11" s="3">
        <v>1</v>
      </c>
      <c r="AK11" s="3">
        <v>67670</v>
      </c>
      <c r="AL11" s="3">
        <v>-300</v>
      </c>
      <c r="AM11" s="3">
        <v>8076</v>
      </c>
      <c r="AN11" s="3">
        <v>-2422.8000000000002</v>
      </c>
      <c r="AO11" s="3">
        <v>0</v>
      </c>
      <c r="AP11" s="3">
        <v>43813.919999999998</v>
      </c>
      <c r="AR11" t="str">
        <f t="shared" si="4"/>
        <v>0000000000000</v>
      </c>
      <c r="AT11" t="str">
        <f t="shared" si="5"/>
        <v>9791137604674</v>
      </c>
      <c r="AV11" t="str">
        <f t="shared" si="6"/>
        <v>BL 웹툰 &gt; 웹툰</v>
      </c>
    </row>
    <row r="12" spans="1:49" x14ac:dyDescent="0.4">
      <c r="A12">
        <v>4421002825</v>
      </c>
      <c r="B12">
        <v>4421002833</v>
      </c>
      <c r="C12" t="str">
        <f>T("테두리는 주시하지 않는다 5화")</f>
        <v>테두리는 주시하지 않는다 5화</v>
      </c>
      <c r="D12" t="str">
        <f>T("5")</f>
        <v>5</v>
      </c>
      <c r="E12" t="str">
        <f t="shared" si="0"/>
        <v>토찌, 키로즈</v>
      </c>
      <c r="G12" t="str">
        <f t="shared" si="1"/>
        <v>마린</v>
      </c>
      <c r="H12" t="str">
        <f t="shared" si="2"/>
        <v>스토리위즈</v>
      </c>
      <c r="I12" t="str">
        <f t="shared" si="3"/>
        <v>테두리는 주시하지 않는다</v>
      </c>
      <c r="J12">
        <v>500</v>
      </c>
      <c r="K12">
        <v>39000</v>
      </c>
      <c r="L12">
        <v>78</v>
      </c>
      <c r="M12">
        <v>0</v>
      </c>
      <c r="N12">
        <v>32100</v>
      </c>
      <c r="O12">
        <v>107</v>
      </c>
      <c r="P12">
        <v>1368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-300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s="3">
        <v>71100</v>
      </c>
      <c r="AH12" s="3">
        <v>1553</v>
      </c>
      <c r="AI12" s="3">
        <v>-300</v>
      </c>
      <c r="AJ12" s="3">
        <v>1</v>
      </c>
      <c r="AK12" s="3">
        <v>64200</v>
      </c>
      <c r="AL12" s="3">
        <v>-300</v>
      </c>
      <c r="AM12" s="3">
        <v>8280</v>
      </c>
      <c r="AN12" s="3">
        <v>-2484</v>
      </c>
      <c r="AO12" s="3">
        <v>0</v>
      </c>
      <c r="AP12" s="3">
        <v>41817.599999999999</v>
      </c>
      <c r="AR12" t="str">
        <f t="shared" si="4"/>
        <v>0000000000000</v>
      </c>
      <c r="AT12" t="str">
        <f t="shared" si="5"/>
        <v>9791137604674</v>
      </c>
      <c r="AV12" t="str">
        <f t="shared" si="6"/>
        <v>BL 웹툰 &gt; 웹툰</v>
      </c>
    </row>
    <row r="13" spans="1:49" x14ac:dyDescent="0.4">
      <c r="A13">
        <v>4421002825</v>
      </c>
      <c r="B13">
        <v>4421002825</v>
      </c>
      <c r="C13" t="str">
        <f>T("테두리는 주시하지 않는다 1화")</f>
        <v>테두리는 주시하지 않는다 1화</v>
      </c>
      <c r="D13" t="str">
        <f>T("1")</f>
        <v>1</v>
      </c>
      <c r="E13" t="str">
        <f t="shared" si="0"/>
        <v>토찌, 키로즈</v>
      </c>
      <c r="G13" t="str">
        <f t="shared" si="1"/>
        <v>마린</v>
      </c>
      <c r="H13" t="str">
        <f t="shared" si="2"/>
        <v>스토리위즈</v>
      </c>
      <c r="I13" t="str">
        <f t="shared" si="3"/>
        <v>테두리는 주시하지 않는다</v>
      </c>
      <c r="J13">
        <v>500</v>
      </c>
      <c r="K13">
        <v>11500</v>
      </c>
      <c r="L13">
        <v>23</v>
      </c>
      <c r="M13">
        <v>0</v>
      </c>
      <c r="N13">
        <v>0</v>
      </c>
      <c r="O13">
        <v>0</v>
      </c>
      <c r="P13">
        <v>2308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s="3">
        <v>11500</v>
      </c>
      <c r="AH13" s="3">
        <v>2331</v>
      </c>
      <c r="AI13" s="3">
        <v>0</v>
      </c>
      <c r="AJ13" s="3">
        <v>0</v>
      </c>
      <c r="AK13" s="3">
        <v>10000</v>
      </c>
      <c r="AL13" s="3">
        <v>0</v>
      </c>
      <c r="AM13" s="3">
        <v>1800</v>
      </c>
      <c r="AN13" s="3">
        <v>-540</v>
      </c>
      <c r="AO13" s="3">
        <v>0</v>
      </c>
      <c r="AP13" s="3">
        <v>6756</v>
      </c>
      <c r="AR13" t="str">
        <f t="shared" si="4"/>
        <v>0000000000000</v>
      </c>
      <c r="AT13" t="str">
        <f t="shared" si="5"/>
        <v>9791137604674</v>
      </c>
      <c r="AV13" t="str">
        <f t="shared" si="6"/>
        <v>BL 웹툰 &gt; 웹툰</v>
      </c>
    </row>
    <row r="14" spans="1:49" x14ac:dyDescent="0.4">
      <c r="A14">
        <v>4421002825</v>
      </c>
      <c r="B14">
        <v>4421002826</v>
      </c>
      <c r="C14" t="str">
        <f>T("테두리는 주시하지 않는다 2화")</f>
        <v>테두리는 주시하지 않는다 2화</v>
      </c>
      <c r="D14" t="str">
        <f>T("2")</f>
        <v>2</v>
      </c>
      <c r="E14" t="str">
        <f t="shared" si="0"/>
        <v>토찌, 키로즈</v>
      </c>
      <c r="G14" t="str">
        <f t="shared" si="1"/>
        <v>마린</v>
      </c>
      <c r="H14" t="str">
        <f t="shared" si="2"/>
        <v>스토리위즈</v>
      </c>
      <c r="I14" t="str">
        <f t="shared" si="3"/>
        <v>테두리는 주시하지 않는다</v>
      </c>
      <c r="J14">
        <v>500</v>
      </c>
      <c r="K14">
        <v>11000</v>
      </c>
      <c r="L14">
        <v>22</v>
      </c>
      <c r="M14">
        <v>0</v>
      </c>
      <c r="N14">
        <v>0</v>
      </c>
      <c r="O14">
        <v>0</v>
      </c>
      <c r="P14">
        <v>1676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s="3">
        <v>11000</v>
      </c>
      <c r="AH14" s="3">
        <v>1698</v>
      </c>
      <c r="AI14" s="3">
        <v>0</v>
      </c>
      <c r="AJ14" s="3">
        <v>0</v>
      </c>
      <c r="AK14" s="3">
        <v>9500</v>
      </c>
      <c r="AL14" s="3">
        <v>0</v>
      </c>
      <c r="AM14" s="3">
        <v>1800</v>
      </c>
      <c r="AN14" s="3">
        <v>-540</v>
      </c>
      <c r="AO14" s="3">
        <v>0</v>
      </c>
      <c r="AP14" s="3">
        <v>6456</v>
      </c>
      <c r="AR14" t="str">
        <f t="shared" si="4"/>
        <v>0000000000000</v>
      </c>
      <c r="AT14" t="str">
        <f t="shared" si="5"/>
        <v>9791137604674</v>
      </c>
      <c r="AV14" t="str">
        <f t="shared" si="6"/>
        <v>BL 웹툰 &gt; 웹툰</v>
      </c>
    </row>
    <row r="15" spans="1:49" x14ac:dyDescent="0.4">
      <c r="A15">
        <v>4421002825</v>
      </c>
      <c r="B15">
        <v>4421002827</v>
      </c>
      <c r="C15" t="str">
        <f>T("테두리는 주시하지 않는다 3화")</f>
        <v>테두리는 주시하지 않는다 3화</v>
      </c>
      <c r="D15" t="str">
        <f>T("3")</f>
        <v>3</v>
      </c>
      <c r="E15" t="str">
        <f t="shared" si="0"/>
        <v>토찌, 키로즈</v>
      </c>
      <c r="G15" t="str">
        <f t="shared" si="1"/>
        <v>마린</v>
      </c>
      <c r="H15" t="str">
        <f t="shared" si="2"/>
        <v>스토리위즈</v>
      </c>
      <c r="I15" t="str">
        <f t="shared" si="3"/>
        <v>테두리는 주시하지 않는다</v>
      </c>
      <c r="J15">
        <v>500</v>
      </c>
      <c r="K15">
        <v>11000</v>
      </c>
      <c r="L15">
        <v>22</v>
      </c>
      <c r="M15">
        <v>0</v>
      </c>
      <c r="N15">
        <v>0</v>
      </c>
      <c r="O15">
        <v>0</v>
      </c>
      <c r="P15">
        <v>1654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s="3">
        <v>11000</v>
      </c>
      <c r="AH15" s="3">
        <v>1676</v>
      </c>
      <c r="AI15" s="3">
        <v>0</v>
      </c>
      <c r="AJ15" s="3">
        <v>0</v>
      </c>
      <c r="AK15" s="3">
        <v>9500</v>
      </c>
      <c r="AL15" s="3">
        <v>0</v>
      </c>
      <c r="AM15" s="3">
        <v>1800</v>
      </c>
      <c r="AN15" s="3">
        <v>-540</v>
      </c>
      <c r="AO15" s="3">
        <v>0</v>
      </c>
      <c r="AP15" s="3">
        <v>6456</v>
      </c>
      <c r="AR15" t="str">
        <f t="shared" si="4"/>
        <v>0000000000000</v>
      </c>
      <c r="AT15" t="str">
        <f t="shared" si="5"/>
        <v>9791137604674</v>
      </c>
      <c r="AV15" t="str">
        <f t="shared" si="6"/>
        <v>BL 웹툰 &gt; 웹툰</v>
      </c>
    </row>
    <row r="16" spans="1:49" x14ac:dyDescent="0.4">
      <c r="A16">
        <v>4421002829</v>
      </c>
      <c r="B16">
        <v>4421002916</v>
      </c>
      <c r="C16" t="str">
        <f>T("테두리는 주시하지 않는다 (개정판) 12화")</f>
        <v>테두리는 주시하지 않는다 (개정판) 12화</v>
      </c>
      <c r="D16" t="str">
        <f>T("12")</f>
        <v>12</v>
      </c>
      <c r="E16" t="str">
        <f t="shared" si="0"/>
        <v>토찌, 키로즈</v>
      </c>
      <c r="G16" t="str">
        <f t="shared" si="1"/>
        <v>마린</v>
      </c>
      <c r="H16" t="str">
        <f t="shared" si="2"/>
        <v>스토리위즈</v>
      </c>
      <c r="I16" t="str">
        <f t="shared" ref="I16:I24" si="7">T("테두리는 주시하지 않는다 (개정판)")</f>
        <v>테두리는 주시하지 않는다 (개정판)</v>
      </c>
      <c r="J16">
        <v>500</v>
      </c>
      <c r="K16">
        <v>7500</v>
      </c>
      <c r="L16">
        <v>15</v>
      </c>
      <c r="M16">
        <v>0</v>
      </c>
      <c r="N16">
        <v>45300</v>
      </c>
      <c r="O16">
        <v>151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s="3">
        <v>52800</v>
      </c>
      <c r="AH16" s="3">
        <v>166</v>
      </c>
      <c r="AI16" s="3">
        <v>0</v>
      </c>
      <c r="AJ16" s="3">
        <v>0</v>
      </c>
      <c r="AK16" s="3">
        <v>31006</v>
      </c>
      <c r="AL16" s="3">
        <v>0</v>
      </c>
      <c r="AM16" s="3">
        <v>26133.69</v>
      </c>
      <c r="AN16" s="3">
        <v>-7840.15</v>
      </c>
      <c r="AO16" s="3">
        <v>0</v>
      </c>
      <c r="AP16" s="3">
        <v>29579.74</v>
      </c>
      <c r="AR16" t="str">
        <f t="shared" si="4"/>
        <v>0000000000000</v>
      </c>
      <c r="AT16" t="str">
        <f t="shared" ref="AT16:AT24" si="8">T("9791137604681")</f>
        <v>9791137604681</v>
      </c>
      <c r="AV16" t="str">
        <f t="shared" si="6"/>
        <v>BL 웹툰 &gt; 웹툰</v>
      </c>
    </row>
    <row r="17" spans="1:49" x14ac:dyDescent="0.4">
      <c r="A17">
        <v>4421002829</v>
      </c>
      <c r="B17">
        <v>4421002847</v>
      </c>
      <c r="C17" t="str">
        <f>T("테두리는 주시하지 않는다 (개정판) 11화")</f>
        <v>테두리는 주시하지 않는다 (개정판) 11화</v>
      </c>
      <c r="D17" t="str">
        <f>T("11")</f>
        <v>11</v>
      </c>
      <c r="E17" t="str">
        <f t="shared" si="0"/>
        <v>토찌, 키로즈</v>
      </c>
      <c r="G17" t="str">
        <f t="shared" si="1"/>
        <v>마린</v>
      </c>
      <c r="H17" t="str">
        <f t="shared" si="2"/>
        <v>스토리위즈</v>
      </c>
      <c r="I17" t="str">
        <f t="shared" si="7"/>
        <v>테두리는 주시하지 않는다 (개정판)</v>
      </c>
      <c r="J17">
        <v>500</v>
      </c>
      <c r="K17">
        <v>7000</v>
      </c>
      <c r="L17">
        <v>14</v>
      </c>
      <c r="M17">
        <v>0</v>
      </c>
      <c r="N17">
        <v>44400</v>
      </c>
      <c r="O17">
        <v>148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s="3">
        <v>51400</v>
      </c>
      <c r="AH17" s="3">
        <v>162</v>
      </c>
      <c r="AI17" s="3">
        <v>0</v>
      </c>
      <c r="AJ17" s="3">
        <v>0</v>
      </c>
      <c r="AK17" s="3">
        <v>30906</v>
      </c>
      <c r="AL17" s="3">
        <v>0</v>
      </c>
      <c r="AM17" s="3">
        <v>24579.57</v>
      </c>
      <c r="AN17" s="3">
        <v>-7373.91</v>
      </c>
      <c r="AO17" s="3">
        <v>0</v>
      </c>
      <c r="AP17" s="3">
        <v>28867.02</v>
      </c>
      <c r="AR17" t="str">
        <f t="shared" si="4"/>
        <v>0000000000000</v>
      </c>
      <c r="AT17" t="str">
        <f t="shared" si="8"/>
        <v>9791137604681</v>
      </c>
      <c r="AV17" t="str">
        <f t="shared" si="6"/>
        <v>BL 웹툰 &gt; 웹툰</v>
      </c>
    </row>
    <row r="18" spans="1:49" x14ac:dyDescent="0.4">
      <c r="A18">
        <v>4421002829</v>
      </c>
      <c r="B18">
        <v>4421002846</v>
      </c>
      <c r="C18" t="str">
        <f>T("테두리는 주시하지 않는다 (개정판) 10화")</f>
        <v>테두리는 주시하지 않는다 (개정판) 10화</v>
      </c>
      <c r="D18" t="str">
        <f>T("10")</f>
        <v>10</v>
      </c>
      <c r="E18" t="str">
        <f t="shared" si="0"/>
        <v>토찌, 키로즈</v>
      </c>
      <c r="G18" t="str">
        <f t="shared" si="1"/>
        <v>마린</v>
      </c>
      <c r="H18" t="str">
        <f t="shared" si="2"/>
        <v>스토리위즈</v>
      </c>
      <c r="I18" t="str">
        <f t="shared" si="7"/>
        <v>테두리는 주시하지 않는다 (개정판)</v>
      </c>
      <c r="J18">
        <v>500</v>
      </c>
      <c r="K18">
        <v>6000</v>
      </c>
      <c r="L18">
        <v>12</v>
      </c>
      <c r="M18">
        <v>0</v>
      </c>
      <c r="N18">
        <v>34500</v>
      </c>
      <c r="O18">
        <v>115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s="3">
        <v>40500</v>
      </c>
      <c r="AH18" s="3">
        <v>127</v>
      </c>
      <c r="AI18" s="3">
        <v>0</v>
      </c>
      <c r="AJ18" s="3">
        <v>0</v>
      </c>
      <c r="AK18" s="3">
        <v>22596</v>
      </c>
      <c r="AL18" s="3">
        <v>0</v>
      </c>
      <c r="AM18" s="3">
        <v>21475.08</v>
      </c>
      <c r="AN18" s="3">
        <v>-6442.56</v>
      </c>
      <c r="AO18" s="3">
        <v>0</v>
      </c>
      <c r="AP18" s="3">
        <v>22577.14</v>
      </c>
      <c r="AR18" t="str">
        <f t="shared" si="4"/>
        <v>0000000000000</v>
      </c>
      <c r="AT18" t="str">
        <f t="shared" si="8"/>
        <v>9791137604681</v>
      </c>
      <c r="AV18" t="str">
        <f t="shared" si="6"/>
        <v>BL 웹툰 &gt; 웹툰</v>
      </c>
    </row>
    <row r="19" spans="1:49" x14ac:dyDescent="0.4">
      <c r="A19">
        <v>4421002829</v>
      </c>
      <c r="B19">
        <v>4421002843</v>
      </c>
      <c r="C19" t="str">
        <f>T("테두리는 주시하지 않는다 (개정판) 7화")</f>
        <v>테두리는 주시하지 않는다 (개정판) 7화</v>
      </c>
      <c r="D19" t="str">
        <f>T("7")</f>
        <v>7</v>
      </c>
      <c r="E19" t="str">
        <f t="shared" si="0"/>
        <v>토찌, 키로즈</v>
      </c>
      <c r="G19" t="str">
        <f t="shared" si="1"/>
        <v>마린</v>
      </c>
      <c r="H19" t="str">
        <f t="shared" si="2"/>
        <v>스토리위즈</v>
      </c>
      <c r="I19" t="str">
        <f t="shared" si="7"/>
        <v>테두리는 주시하지 않는다 (개정판)</v>
      </c>
      <c r="J19">
        <v>500</v>
      </c>
      <c r="K19">
        <v>5500</v>
      </c>
      <c r="L19">
        <v>11</v>
      </c>
      <c r="M19">
        <v>0</v>
      </c>
      <c r="N19">
        <v>28200</v>
      </c>
      <c r="O19">
        <v>94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s="3">
        <v>33700</v>
      </c>
      <c r="AH19" s="3">
        <v>105</v>
      </c>
      <c r="AI19" s="3">
        <v>0</v>
      </c>
      <c r="AJ19" s="3">
        <v>0</v>
      </c>
      <c r="AK19" s="3">
        <v>17755</v>
      </c>
      <c r="AL19" s="3">
        <v>0</v>
      </c>
      <c r="AM19" s="3">
        <v>19126.86</v>
      </c>
      <c r="AN19" s="3">
        <v>-5738.08</v>
      </c>
      <c r="AO19" s="3">
        <v>0</v>
      </c>
      <c r="AP19" s="3">
        <v>18686.28</v>
      </c>
      <c r="AR19" t="str">
        <f t="shared" si="4"/>
        <v>0000000000000</v>
      </c>
      <c r="AT19" t="str">
        <f t="shared" si="8"/>
        <v>9791137604681</v>
      </c>
      <c r="AV19" t="str">
        <f t="shared" si="6"/>
        <v>BL 웹툰 &gt; 웹툰</v>
      </c>
    </row>
    <row r="20" spans="1:49" x14ac:dyDescent="0.4">
      <c r="A20">
        <v>4421002829</v>
      </c>
      <c r="B20">
        <v>4421002844</v>
      </c>
      <c r="C20" t="str">
        <f>T("테두리는 주시하지 않는다 (개정판) 8화")</f>
        <v>테두리는 주시하지 않는다 (개정판) 8화</v>
      </c>
      <c r="D20" t="str">
        <f>T("8")</f>
        <v>8</v>
      </c>
      <c r="E20" t="str">
        <f t="shared" si="0"/>
        <v>토찌, 키로즈</v>
      </c>
      <c r="G20" t="str">
        <f t="shared" si="1"/>
        <v>마린</v>
      </c>
      <c r="H20" t="str">
        <f t="shared" si="2"/>
        <v>스토리위즈</v>
      </c>
      <c r="I20" t="str">
        <f t="shared" si="7"/>
        <v>테두리는 주시하지 않는다 (개정판)</v>
      </c>
      <c r="J20">
        <v>500</v>
      </c>
      <c r="K20">
        <v>5500</v>
      </c>
      <c r="L20">
        <v>11</v>
      </c>
      <c r="M20">
        <v>0</v>
      </c>
      <c r="N20">
        <v>40500</v>
      </c>
      <c r="O20">
        <v>135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s="3">
        <v>46000</v>
      </c>
      <c r="AH20" s="3">
        <v>146</v>
      </c>
      <c r="AI20" s="3">
        <v>0</v>
      </c>
      <c r="AJ20" s="3">
        <v>0</v>
      </c>
      <c r="AK20" s="3">
        <v>28007</v>
      </c>
      <c r="AL20" s="3">
        <v>0</v>
      </c>
      <c r="AM20" s="3">
        <v>21580.87</v>
      </c>
      <c r="AN20" s="3">
        <v>-6474.29</v>
      </c>
      <c r="AO20" s="3">
        <v>0</v>
      </c>
      <c r="AP20" s="3">
        <v>25868.16</v>
      </c>
      <c r="AR20" t="str">
        <f t="shared" si="4"/>
        <v>0000000000000</v>
      </c>
      <c r="AT20" t="str">
        <f t="shared" si="8"/>
        <v>9791137604681</v>
      </c>
      <c r="AV20" t="str">
        <f t="shared" si="6"/>
        <v>BL 웹툰 &gt; 웹툰</v>
      </c>
    </row>
    <row r="21" spans="1:49" x14ac:dyDescent="0.4">
      <c r="A21">
        <v>4421002829</v>
      </c>
      <c r="B21">
        <v>4421002917</v>
      </c>
      <c r="C21" t="str">
        <f>T("테두리는 주시하지 않는다 (개정판) 13화")</f>
        <v>테두리는 주시하지 않는다 (개정판) 13화</v>
      </c>
      <c r="D21" t="str">
        <f>T("13")</f>
        <v>13</v>
      </c>
      <c r="E21" t="str">
        <f t="shared" si="0"/>
        <v>토찌, 키로즈</v>
      </c>
      <c r="G21" t="str">
        <f t="shared" si="1"/>
        <v>마린</v>
      </c>
      <c r="H21" t="str">
        <f t="shared" si="2"/>
        <v>스토리위즈</v>
      </c>
      <c r="I21" t="str">
        <f t="shared" si="7"/>
        <v>테두리는 주시하지 않는다 (개정판)</v>
      </c>
      <c r="J21">
        <v>500</v>
      </c>
      <c r="K21">
        <v>5500</v>
      </c>
      <c r="L21">
        <v>11</v>
      </c>
      <c r="M21">
        <v>0</v>
      </c>
      <c r="N21">
        <v>28500</v>
      </c>
      <c r="O21">
        <v>95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s="3">
        <v>34000</v>
      </c>
      <c r="AH21" s="3">
        <v>106</v>
      </c>
      <c r="AI21" s="3">
        <v>0</v>
      </c>
      <c r="AJ21" s="3">
        <v>0</v>
      </c>
      <c r="AK21" s="3">
        <v>20856</v>
      </c>
      <c r="AL21" s="3">
        <v>0</v>
      </c>
      <c r="AM21" s="3">
        <v>15769.15</v>
      </c>
      <c r="AN21" s="3">
        <v>-4730.76</v>
      </c>
      <c r="AO21" s="3">
        <v>0</v>
      </c>
      <c r="AP21" s="3">
        <v>19136.64</v>
      </c>
      <c r="AR21" t="str">
        <f t="shared" si="4"/>
        <v>0000000000000</v>
      </c>
      <c r="AT21" t="str">
        <f t="shared" si="8"/>
        <v>9791137604681</v>
      </c>
      <c r="AV21" t="str">
        <f t="shared" si="6"/>
        <v>BL 웹툰 &gt; 웹툰</v>
      </c>
    </row>
    <row r="22" spans="1:49" x14ac:dyDescent="0.4">
      <c r="A22">
        <v>4421002829</v>
      </c>
      <c r="B22">
        <v>4421002845</v>
      </c>
      <c r="C22" t="str">
        <f>T("테두리는 주시하지 않는다 (개정판) 9화")</f>
        <v>테두리는 주시하지 않는다 (개정판) 9화</v>
      </c>
      <c r="D22" t="str">
        <f>T("9")</f>
        <v>9</v>
      </c>
      <c r="E22" t="str">
        <f t="shared" si="0"/>
        <v>토찌, 키로즈</v>
      </c>
      <c r="G22" t="str">
        <f t="shared" si="1"/>
        <v>마린</v>
      </c>
      <c r="H22" t="str">
        <f t="shared" si="2"/>
        <v>스토리위즈</v>
      </c>
      <c r="I22" t="str">
        <f t="shared" si="7"/>
        <v>테두리는 주시하지 않는다 (개정판)</v>
      </c>
      <c r="J22">
        <v>500</v>
      </c>
      <c r="K22">
        <v>5000</v>
      </c>
      <c r="L22">
        <v>10</v>
      </c>
      <c r="M22">
        <v>0</v>
      </c>
      <c r="N22">
        <v>37200</v>
      </c>
      <c r="O22">
        <v>124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s="3">
        <v>42200</v>
      </c>
      <c r="AH22" s="3">
        <v>134</v>
      </c>
      <c r="AI22" s="3">
        <v>0</v>
      </c>
      <c r="AJ22" s="3">
        <v>0</v>
      </c>
      <c r="AK22" s="3">
        <v>23075</v>
      </c>
      <c r="AL22" s="3">
        <v>0</v>
      </c>
      <c r="AM22" s="3">
        <v>22933.87</v>
      </c>
      <c r="AN22" s="3">
        <v>-6880.19</v>
      </c>
      <c r="AO22" s="3">
        <v>0</v>
      </c>
      <c r="AP22" s="3">
        <v>23477.21</v>
      </c>
      <c r="AR22" t="str">
        <f t="shared" si="4"/>
        <v>0000000000000</v>
      </c>
      <c r="AT22" t="str">
        <f t="shared" si="8"/>
        <v>9791137604681</v>
      </c>
      <c r="AV22" t="str">
        <f t="shared" si="6"/>
        <v>BL 웹툰 &gt; 웹툰</v>
      </c>
    </row>
    <row r="23" spans="1:49" x14ac:dyDescent="0.4">
      <c r="A23">
        <v>4421002829</v>
      </c>
      <c r="B23">
        <v>4421002918</v>
      </c>
      <c r="C23" t="str">
        <f>T("테두리는 주시하지 않는다 (개정판) 14화")</f>
        <v>테두리는 주시하지 않는다 (개정판) 14화</v>
      </c>
      <c r="D23" t="str">
        <f>T("14")</f>
        <v>14</v>
      </c>
      <c r="E23" t="str">
        <f t="shared" si="0"/>
        <v>토찌, 키로즈</v>
      </c>
      <c r="G23" t="str">
        <f t="shared" si="1"/>
        <v>마린</v>
      </c>
      <c r="H23" t="str">
        <f t="shared" si="2"/>
        <v>스토리위즈</v>
      </c>
      <c r="I23" t="str">
        <f t="shared" si="7"/>
        <v>테두리는 주시하지 않는다 (개정판)</v>
      </c>
      <c r="J23">
        <v>500</v>
      </c>
      <c r="K23">
        <v>4500</v>
      </c>
      <c r="L23">
        <v>9</v>
      </c>
      <c r="M23">
        <v>0</v>
      </c>
      <c r="N23">
        <v>18000</v>
      </c>
      <c r="O23">
        <v>60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s="3">
        <v>22500</v>
      </c>
      <c r="AH23" s="3">
        <v>69</v>
      </c>
      <c r="AI23" s="3">
        <v>0</v>
      </c>
      <c r="AJ23" s="3">
        <v>0</v>
      </c>
      <c r="AK23" s="3">
        <v>15226</v>
      </c>
      <c r="AL23" s="3">
        <v>0</v>
      </c>
      <c r="AM23" s="3">
        <v>8724.33</v>
      </c>
      <c r="AN23" s="3">
        <v>-2617.31</v>
      </c>
      <c r="AO23" s="3">
        <v>0</v>
      </c>
      <c r="AP23" s="3">
        <v>12799.82</v>
      </c>
      <c r="AR23" t="str">
        <f t="shared" si="4"/>
        <v>0000000000000</v>
      </c>
      <c r="AT23" t="str">
        <f t="shared" si="8"/>
        <v>9791137604681</v>
      </c>
      <c r="AV23" t="str">
        <f t="shared" si="6"/>
        <v>BL 웹툰 &gt; 웹툰</v>
      </c>
    </row>
    <row r="24" spans="1:49" x14ac:dyDescent="0.4">
      <c r="A24">
        <v>4421002829</v>
      </c>
      <c r="B24">
        <v>4421002842</v>
      </c>
      <c r="C24" t="str">
        <f>T("테두리는 주시하지 않는다 (개정판) 6화")</f>
        <v>테두리는 주시하지 않는다 (개정판) 6화</v>
      </c>
      <c r="D24" t="str">
        <f>T("6")</f>
        <v>6</v>
      </c>
      <c r="E24" t="str">
        <f t="shared" si="0"/>
        <v>토찌, 키로즈</v>
      </c>
      <c r="G24" t="str">
        <f t="shared" si="1"/>
        <v>마린</v>
      </c>
      <c r="H24" t="str">
        <f t="shared" si="2"/>
        <v>스토리위즈</v>
      </c>
      <c r="I24" t="str">
        <f t="shared" si="7"/>
        <v>테두리는 주시하지 않는다 (개정판)</v>
      </c>
      <c r="J24">
        <v>500</v>
      </c>
      <c r="K24">
        <v>4500</v>
      </c>
      <c r="L24">
        <v>9</v>
      </c>
      <c r="M24">
        <v>0</v>
      </c>
      <c r="N24">
        <v>28800</v>
      </c>
      <c r="O24">
        <v>96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s="3">
        <v>33300</v>
      </c>
      <c r="AH24" s="3">
        <v>105</v>
      </c>
      <c r="AI24" s="3">
        <v>0</v>
      </c>
      <c r="AJ24" s="3">
        <v>0</v>
      </c>
      <c r="AK24" s="3">
        <v>19035</v>
      </c>
      <c r="AL24" s="3">
        <v>0</v>
      </c>
      <c r="AM24" s="3">
        <v>17111.240000000002</v>
      </c>
      <c r="AN24" s="3">
        <v>-5133.3900000000003</v>
      </c>
      <c r="AO24" s="3">
        <v>0</v>
      </c>
      <c r="AP24" s="3">
        <v>18607.72</v>
      </c>
      <c r="AR24" t="str">
        <f t="shared" si="4"/>
        <v>0000000000000</v>
      </c>
      <c r="AT24" t="str">
        <f t="shared" si="8"/>
        <v>9791137604681</v>
      </c>
      <c r="AV24" t="str">
        <f t="shared" si="6"/>
        <v>BL 웹툰 &gt; 웹툰</v>
      </c>
    </row>
    <row r="25" spans="1:49" x14ac:dyDescent="0.4">
      <c r="A25">
        <v>4421001305</v>
      </c>
      <c r="B25">
        <v>4421002890</v>
      </c>
      <c r="C25" t="str">
        <f>T("악역이지만, 남주는 꼬시지 않아요 32화")</f>
        <v>악역이지만, 남주는 꼬시지 않아요 32화</v>
      </c>
      <c r="D25" t="str">
        <f>T("32")</f>
        <v>32</v>
      </c>
      <c r="E25" t="str">
        <f>T("마북명")</f>
        <v>마북명</v>
      </c>
      <c r="G25" t="str">
        <f>T("kuri")</f>
        <v>kuri</v>
      </c>
      <c r="H25" t="str">
        <f t="shared" si="2"/>
        <v>스토리위즈</v>
      </c>
      <c r="I25" t="str">
        <f>T("악역이지만, 남주는 꼬시지 않아요")</f>
        <v>악역이지만, 남주는 꼬시지 않아요</v>
      </c>
      <c r="J25">
        <v>400</v>
      </c>
      <c r="K25">
        <v>4000</v>
      </c>
      <c r="L25">
        <v>10</v>
      </c>
      <c r="M25">
        <v>0</v>
      </c>
      <c r="N25">
        <v>6000</v>
      </c>
      <c r="O25">
        <v>30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s="3">
        <v>10000</v>
      </c>
      <c r="AH25" s="3">
        <v>40</v>
      </c>
      <c r="AI25" s="3">
        <v>0</v>
      </c>
      <c r="AJ25" s="3">
        <v>0</v>
      </c>
      <c r="AK25" s="3">
        <v>7400</v>
      </c>
      <c r="AL25" s="3">
        <v>0</v>
      </c>
      <c r="AM25" s="3">
        <v>3118.92</v>
      </c>
      <c r="AN25" s="3">
        <v>-935.68</v>
      </c>
      <c r="AO25" s="3">
        <v>0</v>
      </c>
      <c r="AP25" s="3">
        <v>6708.27</v>
      </c>
      <c r="AR25" t="str">
        <f t="shared" si="4"/>
        <v>0000000000000</v>
      </c>
      <c r="AT25" t="str">
        <f>T("9791137603882")</f>
        <v>9791137603882</v>
      </c>
      <c r="AV25" t="str">
        <f t="shared" ref="AV25:AV60" si="9">T("웹툰 &gt; 해외 순정")</f>
        <v>웹툰 &gt; 해외 순정</v>
      </c>
      <c r="AW25" t="str">
        <f>T("웹툰 &gt; 로판")</f>
        <v>웹툰 &gt; 로판</v>
      </c>
    </row>
    <row r="26" spans="1:49" x14ac:dyDescent="0.4">
      <c r="A26">
        <v>4421001305</v>
      </c>
      <c r="B26">
        <v>4421002952</v>
      </c>
      <c r="C26" t="str">
        <f>T("악역이지만, 남주는 꼬시지 않아요 34화")</f>
        <v>악역이지만, 남주는 꼬시지 않아요 34화</v>
      </c>
      <c r="D26" t="str">
        <f>T("34")</f>
        <v>34</v>
      </c>
      <c r="E26" t="str">
        <f>T("마북명")</f>
        <v>마북명</v>
      </c>
      <c r="G26" t="str">
        <f>T("kuri")</f>
        <v>kuri</v>
      </c>
      <c r="H26" t="str">
        <f t="shared" si="2"/>
        <v>스토리위즈</v>
      </c>
      <c r="I26" t="str">
        <f>T("악역이지만, 남주는 꼬시지 않아요")</f>
        <v>악역이지만, 남주는 꼬시지 않아요</v>
      </c>
      <c r="J26">
        <v>400</v>
      </c>
      <c r="K26">
        <v>3600</v>
      </c>
      <c r="L26">
        <v>9</v>
      </c>
      <c r="M26">
        <v>0</v>
      </c>
      <c r="N26">
        <v>5400</v>
      </c>
      <c r="O26">
        <v>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s="3">
        <v>9000</v>
      </c>
      <c r="AH26" s="3">
        <v>36</v>
      </c>
      <c r="AI26" s="3">
        <v>0</v>
      </c>
      <c r="AJ26" s="3">
        <v>0</v>
      </c>
      <c r="AK26" s="3">
        <v>6800</v>
      </c>
      <c r="AL26" s="3">
        <v>0</v>
      </c>
      <c r="AM26" s="3">
        <v>2640.82</v>
      </c>
      <c r="AN26" s="3">
        <v>-792.25</v>
      </c>
      <c r="AO26" s="3">
        <v>0</v>
      </c>
      <c r="AP26" s="3">
        <v>6054</v>
      </c>
      <c r="AR26" t="str">
        <f t="shared" si="4"/>
        <v>0000000000000</v>
      </c>
      <c r="AT26" t="str">
        <f>T("9791137603882")</f>
        <v>9791137603882</v>
      </c>
      <c r="AV26" t="str">
        <f t="shared" si="9"/>
        <v>웹툰 &gt; 해외 순정</v>
      </c>
      <c r="AW26" t="str">
        <f>T("웹툰 &gt; 로판")</f>
        <v>웹툰 &gt; 로판</v>
      </c>
    </row>
    <row r="27" spans="1:49" x14ac:dyDescent="0.4">
      <c r="A27">
        <v>4421001305</v>
      </c>
      <c r="B27">
        <v>4421002949</v>
      </c>
      <c r="C27" t="str">
        <f>T("악역이지만, 남주는 꼬시지 않아요 33화")</f>
        <v>악역이지만, 남주는 꼬시지 않아요 33화</v>
      </c>
      <c r="D27" t="str">
        <f>T("33")</f>
        <v>33</v>
      </c>
      <c r="E27" t="str">
        <f>T("마북명")</f>
        <v>마북명</v>
      </c>
      <c r="G27" t="str">
        <f>T("kuri")</f>
        <v>kuri</v>
      </c>
      <c r="H27" t="str">
        <f t="shared" si="2"/>
        <v>스토리위즈</v>
      </c>
      <c r="I27" t="str">
        <f>T("악역이지만, 남주는 꼬시지 않아요")</f>
        <v>악역이지만, 남주는 꼬시지 않아요</v>
      </c>
      <c r="J27">
        <v>400</v>
      </c>
      <c r="K27">
        <v>3600</v>
      </c>
      <c r="L27">
        <v>9</v>
      </c>
      <c r="M27">
        <v>0</v>
      </c>
      <c r="N27">
        <v>5800</v>
      </c>
      <c r="O27">
        <v>29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s="3">
        <v>9400</v>
      </c>
      <c r="AH27" s="3">
        <v>38</v>
      </c>
      <c r="AI27" s="3">
        <v>0</v>
      </c>
      <c r="AJ27" s="3">
        <v>0</v>
      </c>
      <c r="AK27" s="3">
        <v>7100</v>
      </c>
      <c r="AL27" s="3">
        <v>0</v>
      </c>
      <c r="AM27" s="3">
        <v>2760.82</v>
      </c>
      <c r="AN27" s="3">
        <v>-828.25</v>
      </c>
      <c r="AO27" s="3">
        <v>0</v>
      </c>
      <c r="AP27" s="3">
        <v>6322.8</v>
      </c>
      <c r="AR27" t="str">
        <f t="shared" si="4"/>
        <v>0000000000000</v>
      </c>
      <c r="AT27" t="str">
        <f>T("9791137603882")</f>
        <v>9791137603882</v>
      </c>
      <c r="AV27" t="str">
        <f t="shared" si="9"/>
        <v>웹툰 &gt; 해외 순정</v>
      </c>
      <c r="AW27" t="str">
        <f>T("웹툰 &gt; 로판")</f>
        <v>웹툰 &gt; 로판</v>
      </c>
    </row>
    <row r="28" spans="1:49" x14ac:dyDescent="0.4">
      <c r="A28">
        <v>4421001305</v>
      </c>
      <c r="B28">
        <v>4421002955</v>
      </c>
      <c r="C28" t="str">
        <f>T("악역이지만, 남주는 꼬시지 않아요 35화")</f>
        <v>악역이지만, 남주는 꼬시지 않아요 35화</v>
      </c>
      <c r="D28" t="str">
        <f>T("35")</f>
        <v>35</v>
      </c>
      <c r="E28" t="str">
        <f>T("마북명")</f>
        <v>마북명</v>
      </c>
      <c r="G28" t="str">
        <f>T("kuri")</f>
        <v>kuri</v>
      </c>
      <c r="H28" t="str">
        <f t="shared" si="2"/>
        <v>스토리위즈</v>
      </c>
      <c r="I28" t="str">
        <f>T("악역이지만, 남주는 꼬시지 않아요")</f>
        <v>악역이지만, 남주는 꼬시지 않아요</v>
      </c>
      <c r="J28">
        <v>400</v>
      </c>
      <c r="K28">
        <v>3200</v>
      </c>
      <c r="L28">
        <v>8</v>
      </c>
      <c r="M28">
        <v>0</v>
      </c>
      <c r="N28">
        <v>3600</v>
      </c>
      <c r="O28">
        <v>18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s="3">
        <v>6800</v>
      </c>
      <c r="AH28" s="3">
        <v>26</v>
      </c>
      <c r="AI28" s="3">
        <v>0</v>
      </c>
      <c r="AJ28" s="3">
        <v>0</v>
      </c>
      <c r="AK28" s="3">
        <v>4800</v>
      </c>
      <c r="AL28" s="3">
        <v>0</v>
      </c>
      <c r="AM28" s="3">
        <v>2400.8200000000002</v>
      </c>
      <c r="AN28" s="3">
        <v>-720.25</v>
      </c>
      <c r="AO28" s="3">
        <v>0</v>
      </c>
      <c r="AP28" s="3">
        <v>4536.3999999999996</v>
      </c>
      <c r="AR28" t="str">
        <f t="shared" si="4"/>
        <v>0000000000000</v>
      </c>
      <c r="AT28" t="str">
        <f>T("9791137603882")</f>
        <v>9791137603882</v>
      </c>
      <c r="AV28" t="str">
        <f t="shared" si="9"/>
        <v>웹툰 &gt; 해외 순정</v>
      </c>
      <c r="AW28" t="str">
        <f>T("웹툰 &gt; 로판")</f>
        <v>웹툰 &gt; 로판</v>
      </c>
    </row>
    <row r="29" spans="1:49" x14ac:dyDescent="0.4">
      <c r="A29">
        <v>4421000916</v>
      </c>
      <c r="B29">
        <v>4421002904</v>
      </c>
      <c r="C29" t="str">
        <f>T("별빛 아래 우리 84화")</f>
        <v>별빛 아래 우리 84화</v>
      </c>
      <c r="D29" t="str">
        <f>T("84")</f>
        <v>84</v>
      </c>
      <c r="E29" t="str">
        <f>T("건일")</f>
        <v>건일</v>
      </c>
      <c r="G29" t="str">
        <f>T("건일")</f>
        <v>건일</v>
      </c>
      <c r="H29" t="str">
        <f t="shared" si="2"/>
        <v>스토리위즈</v>
      </c>
      <c r="I29" t="str">
        <f>T("별빛 아래 우리")</f>
        <v>별빛 아래 우리</v>
      </c>
      <c r="J29">
        <v>400</v>
      </c>
      <c r="K29">
        <v>3200</v>
      </c>
      <c r="L29">
        <v>8</v>
      </c>
      <c r="M29">
        <v>0</v>
      </c>
      <c r="N29">
        <v>3800</v>
      </c>
      <c r="O29">
        <v>19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-400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s="3">
        <v>7000</v>
      </c>
      <c r="AH29" s="3">
        <v>27</v>
      </c>
      <c r="AI29" s="3">
        <v>-400</v>
      </c>
      <c r="AJ29" s="3">
        <v>1</v>
      </c>
      <c r="AK29" s="3">
        <v>5000</v>
      </c>
      <c r="AL29" s="3">
        <v>-400</v>
      </c>
      <c r="AM29" s="3">
        <v>2400</v>
      </c>
      <c r="AN29" s="3">
        <v>-720</v>
      </c>
      <c r="AO29" s="3">
        <v>0</v>
      </c>
      <c r="AP29" s="3">
        <v>4396</v>
      </c>
      <c r="AR29" t="str">
        <f t="shared" si="4"/>
        <v>0000000000000</v>
      </c>
      <c r="AT29" t="str">
        <f>T("9791137601413")</f>
        <v>9791137601413</v>
      </c>
      <c r="AV29" t="str">
        <f t="shared" si="9"/>
        <v>웹툰 &gt; 해외 순정</v>
      </c>
      <c r="AW29" t="str">
        <f>T("웹툰 &gt; 로맨스")</f>
        <v>웹툰 &gt; 로맨스</v>
      </c>
    </row>
    <row r="30" spans="1:49" x14ac:dyDescent="0.4">
      <c r="A30">
        <v>4421000916</v>
      </c>
      <c r="B30">
        <v>4421002861</v>
      </c>
      <c r="C30" t="str">
        <f>T("별빛 아래 우리 82화")</f>
        <v>별빛 아래 우리 82화</v>
      </c>
      <c r="D30" t="str">
        <f>T("82")</f>
        <v>82</v>
      </c>
      <c r="E30" t="str">
        <f>T("건일")</f>
        <v>건일</v>
      </c>
      <c r="G30" t="str">
        <f>T("건일")</f>
        <v>건일</v>
      </c>
      <c r="H30" t="str">
        <f t="shared" si="2"/>
        <v>스토리위즈</v>
      </c>
      <c r="I30" t="str">
        <f>T("별빛 아래 우리")</f>
        <v>별빛 아래 우리</v>
      </c>
      <c r="J30">
        <v>400</v>
      </c>
      <c r="K30">
        <v>3200</v>
      </c>
      <c r="L30">
        <v>8</v>
      </c>
      <c r="M30">
        <v>0</v>
      </c>
      <c r="N30">
        <v>5600</v>
      </c>
      <c r="O30">
        <v>28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s="3">
        <v>8800</v>
      </c>
      <c r="AH30" s="3">
        <v>36</v>
      </c>
      <c r="AI30" s="3">
        <v>0</v>
      </c>
      <c r="AJ30" s="3">
        <v>0</v>
      </c>
      <c r="AK30" s="3">
        <v>6780</v>
      </c>
      <c r="AL30" s="3">
        <v>0</v>
      </c>
      <c r="AM30" s="3">
        <v>2422.9299999999998</v>
      </c>
      <c r="AN30" s="3">
        <v>-726.88</v>
      </c>
      <c r="AO30" s="3">
        <v>0</v>
      </c>
      <c r="AP30" s="3">
        <v>5933.24</v>
      </c>
      <c r="AR30" t="str">
        <f t="shared" si="4"/>
        <v>0000000000000</v>
      </c>
      <c r="AT30" t="str">
        <f>T("9791137601413")</f>
        <v>9791137601413</v>
      </c>
      <c r="AV30" t="str">
        <f t="shared" si="9"/>
        <v>웹툰 &gt; 해외 순정</v>
      </c>
      <c r="AW30" t="str">
        <f>T("웹툰 &gt; 로맨스")</f>
        <v>웹툰 &gt; 로맨스</v>
      </c>
    </row>
    <row r="31" spans="1:49" x14ac:dyDescent="0.4">
      <c r="A31">
        <v>4421000916</v>
      </c>
      <c r="B31">
        <v>4421002903</v>
      </c>
      <c r="C31" t="str">
        <f>T("별빛 아래 우리 83화")</f>
        <v>별빛 아래 우리 83화</v>
      </c>
      <c r="D31" t="str">
        <f>T("83")</f>
        <v>83</v>
      </c>
      <c r="E31" t="str">
        <f>T("건일")</f>
        <v>건일</v>
      </c>
      <c r="G31" t="str">
        <f>T("건일")</f>
        <v>건일</v>
      </c>
      <c r="H31" t="str">
        <f t="shared" si="2"/>
        <v>스토리위즈</v>
      </c>
      <c r="I31" t="str">
        <f>T("별빛 아래 우리")</f>
        <v>별빛 아래 우리</v>
      </c>
      <c r="J31">
        <v>400</v>
      </c>
      <c r="K31">
        <v>2800</v>
      </c>
      <c r="L31">
        <v>7</v>
      </c>
      <c r="M31">
        <v>0</v>
      </c>
      <c r="N31">
        <v>4600</v>
      </c>
      <c r="O31">
        <v>23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s="3">
        <v>7400</v>
      </c>
      <c r="AH31" s="3">
        <v>30</v>
      </c>
      <c r="AI31" s="3">
        <v>0</v>
      </c>
      <c r="AJ31" s="3">
        <v>0</v>
      </c>
      <c r="AK31" s="3">
        <v>5380</v>
      </c>
      <c r="AL31" s="3">
        <v>0</v>
      </c>
      <c r="AM31" s="3">
        <v>2423.81</v>
      </c>
      <c r="AN31" s="3">
        <v>-727.14</v>
      </c>
      <c r="AO31" s="3">
        <v>0</v>
      </c>
      <c r="AP31" s="3">
        <v>4953.67</v>
      </c>
      <c r="AR31" t="str">
        <f t="shared" si="4"/>
        <v>0000000000000</v>
      </c>
      <c r="AT31" t="str">
        <f>T("9791137601413")</f>
        <v>9791137601413</v>
      </c>
      <c r="AV31" t="str">
        <f t="shared" si="9"/>
        <v>웹툰 &gt; 해외 순정</v>
      </c>
      <c r="AW31" t="str">
        <f>T("웹툰 &gt; 로맨스")</f>
        <v>웹툰 &gt; 로맨스</v>
      </c>
    </row>
    <row r="32" spans="1:49" x14ac:dyDescent="0.4">
      <c r="A32">
        <v>4421001305</v>
      </c>
      <c r="B32">
        <v>4421002889</v>
      </c>
      <c r="C32" t="str">
        <f>T("악역이지만, 남주는 꼬시지 않아요 31화")</f>
        <v>악역이지만, 남주는 꼬시지 않아요 31화</v>
      </c>
      <c r="D32" t="str">
        <f>T("31")</f>
        <v>31</v>
      </c>
      <c r="E32" t="str">
        <f>T("마북명")</f>
        <v>마북명</v>
      </c>
      <c r="G32" t="str">
        <f>T("kuri")</f>
        <v>kuri</v>
      </c>
      <c r="H32" t="str">
        <f t="shared" si="2"/>
        <v>스토리위즈</v>
      </c>
      <c r="I32" t="str">
        <f>T("악역이지만, 남주는 꼬시지 않아요")</f>
        <v>악역이지만, 남주는 꼬시지 않아요</v>
      </c>
      <c r="J32">
        <v>400</v>
      </c>
      <c r="K32">
        <v>2800</v>
      </c>
      <c r="L32">
        <v>7</v>
      </c>
      <c r="M32">
        <v>0</v>
      </c>
      <c r="N32">
        <v>4400</v>
      </c>
      <c r="O32">
        <v>22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s="3">
        <v>7200</v>
      </c>
      <c r="AH32" s="3">
        <v>29</v>
      </c>
      <c r="AI32" s="3">
        <v>0</v>
      </c>
      <c r="AJ32" s="3">
        <v>0</v>
      </c>
      <c r="AK32" s="3">
        <v>4900</v>
      </c>
      <c r="AL32" s="3">
        <v>0</v>
      </c>
      <c r="AM32" s="3">
        <v>2759.87</v>
      </c>
      <c r="AN32" s="3">
        <v>-827.97</v>
      </c>
      <c r="AO32" s="3">
        <v>0</v>
      </c>
      <c r="AP32" s="3">
        <v>4782.33</v>
      </c>
      <c r="AR32" t="str">
        <f t="shared" si="4"/>
        <v>0000000000000</v>
      </c>
      <c r="AT32" t="str">
        <f>T("9791137603882")</f>
        <v>9791137603882</v>
      </c>
      <c r="AV32" t="str">
        <f t="shared" si="9"/>
        <v>웹툰 &gt; 해외 순정</v>
      </c>
      <c r="AW32" t="str">
        <f>T("웹툰 &gt; 로판")</f>
        <v>웹툰 &gt; 로판</v>
      </c>
    </row>
    <row r="33" spans="1:49" x14ac:dyDescent="0.4">
      <c r="A33">
        <v>4421000916</v>
      </c>
      <c r="B33">
        <v>4421002860</v>
      </c>
      <c r="C33" t="str">
        <f>T("별빛 아래 우리 81화")</f>
        <v>별빛 아래 우리 81화</v>
      </c>
      <c r="D33" t="str">
        <f>T("81")</f>
        <v>81</v>
      </c>
      <c r="E33" t="str">
        <f>T("건일")</f>
        <v>건일</v>
      </c>
      <c r="G33" t="str">
        <f>T("건일")</f>
        <v>건일</v>
      </c>
      <c r="H33" t="str">
        <f t="shared" si="2"/>
        <v>스토리위즈</v>
      </c>
      <c r="I33" t="str">
        <f>T("별빛 아래 우리")</f>
        <v>별빛 아래 우리</v>
      </c>
      <c r="J33">
        <v>400</v>
      </c>
      <c r="K33">
        <v>2400</v>
      </c>
      <c r="L33">
        <v>6</v>
      </c>
      <c r="M33">
        <v>0</v>
      </c>
      <c r="N33">
        <v>5600</v>
      </c>
      <c r="O33">
        <v>28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s="3">
        <v>8000</v>
      </c>
      <c r="AH33" s="3">
        <v>34</v>
      </c>
      <c r="AI33" s="3">
        <v>0</v>
      </c>
      <c r="AJ33" s="3">
        <v>0</v>
      </c>
      <c r="AK33" s="3">
        <v>5780</v>
      </c>
      <c r="AL33" s="3">
        <v>0</v>
      </c>
      <c r="AM33" s="3">
        <v>2662.93</v>
      </c>
      <c r="AN33" s="3">
        <v>-798.88</v>
      </c>
      <c r="AO33" s="3">
        <v>0</v>
      </c>
      <c r="AP33" s="3">
        <v>5350.84</v>
      </c>
      <c r="AR33" t="str">
        <f t="shared" si="4"/>
        <v>0000000000000</v>
      </c>
      <c r="AT33" t="str">
        <f>T("9791137601413")</f>
        <v>9791137601413</v>
      </c>
      <c r="AV33" t="str">
        <f t="shared" si="9"/>
        <v>웹툰 &gt; 해외 순정</v>
      </c>
      <c r="AW33" t="str">
        <f>T("웹툰 &gt; 로맨스")</f>
        <v>웹툰 &gt; 로맨스</v>
      </c>
    </row>
    <row r="34" spans="1:49" x14ac:dyDescent="0.4">
      <c r="A34">
        <v>4421001305</v>
      </c>
      <c r="B34">
        <v>4421002956</v>
      </c>
      <c r="C34" t="str">
        <f>T("악역이지만, 남주는 꼬시지 않아요 36화")</f>
        <v>악역이지만, 남주는 꼬시지 않아요 36화</v>
      </c>
      <c r="D34" t="str">
        <f>T("36")</f>
        <v>36</v>
      </c>
      <c r="E34" t="str">
        <f t="shared" ref="E34:E46" si="10">T("마북명")</f>
        <v>마북명</v>
      </c>
      <c r="G34" t="str">
        <f t="shared" ref="G34:G46" si="11">T("kuri")</f>
        <v>kuri</v>
      </c>
      <c r="H34" t="str">
        <f t="shared" si="2"/>
        <v>스토리위즈</v>
      </c>
      <c r="I34" t="str">
        <f t="shared" ref="I34:I46" si="12">T("악역이지만, 남주는 꼬시지 않아요")</f>
        <v>악역이지만, 남주는 꼬시지 않아요</v>
      </c>
      <c r="J34">
        <v>400</v>
      </c>
      <c r="K34">
        <v>2000</v>
      </c>
      <c r="L34">
        <v>5</v>
      </c>
      <c r="M34">
        <v>0</v>
      </c>
      <c r="N34">
        <v>1800</v>
      </c>
      <c r="O34">
        <v>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s="3">
        <v>3800</v>
      </c>
      <c r="AH34" s="3">
        <v>14</v>
      </c>
      <c r="AI34" s="3">
        <v>0</v>
      </c>
      <c r="AJ34" s="3">
        <v>0</v>
      </c>
      <c r="AK34" s="3">
        <v>3400</v>
      </c>
      <c r="AL34" s="3">
        <v>0</v>
      </c>
      <c r="AM34" s="3">
        <v>480</v>
      </c>
      <c r="AN34" s="3">
        <v>-144</v>
      </c>
      <c r="AO34" s="3">
        <v>0</v>
      </c>
      <c r="AP34" s="3">
        <v>2615.1999999999998</v>
      </c>
      <c r="AR34" t="str">
        <f t="shared" si="4"/>
        <v>0000000000000</v>
      </c>
      <c r="AT34" t="str">
        <f t="shared" ref="AT34:AT46" si="13">T("9791137603882")</f>
        <v>9791137603882</v>
      </c>
      <c r="AV34" t="str">
        <f t="shared" si="9"/>
        <v>웹툰 &gt; 해외 순정</v>
      </c>
      <c r="AW34" t="str">
        <f t="shared" ref="AW34:AW46" si="14">T("웹툰 &gt; 로판")</f>
        <v>웹툰 &gt; 로판</v>
      </c>
    </row>
    <row r="35" spans="1:49" x14ac:dyDescent="0.4">
      <c r="A35">
        <v>4421001305</v>
      </c>
      <c r="B35">
        <v>4421001323</v>
      </c>
      <c r="C35" t="str">
        <f>T("악역이지만, 남주는 꼬시지 않아요 19화")</f>
        <v>악역이지만, 남주는 꼬시지 않아요 19화</v>
      </c>
      <c r="D35" t="str">
        <f>T("19")</f>
        <v>19</v>
      </c>
      <c r="E35" t="str">
        <f t="shared" si="10"/>
        <v>마북명</v>
      </c>
      <c r="G35" t="str">
        <f t="shared" si="11"/>
        <v>kuri</v>
      </c>
      <c r="H35" t="str">
        <f t="shared" si="2"/>
        <v>스토리위즈</v>
      </c>
      <c r="I35" t="str">
        <f t="shared" si="12"/>
        <v>악역이지만, 남주는 꼬시지 않아요</v>
      </c>
      <c r="J35">
        <v>400</v>
      </c>
      <c r="K35">
        <v>1200</v>
      </c>
      <c r="L35">
        <v>3</v>
      </c>
      <c r="M35">
        <v>0</v>
      </c>
      <c r="N35">
        <v>4000</v>
      </c>
      <c r="O35">
        <v>20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s="3">
        <v>5200</v>
      </c>
      <c r="AH35" s="3">
        <v>23</v>
      </c>
      <c r="AI35" s="3">
        <v>0</v>
      </c>
      <c r="AJ35" s="3">
        <v>0</v>
      </c>
      <c r="AK35" s="3">
        <v>4200</v>
      </c>
      <c r="AL35" s="3">
        <v>0</v>
      </c>
      <c r="AM35" s="3">
        <v>1200</v>
      </c>
      <c r="AN35" s="3">
        <v>-360</v>
      </c>
      <c r="AO35" s="3">
        <v>0</v>
      </c>
      <c r="AP35" s="3">
        <v>3528</v>
      </c>
      <c r="AR35" t="str">
        <f t="shared" si="4"/>
        <v>0000000000000</v>
      </c>
      <c r="AT35" t="str">
        <f t="shared" si="13"/>
        <v>9791137603882</v>
      </c>
      <c r="AV35" t="str">
        <f t="shared" si="9"/>
        <v>웹툰 &gt; 해외 순정</v>
      </c>
      <c r="AW35" t="str">
        <f t="shared" si="14"/>
        <v>웹툰 &gt; 로판</v>
      </c>
    </row>
    <row r="36" spans="1:49" x14ac:dyDescent="0.4">
      <c r="A36">
        <v>4421001305</v>
      </c>
      <c r="B36">
        <v>4421001316</v>
      </c>
      <c r="C36" t="str">
        <f>T("악역이지만, 남주는 꼬시지 않아요 12화")</f>
        <v>악역이지만, 남주는 꼬시지 않아요 12화</v>
      </c>
      <c r="D36" t="str">
        <f>T("12")</f>
        <v>12</v>
      </c>
      <c r="E36" t="str">
        <f t="shared" si="10"/>
        <v>마북명</v>
      </c>
      <c r="G36" t="str">
        <f t="shared" si="11"/>
        <v>kuri</v>
      </c>
      <c r="H36" t="str">
        <f t="shared" si="2"/>
        <v>스토리위즈</v>
      </c>
      <c r="I36" t="str">
        <f t="shared" si="12"/>
        <v>악역이지만, 남주는 꼬시지 않아요</v>
      </c>
      <c r="J36">
        <v>400</v>
      </c>
      <c r="K36">
        <v>1200</v>
      </c>
      <c r="L36">
        <v>3</v>
      </c>
      <c r="M36">
        <v>0</v>
      </c>
      <c r="N36">
        <v>4400</v>
      </c>
      <c r="O36">
        <v>22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s="3">
        <v>5600</v>
      </c>
      <c r="AH36" s="3">
        <v>25</v>
      </c>
      <c r="AI36" s="3">
        <v>0</v>
      </c>
      <c r="AJ36" s="3">
        <v>0</v>
      </c>
      <c r="AK36" s="3">
        <v>4600</v>
      </c>
      <c r="AL36" s="3">
        <v>0</v>
      </c>
      <c r="AM36" s="3">
        <v>1200</v>
      </c>
      <c r="AN36" s="3">
        <v>-360</v>
      </c>
      <c r="AO36" s="3">
        <v>0</v>
      </c>
      <c r="AP36" s="3">
        <v>3808</v>
      </c>
      <c r="AR36" t="str">
        <f t="shared" si="4"/>
        <v>0000000000000</v>
      </c>
      <c r="AT36" t="str">
        <f t="shared" si="13"/>
        <v>9791137603882</v>
      </c>
      <c r="AV36" t="str">
        <f t="shared" si="9"/>
        <v>웹툰 &gt; 해외 순정</v>
      </c>
      <c r="AW36" t="str">
        <f t="shared" si="14"/>
        <v>웹툰 &gt; 로판</v>
      </c>
    </row>
    <row r="37" spans="1:49" x14ac:dyDescent="0.4">
      <c r="A37">
        <v>4421001305</v>
      </c>
      <c r="B37">
        <v>4421001458</v>
      </c>
      <c r="C37" t="str">
        <f>T("악역이지만, 남주는 꼬시지 않아요 22화")</f>
        <v>악역이지만, 남주는 꼬시지 않아요 22화</v>
      </c>
      <c r="D37" t="str">
        <f>T("22")</f>
        <v>22</v>
      </c>
      <c r="E37" t="str">
        <f t="shared" si="10"/>
        <v>마북명</v>
      </c>
      <c r="G37" t="str">
        <f t="shared" si="11"/>
        <v>kuri</v>
      </c>
      <c r="H37" t="str">
        <f t="shared" si="2"/>
        <v>스토리위즈</v>
      </c>
      <c r="I37" t="str">
        <f t="shared" si="12"/>
        <v>악역이지만, 남주는 꼬시지 않아요</v>
      </c>
      <c r="J37">
        <v>400</v>
      </c>
      <c r="K37">
        <v>1200</v>
      </c>
      <c r="L37">
        <v>3</v>
      </c>
      <c r="M37">
        <v>0</v>
      </c>
      <c r="N37">
        <v>4000</v>
      </c>
      <c r="O37">
        <v>20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s="3">
        <v>5200</v>
      </c>
      <c r="AH37" s="3">
        <v>23</v>
      </c>
      <c r="AI37" s="3">
        <v>0</v>
      </c>
      <c r="AJ37" s="3">
        <v>0</v>
      </c>
      <c r="AK37" s="3">
        <v>4200</v>
      </c>
      <c r="AL37" s="3">
        <v>0</v>
      </c>
      <c r="AM37" s="3">
        <v>1198.0999999999999</v>
      </c>
      <c r="AN37" s="3">
        <v>-359.43</v>
      </c>
      <c r="AO37" s="3">
        <v>0</v>
      </c>
      <c r="AP37" s="3">
        <v>3527.07</v>
      </c>
      <c r="AR37" t="str">
        <f t="shared" si="4"/>
        <v>0000000000000</v>
      </c>
      <c r="AT37" t="str">
        <f t="shared" si="13"/>
        <v>9791137603882</v>
      </c>
      <c r="AV37" t="str">
        <f t="shared" si="9"/>
        <v>웹툰 &gt; 해외 순정</v>
      </c>
      <c r="AW37" t="str">
        <f t="shared" si="14"/>
        <v>웹툰 &gt; 로판</v>
      </c>
    </row>
    <row r="38" spans="1:49" x14ac:dyDescent="0.4">
      <c r="A38">
        <v>4421001305</v>
      </c>
      <c r="B38">
        <v>4421002850</v>
      </c>
      <c r="C38" t="str">
        <f>T("악역이지만, 남주는 꼬시지 않아요 29화")</f>
        <v>악역이지만, 남주는 꼬시지 않아요 29화</v>
      </c>
      <c r="D38" t="str">
        <f>T("29")</f>
        <v>29</v>
      </c>
      <c r="E38" t="str">
        <f t="shared" si="10"/>
        <v>마북명</v>
      </c>
      <c r="G38" t="str">
        <f t="shared" si="11"/>
        <v>kuri</v>
      </c>
      <c r="H38" t="str">
        <f t="shared" si="2"/>
        <v>스토리위즈</v>
      </c>
      <c r="I38" t="str">
        <f t="shared" si="12"/>
        <v>악역이지만, 남주는 꼬시지 않아요</v>
      </c>
      <c r="J38">
        <v>400</v>
      </c>
      <c r="K38">
        <v>1200</v>
      </c>
      <c r="L38">
        <v>3</v>
      </c>
      <c r="M38">
        <v>0</v>
      </c>
      <c r="N38">
        <v>3800</v>
      </c>
      <c r="O38">
        <v>19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s="3">
        <v>5000</v>
      </c>
      <c r="AH38" s="3">
        <v>22</v>
      </c>
      <c r="AI38" s="3">
        <v>0</v>
      </c>
      <c r="AJ38" s="3">
        <v>0</v>
      </c>
      <c r="AK38" s="3">
        <v>3800</v>
      </c>
      <c r="AL38" s="3">
        <v>0</v>
      </c>
      <c r="AM38" s="3">
        <v>1438.1</v>
      </c>
      <c r="AN38" s="3">
        <v>-431.43</v>
      </c>
      <c r="AO38" s="3">
        <v>0</v>
      </c>
      <c r="AP38" s="3">
        <v>3364.67</v>
      </c>
      <c r="AR38" t="str">
        <f t="shared" si="4"/>
        <v>0000000000000</v>
      </c>
      <c r="AT38" t="str">
        <f t="shared" si="13"/>
        <v>9791137603882</v>
      </c>
      <c r="AV38" t="str">
        <f t="shared" si="9"/>
        <v>웹툰 &gt; 해외 순정</v>
      </c>
      <c r="AW38" t="str">
        <f t="shared" si="14"/>
        <v>웹툰 &gt; 로판</v>
      </c>
    </row>
    <row r="39" spans="1:49" x14ac:dyDescent="0.4">
      <c r="A39">
        <v>4421001305</v>
      </c>
      <c r="B39">
        <v>4421001320</v>
      </c>
      <c r="C39" t="str">
        <f>T("악역이지만, 남주는 꼬시지 않아요 16화")</f>
        <v>악역이지만, 남주는 꼬시지 않아요 16화</v>
      </c>
      <c r="D39" t="str">
        <f>T("16")</f>
        <v>16</v>
      </c>
      <c r="E39" t="str">
        <f t="shared" si="10"/>
        <v>마북명</v>
      </c>
      <c r="G39" t="str">
        <f t="shared" si="11"/>
        <v>kuri</v>
      </c>
      <c r="H39" t="str">
        <f t="shared" si="2"/>
        <v>스토리위즈</v>
      </c>
      <c r="I39" t="str">
        <f t="shared" si="12"/>
        <v>악역이지만, 남주는 꼬시지 않아요</v>
      </c>
      <c r="J39">
        <v>400</v>
      </c>
      <c r="K39">
        <v>1200</v>
      </c>
      <c r="L39">
        <v>3</v>
      </c>
      <c r="M39">
        <v>0</v>
      </c>
      <c r="N39">
        <v>4000</v>
      </c>
      <c r="O39">
        <v>20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s="3">
        <v>5200</v>
      </c>
      <c r="AH39" s="3">
        <v>23</v>
      </c>
      <c r="AI39" s="3">
        <v>0</v>
      </c>
      <c r="AJ39" s="3">
        <v>0</v>
      </c>
      <c r="AK39" s="3">
        <v>4200</v>
      </c>
      <c r="AL39" s="3">
        <v>0</v>
      </c>
      <c r="AM39" s="3">
        <v>1200</v>
      </c>
      <c r="AN39" s="3">
        <v>-360</v>
      </c>
      <c r="AO39" s="3">
        <v>0</v>
      </c>
      <c r="AP39" s="3">
        <v>3528</v>
      </c>
      <c r="AR39" t="str">
        <f t="shared" si="4"/>
        <v>0000000000000</v>
      </c>
      <c r="AT39" t="str">
        <f t="shared" si="13"/>
        <v>9791137603882</v>
      </c>
      <c r="AV39" t="str">
        <f t="shared" si="9"/>
        <v>웹툰 &gt; 해외 순정</v>
      </c>
      <c r="AW39" t="str">
        <f t="shared" si="14"/>
        <v>웹툰 &gt; 로판</v>
      </c>
    </row>
    <row r="40" spans="1:49" x14ac:dyDescent="0.4">
      <c r="A40">
        <v>4421001305</v>
      </c>
      <c r="B40">
        <v>4421001473</v>
      </c>
      <c r="C40" t="str">
        <f>T("악역이지만, 남주는 꼬시지 않아요 23화")</f>
        <v>악역이지만, 남주는 꼬시지 않아요 23화</v>
      </c>
      <c r="D40" t="str">
        <f>T("23")</f>
        <v>23</v>
      </c>
      <c r="E40" t="str">
        <f t="shared" si="10"/>
        <v>마북명</v>
      </c>
      <c r="G40" t="str">
        <f t="shared" si="11"/>
        <v>kuri</v>
      </c>
      <c r="H40" t="str">
        <f t="shared" si="2"/>
        <v>스토리위즈</v>
      </c>
      <c r="I40" t="str">
        <f t="shared" si="12"/>
        <v>악역이지만, 남주는 꼬시지 않아요</v>
      </c>
      <c r="J40">
        <v>400</v>
      </c>
      <c r="K40">
        <v>1200</v>
      </c>
      <c r="L40">
        <v>3</v>
      </c>
      <c r="M40">
        <v>0</v>
      </c>
      <c r="N40">
        <v>4000</v>
      </c>
      <c r="O40">
        <v>20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s="3">
        <v>5200</v>
      </c>
      <c r="AH40" s="3">
        <v>23</v>
      </c>
      <c r="AI40" s="3">
        <v>0</v>
      </c>
      <c r="AJ40" s="3">
        <v>0</v>
      </c>
      <c r="AK40" s="3">
        <v>4200</v>
      </c>
      <c r="AL40" s="3">
        <v>0</v>
      </c>
      <c r="AM40" s="3">
        <v>1198.0999999999999</v>
      </c>
      <c r="AN40" s="3">
        <v>-359.43</v>
      </c>
      <c r="AO40" s="3">
        <v>0</v>
      </c>
      <c r="AP40" s="3">
        <v>3527.07</v>
      </c>
      <c r="AR40" t="str">
        <f t="shared" si="4"/>
        <v>0000000000000</v>
      </c>
      <c r="AT40" t="str">
        <f t="shared" si="13"/>
        <v>9791137603882</v>
      </c>
      <c r="AV40" t="str">
        <f t="shared" si="9"/>
        <v>웹툰 &gt; 해외 순정</v>
      </c>
      <c r="AW40" t="str">
        <f t="shared" si="14"/>
        <v>웹툰 &gt; 로판</v>
      </c>
    </row>
    <row r="41" spans="1:49" x14ac:dyDescent="0.4">
      <c r="A41">
        <v>4421001305</v>
      </c>
      <c r="B41">
        <v>4421001313</v>
      </c>
      <c r="C41" t="str">
        <f>T("악역이지만, 남주는 꼬시지 않아요 9화")</f>
        <v>악역이지만, 남주는 꼬시지 않아요 9화</v>
      </c>
      <c r="D41" t="str">
        <f>T("9")</f>
        <v>9</v>
      </c>
      <c r="E41" t="str">
        <f t="shared" si="10"/>
        <v>마북명</v>
      </c>
      <c r="G41" t="str">
        <f t="shared" si="11"/>
        <v>kuri</v>
      </c>
      <c r="H41" t="str">
        <f t="shared" si="2"/>
        <v>스토리위즈</v>
      </c>
      <c r="I41" t="str">
        <f t="shared" si="12"/>
        <v>악역이지만, 남주는 꼬시지 않아요</v>
      </c>
      <c r="J41">
        <v>400</v>
      </c>
      <c r="K41">
        <v>1200</v>
      </c>
      <c r="L41">
        <v>3</v>
      </c>
      <c r="M41">
        <v>0</v>
      </c>
      <c r="N41">
        <v>4400</v>
      </c>
      <c r="O41">
        <v>22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s="3">
        <v>5600</v>
      </c>
      <c r="AH41" s="3">
        <v>25</v>
      </c>
      <c r="AI41" s="3">
        <v>0</v>
      </c>
      <c r="AJ41" s="3">
        <v>0</v>
      </c>
      <c r="AK41" s="3">
        <v>4600</v>
      </c>
      <c r="AL41" s="3">
        <v>0</v>
      </c>
      <c r="AM41" s="3">
        <v>1200</v>
      </c>
      <c r="AN41" s="3">
        <v>-360</v>
      </c>
      <c r="AO41" s="3">
        <v>0</v>
      </c>
      <c r="AP41" s="3">
        <v>3808</v>
      </c>
      <c r="AR41" t="str">
        <f t="shared" si="4"/>
        <v>0000000000000</v>
      </c>
      <c r="AT41" t="str">
        <f t="shared" si="13"/>
        <v>9791137603882</v>
      </c>
      <c r="AV41" t="str">
        <f t="shared" si="9"/>
        <v>웹툰 &gt; 해외 순정</v>
      </c>
      <c r="AW41" t="str">
        <f t="shared" si="14"/>
        <v>웹툰 &gt; 로판</v>
      </c>
    </row>
    <row r="42" spans="1:49" x14ac:dyDescent="0.4">
      <c r="A42">
        <v>4421001305</v>
      </c>
      <c r="B42">
        <v>4421001539</v>
      </c>
      <c r="C42" t="str">
        <f>T("악역이지만, 남주는 꼬시지 않아요 25화")</f>
        <v>악역이지만, 남주는 꼬시지 않아요 25화</v>
      </c>
      <c r="D42" t="str">
        <f>T("25")</f>
        <v>25</v>
      </c>
      <c r="E42" t="str">
        <f t="shared" si="10"/>
        <v>마북명</v>
      </c>
      <c r="G42" t="str">
        <f t="shared" si="11"/>
        <v>kuri</v>
      </c>
      <c r="H42" t="str">
        <f t="shared" si="2"/>
        <v>스토리위즈</v>
      </c>
      <c r="I42" t="str">
        <f t="shared" si="12"/>
        <v>악역이지만, 남주는 꼬시지 않아요</v>
      </c>
      <c r="J42">
        <v>400</v>
      </c>
      <c r="K42">
        <v>1200</v>
      </c>
      <c r="L42">
        <v>3</v>
      </c>
      <c r="M42">
        <v>0</v>
      </c>
      <c r="N42">
        <v>3800</v>
      </c>
      <c r="O42">
        <v>19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s="3">
        <v>5000</v>
      </c>
      <c r="AH42" s="3">
        <v>22</v>
      </c>
      <c r="AI42" s="3">
        <v>0</v>
      </c>
      <c r="AJ42" s="3">
        <v>0</v>
      </c>
      <c r="AK42" s="3">
        <v>4000</v>
      </c>
      <c r="AL42" s="3">
        <v>0</v>
      </c>
      <c r="AM42" s="3">
        <v>1198.0999999999999</v>
      </c>
      <c r="AN42" s="3">
        <v>-359.43</v>
      </c>
      <c r="AO42" s="3">
        <v>0</v>
      </c>
      <c r="AP42" s="3">
        <v>3387.07</v>
      </c>
      <c r="AR42" t="str">
        <f t="shared" si="4"/>
        <v>0000000000000</v>
      </c>
      <c r="AT42" t="str">
        <f t="shared" si="13"/>
        <v>9791137603882</v>
      </c>
      <c r="AV42" t="str">
        <f t="shared" si="9"/>
        <v>웹툰 &gt; 해외 순정</v>
      </c>
      <c r="AW42" t="str">
        <f t="shared" si="14"/>
        <v>웹툰 &gt; 로판</v>
      </c>
    </row>
    <row r="43" spans="1:49" x14ac:dyDescent="0.4">
      <c r="A43">
        <v>4421001305</v>
      </c>
      <c r="B43">
        <v>4421001324</v>
      </c>
      <c r="C43" t="str">
        <f>T("악역이지만, 남주는 꼬시지 않아요 20화")</f>
        <v>악역이지만, 남주는 꼬시지 않아요 20화</v>
      </c>
      <c r="D43" t="str">
        <f>T("20")</f>
        <v>20</v>
      </c>
      <c r="E43" t="str">
        <f t="shared" si="10"/>
        <v>마북명</v>
      </c>
      <c r="G43" t="str">
        <f t="shared" si="11"/>
        <v>kuri</v>
      </c>
      <c r="H43" t="str">
        <f t="shared" si="2"/>
        <v>스토리위즈</v>
      </c>
      <c r="I43" t="str">
        <f t="shared" si="12"/>
        <v>악역이지만, 남주는 꼬시지 않아요</v>
      </c>
      <c r="J43">
        <v>400</v>
      </c>
      <c r="K43">
        <v>1200</v>
      </c>
      <c r="L43">
        <v>3</v>
      </c>
      <c r="M43">
        <v>0</v>
      </c>
      <c r="N43">
        <v>4000</v>
      </c>
      <c r="O43">
        <v>20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s="3">
        <v>5200</v>
      </c>
      <c r="AH43" s="3">
        <v>23</v>
      </c>
      <c r="AI43" s="3">
        <v>0</v>
      </c>
      <c r="AJ43" s="3">
        <v>0</v>
      </c>
      <c r="AK43" s="3">
        <v>4200</v>
      </c>
      <c r="AL43" s="3">
        <v>0</v>
      </c>
      <c r="AM43" s="3">
        <v>1200</v>
      </c>
      <c r="AN43" s="3">
        <v>-360</v>
      </c>
      <c r="AO43" s="3">
        <v>0</v>
      </c>
      <c r="AP43" s="3">
        <v>3528</v>
      </c>
      <c r="AR43" t="str">
        <f t="shared" si="4"/>
        <v>0000000000000</v>
      </c>
      <c r="AT43" t="str">
        <f t="shared" si="13"/>
        <v>9791137603882</v>
      </c>
      <c r="AV43" t="str">
        <f t="shared" si="9"/>
        <v>웹툰 &gt; 해외 순정</v>
      </c>
      <c r="AW43" t="str">
        <f t="shared" si="14"/>
        <v>웹툰 &gt; 로판</v>
      </c>
    </row>
    <row r="44" spans="1:49" x14ac:dyDescent="0.4">
      <c r="A44">
        <v>4421001305</v>
      </c>
      <c r="B44">
        <v>4421001317</v>
      </c>
      <c r="C44" t="str">
        <f>T("악역이지만, 남주는 꼬시지 않아요 13화")</f>
        <v>악역이지만, 남주는 꼬시지 않아요 13화</v>
      </c>
      <c r="D44" t="str">
        <f>T("13")</f>
        <v>13</v>
      </c>
      <c r="E44" t="str">
        <f t="shared" si="10"/>
        <v>마북명</v>
      </c>
      <c r="G44" t="str">
        <f t="shared" si="11"/>
        <v>kuri</v>
      </c>
      <c r="H44" t="str">
        <f t="shared" si="2"/>
        <v>스토리위즈</v>
      </c>
      <c r="I44" t="str">
        <f t="shared" si="12"/>
        <v>악역이지만, 남주는 꼬시지 않아요</v>
      </c>
      <c r="J44">
        <v>400</v>
      </c>
      <c r="K44">
        <v>1200</v>
      </c>
      <c r="L44">
        <v>3</v>
      </c>
      <c r="M44">
        <v>0</v>
      </c>
      <c r="N44">
        <v>4400</v>
      </c>
      <c r="O44">
        <v>22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s="3">
        <v>5600</v>
      </c>
      <c r="AH44" s="3">
        <v>25</v>
      </c>
      <c r="AI44" s="3">
        <v>0</v>
      </c>
      <c r="AJ44" s="3">
        <v>0</v>
      </c>
      <c r="AK44" s="3">
        <v>4400</v>
      </c>
      <c r="AL44" s="3">
        <v>0</v>
      </c>
      <c r="AM44" s="3">
        <v>1440</v>
      </c>
      <c r="AN44" s="3">
        <v>-432</v>
      </c>
      <c r="AO44" s="3">
        <v>0</v>
      </c>
      <c r="AP44" s="3">
        <v>3785.6</v>
      </c>
      <c r="AR44" t="str">
        <f t="shared" si="4"/>
        <v>0000000000000</v>
      </c>
      <c r="AT44" t="str">
        <f t="shared" si="13"/>
        <v>9791137603882</v>
      </c>
      <c r="AV44" t="str">
        <f t="shared" si="9"/>
        <v>웹툰 &gt; 해외 순정</v>
      </c>
      <c r="AW44" t="str">
        <f t="shared" si="14"/>
        <v>웹툰 &gt; 로판</v>
      </c>
    </row>
    <row r="45" spans="1:49" x14ac:dyDescent="0.4">
      <c r="A45">
        <v>4421001305</v>
      </c>
      <c r="B45">
        <v>4421002851</v>
      </c>
      <c r="C45" t="str">
        <f>T("악역이지만, 남주는 꼬시지 않아요 30화")</f>
        <v>악역이지만, 남주는 꼬시지 않아요 30화</v>
      </c>
      <c r="D45" t="str">
        <f>T("30")</f>
        <v>30</v>
      </c>
      <c r="E45" t="str">
        <f t="shared" si="10"/>
        <v>마북명</v>
      </c>
      <c r="G45" t="str">
        <f t="shared" si="11"/>
        <v>kuri</v>
      </c>
      <c r="H45" t="str">
        <f t="shared" si="2"/>
        <v>스토리위즈</v>
      </c>
      <c r="I45" t="str">
        <f t="shared" si="12"/>
        <v>악역이지만, 남주는 꼬시지 않아요</v>
      </c>
      <c r="J45">
        <v>400</v>
      </c>
      <c r="K45">
        <v>1200</v>
      </c>
      <c r="L45">
        <v>3</v>
      </c>
      <c r="M45">
        <v>0</v>
      </c>
      <c r="N45">
        <v>4000</v>
      </c>
      <c r="O45">
        <v>20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s="3">
        <v>5200</v>
      </c>
      <c r="AH45" s="3">
        <v>23</v>
      </c>
      <c r="AI45" s="3">
        <v>0</v>
      </c>
      <c r="AJ45" s="3">
        <v>0</v>
      </c>
      <c r="AK45" s="3">
        <v>3800</v>
      </c>
      <c r="AL45" s="3">
        <v>0</v>
      </c>
      <c r="AM45" s="3">
        <v>1678.92</v>
      </c>
      <c r="AN45" s="3">
        <v>-503.68</v>
      </c>
      <c r="AO45" s="3">
        <v>0</v>
      </c>
      <c r="AP45" s="3">
        <v>3482.67</v>
      </c>
      <c r="AR45" t="str">
        <f t="shared" si="4"/>
        <v>0000000000000</v>
      </c>
      <c r="AT45" t="str">
        <f t="shared" si="13"/>
        <v>9791137603882</v>
      </c>
      <c r="AV45" t="str">
        <f t="shared" si="9"/>
        <v>웹툰 &gt; 해외 순정</v>
      </c>
      <c r="AW45" t="str">
        <f t="shared" si="14"/>
        <v>웹툰 &gt; 로판</v>
      </c>
    </row>
    <row r="46" spans="1:49" x14ac:dyDescent="0.4">
      <c r="A46">
        <v>4421001305</v>
      </c>
      <c r="B46">
        <v>4421001310</v>
      </c>
      <c r="C46" t="str">
        <f>T("악역이지만, 남주는 꼬시지 않아요 6화")</f>
        <v>악역이지만, 남주는 꼬시지 않아요 6화</v>
      </c>
      <c r="D46" t="str">
        <f>T("6")</f>
        <v>6</v>
      </c>
      <c r="E46" t="str">
        <f t="shared" si="10"/>
        <v>마북명</v>
      </c>
      <c r="G46" t="str">
        <f t="shared" si="11"/>
        <v>kuri</v>
      </c>
      <c r="H46" t="str">
        <f t="shared" si="2"/>
        <v>스토리위즈</v>
      </c>
      <c r="I46" t="str">
        <f t="shared" si="12"/>
        <v>악역이지만, 남주는 꼬시지 않아요</v>
      </c>
      <c r="J46">
        <v>400</v>
      </c>
      <c r="K46">
        <v>1200</v>
      </c>
      <c r="L46">
        <v>3</v>
      </c>
      <c r="M46">
        <v>0</v>
      </c>
      <c r="N46">
        <v>3800</v>
      </c>
      <c r="O46">
        <v>19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s="3">
        <v>5000</v>
      </c>
      <c r="AH46" s="3">
        <v>22</v>
      </c>
      <c r="AI46" s="3">
        <v>0</v>
      </c>
      <c r="AJ46" s="3">
        <v>0</v>
      </c>
      <c r="AK46" s="3">
        <v>4400</v>
      </c>
      <c r="AL46" s="3">
        <v>0</v>
      </c>
      <c r="AM46" s="3">
        <v>720</v>
      </c>
      <c r="AN46" s="3">
        <v>-216</v>
      </c>
      <c r="AO46" s="3">
        <v>0</v>
      </c>
      <c r="AP46" s="3">
        <v>3432.8</v>
      </c>
      <c r="AR46" t="str">
        <f t="shared" si="4"/>
        <v>0000000000000</v>
      </c>
      <c r="AT46" t="str">
        <f t="shared" si="13"/>
        <v>9791137603882</v>
      </c>
      <c r="AV46" t="str">
        <f t="shared" si="9"/>
        <v>웹툰 &gt; 해외 순정</v>
      </c>
      <c r="AW46" t="str">
        <f t="shared" si="14"/>
        <v>웹툰 &gt; 로판</v>
      </c>
    </row>
    <row r="47" spans="1:49" x14ac:dyDescent="0.4">
      <c r="A47">
        <v>4421000916</v>
      </c>
      <c r="B47">
        <v>4421002905</v>
      </c>
      <c r="C47" t="str">
        <f>T("별빛 아래 우리 85화")</f>
        <v>별빛 아래 우리 85화</v>
      </c>
      <c r="D47" t="str">
        <f>T("85")</f>
        <v>85</v>
      </c>
      <c r="E47" t="str">
        <f>T("건일")</f>
        <v>건일</v>
      </c>
      <c r="G47" t="str">
        <f>T("건일")</f>
        <v>건일</v>
      </c>
      <c r="H47" t="str">
        <f t="shared" si="2"/>
        <v>스토리위즈</v>
      </c>
      <c r="I47" t="str">
        <f>T("별빛 아래 우리")</f>
        <v>별빛 아래 우리</v>
      </c>
      <c r="J47">
        <v>400</v>
      </c>
      <c r="K47">
        <v>1200</v>
      </c>
      <c r="L47">
        <v>3</v>
      </c>
      <c r="M47">
        <v>0</v>
      </c>
      <c r="N47">
        <v>3200</v>
      </c>
      <c r="O47">
        <v>16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s="3">
        <v>4400</v>
      </c>
      <c r="AH47" s="3">
        <v>19</v>
      </c>
      <c r="AI47" s="3">
        <v>0</v>
      </c>
      <c r="AJ47" s="3">
        <v>0</v>
      </c>
      <c r="AK47" s="3">
        <v>2900</v>
      </c>
      <c r="AL47" s="3">
        <v>0</v>
      </c>
      <c r="AM47" s="3">
        <v>1798.51</v>
      </c>
      <c r="AN47" s="3">
        <v>-539.54999999999995</v>
      </c>
      <c r="AO47" s="3">
        <v>0</v>
      </c>
      <c r="AP47" s="3">
        <v>2911.27</v>
      </c>
      <c r="AR47" t="str">
        <f t="shared" si="4"/>
        <v>0000000000000</v>
      </c>
      <c r="AT47" t="str">
        <f>T("9791137601413")</f>
        <v>9791137601413</v>
      </c>
      <c r="AV47" t="str">
        <f t="shared" si="9"/>
        <v>웹툰 &gt; 해외 순정</v>
      </c>
      <c r="AW47" t="str">
        <f>T("웹툰 &gt; 로맨스")</f>
        <v>웹툰 &gt; 로맨스</v>
      </c>
    </row>
    <row r="48" spans="1:49" x14ac:dyDescent="0.4">
      <c r="A48">
        <v>4421001305</v>
      </c>
      <c r="B48">
        <v>4421001321</v>
      </c>
      <c r="C48" t="str">
        <f>T("악역이지만, 남주는 꼬시지 않아요 17화")</f>
        <v>악역이지만, 남주는 꼬시지 않아요 17화</v>
      </c>
      <c r="D48" t="str">
        <f>T("17")</f>
        <v>17</v>
      </c>
      <c r="E48" t="str">
        <f t="shared" ref="E48:E60" si="15">T("마북명")</f>
        <v>마북명</v>
      </c>
      <c r="G48" t="str">
        <f t="shared" ref="G48:G60" si="16">T("kuri")</f>
        <v>kuri</v>
      </c>
      <c r="H48" t="str">
        <f t="shared" si="2"/>
        <v>스토리위즈</v>
      </c>
      <c r="I48" t="str">
        <f t="shared" ref="I48:I60" si="17">T("악역이지만, 남주는 꼬시지 않아요")</f>
        <v>악역이지만, 남주는 꼬시지 않아요</v>
      </c>
      <c r="J48">
        <v>400</v>
      </c>
      <c r="K48">
        <v>1200</v>
      </c>
      <c r="L48">
        <v>3</v>
      </c>
      <c r="M48">
        <v>0</v>
      </c>
      <c r="N48">
        <v>4000</v>
      </c>
      <c r="O48">
        <v>20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s="3">
        <v>5200</v>
      </c>
      <c r="AH48" s="3">
        <v>23</v>
      </c>
      <c r="AI48" s="3">
        <v>0</v>
      </c>
      <c r="AJ48" s="3">
        <v>0</v>
      </c>
      <c r="AK48" s="3">
        <v>4200</v>
      </c>
      <c r="AL48" s="3">
        <v>0</v>
      </c>
      <c r="AM48" s="3">
        <v>1200</v>
      </c>
      <c r="AN48" s="3">
        <v>-360</v>
      </c>
      <c r="AO48" s="3">
        <v>0</v>
      </c>
      <c r="AP48" s="3">
        <v>3528</v>
      </c>
      <c r="AR48" t="str">
        <f t="shared" si="4"/>
        <v>0000000000000</v>
      </c>
      <c r="AT48" t="str">
        <f t="shared" ref="AT48:AT60" si="18">T("9791137603882")</f>
        <v>9791137603882</v>
      </c>
      <c r="AV48" t="str">
        <f t="shared" si="9"/>
        <v>웹툰 &gt; 해외 순정</v>
      </c>
      <c r="AW48" t="str">
        <f t="shared" ref="AW48:AW60" si="19">T("웹툰 &gt; 로판")</f>
        <v>웹툰 &gt; 로판</v>
      </c>
    </row>
    <row r="49" spans="1:49" x14ac:dyDescent="0.4">
      <c r="A49">
        <v>4421001305</v>
      </c>
      <c r="B49">
        <v>4421001314</v>
      </c>
      <c r="C49" t="str">
        <f>T("악역이지만, 남주는 꼬시지 않아요 10화")</f>
        <v>악역이지만, 남주는 꼬시지 않아요 10화</v>
      </c>
      <c r="D49" t="str">
        <f>T("10")</f>
        <v>10</v>
      </c>
      <c r="E49" t="str">
        <f t="shared" si="15"/>
        <v>마북명</v>
      </c>
      <c r="G49" t="str">
        <f t="shared" si="16"/>
        <v>kuri</v>
      </c>
      <c r="H49" t="str">
        <f t="shared" si="2"/>
        <v>스토리위즈</v>
      </c>
      <c r="I49" t="str">
        <f t="shared" si="17"/>
        <v>악역이지만, 남주는 꼬시지 않아요</v>
      </c>
      <c r="J49">
        <v>400</v>
      </c>
      <c r="K49">
        <v>1200</v>
      </c>
      <c r="L49">
        <v>3</v>
      </c>
      <c r="M49">
        <v>0</v>
      </c>
      <c r="N49">
        <v>4400</v>
      </c>
      <c r="O49">
        <v>22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s="3">
        <v>5600</v>
      </c>
      <c r="AH49" s="3">
        <v>25</v>
      </c>
      <c r="AI49" s="3">
        <v>0</v>
      </c>
      <c r="AJ49" s="3">
        <v>0</v>
      </c>
      <c r="AK49" s="3">
        <v>4600</v>
      </c>
      <c r="AL49" s="3">
        <v>0</v>
      </c>
      <c r="AM49" s="3">
        <v>1200</v>
      </c>
      <c r="AN49" s="3">
        <v>-360</v>
      </c>
      <c r="AO49" s="3">
        <v>0</v>
      </c>
      <c r="AP49" s="3">
        <v>3808</v>
      </c>
      <c r="AR49" t="str">
        <f t="shared" si="4"/>
        <v>0000000000000</v>
      </c>
      <c r="AT49" t="str">
        <f t="shared" si="18"/>
        <v>9791137603882</v>
      </c>
      <c r="AV49" t="str">
        <f t="shared" si="9"/>
        <v>웹툰 &gt; 해외 순정</v>
      </c>
      <c r="AW49" t="str">
        <f t="shared" si="19"/>
        <v>웹툰 &gt; 로판</v>
      </c>
    </row>
    <row r="50" spans="1:49" x14ac:dyDescent="0.4">
      <c r="A50">
        <v>4421001305</v>
      </c>
      <c r="B50">
        <v>4421001557</v>
      </c>
      <c r="C50" t="str">
        <f>T("악역이지만, 남주는 꼬시지 않아요 27화")</f>
        <v>악역이지만, 남주는 꼬시지 않아요 27화</v>
      </c>
      <c r="D50" t="str">
        <f>T("27")</f>
        <v>27</v>
      </c>
      <c r="E50" t="str">
        <f t="shared" si="15"/>
        <v>마북명</v>
      </c>
      <c r="G50" t="str">
        <f t="shared" si="16"/>
        <v>kuri</v>
      </c>
      <c r="H50" t="str">
        <f t="shared" si="2"/>
        <v>스토리위즈</v>
      </c>
      <c r="I50" t="str">
        <f t="shared" si="17"/>
        <v>악역이지만, 남주는 꼬시지 않아요</v>
      </c>
      <c r="J50">
        <v>400</v>
      </c>
      <c r="K50">
        <v>1200</v>
      </c>
      <c r="L50">
        <v>3</v>
      </c>
      <c r="M50">
        <v>0</v>
      </c>
      <c r="N50">
        <v>3800</v>
      </c>
      <c r="O50">
        <v>19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s="3">
        <v>5000</v>
      </c>
      <c r="AH50" s="3">
        <v>22</v>
      </c>
      <c r="AI50" s="3">
        <v>0</v>
      </c>
      <c r="AJ50" s="3">
        <v>0</v>
      </c>
      <c r="AK50" s="3">
        <v>3800</v>
      </c>
      <c r="AL50" s="3">
        <v>0</v>
      </c>
      <c r="AM50" s="3">
        <v>1438.1</v>
      </c>
      <c r="AN50" s="3">
        <v>-431.43</v>
      </c>
      <c r="AO50" s="3">
        <v>0</v>
      </c>
      <c r="AP50" s="3">
        <v>3364.67</v>
      </c>
      <c r="AR50" t="str">
        <f t="shared" si="4"/>
        <v>0000000000000</v>
      </c>
      <c r="AT50" t="str">
        <f t="shared" si="18"/>
        <v>9791137603882</v>
      </c>
      <c r="AV50" t="str">
        <f t="shared" si="9"/>
        <v>웹툰 &gt; 해외 순정</v>
      </c>
      <c r="AW50" t="str">
        <f t="shared" si="19"/>
        <v>웹툰 &gt; 로판</v>
      </c>
    </row>
    <row r="51" spans="1:49" x14ac:dyDescent="0.4">
      <c r="A51">
        <v>4421001305</v>
      </c>
      <c r="B51">
        <v>4421001540</v>
      </c>
      <c r="C51" t="str">
        <f>T("악역이지만, 남주는 꼬시지 않아요 26화")</f>
        <v>악역이지만, 남주는 꼬시지 않아요 26화</v>
      </c>
      <c r="D51" t="str">
        <f>T("26")</f>
        <v>26</v>
      </c>
      <c r="E51" t="str">
        <f t="shared" si="15"/>
        <v>마북명</v>
      </c>
      <c r="G51" t="str">
        <f t="shared" si="16"/>
        <v>kuri</v>
      </c>
      <c r="H51" t="str">
        <f t="shared" si="2"/>
        <v>스토리위즈</v>
      </c>
      <c r="I51" t="str">
        <f t="shared" si="17"/>
        <v>악역이지만, 남주는 꼬시지 않아요</v>
      </c>
      <c r="J51">
        <v>400</v>
      </c>
      <c r="K51">
        <v>1200</v>
      </c>
      <c r="L51">
        <v>3</v>
      </c>
      <c r="M51">
        <v>0</v>
      </c>
      <c r="N51">
        <v>4200</v>
      </c>
      <c r="O51">
        <v>21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s="3">
        <v>5400</v>
      </c>
      <c r="AH51" s="3">
        <v>24</v>
      </c>
      <c r="AI51" s="3">
        <v>0</v>
      </c>
      <c r="AJ51" s="3">
        <v>0</v>
      </c>
      <c r="AK51" s="3">
        <v>4200</v>
      </c>
      <c r="AL51" s="3">
        <v>0</v>
      </c>
      <c r="AM51" s="3">
        <v>1438.1</v>
      </c>
      <c r="AN51" s="3">
        <v>-431.43</v>
      </c>
      <c r="AO51" s="3">
        <v>0</v>
      </c>
      <c r="AP51" s="3">
        <v>3644.67</v>
      </c>
      <c r="AR51" t="str">
        <f t="shared" si="4"/>
        <v>0000000000000</v>
      </c>
      <c r="AT51" t="str">
        <f t="shared" si="18"/>
        <v>9791137603882</v>
      </c>
      <c r="AV51" t="str">
        <f t="shared" si="9"/>
        <v>웹툰 &gt; 해외 순정</v>
      </c>
      <c r="AW51" t="str">
        <f t="shared" si="19"/>
        <v>웹툰 &gt; 로판</v>
      </c>
    </row>
    <row r="52" spans="1:49" x14ac:dyDescent="0.4">
      <c r="A52">
        <v>4421001305</v>
      </c>
      <c r="B52">
        <v>4421001318</v>
      </c>
      <c r="C52" t="str">
        <f>T("악역이지만, 남주는 꼬시지 않아요 14화")</f>
        <v>악역이지만, 남주는 꼬시지 않아요 14화</v>
      </c>
      <c r="D52" t="str">
        <f>T("14")</f>
        <v>14</v>
      </c>
      <c r="E52" t="str">
        <f t="shared" si="15"/>
        <v>마북명</v>
      </c>
      <c r="G52" t="str">
        <f t="shared" si="16"/>
        <v>kuri</v>
      </c>
      <c r="H52" t="str">
        <f t="shared" si="2"/>
        <v>스토리위즈</v>
      </c>
      <c r="I52" t="str">
        <f t="shared" si="17"/>
        <v>악역이지만, 남주는 꼬시지 않아요</v>
      </c>
      <c r="J52">
        <v>400</v>
      </c>
      <c r="K52">
        <v>1200</v>
      </c>
      <c r="L52">
        <v>3</v>
      </c>
      <c r="M52">
        <v>0</v>
      </c>
      <c r="N52">
        <v>4200</v>
      </c>
      <c r="O52">
        <v>21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s="3">
        <v>5400</v>
      </c>
      <c r="AH52" s="3">
        <v>24</v>
      </c>
      <c r="AI52" s="3">
        <v>0</v>
      </c>
      <c r="AJ52" s="3">
        <v>0</v>
      </c>
      <c r="AK52" s="3">
        <v>4400</v>
      </c>
      <c r="AL52" s="3">
        <v>0</v>
      </c>
      <c r="AM52" s="3">
        <v>1200</v>
      </c>
      <c r="AN52" s="3">
        <v>-360</v>
      </c>
      <c r="AO52" s="3">
        <v>0</v>
      </c>
      <c r="AP52" s="3">
        <v>3668</v>
      </c>
      <c r="AR52" t="str">
        <f t="shared" si="4"/>
        <v>0000000000000</v>
      </c>
      <c r="AT52" t="str">
        <f t="shared" si="18"/>
        <v>9791137603882</v>
      </c>
      <c r="AV52" t="str">
        <f t="shared" si="9"/>
        <v>웹툰 &gt; 해외 순정</v>
      </c>
      <c r="AW52" t="str">
        <f t="shared" si="19"/>
        <v>웹툰 &gt; 로판</v>
      </c>
    </row>
    <row r="53" spans="1:49" x14ac:dyDescent="0.4">
      <c r="A53">
        <v>4421001305</v>
      </c>
      <c r="B53">
        <v>4421001311</v>
      </c>
      <c r="C53" t="str">
        <f>T("악역이지만, 남주는 꼬시지 않아요 7화")</f>
        <v>악역이지만, 남주는 꼬시지 않아요 7화</v>
      </c>
      <c r="D53" t="str">
        <f>T("7")</f>
        <v>7</v>
      </c>
      <c r="E53" t="str">
        <f t="shared" si="15"/>
        <v>마북명</v>
      </c>
      <c r="G53" t="str">
        <f t="shared" si="16"/>
        <v>kuri</v>
      </c>
      <c r="H53" t="str">
        <f t="shared" si="2"/>
        <v>스토리위즈</v>
      </c>
      <c r="I53" t="str">
        <f t="shared" si="17"/>
        <v>악역이지만, 남주는 꼬시지 않아요</v>
      </c>
      <c r="J53">
        <v>400</v>
      </c>
      <c r="K53">
        <v>1200</v>
      </c>
      <c r="L53">
        <v>3</v>
      </c>
      <c r="M53">
        <v>0</v>
      </c>
      <c r="N53">
        <v>3600</v>
      </c>
      <c r="O53">
        <v>18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s="3">
        <v>4800</v>
      </c>
      <c r="AH53" s="3">
        <v>21</v>
      </c>
      <c r="AI53" s="3">
        <v>0</v>
      </c>
      <c r="AJ53" s="3">
        <v>0</v>
      </c>
      <c r="AK53" s="3">
        <v>4000</v>
      </c>
      <c r="AL53" s="3">
        <v>0</v>
      </c>
      <c r="AM53" s="3">
        <v>960</v>
      </c>
      <c r="AN53" s="3">
        <v>-288</v>
      </c>
      <c r="AO53" s="3">
        <v>0</v>
      </c>
      <c r="AP53" s="3">
        <v>3270.4</v>
      </c>
      <c r="AR53" t="str">
        <f t="shared" si="4"/>
        <v>0000000000000</v>
      </c>
      <c r="AT53" t="str">
        <f t="shared" si="18"/>
        <v>9791137603882</v>
      </c>
      <c r="AV53" t="str">
        <f t="shared" si="9"/>
        <v>웹툰 &gt; 해외 순정</v>
      </c>
      <c r="AW53" t="str">
        <f t="shared" si="19"/>
        <v>웹툰 &gt; 로판</v>
      </c>
    </row>
    <row r="54" spans="1:49" x14ac:dyDescent="0.4">
      <c r="A54">
        <v>4421001305</v>
      </c>
      <c r="B54">
        <v>4421001322</v>
      </c>
      <c r="C54" t="str">
        <f>T("악역이지만, 남주는 꼬시지 않아요 18화")</f>
        <v>악역이지만, 남주는 꼬시지 않아요 18화</v>
      </c>
      <c r="D54" t="str">
        <f>T("18")</f>
        <v>18</v>
      </c>
      <c r="E54" t="str">
        <f t="shared" si="15"/>
        <v>마북명</v>
      </c>
      <c r="G54" t="str">
        <f t="shared" si="16"/>
        <v>kuri</v>
      </c>
      <c r="H54" t="str">
        <f t="shared" si="2"/>
        <v>스토리위즈</v>
      </c>
      <c r="I54" t="str">
        <f t="shared" si="17"/>
        <v>악역이지만, 남주는 꼬시지 않아요</v>
      </c>
      <c r="J54">
        <v>400</v>
      </c>
      <c r="K54">
        <v>1200</v>
      </c>
      <c r="L54">
        <v>3</v>
      </c>
      <c r="M54">
        <v>0</v>
      </c>
      <c r="N54">
        <v>4000</v>
      </c>
      <c r="O54">
        <v>20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s="3">
        <v>5200</v>
      </c>
      <c r="AH54" s="3">
        <v>23</v>
      </c>
      <c r="AI54" s="3">
        <v>0</v>
      </c>
      <c r="AJ54" s="3">
        <v>0</v>
      </c>
      <c r="AK54" s="3">
        <v>4200</v>
      </c>
      <c r="AL54" s="3">
        <v>0</v>
      </c>
      <c r="AM54" s="3">
        <v>1200</v>
      </c>
      <c r="AN54" s="3">
        <v>-360</v>
      </c>
      <c r="AO54" s="3">
        <v>0</v>
      </c>
      <c r="AP54" s="3">
        <v>3528</v>
      </c>
      <c r="AR54" t="str">
        <f t="shared" si="4"/>
        <v>0000000000000</v>
      </c>
      <c r="AT54" t="str">
        <f t="shared" si="18"/>
        <v>9791137603882</v>
      </c>
      <c r="AV54" t="str">
        <f t="shared" si="9"/>
        <v>웹툰 &gt; 해외 순정</v>
      </c>
      <c r="AW54" t="str">
        <f t="shared" si="19"/>
        <v>웹툰 &gt; 로판</v>
      </c>
    </row>
    <row r="55" spans="1:49" x14ac:dyDescent="0.4">
      <c r="A55">
        <v>4421001305</v>
      </c>
      <c r="B55">
        <v>4421001315</v>
      </c>
      <c r="C55" t="str">
        <f>T("악역이지만, 남주는 꼬시지 않아요 11화")</f>
        <v>악역이지만, 남주는 꼬시지 않아요 11화</v>
      </c>
      <c r="D55" t="str">
        <f>T("11")</f>
        <v>11</v>
      </c>
      <c r="E55" t="str">
        <f t="shared" si="15"/>
        <v>마북명</v>
      </c>
      <c r="G55" t="str">
        <f t="shared" si="16"/>
        <v>kuri</v>
      </c>
      <c r="H55" t="str">
        <f t="shared" si="2"/>
        <v>스토리위즈</v>
      </c>
      <c r="I55" t="str">
        <f t="shared" si="17"/>
        <v>악역이지만, 남주는 꼬시지 않아요</v>
      </c>
      <c r="J55">
        <v>400</v>
      </c>
      <c r="K55">
        <v>1200</v>
      </c>
      <c r="L55">
        <v>3</v>
      </c>
      <c r="M55">
        <v>0</v>
      </c>
      <c r="N55">
        <v>4200</v>
      </c>
      <c r="O55">
        <v>21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s="3">
        <v>5400</v>
      </c>
      <c r="AH55" s="3">
        <v>24</v>
      </c>
      <c r="AI55" s="3">
        <v>0</v>
      </c>
      <c r="AJ55" s="3">
        <v>0</v>
      </c>
      <c r="AK55" s="3">
        <v>4400</v>
      </c>
      <c r="AL55" s="3">
        <v>0</v>
      </c>
      <c r="AM55" s="3">
        <v>1200</v>
      </c>
      <c r="AN55" s="3">
        <v>-360</v>
      </c>
      <c r="AO55" s="3">
        <v>0</v>
      </c>
      <c r="AP55" s="3">
        <v>3668</v>
      </c>
      <c r="AR55" t="str">
        <f t="shared" si="4"/>
        <v>0000000000000</v>
      </c>
      <c r="AT55" t="str">
        <f t="shared" si="18"/>
        <v>9791137603882</v>
      </c>
      <c r="AV55" t="str">
        <f t="shared" si="9"/>
        <v>웹툰 &gt; 해외 순정</v>
      </c>
      <c r="AW55" t="str">
        <f t="shared" si="19"/>
        <v>웹툰 &gt; 로판</v>
      </c>
    </row>
    <row r="56" spans="1:49" x14ac:dyDescent="0.4">
      <c r="A56">
        <v>4421001305</v>
      </c>
      <c r="B56">
        <v>4421001558</v>
      </c>
      <c r="C56" t="str">
        <f>T("악역이지만, 남주는 꼬시지 않아요 28화")</f>
        <v>악역이지만, 남주는 꼬시지 않아요 28화</v>
      </c>
      <c r="D56" t="str">
        <f>T("28")</f>
        <v>28</v>
      </c>
      <c r="E56" t="str">
        <f t="shared" si="15"/>
        <v>마북명</v>
      </c>
      <c r="G56" t="str">
        <f t="shared" si="16"/>
        <v>kuri</v>
      </c>
      <c r="H56" t="str">
        <f t="shared" si="2"/>
        <v>스토리위즈</v>
      </c>
      <c r="I56" t="str">
        <f t="shared" si="17"/>
        <v>악역이지만, 남주는 꼬시지 않아요</v>
      </c>
      <c r="J56">
        <v>400</v>
      </c>
      <c r="K56">
        <v>1200</v>
      </c>
      <c r="L56">
        <v>3</v>
      </c>
      <c r="M56">
        <v>0</v>
      </c>
      <c r="N56">
        <v>3800</v>
      </c>
      <c r="O56">
        <v>19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 s="3">
        <v>5000</v>
      </c>
      <c r="AH56" s="3">
        <v>22</v>
      </c>
      <c r="AI56" s="3">
        <v>0</v>
      </c>
      <c r="AJ56" s="3">
        <v>0</v>
      </c>
      <c r="AK56" s="3">
        <v>3800</v>
      </c>
      <c r="AL56" s="3">
        <v>0</v>
      </c>
      <c r="AM56" s="3">
        <v>1438.1</v>
      </c>
      <c r="AN56" s="3">
        <v>-431.43</v>
      </c>
      <c r="AO56" s="3">
        <v>0</v>
      </c>
      <c r="AP56" s="3">
        <v>3364.67</v>
      </c>
      <c r="AR56" t="str">
        <f t="shared" si="4"/>
        <v>0000000000000</v>
      </c>
      <c r="AT56" t="str">
        <f t="shared" si="18"/>
        <v>9791137603882</v>
      </c>
      <c r="AV56" t="str">
        <f t="shared" si="9"/>
        <v>웹툰 &gt; 해외 순정</v>
      </c>
      <c r="AW56" t="str">
        <f t="shared" si="19"/>
        <v>웹툰 &gt; 로판</v>
      </c>
    </row>
    <row r="57" spans="1:49" x14ac:dyDescent="0.4">
      <c r="A57">
        <v>4421001305</v>
      </c>
      <c r="B57">
        <v>4421001457</v>
      </c>
      <c r="C57" t="str">
        <f>T("악역이지만, 남주는 꼬시지 않아요 21화")</f>
        <v>악역이지만, 남주는 꼬시지 않아요 21화</v>
      </c>
      <c r="D57" t="str">
        <f>T("21")</f>
        <v>21</v>
      </c>
      <c r="E57" t="str">
        <f t="shared" si="15"/>
        <v>마북명</v>
      </c>
      <c r="G57" t="str">
        <f t="shared" si="16"/>
        <v>kuri</v>
      </c>
      <c r="H57" t="str">
        <f t="shared" si="2"/>
        <v>스토리위즈</v>
      </c>
      <c r="I57" t="str">
        <f t="shared" si="17"/>
        <v>악역이지만, 남주는 꼬시지 않아요</v>
      </c>
      <c r="J57">
        <v>400</v>
      </c>
      <c r="K57">
        <v>1200</v>
      </c>
      <c r="L57">
        <v>3</v>
      </c>
      <c r="M57">
        <v>0</v>
      </c>
      <c r="N57">
        <v>4000</v>
      </c>
      <c r="O57">
        <v>20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s="3">
        <v>5200</v>
      </c>
      <c r="AH57" s="3">
        <v>23</v>
      </c>
      <c r="AI57" s="3">
        <v>0</v>
      </c>
      <c r="AJ57" s="3">
        <v>0</v>
      </c>
      <c r="AK57" s="3">
        <v>4200</v>
      </c>
      <c r="AL57" s="3">
        <v>0</v>
      </c>
      <c r="AM57" s="3">
        <v>1198.0999999999999</v>
      </c>
      <c r="AN57" s="3">
        <v>-359.43</v>
      </c>
      <c r="AO57" s="3">
        <v>0</v>
      </c>
      <c r="AP57" s="3">
        <v>3527.07</v>
      </c>
      <c r="AR57" t="str">
        <f t="shared" si="4"/>
        <v>0000000000000</v>
      </c>
      <c r="AT57" t="str">
        <f t="shared" si="18"/>
        <v>9791137603882</v>
      </c>
      <c r="AV57" t="str">
        <f t="shared" si="9"/>
        <v>웹툰 &gt; 해외 순정</v>
      </c>
      <c r="AW57" t="str">
        <f t="shared" si="19"/>
        <v>웹툰 &gt; 로판</v>
      </c>
    </row>
    <row r="58" spans="1:49" x14ac:dyDescent="0.4">
      <c r="A58">
        <v>4421001305</v>
      </c>
      <c r="B58">
        <v>4421001319</v>
      </c>
      <c r="C58" t="str">
        <f>T("악역이지만, 남주는 꼬시지 않아요 15화")</f>
        <v>악역이지만, 남주는 꼬시지 않아요 15화</v>
      </c>
      <c r="D58" t="str">
        <f>T("15")</f>
        <v>15</v>
      </c>
      <c r="E58" t="str">
        <f t="shared" si="15"/>
        <v>마북명</v>
      </c>
      <c r="G58" t="str">
        <f t="shared" si="16"/>
        <v>kuri</v>
      </c>
      <c r="H58" t="str">
        <f t="shared" si="2"/>
        <v>스토리위즈</v>
      </c>
      <c r="I58" t="str">
        <f t="shared" si="17"/>
        <v>악역이지만, 남주는 꼬시지 않아요</v>
      </c>
      <c r="J58">
        <v>400</v>
      </c>
      <c r="K58">
        <v>1200</v>
      </c>
      <c r="L58">
        <v>3</v>
      </c>
      <c r="M58">
        <v>0</v>
      </c>
      <c r="N58">
        <v>4000</v>
      </c>
      <c r="O58">
        <v>20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s="3">
        <v>5200</v>
      </c>
      <c r="AH58" s="3">
        <v>23</v>
      </c>
      <c r="AI58" s="3">
        <v>0</v>
      </c>
      <c r="AJ58" s="3">
        <v>0</v>
      </c>
      <c r="AK58" s="3">
        <v>4200</v>
      </c>
      <c r="AL58" s="3">
        <v>0</v>
      </c>
      <c r="AM58" s="3">
        <v>1200</v>
      </c>
      <c r="AN58" s="3">
        <v>-360</v>
      </c>
      <c r="AO58" s="3">
        <v>0</v>
      </c>
      <c r="AP58" s="3">
        <v>3528</v>
      </c>
      <c r="AR58" t="str">
        <f t="shared" si="4"/>
        <v>0000000000000</v>
      </c>
      <c r="AT58" t="str">
        <f t="shared" si="18"/>
        <v>9791137603882</v>
      </c>
      <c r="AV58" t="str">
        <f t="shared" si="9"/>
        <v>웹툰 &gt; 해외 순정</v>
      </c>
      <c r="AW58" t="str">
        <f t="shared" si="19"/>
        <v>웹툰 &gt; 로판</v>
      </c>
    </row>
    <row r="59" spans="1:49" x14ac:dyDescent="0.4">
      <c r="A59">
        <v>4421001305</v>
      </c>
      <c r="B59">
        <v>4421001527</v>
      </c>
      <c r="C59" t="str">
        <f>T("악역이지만, 남주는 꼬시지 않아요 24화")</f>
        <v>악역이지만, 남주는 꼬시지 않아요 24화</v>
      </c>
      <c r="D59" t="str">
        <f>T("24")</f>
        <v>24</v>
      </c>
      <c r="E59" t="str">
        <f t="shared" si="15"/>
        <v>마북명</v>
      </c>
      <c r="G59" t="str">
        <f t="shared" si="16"/>
        <v>kuri</v>
      </c>
      <c r="H59" t="str">
        <f t="shared" si="2"/>
        <v>스토리위즈</v>
      </c>
      <c r="I59" t="str">
        <f t="shared" si="17"/>
        <v>악역이지만, 남주는 꼬시지 않아요</v>
      </c>
      <c r="J59">
        <v>400</v>
      </c>
      <c r="K59">
        <v>1200</v>
      </c>
      <c r="L59">
        <v>3</v>
      </c>
      <c r="M59">
        <v>0</v>
      </c>
      <c r="N59">
        <v>4000</v>
      </c>
      <c r="O59">
        <v>20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s="3">
        <v>5200</v>
      </c>
      <c r="AH59" s="3">
        <v>23</v>
      </c>
      <c r="AI59" s="3">
        <v>0</v>
      </c>
      <c r="AJ59" s="3">
        <v>0</v>
      </c>
      <c r="AK59" s="3">
        <v>4200</v>
      </c>
      <c r="AL59" s="3">
        <v>0</v>
      </c>
      <c r="AM59" s="3">
        <v>1198.0999999999999</v>
      </c>
      <c r="AN59" s="3">
        <v>-359.43</v>
      </c>
      <c r="AO59" s="3">
        <v>0</v>
      </c>
      <c r="AP59" s="3">
        <v>3527.07</v>
      </c>
      <c r="AR59" t="str">
        <f t="shared" si="4"/>
        <v>0000000000000</v>
      </c>
      <c r="AT59" t="str">
        <f t="shared" si="18"/>
        <v>9791137603882</v>
      </c>
      <c r="AV59" t="str">
        <f t="shared" si="9"/>
        <v>웹툰 &gt; 해외 순정</v>
      </c>
      <c r="AW59" t="str">
        <f t="shared" si="19"/>
        <v>웹툰 &gt; 로판</v>
      </c>
    </row>
    <row r="60" spans="1:49" x14ac:dyDescent="0.4">
      <c r="A60">
        <v>4421001305</v>
      </c>
      <c r="B60">
        <v>4421001312</v>
      </c>
      <c r="C60" t="str">
        <f>T("악역이지만, 남주는 꼬시지 않아요 8화")</f>
        <v>악역이지만, 남주는 꼬시지 않아요 8화</v>
      </c>
      <c r="D60" t="str">
        <f>T("8")</f>
        <v>8</v>
      </c>
      <c r="E60" t="str">
        <f t="shared" si="15"/>
        <v>마북명</v>
      </c>
      <c r="G60" t="str">
        <f t="shared" si="16"/>
        <v>kuri</v>
      </c>
      <c r="H60" t="str">
        <f t="shared" si="2"/>
        <v>스토리위즈</v>
      </c>
      <c r="I60" t="str">
        <f t="shared" si="17"/>
        <v>악역이지만, 남주는 꼬시지 않아요</v>
      </c>
      <c r="J60">
        <v>400</v>
      </c>
      <c r="K60">
        <v>1200</v>
      </c>
      <c r="L60">
        <v>3</v>
      </c>
      <c r="M60">
        <v>0</v>
      </c>
      <c r="N60">
        <v>3600</v>
      </c>
      <c r="O60">
        <v>18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 s="3">
        <v>4800</v>
      </c>
      <c r="AH60" s="3">
        <v>21</v>
      </c>
      <c r="AI60" s="3">
        <v>0</v>
      </c>
      <c r="AJ60" s="3">
        <v>0</v>
      </c>
      <c r="AK60" s="3">
        <v>3900</v>
      </c>
      <c r="AL60" s="3">
        <v>0</v>
      </c>
      <c r="AM60" s="3">
        <v>1080</v>
      </c>
      <c r="AN60" s="3">
        <v>-324</v>
      </c>
      <c r="AO60" s="3">
        <v>0</v>
      </c>
      <c r="AP60" s="3">
        <v>3259.2</v>
      </c>
      <c r="AR60" t="str">
        <f t="shared" si="4"/>
        <v>0000000000000</v>
      </c>
      <c r="AT60" t="str">
        <f t="shared" si="18"/>
        <v>9791137603882</v>
      </c>
      <c r="AV60" t="str">
        <f t="shared" si="9"/>
        <v>웹툰 &gt; 해외 순정</v>
      </c>
      <c r="AW60" t="str">
        <f t="shared" si="19"/>
        <v>웹툰 &gt; 로판</v>
      </c>
    </row>
    <row r="61" spans="1:49" x14ac:dyDescent="0.4">
      <c r="A61">
        <v>4421002829</v>
      </c>
      <c r="B61">
        <v>4421002840</v>
      </c>
      <c r="C61" t="str">
        <f>T("테두리는 주시하지 않는다 (개정판) 4화")</f>
        <v>테두리는 주시하지 않는다 (개정판) 4화</v>
      </c>
      <c r="D61" t="str">
        <f>T("4")</f>
        <v>4</v>
      </c>
      <c r="E61" t="str">
        <f>T("토찌, 키로즈")</f>
        <v>토찌, 키로즈</v>
      </c>
      <c r="G61" t="str">
        <f>T("마린")</f>
        <v>마린</v>
      </c>
      <c r="H61" t="str">
        <f t="shared" si="2"/>
        <v>스토리위즈</v>
      </c>
      <c r="I61" t="str">
        <f>T("테두리는 주시하지 않는다 (개정판)")</f>
        <v>테두리는 주시하지 않는다 (개정판)</v>
      </c>
      <c r="J61">
        <v>500</v>
      </c>
      <c r="K61">
        <v>1000</v>
      </c>
      <c r="L61">
        <v>2</v>
      </c>
      <c r="M61">
        <v>0</v>
      </c>
      <c r="N61">
        <v>7800</v>
      </c>
      <c r="O61">
        <v>26</v>
      </c>
      <c r="P61">
        <v>342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s="3">
        <v>8800</v>
      </c>
      <c r="AH61" s="3">
        <v>370</v>
      </c>
      <c r="AI61" s="3">
        <v>0</v>
      </c>
      <c r="AJ61" s="3">
        <v>0</v>
      </c>
      <c r="AK61" s="3">
        <v>6325</v>
      </c>
      <c r="AL61" s="3">
        <v>0</v>
      </c>
      <c r="AM61" s="3">
        <v>2970.78</v>
      </c>
      <c r="AN61" s="3">
        <v>-891.23</v>
      </c>
      <c r="AO61" s="3">
        <v>0</v>
      </c>
      <c r="AP61" s="3">
        <v>5042.7299999999996</v>
      </c>
      <c r="AR61" t="str">
        <f t="shared" si="4"/>
        <v>0000000000000</v>
      </c>
      <c r="AT61" t="str">
        <f>T("9791137604681")</f>
        <v>9791137604681</v>
      </c>
      <c r="AV61" t="str">
        <f>T("BL 웹툰 &gt; 웹툰")</f>
        <v>BL 웹툰 &gt; 웹툰</v>
      </c>
    </row>
    <row r="62" spans="1:49" x14ac:dyDescent="0.4">
      <c r="A62">
        <v>4421002829</v>
      </c>
      <c r="B62">
        <v>4421002841</v>
      </c>
      <c r="C62" t="str">
        <f>T("테두리는 주시하지 않는다 (개정판) 5화")</f>
        <v>테두리는 주시하지 않는다 (개정판) 5화</v>
      </c>
      <c r="D62" t="str">
        <f>T("5")</f>
        <v>5</v>
      </c>
      <c r="E62" t="str">
        <f>T("토찌, 키로즈")</f>
        <v>토찌, 키로즈</v>
      </c>
      <c r="G62" t="str">
        <f>T("마린")</f>
        <v>마린</v>
      </c>
      <c r="H62" t="str">
        <f t="shared" si="2"/>
        <v>스토리위즈</v>
      </c>
      <c r="I62" t="str">
        <f>T("테두리는 주시하지 않는다 (개정판)")</f>
        <v>테두리는 주시하지 않는다 (개정판)</v>
      </c>
      <c r="J62">
        <v>500</v>
      </c>
      <c r="K62">
        <v>1000</v>
      </c>
      <c r="L62">
        <v>2</v>
      </c>
      <c r="M62">
        <v>0</v>
      </c>
      <c r="N62">
        <v>7200</v>
      </c>
      <c r="O62">
        <v>24</v>
      </c>
      <c r="P62">
        <v>391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s="3">
        <v>8200</v>
      </c>
      <c r="AH62" s="3">
        <v>417</v>
      </c>
      <c r="AI62" s="3">
        <v>0</v>
      </c>
      <c r="AJ62" s="3">
        <v>0</v>
      </c>
      <c r="AK62" s="3">
        <v>5115</v>
      </c>
      <c r="AL62" s="3">
        <v>0</v>
      </c>
      <c r="AM62" s="3">
        <v>3703.23</v>
      </c>
      <c r="AN62" s="3">
        <v>-1110.97</v>
      </c>
      <c r="AO62" s="3">
        <v>0</v>
      </c>
      <c r="AP62" s="3">
        <v>4624.3599999999997</v>
      </c>
      <c r="AR62" t="str">
        <f t="shared" si="4"/>
        <v>0000000000000</v>
      </c>
      <c r="AT62" t="str">
        <f>T("9791137604681")</f>
        <v>9791137604681</v>
      </c>
      <c r="AV62" t="str">
        <f>T("BL 웹툰 &gt; 웹툰")</f>
        <v>BL 웹툰 &gt; 웹툰</v>
      </c>
    </row>
    <row r="63" spans="1:49" x14ac:dyDescent="0.4">
      <c r="A63">
        <v>4421000198</v>
      </c>
      <c r="B63">
        <v>4421002947</v>
      </c>
      <c r="C63" t="str">
        <f>T("공주전쟁 105화")</f>
        <v>공주전쟁 105화</v>
      </c>
      <c r="D63" t="str">
        <f>T("105")</f>
        <v>105</v>
      </c>
      <c r="E63" t="str">
        <f>T("Hujing")</f>
        <v>Hujing</v>
      </c>
      <c r="G63" t="str">
        <f>T("Luojie")</f>
        <v>Luojie</v>
      </c>
      <c r="H63" t="str">
        <f t="shared" si="2"/>
        <v>스토리위즈</v>
      </c>
      <c r="I63" t="str">
        <f>T("공주전쟁")</f>
        <v>공주전쟁</v>
      </c>
      <c r="J63">
        <v>400</v>
      </c>
      <c r="K63">
        <v>800</v>
      </c>
      <c r="L63">
        <v>2</v>
      </c>
      <c r="M63">
        <v>0</v>
      </c>
      <c r="N63">
        <v>1200</v>
      </c>
      <c r="O63">
        <v>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s="3">
        <v>2000</v>
      </c>
      <c r="AH63" s="3">
        <v>8</v>
      </c>
      <c r="AI63" s="3">
        <v>0</v>
      </c>
      <c r="AJ63" s="3">
        <v>0</v>
      </c>
      <c r="AK63" s="3">
        <v>1400</v>
      </c>
      <c r="AL63" s="3">
        <v>0</v>
      </c>
      <c r="AM63" s="3">
        <v>720</v>
      </c>
      <c r="AN63" s="3">
        <v>-216</v>
      </c>
      <c r="AO63" s="3">
        <v>0</v>
      </c>
      <c r="AP63" s="3">
        <v>1332.8</v>
      </c>
      <c r="AR63" t="str">
        <f t="shared" si="4"/>
        <v>0000000000000</v>
      </c>
      <c r="AT63" t="str">
        <f>T("9791166069666")</f>
        <v>9791166069666</v>
      </c>
      <c r="AV63" t="str">
        <f>T("웹툰 &gt; 해외 순정")</f>
        <v>웹툰 &gt; 해외 순정</v>
      </c>
      <c r="AW63" t="str">
        <f>T("웹툰 &gt; 로판")</f>
        <v>웹툰 &gt; 로판</v>
      </c>
    </row>
    <row r="64" spans="1:49" x14ac:dyDescent="0.4">
      <c r="A64">
        <v>4421000916</v>
      </c>
      <c r="B64">
        <v>4421002859</v>
      </c>
      <c r="C64" t="str">
        <f>T("별빛 아래 우리 80화")</f>
        <v>별빛 아래 우리 80화</v>
      </c>
      <c r="D64" t="str">
        <f>T("80")</f>
        <v>80</v>
      </c>
      <c r="E64" t="str">
        <f>T("건일")</f>
        <v>건일</v>
      </c>
      <c r="G64" t="str">
        <f>T("건일")</f>
        <v>건일</v>
      </c>
      <c r="H64" t="str">
        <f t="shared" si="2"/>
        <v>스토리위즈</v>
      </c>
      <c r="I64" t="str">
        <f>T("별빛 아래 우리")</f>
        <v>별빛 아래 우리</v>
      </c>
      <c r="J64">
        <v>400</v>
      </c>
      <c r="K64">
        <v>800</v>
      </c>
      <c r="L64">
        <v>2</v>
      </c>
      <c r="M64">
        <v>0</v>
      </c>
      <c r="N64">
        <v>2400</v>
      </c>
      <c r="O64">
        <v>12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s="3">
        <v>3200</v>
      </c>
      <c r="AH64" s="3">
        <v>14</v>
      </c>
      <c r="AI64" s="3">
        <v>0</v>
      </c>
      <c r="AJ64" s="3">
        <v>0</v>
      </c>
      <c r="AK64" s="3">
        <v>2380</v>
      </c>
      <c r="AL64" s="3">
        <v>0</v>
      </c>
      <c r="AM64" s="3">
        <v>982.93</v>
      </c>
      <c r="AN64" s="3">
        <v>-294.88</v>
      </c>
      <c r="AO64" s="3">
        <v>0</v>
      </c>
      <c r="AP64" s="3">
        <v>2147.64</v>
      </c>
      <c r="AR64" t="str">
        <f t="shared" si="4"/>
        <v>0000000000000</v>
      </c>
      <c r="AT64" t="str">
        <f>T("9791137601413")</f>
        <v>9791137601413</v>
      </c>
      <c r="AV64" t="str">
        <f>T("웹툰 &gt; 해외 순정")</f>
        <v>웹툰 &gt; 해외 순정</v>
      </c>
      <c r="AW64" t="str">
        <f>T("웹툰 &gt; 로맨스")</f>
        <v>웹툰 &gt; 로맨스</v>
      </c>
    </row>
    <row r="65" spans="1:48" x14ac:dyDescent="0.4">
      <c r="A65">
        <v>4421000001</v>
      </c>
      <c r="B65">
        <v>4421000056</v>
      </c>
      <c r="C65" t="str">
        <f>T("감옥실험 36화")</f>
        <v>감옥실험 36화</v>
      </c>
      <c r="D65" t="str">
        <f>T("36")</f>
        <v>36</v>
      </c>
      <c r="E65" t="str">
        <f>T("Kantetsu")</f>
        <v>Kantetsu</v>
      </c>
      <c r="G65" t="str">
        <f>T("Minase Chiho")</f>
        <v>Minase Chiho</v>
      </c>
      <c r="H65" t="str">
        <f t="shared" si="2"/>
        <v>스토리위즈</v>
      </c>
      <c r="I65" t="str">
        <f>T("감옥실험")</f>
        <v>감옥실험</v>
      </c>
      <c r="J65">
        <v>500</v>
      </c>
      <c r="K65">
        <v>500</v>
      </c>
      <c r="L65">
        <v>1</v>
      </c>
      <c r="M65">
        <v>0</v>
      </c>
      <c r="N65">
        <v>900</v>
      </c>
      <c r="O65">
        <v>3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s="3">
        <v>1400</v>
      </c>
      <c r="AH65" s="3">
        <v>4</v>
      </c>
      <c r="AI65" s="3">
        <v>0</v>
      </c>
      <c r="AJ65" s="3">
        <v>0</v>
      </c>
      <c r="AK65" s="3">
        <v>1106</v>
      </c>
      <c r="AL65" s="3">
        <v>0</v>
      </c>
      <c r="AM65" s="3">
        <v>352.8</v>
      </c>
      <c r="AN65" s="3">
        <v>-105.84</v>
      </c>
      <c r="AO65" s="3">
        <v>0</v>
      </c>
      <c r="AP65" s="3">
        <v>947.07</v>
      </c>
      <c r="AT65" t="str">
        <f>T("9791166069406")</f>
        <v>9791166069406</v>
      </c>
      <c r="AV65" t="str">
        <f>T("웹툰 &gt; 드라마")</f>
        <v>웹툰 &gt; 드라마</v>
      </c>
    </row>
    <row r="66" spans="1:48" x14ac:dyDescent="0.4">
      <c r="A66">
        <v>4421000001</v>
      </c>
      <c r="B66">
        <v>4421000057</v>
      </c>
      <c r="C66" t="str">
        <f>T("감옥실험 37화")</f>
        <v>감옥실험 37화</v>
      </c>
      <c r="D66" t="str">
        <f>T("37")</f>
        <v>37</v>
      </c>
      <c r="E66" t="str">
        <f>T("Kantetsu")</f>
        <v>Kantetsu</v>
      </c>
      <c r="G66" t="str">
        <f>T("Minase Chiho")</f>
        <v>Minase Chiho</v>
      </c>
      <c r="H66" t="str">
        <f t="shared" ref="H66:H129" si="20">T("스토리위즈")</f>
        <v>스토리위즈</v>
      </c>
      <c r="I66" t="str">
        <f>T("감옥실험")</f>
        <v>감옥실험</v>
      </c>
      <c r="J66">
        <v>500</v>
      </c>
      <c r="K66">
        <v>500</v>
      </c>
      <c r="L66">
        <v>1</v>
      </c>
      <c r="M66">
        <v>0</v>
      </c>
      <c r="N66">
        <v>900</v>
      </c>
      <c r="O66">
        <v>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s="3">
        <v>1400</v>
      </c>
      <c r="AH66" s="3">
        <v>4</v>
      </c>
      <c r="AI66" s="3">
        <v>0</v>
      </c>
      <c r="AJ66" s="3">
        <v>0</v>
      </c>
      <c r="AK66" s="3">
        <v>1106</v>
      </c>
      <c r="AL66" s="3">
        <v>0</v>
      </c>
      <c r="AM66" s="3">
        <v>352.8</v>
      </c>
      <c r="AN66" s="3">
        <v>-105.84</v>
      </c>
      <c r="AO66" s="3">
        <v>0</v>
      </c>
      <c r="AP66" s="3">
        <v>947.07</v>
      </c>
      <c r="AT66" t="str">
        <f>T("9791166069406")</f>
        <v>9791166069406</v>
      </c>
      <c r="AV66" t="str">
        <f>T("웹툰 &gt; 드라마")</f>
        <v>웹툰 &gt; 드라마</v>
      </c>
    </row>
    <row r="67" spans="1:48" x14ac:dyDescent="0.4">
      <c r="A67">
        <v>4421000002</v>
      </c>
      <c r="B67">
        <v>4421000180</v>
      </c>
      <c r="C67" t="str">
        <f>T("이세계 소환은 두 번째라구요 25화")</f>
        <v>이세계 소환은 두 번째라구요 25화</v>
      </c>
      <c r="D67" t="str">
        <f>T("25")</f>
        <v>25</v>
      </c>
      <c r="E67" t="str">
        <f t="shared" ref="E67:E72" si="21">T("Arashiyama, Kishimoto Kazuha, Shimahara")</f>
        <v>Arashiyama, Kishimoto Kazuha, Shimahara</v>
      </c>
      <c r="H67" t="str">
        <f t="shared" si="20"/>
        <v>스토리위즈</v>
      </c>
      <c r="I67" t="str">
        <f t="shared" ref="I67:I72" si="22">T("이세계 소환은 두 번째라구요")</f>
        <v>이세계 소환은 두 번째라구요</v>
      </c>
      <c r="J67">
        <v>500</v>
      </c>
      <c r="K67">
        <v>500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s="3">
        <v>500</v>
      </c>
      <c r="AH67" s="3">
        <v>1</v>
      </c>
      <c r="AI67" s="3">
        <v>0</v>
      </c>
      <c r="AJ67" s="3">
        <v>0</v>
      </c>
      <c r="AK67" s="3">
        <v>500</v>
      </c>
      <c r="AL67" s="3">
        <v>0</v>
      </c>
      <c r="AM67" s="3">
        <v>0</v>
      </c>
      <c r="AN67" s="3">
        <v>0</v>
      </c>
      <c r="AO67" s="3">
        <v>0</v>
      </c>
      <c r="AP67" s="3">
        <v>350</v>
      </c>
      <c r="AT67" t="str">
        <f t="shared" ref="AT67:AT72" si="23">T("9791166069390")</f>
        <v>9791166069390</v>
      </c>
      <c r="AV67" t="str">
        <f t="shared" ref="AV67:AV72" si="24">T("웹툰 &gt; 판타지/SF")</f>
        <v>웹툰 &gt; 판타지/SF</v>
      </c>
    </row>
    <row r="68" spans="1:48" x14ac:dyDescent="0.4">
      <c r="A68">
        <v>4421000002</v>
      </c>
      <c r="B68">
        <v>4421000010</v>
      </c>
      <c r="C68" t="str">
        <f>T("이세계 소환은 두 번째라구요 9화")</f>
        <v>이세계 소환은 두 번째라구요 9화</v>
      </c>
      <c r="D68" t="str">
        <f>T("9")</f>
        <v>9</v>
      </c>
      <c r="E68" t="str">
        <f t="shared" si="21"/>
        <v>Arashiyama, Kishimoto Kazuha, Shimahara</v>
      </c>
      <c r="H68" t="str">
        <f t="shared" si="20"/>
        <v>스토리위즈</v>
      </c>
      <c r="I68" t="str">
        <f t="shared" si="22"/>
        <v>이세계 소환은 두 번째라구요</v>
      </c>
      <c r="J68">
        <v>500</v>
      </c>
      <c r="K68">
        <v>500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s="3">
        <v>500</v>
      </c>
      <c r="AH68" s="3">
        <v>1</v>
      </c>
      <c r="AI68" s="3">
        <v>0</v>
      </c>
      <c r="AJ68" s="3">
        <v>0</v>
      </c>
      <c r="AK68" s="3">
        <v>500</v>
      </c>
      <c r="AL68" s="3">
        <v>0</v>
      </c>
      <c r="AM68" s="3">
        <v>0</v>
      </c>
      <c r="AN68" s="3">
        <v>0</v>
      </c>
      <c r="AO68" s="3">
        <v>0</v>
      </c>
      <c r="AP68" s="3">
        <v>350</v>
      </c>
      <c r="AT68" t="str">
        <f t="shared" si="23"/>
        <v>9791166069390</v>
      </c>
      <c r="AV68" t="str">
        <f t="shared" si="24"/>
        <v>웹툰 &gt; 판타지/SF</v>
      </c>
    </row>
    <row r="69" spans="1:48" x14ac:dyDescent="0.4">
      <c r="A69">
        <v>4421000002</v>
      </c>
      <c r="B69">
        <v>4421000256</v>
      </c>
      <c r="C69" t="str">
        <f>T("이세계 소환은 두 번째라구요 40화")</f>
        <v>이세계 소환은 두 번째라구요 40화</v>
      </c>
      <c r="D69" t="str">
        <f>T("40")</f>
        <v>40</v>
      </c>
      <c r="E69" t="str">
        <f t="shared" si="21"/>
        <v>Arashiyama, Kishimoto Kazuha, Shimahara</v>
      </c>
      <c r="H69" t="str">
        <f t="shared" si="20"/>
        <v>스토리위즈</v>
      </c>
      <c r="I69" t="str">
        <f t="shared" si="22"/>
        <v>이세계 소환은 두 번째라구요</v>
      </c>
      <c r="J69">
        <v>500</v>
      </c>
      <c r="K69">
        <v>500</v>
      </c>
      <c r="L69">
        <v>1</v>
      </c>
      <c r="M69">
        <v>0</v>
      </c>
      <c r="N69">
        <v>300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s="3">
        <v>800</v>
      </c>
      <c r="AH69" s="3">
        <v>2</v>
      </c>
      <c r="AI69" s="3">
        <v>0</v>
      </c>
      <c r="AJ69" s="3">
        <v>0</v>
      </c>
      <c r="AK69" s="3">
        <v>500</v>
      </c>
      <c r="AL69" s="3">
        <v>0</v>
      </c>
      <c r="AM69" s="3">
        <v>360</v>
      </c>
      <c r="AN69" s="3">
        <v>-108</v>
      </c>
      <c r="AO69" s="3">
        <v>0</v>
      </c>
      <c r="AP69" s="3">
        <v>526.4</v>
      </c>
      <c r="AT69" t="str">
        <f t="shared" si="23"/>
        <v>9791166069390</v>
      </c>
      <c r="AV69" t="str">
        <f t="shared" si="24"/>
        <v>웹툰 &gt; 판타지/SF</v>
      </c>
    </row>
    <row r="70" spans="1:48" x14ac:dyDescent="0.4">
      <c r="A70">
        <v>4421000002</v>
      </c>
      <c r="B70">
        <v>4421000003</v>
      </c>
      <c r="C70" t="str">
        <f>T("이세계 소환은 두 번째라구요 2화")</f>
        <v>이세계 소환은 두 번째라구요 2화</v>
      </c>
      <c r="D70" t="str">
        <f>T("2")</f>
        <v>2</v>
      </c>
      <c r="E70" t="str">
        <f t="shared" si="21"/>
        <v>Arashiyama, Kishimoto Kazuha, Shimahara</v>
      </c>
      <c r="H70" t="str">
        <f t="shared" si="20"/>
        <v>스토리위즈</v>
      </c>
      <c r="I70" t="str">
        <f t="shared" si="22"/>
        <v>이세계 소환은 두 번째라구요</v>
      </c>
      <c r="J70">
        <v>500</v>
      </c>
      <c r="K70">
        <v>500</v>
      </c>
      <c r="L70">
        <v>1</v>
      </c>
      <c r="M70">
        <v>0</v>
      </c>
      <c r="N70">
        <v>0</v>
      </c>
      <c r="O70">
        <v>0</v>
      </c>
      <c r="P70">
        <v>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s="3">
        <v>500</v>
      </c>
      <c r="AH70" s="3">
        <v>4</v>
      </c>
      <c r="AI70" s="3">
        <v>0</v>
      </c>
      <c r="AJ70" s="3">
        <v>0</v>
      </c>
      <c r="AK70" s="3">
        <v>500</v>
      </c>
      <c r="AL70" s="3">
        <v>0</v>
      </c>
      <c r="AM70" s="3">
        <v>0</v>
      </c>
      <c r="AN70" s="3">
        <v>0</v>
      </c>
      <c r="AO70" s="3">
        <v>0</v>
      </c>
      <c r="AP70" s="3">
        <v>350</v>
      </c>
      <c r="AT70" t="str">
        <f t="shared" si="23"/>
        <v>9791166069390</v>
      </c>
      <c r="AV70" t="str">
        <f t="shared" si="24"/>
        <v>웹툰 &gt; 판타지/SF</v>
      </c>
    </row>
    <row r="71" spans="1:48" x14ac:dyDescent="0.4">
      <c r="A71">
        <v>4421000002</v>
      </c>
      <c r="B71">
        <v>4421000249</v>
      </c>
      <c r="C71" t="str">
        <f>T("이세계 소환은 두 번째라구요 33화")</f>
        <v>이세계 소환은 두 번째라구요 33화</v>
      </c>
      <c r="D71" t="str">
        <f>T("33")</f>
        <v>33</v>
      </c>
      <c r="E71" t="str">
        <f t="shared" si="21"/>
        <v>Arashiyama, Kishimoto Kazuha, Shimahara</v>
      </c>
      <c r="H71" t="str">
        <f t="shared" si="20"/>
        <v>스토리위즈</v>
      </c>
      <c r="I71" t="str">
        <f t="shared" si="22"/>
        <v>이세계 소환은 두 번째라구요</v>
      </c>
      <c r="J71">
        <v>500</v>
      </c>
      <c r="K71">
        <v>500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s="3">
        <v>500</v>
      </c>
      <c r="AH71" s="3">
        <v>1</v>
      </c>
      <c r="AI71" s="3">
        <v>0</v>
      </c>
      <c r="AJ71" s="3">
        <v>0</v>
      </c>
      <c r="AK71" s="3">
        <v>500</v>
      </c>
      <c r="AL71" s="3">
        <v>0</v>
      </c>
      <c r="AM71" s="3">
        <v>0</v>
      </c>
      <c r="AN71" s="3">
        <v>0</v>
      </c>
      <c r="AO71" s="3">
        <v>0</v>
      </c>
      <c r="AP71" s="3">
        <v>350</v>
      </c>
      <c r="AT71" t="str">
        <f t="shared" si="23"/>
        <v>9791166069390</v>
      </c>
      <c r="AV71" t="str">
        <f t="shared" si="24"/>
        <v>웹툰 &gt; 판타지/SF</v>
      </c>
    </row>
    <row r="72" spans="1:48" x14ac:dyDescent="0.4">
      <c r="A72">
        <v>4421000002</v>
      </c>
      <c r="B72">
        <v>4421000035</v>
      </c>
      <c r="C72" t="str">
        <f>T("이세계 소환은 두 번째라구요 15화")</f>
        <v>이세계 소환은 두 번째라구요 15화</v>
      </c>
      <c r="D72" t="str">
        <f>T("15")</f>
        <v>15</v>
      </c>
      <c r="E72" t="str">
        <f t="shared" si="21"/>
        <v>Arashiyama, Kishimoto Kazuha, Shimahara</v>
      </c>
      <c r="H72" t="str">
        <f t="shared" si="20"/>
        <v>스토리위즈</v>
      </c>
      <c r="I72" t="str">
        <f t="shared" si="22"/>
        <v>이세계 소환은 두 번째라구요</v>
      </c>
      <c r="J72">
        <v>500</v>
      </c>
      <c r="K72">
        <v>500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s="3">
        <v>500</v>
      </c>
      <c r="AH72" s="3">
        <v>1</v>
      </c>
      <c r="AI72" s="3">
        <v>0</v>
      </c>
      <c r="AJ72" s="3">
        <v>0</v>
      </c>
      <c r="AK72" s="3">
        <v>500</v>
      </c>
      <c r="AL72" s="3">
        <v>0</v>
      </c>
      <c r="AM72" s="3">
        <v>0</v>
      </c>
      <c r="AN72" s="3">
        <v>0</v>
      </c>
      <c r="AO72" s="3">
        <v>0</v>
      </c>
      <c r="AP72" s="3">
        <v>350</v>
      </c>
      <c r="AT72" t="str">
        <f t="shared" si="23"/>
        <v>9791166069390</v>
      </c>
      <c r="AV72" t="str">
        <f t="shared" si="24"/>
        <v>웹툰 &gt; 판타지/SF</v>
      </c>
    </row>
    <row r="73" spans="1:48" x14ac:dyDescent="0.4">
      <c r="A73">
        <v>4421001568</v>
      </c>
      <c r="B73">
        <v>4421001577</v>
      </c>
      <c r="C73" t="str">
        <f>T("구름의 연인 10화")</f>
        <v>구름의 연인 10화</v>
      </c>
      <c r="D73" t="str">
        <f>T("10")</f>
        <v>10</v>
      </c>
      <c r="E73" t="str">
        <f>T("웹티")</f>
        <v>웹티</v>
      </c>
      <c r="H73" t="str">
        <f t="shared" si="20"/>
        <v>스토리위즈</v>
      </c>
      <c r="I73" t="str">
        <f>T("구름의 연인")</f>
        <v>구름의 연인</v>
      </c>
      <c r="J73">
        <v>500</v>
      </c>
      <c r="K73">
        <v>500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s="3">
        <v>500</v>
      </c>
      <c r="AH73" s="3">
        <v>1</v>
      </c>
      <c r="AI73" s="3">
        <v>0</v>
      </c>
      <c r="AJ73" s="3">
        <v>0</v>
      </c>
      <c r="AK73" s="3">
        <v>500</v>
      </c>
      <c r="AL73" s="3">
        <v>0</v>
      </c>
      <c r="AM73" s="3">
        <v>0</v>
      </c>
      <c r="AN73" s="3">
        <v>0</v>
      </c>
      <c r="AO73" s="3">
        <v>0</v>
      </c>
      <c r="AP73" s="3">
        <v>350</v>
      </c>
      <c r="AR73" t="str">
        <f>T("0000000000000")</f>
        <v>0000000000000</v>
      </c>
      <c r="AT73" t="str">
        <f>T("9791196402730")</f>
        <v>9791196402730</v>
      </c>
      <c r="AV73" t="str">
        <f>T("웹툰 &gt; 로맨스")</f>
        <v>웹툰 &gt; 로맨스</v>
      </c>
    </row>
    <row r="74" spans="1:48" x14ac:dyDescent="0.4">
      <c r="A74">
        <v>4421002829</v>
      </c>
      <c r="B74">
        <v>4421002829</v>
      </c>
      <c r="C74" t="str">
        <f>T("테두리는 주시하지 않는다 (개정판) 1화")</f>
        <v>테두리는 주시하지 않는다 (개정판) 1화</v>
      </c>
      <c r="D74" t="str">
        <f>T("1")</f>
        <v>1</v>
      </c>
      <c r="E74" t="str">
        <f>T("토찌, 키로즈")</f>
        <v>토찌, 키로즈</v>
      </c>
      <c r="G74" t="str">
        <f>T("마린")</f>
        <v>마린</v>
      </c>
      <c r="H74" t="str">
        <f t="shared" si="20"/>
        <v>스토리위즈</v>
      </c>
      <c r="I74" t="str">
        <f>T("테두리는 주시하지 않는다 (개정판)")</f>
        <v>테두리는 주시하지 않는다 (개정판)</v>
      </c>
      <c r="J74">
        <v>500</v>
      </c>
      <c r="K74">
        <v>500</v>
      </c>
      <c r="L74">
        <v>1</v>
      </c>
      <c r="M74">
        <v>0</v>
      </c>
      <c r="N74">
        <v>0</v>
      </c>
      <c r="O74">
        <v>0</v>
      </c>
      <c r="P74">
        <v>727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s="3">
        <v>500</v>
      </c>
      <c r="AH74" s="3">
        <v>728</v>
      </c>
      <c r="AI74" s="3">
        <v>0</v>
      </c>
      <c r="AJ74" s="3">
        <v>0</v>
      </c>
      <c r="AK74" s="3">
        <v>500</v>
      </c>
      <c r="AL74" s="3">
        <v>0</v>
      </c>
      <c r="AM74" s="3">
        <v>0</v>
      </c>
      <c r="AN74" s="3">
        <v>0</v>
      </c>
      <c r="AO74" s="3">
        <v>0</v>
      </c>
      <c r="AP74" s="3">
        <v>300</v>
      </c>
      <c r="AR74" t="str">
        <f>T("0000000000000")</f>
        <v>0000000000000</v>
      </c>
      <c r="AT74" t="str">
        <f>T("9791137604681")</f>
        <v>9791137604681</v>
      </c>
      <c r="AV74" t="str">
        <f>T("BL 웹툰 &gt; 웹툰")</f>
        <v>BL 웹툰 &gt; 웹툰</v>
      </c>
    </row>
    <row r="75" spans="1:48" x14ac:dyDescent="0.4">
      <c r="A75">
        <v>4421000001</v>
      </c>
      <c r="B75">
        <v>4421000061</v>
      </c>
      <c r="C75" t="str">
        <f>T("감옥실험 41화")</f>
        <v>감옥실험 41화</v>
      </c>
      <c r="D75" t="str">
        <f>T("41")</f>
        <v>41</v>
      </c>
      <c r="E75" t="str">
        <f>T("Kantetsu")</f>
        <v>Kantetsu</v>
      </c>
      <c r="G75" t="str">
        <f>T("Minase Chiho")</f>
        <v>Minase Chiho</v>
      </c>
      <c r="H75" t="str">
        <f t="shared" si="20"/>
        <v>스토리위즈</v>
      </c>
      <c r="I75" t="str">
        <f>T("감옥실험")</f>
        <v>감옥실험</v>
      </c>
      <c r="J75">
        <v>500</v>
      </c>
      <c r="K75">
        <v>500</v>
      </c>
      <c r="L75">
        <v>1</v>
      </c>
      <c r="M75">
        <v>0</v>
      </c>
      <c r="N75">
        <v>900</v>
      </c>
      <c r="O75">
        <v>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s="3">
        <v>1400</v>
      </c>
      <c r="AH75" s="3">
        <v>4</v>
      </c>
      <c r="AI75" s="3">
        <v>0</v>
      </c>
      <c r="AJ75" s="3">
        <v>0</v>
      </c>
      <c r="AK75" s="3">
        <v>1106</v>
      </c>
      <c r="AL75" s="3">
        <v>0</v>
      </c>
      <c r="AM75" s="3">
        <v>352.8</v>
      </c>
      <c r="AN75" s="3">
        <v>-105.84</v>
      </c>
      <c r="AO75" s="3">
        <v>0</v>
      </c>
      <c r="AP75" s="3">
        <v>947.07</v>
      </c>
      <c r="AT75" t="str">
        <f>T("9791166069406")</f>
        <v>9791166069406</v>
      </c>
      <c r="AV75" t="str">
        <f>T("웹툰 &gt; 드라마")</f>
        <v>웹툰 &gt; 드라마</v>
      </c>
    </row>
    <row r="76" spans="1:48" x14ac:dyDescent="0.4">
      <c r="A76">
        <v>4421000002</v>
      </c>
      <c r="B76">
        <v>4421000184</v>
      </c>
      <c r="C76" t="str">
        <f>T("이세계 소환은 두 번째라구요 29화")</f>
        <v>이세계 소환은 두 번째라구요 29화</v>
      </c>
      <c r="D76" t="str">
        <f>T("29")</f>
        <v>29</v>
      </c>
      <c r="E76" t="str">
        <f t="shared" ref="E76:E81" si="25">T("Arashiyama, Kishimoto Kazuha, Shimahara")</f>
        <v>Arashiyama, Kishimoto Kazuha, Shimahara</v>
      </c>
      <c r="H76" t="str">
        <f t="shared" si="20"/>
        <v>스토리위즈</v>
      </c>
      <c r="I76" t="str">
        <f t="shared" ref="I76:I81" si="26">T("이세계 소환은 두 번째라구요")</f>
        <v>이세계 소환은 두 번째라구요</v>
      </c>
      <c r="J76">
        <v>500</v>
      </c>
      <c r="K76">
        <v>500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s="3">
        <v>500</v>
      </c>
      <c r="AH76" s="3">
        <v>1</v>
      </c>
      <c r="AI76" s="3">
        <v>0</v>
      </c>
      <c r="AJ76" s="3">
        <v>0</v>
      </c>
      <c r="AK76" s="3">
        <v>500</v>
      </c>
      <c r="AL76" s="3">
        <v>0</v>
      </c>
      <c r="AM76" s="3">
        <v>0</v>
      </c>
      <c r="AN76" s="3">
        <v>0</v>
      </c>
      <c r="AO76" s="3">
        <v>0</v>
      </c>
      <c r="AP76" s="3">
        <v>350</v>
      </c>
      <c r="AT76" t="str">
        <f t="shared" ref="AT76:AT81" si="27">T("9791166069390")</f>
        <v>9791166069390</v>
      </c>
      <c r="AV76" t="str">
        <f t="shared" ref="AV76:AV81" si="28">T("웹툰 &gt; 판타지/SF")</f>
        <v>웹툰 &gt; 판타지/SF</v>
      </c>
    </row>
    <row r="77" spans="1:48" x14ac:dyDescent="0.4">
      <c r="A77">
        <v>4421000002</v>
      </c>
      <c r="B77">
        <v>4421000007</v>
      </c>
      <c r="C77" t="str">
        <f>T("이세계 소환은 두 번째라구요 6화")</f>
        <v>이세계 소환은 두 번째라구요 6화</v>
      </c>
      <c r="D77" t="str">
        <f>T("6")</f>
        <v>6</v>
      </c>
      <c r="E77" t="str">
        <f t="shared" si="25"/>
        <v>Arashiyama, Kishimoto Kazuha, Shimahara</v>
      </c>
      <c r="H77" t="str">
        <f t="shared" si="20"/>
        <v>스토리위즈</v>
      </c>
      <c r="I77" t="str">
        <f t="shared" si="26"/>
        <v>이세계 소환은 두 번째라구요</v>
      </c>
      <c r="J77">
        <v>500</v>
      </c>
      <c r="K77">
        <v>500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s="3">
        <v>500</v>
      </c>
      <c r="AH77" s="3">
        <v>1</v>
      </c>
      <c r="AI77" s="3">
        <v>0</v>
      </c>
      <c r="AJ77" s="3">
        <v>0</v>
      </c>
      <c r="AK77" s="3">
        <v>500</v>
      </c>
      <c r="AL77" s="3">
        <v>0</v>
      </c>
      <c r="AM77" s="3">
        <v>0</v>
      </c>
      <c r="AN77" s="3">
        <v>0</v>
      </c>
      <c r="AO77" s="3">
        <v>0</v>
      </c>
      <c r="AP77" s="3">
        <v>350</v>
      </c>
      <c r="AT77" t="str">
        <f t="shared" si="27"/>
        <v>9791166069390</v>
      </c>
      <c r="AV77" t="str">
        <f t="shared" si="28"/>
        <v>웹툰 &gt; 판타지/SF</v>
      </c>
    </row>
    <row r="78" spans="1:48" x14ac:dyDescent="0.4">
      <c r="A78">
        <v>4421000002</v>
      </c>
      <c r="B78">
        <v>4421000253</v>
      </c>
      <c r="C78" t="str">
        <f>T("이세계 소환은 두 번째라구요 37화")</f>
        <v>이세계 소환은 두 번째라구요 37화</v>
      </c>
      <c r="D78" t="str">
        <f>T("37")</f>
        <v>37</v>
      </c>
      <c r="E78" t="str">
        <f t="shared" si="25"/>
        <v>Arashiyama, Kishimoto Kazuha, Shimahara</v>
      </c>
      <c r="H78" t="str">
        <f t="shared" si="20"/>
        <v>스토리위즈</v>
      </c>
      <c r="I78" t="str">
        <f t="shared" si="26"/>
        <v>이세계 소환은 두 번째라구요</v>
      </c>
      <c r="J78">
        <v>500</v>
      </c>
      <c r="K78">
        <v>500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3">
        <v>500</v>
      </c>
      <c r="AH78" s="3">
        <v>1</v>
      </c>
      <c r="AI78" s="3">
        <v>0</v>
      </c>
      <c r="AJ78" s="3">
        <v>0</v>
      </c>
      <c r="AK78" s="3">
        <v>500</v>
      </c>
      <c r="AL78" s="3">
        <v>0</v>
      </c>
      <c r="AM78" s="3">
        <v>0</v>
      </c>
      <c r="AN78" s="3">
        <v>0</v>
      </c>
      <c r="AO78" s="3">
        <v>0</v>
      </c>
      <c r="AP78" s="3">
        <v>350</v>
      </c>
      <c r="AT78" t="str">
        <f t="shared" si="27"/>
        <v>9791166069390</v>
      </c>
      <c r="AV78" t="str">
        <f t="shared" si="28"/>
        <v>웹툰 &gt; 판타지/SF</v>
      </c>
    </row>
    <row r="79" spans="1:48" x14ac:dyDescent="0.4">
      <c r="A79">
        <v>4421000002</v>
      </c>
      <c r="B79">
        <v>4421000039</v>
      </c>
      <c r="C79" t="str">
        <f>T("이세계 소환은 두 번째라구요 19화")</f>
        <v>이세계 소환은 두 번째라구요 19화</v>
      </c>
      <c r="D79" t="str">
        <f>T("19")</f>
        <v>19</v>
      </c>
      <c r="E79" t="str">
        <f t="shared" si="25"/>
        <v>Arashiyama, Kishimoto Kazuha, Shimahara</v>
      </c>
      <c r="H79" t="str">
        <f t="shared" si="20"/>
        <v>스토리위즈</v>
      </c>
      <c r="I79" t="str">
        <f t="shared" si="26"/>
        <v>이세계 소환은 두 번째라구요</v>
      </c>
      <c r="J79">
        <v>500</v>
      </c>
      <c r="K79">
        <v>500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s="3">
        <v>500</v>
      </c>
      <c r="AH79" s="3">
        <v>1</v>
      </c>
      <c r="AI79" s="3">
        <v>0</v>
      </c>
      <c r="AJ79" s="3">
        <v>0</v>
      </c>
      <c r="AK79" s="3">
        <v>500</v>
      </c>
      <c r="AL79" s="3">
        <v>0</v>
      </c>
      <c r="AM79" s="3">
        <v>0</v>
      </c>
      <c r="AN79" s="3">
        <v>0</v>
      </c>
      <c r="AO79" s="3">
        <v>0</v>
      </c>
      <c r="AP79" s="3">
        <v>350</v>
      </c>
      <c r="AT79" t="str">
        <f t="shared" si="27"/>
        <v>9791166069390</v>
      </c>
      <c r="AV79" t="str">
        <f t="shared" si="28"/>
        <v>웹툰 &gt; 판타지/SF</v>
      </c>
    </row>
    <row r="80" spans="1:48" x14ac:dyDescent="0.4">
      <c r="A80">
        <v>4421000002</v>
      </c>
      <c r="B80">
        <v>4421000177</v>
      </c>
      <c r="C80" t="str">
        <f>T("이세계 소환은 두 번째라구요 22화")</f>
        <v>이세계 소환은 두 번째라구요 22화</v>
      </c>
      <c r="D80" t="str">
        <f>T("22")</f>
        <v>22</v>
      </c>
      <c r="E80" t="str">
        <f t="shared" si="25"/>
        <v>Arashiyama, Kishimoto Kazuha, Shimahara</v>
      </c>
      <c r="H80" t="str">
        <f t="shared" si="20"/>
        <v>스토리위즈</v>
      </c>
      <c r="I80" t="str">
        <f t="shared" si="26"/>
        <v>이세계 소환은 두 번째라구요</v>
      </c>
      <c r="J80">
        <v>500</v>
      </c>
      <c r="K80">
        <v>500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s="3">
        <v>500</v>
      </c>
      <c r="AH80" s="3">
        <v>1</v>
      </c>
      <c r="AI80" s="3">
        <v>0</v>
      </c>
      <c r="AJ80" s="3">
        <v>0</v>
      </c>
      <c r="AK80" s="3">
        <v>500</v>
      </c>
      <c r="AL80" s="3">
        <v>0</v>
      </c>
      <c r="AM80" s="3">
        <v>0</v>
      </c>
      <c r="AN80" s="3">
        <v>0</v>
      </c>
      <c r="AO80" s="3">
        <v>0</v>
      </c>
      <c r="AP80" s="3">
        <v>350</v>
      </c>
      <c r="AT80" t="str">
        <f t="shared" si="27"/>
        <v>9791166069390</v>
      </c>
      <c r="AV80" t="str">
        <f t="shared" si="28"/>
        <v>웹툰 &gt; 판타지/SF</v>
      </c>
    </row>
    <row r="81" spans="1:48" x14ac:dyDescent="0.4">
      <c r="A81">
        <v>4421000002</v>
      </c>
      <c r="B81">
        <v>4421000032</v>
      </c>
      <c r="C81" t="str">
        <f>T("이세계 소환은 두 번째라구요 12화")</f>
        <v>이세계 소환은 두 번째라구요 12화</v>
      </c>
      <c r="D81" t="str">
        <f>T("12")</f>
        <v>12</v>
      </c>
      <c r="E81" t="str">
        <f t="shared" si="25"/>
        <v>Arashiyama, Kishimoto Kazuha, Shimahara</v>
      </c>
      <c r="H81" t="str">
        <f t="shared" si="20"/>
        <v>스토리위즈</v>
      </c>
      <c r="I81" t="str">
        <f t="shared" si="26"/>
        <v>이세계 소환은 두 번째라구요</v>
      </c>
      <c r="J81">
        <v>500</v>
      </c>
      <c r="K81">
        <v>500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s="3">
        <v>500</v>
      </c>
      <c r="AH81" s="3">
        <v>1</v>
      </c>
      <c r="AI81" s="3">
        <v>0</v>
      </c>
      <c r="AJ81" s="3">
        <v>0</v>
      </c>
      <c r="AK81" s="3">
        <v>500</v>
      </c>
      <c r="AL81" s="3">
        <v>0</v>
      </c>
      <c r="AM81" s="3">
        <v>0</v>
      </c>
      <c r="AN81" s="3">
        <v>0</v>
      </c>
      <c r="AO81" s="3">
        <v>0</v>
      </c>
      <c r="AP81" s="3">
        <v>350</v>
      </c>
      <c r="AT81" t="str">
        <f t="shared" si="27"/>
        <v>9791166069390</v>
      </c>
      <c r="AV81" t="str">
        <f t="shared" si="28"/>
        <v>웹툰 &gt; 판타지/SF</v>
      </c>
    </row>
    <row r="82" spans="1:48" x14ac:dyDescent="0.4">
      <c r="A82">
        <v>4421000001</v>
      </c>
      <c r="B82">
        <v>4421000058</v>
      </c>
      <c r="C82" t="str">
        <f>T("감옥실험 38화")</f>
        <v>감옥실험 38화</v>
      </c>
      <c r="D82" t="str">
        <f>T("38")</f>
        <v>38</v>
      </c>
      <c r="E82" t="str">
        <f>T("Kantetsu")</f>
        <v>Kantetsu</v>
      </c>
      <c r="G82" t="str">
        <f>T("Minase Chiho")</f>
        <v>Minase Chiho</v>
      </c>
      <c r="H82" t="str">
        <f t="shared" si="20"/>
        <v>스토리위즈</v>
      </c>
      <c r="I82" t="str">
        <f>T("감옥실험")</f>
        <v>감옥실험</v>
      </c>
      <c r="J82">
        <v>500</v>
      </c>
      <c r="K82">
        <v>500</v>
      </c>
      <c r="L82">
        <v>1</v>
      </c>
      <c r="M82">
        <v>0</v>
      </c>
      <c r="N82">
        <v>1200</v>
      </c>
      <c r="O82">
        <v>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s="3">
        <v>1700</v>
      </c>
      <c r="AH82" s="3">
        <v>5</v>
      </c>
      <c r="AI82" s="3">
        <v>0</v>
      </c>
      <c r="AJ82" s="3">
        <v>0</v>
      </c>
      <c r="AK82" s="3">
        <v>1406</v>
      </c>
      <c r="AL82" s="3">
        <v>0</v>
      </c>
      <c r="AM82" s="3">
        <v>352.8</v>
      </c>
      <c r="AN82" s="3">
        <v>-105.84</v>
      </c>
      <c r="AO82" s="3">
        <v>0</v>
      </c>
      <c r="AP82" s="3">
        <v>1157.07</v>
      </c>
      <c r="AT82" t="str">
        <f>T("9791166069406")</f>
        <v>9791166069406</v>
      </c>
      <c r="AV82" t="str">
        <f>T("웹툰 &gt; 드라마")</f>
        <v>웹툰 &gt; 드라마</v>
      </c>
    </row>
    <row r="83" spans="1:48" x14ac:dyDescent="0.4">
      <c r="A83">
        <v>4421000002</v>
      </c>
      <c r="B83">
        <v>4421000181</v>
      </c>
      <c r="C83" t="str">
        <f>T("이세계 소환은 두 번째라구요 26화")</f>
        <v>이세계 소환은 두 번째라구요 26화</v>
      </c>
      <c r="D83" t="str">
        <f>T("26")</f>
        <v>26</v>
      </c>
      <c r="E83" t="str">
        <f t="shared" ref="E83:E88" si="29">T("Arashiyama, Kishimoto Kazuha, Shimahara")</f>
        <v>Arashiyama, Kishimoto Kazuha, Shimahara</v>
      </c>
      <c r="H83" t="str">
        <f t="shared" si="20"/>
        <v>스토리위즈</v>
      </c>
      <c r="I83" t="str">
        <f t="shared" ref="I83:I88" si="30">T("이세계 소환은 두 번째라구요")</f>
        <v>이세계 소환은 두 번째라구요</v>
      </c>
      <c r="J83">
        <v>500</v>
      </c>
      <c r="K83">
        <v>500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s="3">
        <v>500</v>
      </c>
      <c r="AH83" s="3">
        <v>1</v>
      </c>
      <c r="AI83" s="3">
        <v>0</v>
      </c>
      <c r="AJ83" s="3">
        <v>0</v>
      </c>
      <c r="AK83" s="3">
        <v>500</v>
      </c>
      <c r="AL83" s="3">
        <v>0</v>
      </c>
      <c r="AM83" s="3">
        <v>0</v>
      </c>
      <c r="AN83" s="3">
        <v>0</v>
      </c>
      <c r="AO83" s="3">
        <v>0</v>
      </c>
      <c r="AP83" s="3">
        <v>350</v>
      </c>
      <c r="AT83" t="str">
        <f t="shared" ref="AT83:AT88" si="31">T("9791166069390")</f>
        <v>9791166069390</v>
      </c>
      <c r="AV83" t="str">
        <f t="shared" ref="AV83:AV88" si="32">T("웹툰 &gt; 판타지/SF")</f>
        <v>웹툰 &gt; 판타지/SF</v>
      </c>
    </row>
    <row r="84" spans="1:48" x14ac:dyDescent="0.4">
      <c r="A84">
        <v>4421000002</v>
      </c>
      <c r="B84">
        <v>4421000011</v>
      </c>
      <c r="C84" t="str">
        <f>T("이세계 소환은 두 번째라구요 10화")</f>
        <v>이세계 소환은 두 번째라구요 10화</v>
      </c>
      <c r="D84" t="str">
        <f>T("10")</f>
        <v>10</v>
      </c>
      <c r="E84" t="str">
        <f t="shared" si="29"/>
        <v>Arashiyama, Kishimoto Kazuha, Shimahara</v>
      </c>
      <c r="H84" t="str">
        <f t="shared" si="20"/>
        <v>스토리위즈</v>
      </c>
      <c r="I84" t="str">
        <f t="shared" si="30"/>
        <v>이세계 소환은 두 번째라구요</v>
      </c>
      <c r="J84">
        <v>500</v>
      </c>
      <c r="K84">
        <v>500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s="3">
        <v>500</v>
      </c>
      <c r="AH84" s="3">
        <v>1</v>
      </c>
      <c r="AI84" s="3">
        <v>0</v>
      </c>
      <c r="AJ84" s="3">
        <v>0</v>
      </c>
      <c r="AK84" s="3">
        <v>500</v>
      </c>
      <c r="AL84" s="3">
        <v>0</v>
      </c>
      <c r="AM84" s="3">
        <v>0</v>
      </c>
      <c r="AN84" s="3">
        <v>0</v>
      </c>
      <c r="AO84" s="3">
        <v>0</v>
      </c>
      <c r="AP84" s="3">
        <v>350</v>
      </c>
      <c r="AT84" t="str">
        <f t="shared" si="31"/>
        <v>9791166069390</v>
      </c>
      <c r="AV84" t="str">
        <f t="shared" si="32"/>
        <v>웹툰 &gt; 판타지/SF</v>
      </c>
    </row>
    <row r="85" spans="1:48" x14ac:dyDescent="0.4">
      <c r="A85">
        <v>4421000002</v>
      </c>
      <c r="B85">
        <v>4421000257</v>
      </c>
      <c r="C85" t="str">
        <f>T("이세계 소환은 두 번째라구요 41화 (완결)")</f>
        <v>이세계 소환은 두 번째라구요 41화 (완결)</v>
      </c>
      <c r="D85" t="str">
        <f>T("41")</f>
        <v>41</v>
      </c>
      <c r="E85" t="str">
        <f t="shared" si="29"/>
        <v>Arashiyama, Kishimoto Kazuha, Shimahara</v>
      </c>
      <c r="H85" t="str">
        <f t="shared" si="20"/>
        <v>스토리위즈</v>
      </c>
      <c r="I85" t="str">
        <f t="shared" si="30"/>
        <v>이세계 소환은 두 번째라구요</v>
      </c>
      <c r="J85">
        <v>500</v>
      </c>
      <c r="K85">
        <v>500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s="3">
        <v>500</v>
      </c>
      <c r="AH85" s="3">
        <v>1</v>
      </c>
      <c r="AI85" s="3">
        <v>0</v>
      </c>
      <c r="AJ85" s="3">
        <v>0</v>
      </c>
      <c r="AK85" s="3">
        <v>500</v>
      </c>
      <c r="AL85" s="3">
        <v>0</v>
      </c>
      <c r="AM85" s="3">
        <v>0</v>
      </c>
      <c r="AN85" s="3">
        <v>0</v>
      </c>
      <c r="AO85" s="3">
        <v>0</v>
      </c>
      <c r="AP85" s="3">
        <v>350</v>
      </c>
      <c r="AT85" t="str">
        <f t="shared" si="31"/>
        <v>9791166069390</v>
      </c>
      <c r="AV85" t="str">
        <f t="shared" si="32"/>
        <v>웹툰 &gt; 판타지/SF</v>
      </c>
    </row>
    <row r="86" spans="1:48" x14ac:dyDescent="0.4">
      <c r="A86">
        <v>4421000002</v>
      </c>
      <c r="B86">
        <v>4421000004</v>
      </c>
      <c r="C86" t="str">
        <f>T("이세계 소환은 두 번째라구요 3화")</f>
        <v>이세계 소환은 두 번째라구요 3화</v>
      </c>
      <c r="D86" t="str">
        <f>T("3")</f>
        <v>3</v>
      </c>
      <c r="E86" t="str">
        <f t="shared" si="29"/>
        <v>Arashiyama, Kishimoto Kazuha, Shimahara</v>
      </c>
      <c r="H86" t="str">
        <f t="shared" si="20"/>
        <v>스토리위즈</v>
      </c>
      <c r="I86" t="str">
        <f t="shared" si="30"/>
        <v>이세계 소환은 두 번째라구요</v>
      </c>
      <c r="J86">
        <v>500</v>
      </c>
      <c r="K86">
        <v>500</v>
      </c>
      <c r="L86">
        <v>1</v>
      </c>
      <c r="M86">
        <v>0</v>
      </c>
      <c r="N86">
        <v>0</v>
      </c>
      <c r="O86">
        <v>0</v>
      </c>
      <c r="P86">
        <v>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s="3">
        <v>500</v>
      </c>
      <c r="AH86" s="3">
        <v>4</v>
      </c>
      <c r="AI86" s="3">
        <v>0</v>
      </c>
      <c r="AJ86" s="3">
        <v>0</v>
      </c>
      <c r="AK86" s="3">
        <v>500</v>
      </c>
      <c r="AL86" s="3">
        <v>0</v>
      </c>
      <c r="AM86" s="3">
        <v>0</v>
      </c>
      <c r="AN86" s="3">
        <v>0</v>
      </c>
      <c r="AO86" s="3">
        <v>0</v>
      </c>
      <c r="AP86" s="3">
        <v>350</v>
      </c>
      <c r="AT86" t="str">
        <f t="shared" si="31"/>
        <v>9791166069390</v>
      </c>
      <c r="AV86" t="str">
        <f t="shared" si="32"/>
        <v>웹툰 &gt; 판타지/SF</v>
      </c>
    </row>
    <row r="87" spans="1:48" x14ac:dyDescent="0.4">
      <c r="A87">
        <v>4421000002</v>
      </c>
      <c r="B87">
        <v>4421000250</v>
      </c>
      <c r="C87" t="str">
        <f>T("이세계 소환은 두 번째라구요 34화")</f>
        <v>이세계 소환은 두 번째라구요 34화</v>
      </c>
      <c r="D87" t="str">
        <f>T("34")</f>
        <v>34</v>
      </c>
      <c r="E87" t="str">
        <f t="shared" si="29"/>
        <v>Arashiyama, Kishimoto Kazuha, Shimahara</v>
      </c>
      <c r="H87" t="str">
        <f t="shared" si="20"/>
        <v>스토리위즈</v>
      </c>
      <c r="I87" t="str">
        <f t="shared" si="30"/>
        <v>이세계 소환은 두 번째라구요</v>
      </c>
      <c r="J87">
        <v>500</v>
      </c>
      <c r="K87">
        <v>500</v>
      </c>
      <c r="L87">
        <v>1</v>
      </c>
      <c r="M87">
        <v>0</v>
      </c>
      <c r="N87">
        <v>300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s="3">
        <v>800</v>
      </c>
      <c r="AH87" s="3">
        <v>2</v>
      </c>
      <c r="AI87" s="3">
        <v>0</v>
      </c>
      <c r="AJ87" s="3">
        <v>0</v>
      </c>
      <c r="AK87" s="3">
        <v>500</v>
      </c>
      <c r="AL87" s="3">
        <v>0</v>
      </c>
      <c r="AM87" s="3">
        <v>360</v>
      </c>
      <c r="AN87" s="3">
        <v>-108</v>
      </c>
      <c r="AO87" s="3">
        <v>0</v>
      </c>
      <c r="AP87" s="3">
        <v>526.4</v>
      </c>
      <c r="AT87" t="str">
        <f t="shared" si="31"/>
        <v>9791166069390</v>
      </c>
      <c r="AV87" t="str">
        <f t="shared" si="32"/>
        <v>웹툰 &gt; 판타지/SF</v>
      </c>
    </row>
    <row r="88" spans="1:48" x14ac:dyDescent="0.4">
      <c r="A88">
        <v>4421000002</v>
      </c>
      <c r="B88">
        <v>4421000036</v>
      </c>
      <c r="C88" t="str">
        <f>T("이세계 소환은 두 번째라구요 16화")</f>
        <v>이세계 소환은 두 번째라구요 16화</v>
      </c>
      <c r="D88" t="str">
        <f>T("16")</f>
        <v>16</v>
      </c>
      <c r="E88" t="str">
        <f t="shared" si="29"/>
        <v>Arashiyama, Kishimoto Kazuha, Shimahara</v>
      </c>
      <c r="H88" t="str">
        <f t="shared" si="20"/>
        <v>스토리위즈</v>
      </c>
      <c r="I88" t="str">
        <f t="shared" si="30"/>
        <v>이세계 소환은 두 번째라구요</v>
      </c>
      <c r="J88">
        <v>500</v>
      </c>
      <c r="K88">
        <v>500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s="3">
        <v>500</v>
      </c>
      <c r="AH88" s="3">
        <v>1</v>
      </c>
      <c r="AI88" s="3">
        <v>0</v>
      </c>
      <c r="AJ88" s="3">
        <v>0</v>
      </c>
      <c r="AK88" s="3">
        <v>500</v>
      </c>
      <c r="AL88" s="3">
        <v>0</v>
      </c>
      <c r="AM88" s="3">
        <v>0</v>
      </c>
      <c r="AN88" s="3">
        <v>0</v>
      </c>
      <c r="AO88" s="3">
        <v>0</v>
      </c>
      <c r="AP88" s="3">
        <v>350</v>
      </c>
      <c r="AT88" t="str">
        <f t="shared" si="31"/>
        <v>9791166069390</v>
      </c>
      <c r="AV88" t="str">
        <f t="shared" si="32"/>
        <v>웹툰 &gt; 판타지/SF</v>
      </c>
    </row>
    <row r="89" spans="1:48" x14ac:dyDescent="0.4">
      <c r="A89">
        <v>4421002829</v>
      </c>
      <c r="B89">
        <v>4421002830</v>
      </c>
      <c r="C89" t="str">
        <f>T("테두리는 주시하지 않는다 (개정판) 2화")</f>
        <v>테두리는 주시하지 않는다 (개정판) 2화</v>
      </c>
      <c r="D89" t="str">
        <f>T("2")</f>
        <v>2</v>
      </c>
      <c r="E89" t="str">
        <f>T("토찌, 키로즈")</f>
        <v>토찌, 키로즈</v>
      </c>
      <c r="G89" t="str">
        <f>T("마린")</f>
        <v>마린</v>
      </c>
      <c r="H89" t="str">
        <f t="shared" si="20"/>
        <v>스토리위즈</v>
      </c>
      <c r="I89" t="str">
        <f>T("테두리는 주시하지 않는다 (개정판)")</f>
        <v>테두리는 주시하지 않는다 (개정판)</v>
      </c>
      <c r="J89">
        <v>500</v>
      </c>
      <c r="K89">
        <v>500</v>
      </c>
      <c r="L89">
        <v>1</v>
      </c>
      <c r="M89">
        <v>0</v>
      </c>
      <c r="N89">
        <v>0</v>
      </c>
      <c r="O89">
        <v>0</v>
      </c>
      <c r="P89">
        <v>530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s="3">
        <v>500</v>
      </c>
      <c r="AH89" s="3">
        <v>531</v>
      </c>
      <c r="AI89" s="3">
        <v>0</v>
      </c>
      <c r="AJ89" s="3">
        <v>0</v>
      </c>
      <c r="AK89" s="3">
        <v>500</v>
      </c>
      <c r="AL89" s="3">
        <v>0</v>
      </c>
      <c r="AM89" s="3">
        <v>0</v>
      </c>
      <c r="AN89" s="3">
        <v>0</v>
      </c>
      <c r="AO89" s="3">
        <v>0</v>
      </c>
      <c r="AP89" s="3">
        <v>300</v>
      </c>
      <c r="AR89" t="str">
        <f>T("0000000000000")</f>
        <v>0000000000000</v>
      </c>
      <c r="AT89" t="str">
        <f>T("9791137604681")</f>
        <v>9791137604681</v>
      </c>
      <c r="AV89" t="str">
        <f>T("BL 웹툰 &gt; 웹툰")</f>
        <v>BL 웹툰 &gt; 웹툰</v>
      </c>
    </row>
    <row r="90" spans="1:48" x14ac:dyDescent="0.4">
      <c r="A90">
        <v>4421000001</v>
      </c>
      <c r="B90">
        <v>4421000062</v>
      </c>
      <c r="C90" t="str">
        <f>T("감옥실험 42화")</f>
        <v>감옥실험 42화</v>
      </c>
      <c r="D90" t="str">
        <f>T("42")</f>
        <v>42</v>
      </c>
      <c r="E90" t="str">
        <f>T("Kantetsu")</f>
        <v>Kantetsu</v>
      </c>
      <c r="G90" t="str">
        <f>T("Minase Chiho")</f>
        <v>Minase Chiho</v>
      </c>
      <c r="H90" t="str">
        <f t="shared" si="20"/>
        <v>스토리위즈</v>
      </c>
      <c r="I90" t="str">
        <f>T("감옥실험")</f>
        <v>감옥실험</v>
      </c>
      <c r="J90">
        <v>500</v>
      </c>
      <c r="K90">
        <v>500</v>
      </c>
      <c r="L90">
        <v>1</v>
      </c>
      <c r="M90">
        <v>0</v>
      </c>
      <c r="N90">
        <v>900</v>
      </c>
      <c r="O90">
        <v>3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s="3">
        <v>1400</v>
      </c>
      <c r="AH90" s="3">
        <v>4</v>
      </c>
      <c r="AI90" s="3">
        <v>0</v>
      </c>
      <c r="AJ90" s="3">
        <v>0</v>
      </c>
      <c r="AK90" s="3">
        <v>1106</v>
      </c>
      <c r="AL90" s="3">
        <v>0</v>
      </c>
      <c r="AM90" s="3">
        <v>352.8</v>
      </c>
      <c r="AN90" s="3">
        <v>-105.84</v>
      </c>
      <c r="AO90" s="3">
        <v>0</v>
      </c>
      <c r="AP90" s="3">
        <v>947.07</v>
      </c>
      <c r="AT90" t="str">
        <f>T("9791166069406")</f>
        <v>9791166069406</v>
      </c>
      <c r="AV90" t="str">
        <f>T("웹툰 &gt; 드라마")</f>
        <v>웹툰 &gt; 드라마</v>
      </c>
    </row>
    <row r="91" spans="1:48" x14ac:dyDescent="0.4">
      <c r="A91">
        <v>4421000002</v>
      </c>
      <c r="B91">
        <v>4421000185</v>
      </c>
      <c r="C91" t="str">
        <f>T("이세계 소환은 두 번째라구요 30화")</f>
        <v>이세계 소환은 두 번째라구요 30화</v>
      </c>
      <c r="D91" t="str">
        <f>T("30")</f>
        <v>30</v>
      </c>
      <c r="E91" t="str">
        <f t="shared" ref="E91:E97" si="33">T("Arashiyama, Kishimoto Kazuha, Shimahara")</f>
        <v>Arashiyama, Kishimoto Kazuha, Shimahara</v>
      </c>
      <c r="H91" t="str">
        <f t="shared" si="20"/>
        <v>스토리위즈</v>
      </c>
      <c r="I91" t="str">
        <f t="shared" ref="I91:I97" si="34">T("이세계 소환은 두 번째라구요")</f>
        <v>이세계 소환은 두 번째라구요</v>
      </c>
      <c r="J91">
        <v>500</v>
      </c>
      <c r="K91">
        <v>500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s="3">
        <v>500</v>
      </c>
      <c r="AH91" s="3">
        <v>1</v>
      </c>
      <c r="AI91" s="3">
        <v>0</v>
      </c>
      <c r="AJ91" s="3">
        <v>0</v>
      </c>
      <c r="AK91" s="3">
        <v>500</v>
      </c>
      <c r="AL91" s="3">
        <v>0</v>
      </c>
      <c r="AM91" s="3">
        <v>0</v>
      </c>
      <c r="AN91" s="3">
        <v>0</v>
      </c>
      <c r="AO91" s="3">
        <v>0</v>
      </c>
      <c r="AP91" s="3">
        <v>350</v>
      </c>
      <c r="AT91" t="str">
        <f t="shared" ref="AT91:AT97" si="35">T("9791166069390")</f>
        <v>9791166069390</v>
      </c>
      <c r="AV91" t="str">
        <f t="shared" ref="AV91:AV97" si="36">T("웹툰 &gt; 판타지/SF")</f>
        <v>웹툰 &gt; 판타지/SF</v>
      </c>
    </row>
    <row r="92" spans="1:48" x14ac:dyDescent="0.4">
      <c r="A92">
        <v>4421000002</v>
      </c>
      <c r="B92">
        <v>4421000008</v>
      </c>
      <c r="C92" t="str">
        <f>T("이세계 소환은 두 번째라구요 7화")</f>
        <v>이세계 소환은 두 번째라구요 7화</v>
      </c>
      <c r="D92" t="str">
        <f>T("7")</f>
        <v>7</v>
      </c>
      <c r="E92" t="str">
        <f t="shared" si="33"/>
        <v>Arashiyama, Kishimoto Kazuha, Shimahara</v>
      </c>
      <c r="H92" t="str">
        <f t="shared" si="20"/>
        <v>스토리위즈</v>
      </c>
      <c r="I92" t="str">
        <f t="shared" si="34"/>
        <v>이세계 소환은 두 번째라구요</v>
      </c>
      <c r="J92">
        <v>500</v>
      </c>
      <c r="K92">
        <v>500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3">
        <v>500</v>
      </c>
      <c r="AH92" s="3">
        <v>1</v>
      </c>
      <c r="AI92" s="3">
        <v>0</v>
      </c>
      <c r="AJ92" s="3">
        <v>0</v>
      </c>
      <c r="AK92" s="3">
        <v>500</v>
      </c>
      <c r="AL92" s="3">
        <v>0</v>
      </c>
      <c r="AM92" s="3">
        <v>0</v>
      </c>
      <c r="AN92" s="3">
        <v>0</v>
      </c>
      <c r="AO92" s="3">
        <v>0</v>
      </c>
      <c r="AP92" s="3">
        <v>350</v>
      </c>
      <c r="AT92" t="str">
        <f t="shared" si="35"/>
        <v>9791166069390</v>
      </c>
      <c r="AV92" t="str">
        <f t="shared" si="36"/>
        <v>웹툰 &gt; 판타지/SF</v>
      </c>
    </row>
    <row r="93" spans="1:48" x14ac:dyDescent="0.4">
      <c r="A93">
        <v>4421000002</v>
      </c>
      <c r="B93">
        <v>4421000254</v>
      </c>
      <c r="C93" t="str">
        <f>T("이세계 소환은 두 번째라구요 38화")</f>
        <v>이세계 소환은 두 번째라구요 38화</v>
      </c>
      <c r="D93" t="str">
        <f>T("38")</f>
        <v>38</v>
      </c>
      <c r="E93" t="str">
        <f t="shared" si="33"/>
        <v>Arashiyama, Kishimoto Kazuha, Shimahara</v>
      </c>
      <c r="H93" t="str">
        <f t="shared" si="20"/>
        <v>스토리위즈</v>
      </c>
      <c r="I93" t="str">
        <f t="shared" si="34"/>
        <v>이세계 소환은 두 번째라구요</v>
      </c>
      <c r="J93">
        <v>500</v>
      </c>
      <c r="K93">
        <v>500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s="3">
        <v>500</v>
      </c>
      <c r="AH93" s="3">
        <v>1</v>
      </c>
      <c r="AI93" s="3">
        <v>0</v>
      </c>
      <c r="AJ93" s="3">
        <v>0</v>
      </c>
      <c r="AK93" s="3">
        <v>500</v>
      </c>
      <c r="AL93" s="3">
        <v>0</v>
      </c>
      <c r="AM93" s="3">
        <v>0</v>
      </c>
      <c r="AN93" s="3">
        <v>0</v>
      </c>
      <c r="AO93" s="3">
        <v>0</v>
      </c>
      <c r="AP93" s="3">
        <v>350</v>
      </c>
      <c r="AT93" t="str">
        <f t="shared" si="35"/>
        <v>9791166069390</v>
      </c>
      <c r="AV93" t="str">
        <f t="shared" si="36"/>
        <v>웹툰 &gt; 판타지/SF</v>
      </c>
    </row>
    <row r="94" spans="1:48" x14ac:dyDescent="0.4">
      <c r="A94">
        <v>4421000002</v>
      </c>
      <c r="B94">
        <v>4421000040</v>
      </c>
      <c r="C94" t="str">
        <f>T("이세계 소환은 두 번째라구요 20화")</f>
        <v>이세계 소환은 두 번째라구요 20화</v>
      </c>
      <c r="D94" t="str">
        <f>T("20")</f>
        <v>20</v>
      </c>
      <c r="E94" t="str">
        <f t="shared" si="33"/>
        <v>Arashiyama, Kishimoto Kazuha, Shimahara</v>
      </c>
      <c r="H94" t="str">
        <f t="shared" si="20"/>
        <v>스토리위즈</v>
      </c>
      <c r="I94" t="str">
        <f t="shared" si="34"/>
        <v>이세계 소환은 두 번째라구요</v>
      </c>
      <c r="J94">
        <v>500</v>
      </c>
      <c r="K94">
        <v>500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s="3">
        <v>500</v>
      </c>
      <c r="AH94" s="3">
        <v>1</v>
      </c>
      <c r="AI94" s="3">
        <v>0</v>
      </c>
      <c r="AJ94" s="3">
        <v>0</v>
      </c>
      <c r="AK94" s="3">
        <v>500</v>
      </c>
      <c r="AL94" s="3">
        <v>0</v>
      </c>
      <c r="AM94" s="3">
        <v>0</v>
      </c>
      <c r="AN94" s="3">
        <v>0</v>
      </c>
      <c r="AO94" s="3">
        <v>0</v>
      </c>
      <c r="AP94" s="3">
        <v>350</v>
      </c>
      <c r="AT94" t="str">
        <f t="shared" si="35"/>
        <v>9791166069390</v>
      </c>
      <c r="AV94" t="str">
        <f t="shared" si="36"/>
        <v>웹툰 &gt; 판타지/SF</v>
      </c>
    </row>
    <row r="95" spans="1:48" x14ac:dyDescent="0.4">
      <c r="A95">
        <v>4421000002</v>
      </c>
      <c r="B95">
        <v>4421000178</v>
      </c>
      <c r="C95" t="str">
        <f>T("이세계 소환은 두 번째라구요 23화")</f>
        <v>이세계 소환은 두 번째라구요 23화</v>
      </c>
      <c r="D95" t="str">
        <f>T("23")</f>
        <v>23</v>
      </c>
      <c r="E95" t="str">
        <f t="shared" si="33"/>
        <v>Arashiyama, Kishimoto Kazuha, Shimahara</v>
      </c>
      <c r="H95" t="str">
        <f t="shared" si="20"/>
        <v>스토리위즈</v>
      </c>
      <c r="I95" t="str">
        <f t="shared" si="34"/>
        <v>이세계 소환은 두 번째라구요</v>
      </c>
      <c r="J95">
        <v>500</v>
      </c>
      <c r="K95">
        <v>500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s="3">
        <v>500</v>
      </c>
      <c r="AH95" s="3">
        <v>1</v>
      </c>
      <c r="AI95" s="3">
        <v>0</v>
      </c>
      <c r="AJ95" s="3">
        <v>0</v>
      </c>
      <c r="AK95" s="3">
        <v>500</v>
      </c>
      <c r="AL95" s="3">
        <v>0</v>
      </c>
      <c r="AM95" s="3">
        <v>0</v>
      </c>
      <c r="AN95" s="3">
        <v>0</v>
      </c>
      <c r="AO95" s="3">
        <v>0</v>
      </c>
      <c r="AP95" s="3">
        <v>350</v>
      </c>
      <c r="AT95" t="str">
        <f t="shared" si="35"/>
        <v>9791166069390</v>
      </c>
      <c r="AV95" t="str">
        <f t="shared" si="36"/>
        <v>웹툰 &gt; 판타지/SF</v>
      </c>
    </row>
    <row r="96" spans="1:48" x14ac:dyDescent="0.4">
      <c r="A96">
        <v>4421000002</v>
      </c>
      <c r="B96">
        <v>4421000247</v>
      </c>
      <c r="C96" t="str">
        <f>T("이세계 소환은 두 번째라구요 31화")</f>
        <v>이세계 소환은 두 번째라구요 31화</v>
      </c>
      <c r="D96" t="str">
        <f>T("31")</f>
        <v>31</v>
      </c>
      <c r="E96" t="str">
        <f t="shared" si="33"/>
        <v>Arashiyama, Kishimoto Kazuha, Shimahara</v>
      </c>
      <c r="H96" t="str">
        <f t="shared" si="20"/>
        <v>스토리위즈</v>
      </c>
      <c r="I96" t="str">
        <f t="shared" si="34"/>
        <v>이세계 소환은 두 번째라구요</v>
      </c>
      <c r="J96">
        <v>500</v>
      </c>
      <c r="K96">
        <v>500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 s="3">
        <v>500</v>
      </c>
      <c r="AH96" s="3">
        <v>1</v>
      </c>
      <c r="AI96" s="3">
        <v>0</v>
      </c>
      <c r="AJ96" s="3">
        <v>0</v>
      </c>
      <c r="AK96" s="3">
        <v>500</v>
      </c>
      <c r="AL96" s="3">
        <v>0</v>
      </c>
      <c r="AM96" s="3">
        <v>0</v>
      </c>
      <c r="AN96" s="3">
        <v>0</v>
      </c>
      <c r="AO96" s="3">
        <v>0</v>
      </c>
      <c r="AP96" s="3">
        <v>350</v>
      </c>
      <c r="AT96" t="str">
        <f t="shared" si="35"/>
        <v>9791166069390</v>
      </c>
      <c r="AV96" t="str">
        <f t="shared" si="36"/>
        <v>웹툰 &gt; 판타지/SF</v>
      </c>
    </row>
    <row r="97" spans="1:48" x14ac:dyDescent="0.4">
      <c r="A97">
        <v>4421000002</v>
      </c>
      <c r="B97">
        <v>4421000033</v>
      </c>
      <c r="C97" t="str">
        <f>T("이세계 소환은 두 번째라구요 13화")</f>
        <v>이세계 소환은 두 번째라구요 13화</v>
      </c>
      <c r="D97" t="str">
        <f>T("13")</f>
        <v>13</v>
      </c>
      <c r="E97" t="str">
        <f t="shared" si="33"/>
        <v>Arashiyama, Kishimoto Kazuha, Shimahara</v>
      </c>
      <c r="H97" t="str">
        <f t="shared" si="20"/>
        <v>스토리위즈</v>
      </c>
      <c r="I97" t="str">
        <f t="shared" si="34"/>
        <v>이세계 소환은 두 번째라구요</v>
      </c>
      <c r="J97">
        <v>500</v>
      </c>
      <c r="K97">
        <v>500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s="3">
        <v>500</v>
      </c>
      <c r="AH97" s="3">
        <v>1</v>
      </c>
      <c r="AI97" s="3">
        <v>0</v>
      </c>
      <c r="AJ97" s="3">
        <v>0</v>
      </c>
      <c r="AK97" s="3">
        <v>500</v>
      </c>
      <c r="AL97" s="3">
        <v>0</v>
      </c>
      <c r="AM97" s="3">
        <v>0</v>
      </c>
      <c r="AN97" s="3">
        <v>0</v>
      </c>
      <c r="AO97" s="3">
        <v>0</v>
      </c>
      <c r="AP97" s="3">
        <v>350</v>
      </c>
      <c r="AT97" t="str">
        <f t="shared" si="35"/>
        <v>9791166069390</v>
      </c>
      <c r="AV97" t="str">
        <f t="shared" si="36"/>
        <v>웹툰 &gt; 판타지/SF</v>
      </c>
    </row>
    <row r="98" spans="1:48" x14ac:dyDescent="0.4">
      <c r="A98">
        <v>4421000001</v>
      </c>
      <c r="B98">
        <v>4421000059</v>
      </c>
      <c r="C98" t="str">
        <f>T("감옥실험 39화")</f>
        <v>감옥실험 39화</v>
      </c>
      <c r="D98" t="str">
        <f>T("39")</f>
        <v>39</v>
      </c>
      <c r="E98" t="str">
        <f>T("Kantetsu")</f>
        <v>Kantetsu</v>
      </c>
      <c r="G98" t="str">
        <f>T("Minase Chiho")</f>
        <v>Minase Chiho</v>
      </c>
      <c r="H98" t="str">
        <f t="shared" si="20"/>
        <v>스토리위즈</v>
      </c>
      <c r="I98" t="str">
        <f>T("감옥실험")</f>
        <v>감옥실험</v>
      </c>
      <c r="J98">
        <v>500</v>
      </c>
      <c r="K98">
        <v>500</v>
      </c>
      <c r="L98">
        <v>1</v>
      </c>
      <c r="M98">
        <v>0</v>
      </c>
      <c r="N98">
        <v>900</v>
      </c>
      <c r="O98">
        <v>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s="3">
        <v>1400</v>
      </c>
      <c r="AH98" s="3">
        <v>4</v>
      </c>
      <c r="AI98" s="3">
        <v>0</v>
      </c>
      <c r="AJ98" s="3">
        <v>0</v>
      </c>
      <c r="AK98" s="3">
        <v>1106</v>
      </c>
      <c r="AL98" s="3">
        <v>0</v>
      </c>
      <c r="AM98" s="3">
        <v>352.8</v>
      </c>
      <c r="AN98" s="3">
        <v>-105.84</v>
      </c>
      <c r="AO98" s="3">
        <v>0</v>
      </c>
      <c r="AP98" s="3">
        <v>947.07</v>
      </c>
      <c r="AT98" t="str">
        <f>T("9791166069406")</f>
        <v>9791166069406</v>
      </c>
      <c r="AV98" t="str">
        <f>T("웹툰 &gt; 드라마")</f>
        <v>웹툰 &gt; 드라마</v>
      </c>
    </row>
    <row r="99" spans="1:48" x14ac:dyDescent="0.4">
      <c r="A99">
        <v>4421000002</v>
      </c>
      <c r="B99">
        <v>4421000182</v>
      </c>
      <c r="C99" t="str">
        <f>T("이세계 소환은 두 번째라구요 27화")</f>
        <v>이세계 소환은 두 번째라구요 27화</v>
      </c>
      <c r="D99" t="str">
        <f>T("27")</f>
        <v>27</v>
      </c>
      <c r="E99" t="str">
        <f>T("Arashiyama, Kishimoto Kazuha, Shimahara")</f>
        <v>Arashiyama, Kishimoto Kazuha, Shimahara</v>
      </c>
      <c r="H99" t="str">
        <f t="shared" si="20"/>
        <v>스토리위즈</v>
      </c>
      <c r="I99" t="str">
        <f>T("이세계 소환은 두 번째라구요")</f>
        <v>이세계 소환은 두 번째라구요</v>
      </c>
      <c r="J99">
        <v>500</v>
      </c>
      <c r="K99">
        <v>500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s="3">
        <v>500</v>
      </c>
      <c r="AH99" s="3">
        <v>1</v>
      </c>
      <c r="AI99" s="3">
        <v>0</v>
      </c>
      <c r="AJ99" s="3">
        <v>0</v>
      </c>
      <c r="AK99" s="3">
        <v>500</v>
      </c>
      <c r="AL99" s="3">
        <v>0</v>
      </c>
      <c r="AM99" s="3">
        <v>0</v>
      </c>
      <c r="AN99" s="3">
        <v>0</v>
      </c>
      <c r="AO99" s="3">
        <v>0</v>
      </c>
      <c r="AP99" s="3">
        <v>350</v>
      </c>
      <c r="AT99" t="str">
        <f>T("9791166069390")</f>
        <v>9791166069390</v>
      </c>
      <c r="AV99" t="str">
        <f>T("웹툰 &gt; 판타지/SF")</f>
        <v>웹툰 &gt; 판타지/SF</v>
      </c>
    </row>
    <row r="100" spans="1:48" x14ac:dyDescent="0.4">
      <c r="A100">
        <v>4421000002</v>
      </c>
      <c r="B100">
        <v>4421000005</v>
      </c>
      <c r="C100" t="str">
        <f>T("이세계 소환은 두 번째라구요 4화")</f>
        <v>이세계 소환은 두 번째라구요 4화</v>
      </c>
      <c r="D100" t="str">
        <f>T("4")</f>
        <v>4</v>
      </c>
      <c r="E100" t="str">
        <f>T("Arashiyama, Kishimoto Kazuha, Shimahara")</f>
        <v>Arashiyama, Kishimoto Kazuha, Shimahara</v>
      </c>
      <c r="H100" t="str">
        <f t="shared" si="20"/>
        <v>스토리위즈</v>
      </c>
      <c r="I100" t="str">
        <f>T("이세계 소환은 두 번째라구요")</f>
        <v>이세계 소환은 두 번째라구요</v>
      </c>
      <c r="J100">
        <v>500</v>
      </c>
      <c r="K100">
        <v>500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s="3">
        <v>500</v>
      </c>
      <c r="AH100" s="3">
        <v>1</v>
      </c>
      <c r="AI100" s="3">
        <v>0</v>
      </c>
      <c r="AJ100" s="3">
        <v>0</v>
      </c>
      <c r="AK100" s="3">
        <v>500</v>
      </c>
      <c r="AL100" s="3">
        <v>0</v>
      </c>
      <c r="AM100" s="3">
        <v>0</v>
      </c>
      <c r="AN100" s="3">
        <v>0</v>
      </c>
      <c r="AO100" s="3">
        <v>0</v>
      </c>
      <c r="AP100" s="3">
        <v>350</v>
      </c>
      <c r="AT100" t="str">
        <f>T("9791166069390")</f>
        <v>9791166069390</v>
      </c>
      <c r="AV100" t="str">
        <f>T("웹툰 &gt; 판타지/SF")</f>
        <v>웹툰 &gt; 판타지/SF</v>
      </c>
    </row>
    <row r="101" spans="1:48" x14ac:dyDescent="0.4">
      <c r="A101">
        <v>4421000002</v>
      </c>
      <c r="B101">
        <v>4421000251</v>
      </c>
      <c r="C101" t="str">
        <f>T("이세계 소환은 두 번째라구요 35화")</f>
        <v>이세계 소환은 두 번째라구요 35화</v>
      </c>
      <c r="D101" t="str">
        <f>T("35")</f>
        <v>35</v>
      </c>
      <c r="E101" t="str">
        <f>T("Arashiyama, Kishimoto Kazuha, Shimahara")</f>
        <v>Arashiyama, Kishimoto Kazuha, Shimahara</v>
      </c>
      <c r="H101" t="str">
        <f t="shared" si="20"/>
        <v>스토리위즈</v>
      </c>
      <c r="I101" t="str">
        <f>T("이세계 소환은 두 번째라구요")</f>
        <v>이세계 소환은 두 번째라구요</v>
      </c>
      <c r="J101">
        <v>500</v>
      </c>
      <c r="K101">
        <v>500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s="3">
        <v>500</v>
      </c>
      <c r="AH101" s="3">
        <v>1</v>
      </c>
      <c r="AI101" s="3">
        <v>0</v>
      </c>
      <c r="AJ101" s="3">
        <v>0</v>
      </c>
      <c r="AK101" s="3">
        <v>500</v>
      </c>
      <c r="AL101" s="3">
        <v>0</v>
      </c>
      <c r="AM101" s="3">
        <v>0</v>
      </c>
      <c r="AN101" s="3">
        <v>0</v>
      </c>
      <c r="AO101" s="3">
        <v>0</v>
      </c>
      <c r="AP101" s="3">
        <v>350</v>
      </c>
      <c r="AT101" t="str">
        <f>T("9791166069390")</f>
        <v>9791166069390</v>
      </c>
      <c r="AV101" t="str">
        <f>T("웹툰 &gt; 판타지/SF")</f>
        <v>웹툰 &gt; 판타지/SF</v>
      </c>
    </row>
    <row r="102" spans="1:48" x14ac:dyDescent="0.4">
      <c r="A102">
        <v>4421000002</v>
      </c>
      <c r="B102">
        <v>4421000037</v>
      </c>
      <c r="C102" t="str">
        <f>T("이세계 소환은 두 번째라구요 17화")</f>
        <v>이세계 소환은 두 번째라구요 17화</v>
      </c>
      <c r="D102" t="str">
        <f>T("17")</f>
        <v>17</v>
      </c>
      <c r="E102" t="str">
        <f>T("Arashiyama, Kishimoto Kazuha, Shimahara")</f>
        <v>Arashiyama, Kishimoto Kazuha, Shimahara</v>
      </c>
      <c r="H102" t="str">
        <f t="shared" si="20"/>
        <v>스토리위즈</v>
      </c>
      <c r="I102" t="str">
        <f>T("이세계 소환은 두 번째라구요")</f>
        <v>이세계 소환은 두 번째라구요</v>
      </c>
      <c r="J102">
        <v>500</v>
      </c>
      <c r="K102">
        <v>500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s="3">
        <v>500</v>
      </c>
      <c r="AH102" s="3">
        <v>1</v>
      </c>
      <c r="AI102" s="3">
        <v>0</v>
      </c>
      <c r="AJ102" s="3">
        <v>0</v>
      </c>
      <c r="AK102" s="3">
        <v>500</v>
      </c>
      <c r="AL102" s="3">
        <v>0</v>
      </c>
      <c r="AM102" s="3">
        <v>0</v>
      </c>
      <c r="AN102" s="3">
        <v>0</v>
      </c>
      <c r="AO102" s="3">
        <v>0</v>
      </c>
      <c r="AP102" s="3">
        <v>350</v>
      </c>
      <c r="AT102" t="str">
        <f>T("9791166069390")</f>
        <v>9791166069390</v>
      </c>
      <c r="AV102" t="str">
        <f>T("웹툰 &gt; 판타지/SF")</f>
        <v>웹툰 &gt; 판타지/SF</v>
      </c>
    </row>
    <row r="103" spans="1:48" x14ac:dyDescent="0.4">
      <c r="A103">
        <v>4421002829</v>
      </c>
      <c r="B103">
        <v>4421002831</v>
      </c>
      <c r="C103" t="str">
        <f>T("테두리는 주시하지 않는다 (개정판) 3화")</f>
        <v>테두리는 주시하지 않는다 (개정판) 3화</v>
      </c>
      <c r="D103" t="str">
        <f>T("3")</f>
        <v>3</v>
      </c>
      <c r="E103" t="str">
        <f>T("토찌, 키로즈")</f>
        <v>토찌, 키로즈</v>
      </c>
      <c r="G103" t="str">
        <f>T("마린")</f>
        <v>마린</v>
      </c>
      <c r="H103" t="str">
        <f t="shared" si="20"/>
        <v>스토리위즈</v>
      </c>
      <c r="I103" t="str">
        <f>T("테두리는 주시하지 않는다 (개정판)")</f>
        <v>테두리는 주시하지 않는다 (개정판)</v>
      </c>
      <c r="J103">
        <v>500</v>
      </c>
      <c r="K103">
        <v>500</v>
      </c>
      <c r="L103">
        <v>1</v>
      </c>
      <c r="M103">
        <v>0</v>
      </c>
      <c r="N103">
        <v>0</v>
      </c>
      <c r="O103">
        <v>0</v>
      </c>
      <c r="P103">
        <v>535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s="3">
        <v>500</v>
      </c>
      <c r="AH103" s="3">
        <v>536</v>
      </c>
      <c r="AI103" s="3">
        <v>0</v>
      </c>
      <c r="AJ103" s="3">
        <v>0</v>
      </c>
      <c r="AK103" s="3">
        <v>500</v>
      </c>
      <c r="AL103" s="3">
        <v>0</v>
      </c>
      <c r="AM103" s="3">
        <v>0</v>
      </c>
      <c r="AN103" s="3">
        <v>0</v>
      </c>
      <c r="AO103" s="3">
        <v>0</v>
      </c>
      <c r="AP103" s="3">
        <v>300</v>
      </c>
      <c r="AR103" t="str">
        <f>T("0000000000000")</f>
        <v>0000000000000</v>
      </c>
      <c r="AT103" t="str">
        <f>T("9791137604681")</f>
        <v>9791137604681</v>
      </c>
      <c r="AV103" t="str">
        <f>T("BL 웹툰 &gt; 웹툰")</f>
        <v>BL 웹툰 &gt; 웹툰</v>
      </c>
    </row>
    <row r="104" spans="1:48" x14ac:dyDescent="0.4">
      <c r="A104">
        <v>4421000002</v>
      </c>
      <c r="B104">
        <v>4421000179</v>
      </c>
      <c r="C104" t="str">
        <f>T("이세계 소환은 두 번째라구요 24화")</f>
        <v>이세계 소환은 두 번째라구요 24화</v>
      </c>
      <c r="D104" t="str">
        <f>T("24")</f>
        <v>24</v>
      </c>
      <c r="E104" t="str">
        <f t="shared" ref="E104:E109" si="37">T("Arashiyama, Kishimoto Kazuha, Shimahara")</f>
        <v>Arashiyama, Kishimoto Kazuha, Shimahara</v>
      </c>
      <c r="H104" t="str">
        <f t="shared" si="20"/>
        <v>스토리위즈</v>
      </c>
      <c r="I104" t="str">
        <f t="shared" ref="I104:I109" si="38">T("이세계 소환은 두 번째라구요")</f>
        <v>이세계 소환은 두 번째라구요</v>
      </c>
      <c r="J104">
        <v>500</v>
      </c>
      <c r="K104">
        <v>500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s="3">
        <v>500</v>
      </c>
      <c r="AH104" s="3">
        <v>1</v>
      </c>
      <c r="AI104" s="3">
        <v>0</v>
      </c>
      <c r="AJ104" s="3">
        <v>0</v>
      </c>
      <c r="AK104" s="3">
        <v>500</v>
      </c>
      <c r="AL104" s="3">
        <v>0</v>
      </c>
      <c r="AM104" s="3">
        <v>0</v>
      </c>
      <c r="AN104" s="3">
        <v>0</v>
      </c>
      <c r="AO104" s="3">
        <v>0</v>
      </c>
      <c r="AP104" s="3">
        <v>350</v>
      </c>
      <c r="AT104" t="str">
        <f t="shared" ref="AT104:AT109" si="39">T("9791166069390")</f>
        <v>9791166069390</v>
      </c>
      <c r="AV104" t="str">
        <f t="shared" ref="AV104:AV109" si="40">T("웹툰 &gt; 판타지/SF")</f>
        <v>웹툰 &gt; 판타지/SF</v>
      </c>
    </row>
    <row r="105" spans="1:48" x14ac:dyDescent="0.4">
      <c r="A105">
        <v>4421000002</v>
      </c>
      <c r="B105">
        <v>4421000009</v>
      </c>
      <c r="C105" t="str">
        <f>T("이세계 소환은 두 번째라구요 8화")</f>
        <v>이세계 소환은 두 번째라구요 8화</v>
      </c>
      <c r="D105" t="str">
        <f>T("8")</f>
        <v>8</v>
      </c>
      <c r="E105" t="str">
        <f t="shared" si="37"/>
        <v>Arashiyama, Kishimoto Kazuha, Shimahara</v>
      </c>
      <c r="H105" t="str">
        <f t="shared" si="20"/>
        <v>스토리위즈</v>
      </c>
      <c r="I105" t="str">
        <f t="shared" si="38"/>
        <v>이세계 소환은 두 번째라구요</v>
      </c>
      <c r="J105">
        <v>500</v>
      </c>
      <c r="K105">
        <v>500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s="3">
        <v>500</v>
      </c>
      <c r="AH105" s="3">
        <v>1</v>
      </c>
      <c r="AI105" s="3">
        <v>0</v>
      </c>
      <c r="AJ105" s="3">
        <v>0</v>
      </c>
      <c r="AK105" s="3">
        <v>500</v>
      </c>
      <c r="AL105" s="3">
        <v>0</v>
      </c>
      <c r="AM105" s="3">
        <v>0</v>
      </c>
      <c r="AN105" s="3">
        <v>0</v>
      </c>
      <c r="AO105" s="3">
        <v>0</v>
      </c>
      <c r="AP105" s="3">
        <v>350</v>
      </c>
      <c r="AT105" t="str">
        <f t="shared" si="39"/>
        <v>9791166069390</v>
      </c>
      <c r="AV105" t="str">
        <f t="shared" si="40"/>
        <v>웹툰 &gt; 판타지/SF</v>
      </c>
    </row>
    <row r="106" spans="1:48" x14ac:dyDescent="0.4">
      <c r="A106">
        <v>4421000002</v>
      </c>
      <c r="B106">
        <v>4421000255</v>
      </c>
      <c r="C106" t="str">
        <f>T("이세계 소환은 두 번째라구요 39화")</f>
        <v>이세계 소환은 두 번째라구요 39화</v>
      </c>
      <c r="D106" t="str">
        <f>T("39")</f>
        <v>39</v>
      </c>
      <c r="E106" t="str">
        <f t="shared" si="37"/>
        <v>Arashiyama, Kishimoto Kazuha, Shimahara</v>
      </c>
      <c r="H106" t="str">
        <f t="shared" si="20"/>
        <v>스토리위즈</v>
      </c>
      <c r="I106" t="str">
        <f t="shared" si="38"/>
        <v>이세계 소환은 두 번째라구요</v>
      </c>
      <c r="J106">
        <v>500</v>
      </c>
      <c r="K106">
        <v>500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s="3">
        <v>500</v>
      </c>
      <c r="AH106" s="3">
        <v>1</v>
      </c>
      <c r="AI106" s="3">
        <v>0</v>
      </c>
      <c r="AJ106" s="3">
        <v>0</v>
      </c>
      <c r="AK106" s="3">
        <v>500</v>
      </c>
      <c r="AL106" s="3">
        <v>0</v>
      </c>
      <c r="AM106" s="3">
        <v>0</v>
      </c>
      <c r="AN106" s="3">
        <v>0</v>
      </c>
      <c r="AO106" s="3">
        <v>0</v>
      </c>
      <c r="AP106" s="3">
        <v>350</v>
      </c>
      <c r="AT106" t="str">
        <f t="shared" si="39"/>
        <v>9791166069390</v>
      </c>
      <c r="AV106" t="str">
        <f t="shared" si="40"/>
        <v>웹툰 &gt; 판타지/SF</v>
      </c>
    </row>
    <row r="107" spans="1:48" x14ac:dyDescent="0.4">
      <c r="A107">
        <v>4421000002</v>
      </c>
      <c r="B107">
        <v>4421000002</v>
      </c>
      <c r="C107" t="str">
        <f>T("이세계 소환은 두 번째라구요 1화")</f>
        <v>이세계 소환은 두 번째라구요 1화</v>
      </c>
      <c r="D107" t="str">
        <f>T("1")</f>
        <v>1</v>
      </c>
      <c r="E107" t="str">
        <f t="shared" si="37"/>
        <v>Arashiyama, Kishimoto Kazuha, Shimahara</v>
      </c>
      <c r="H107" t="str">
        <f t="shared" si="20"/>
        <v>스토리위즈</v>
      </c>
      <c r="I107" t="str">
        <f t="shared" si="38"/>
        <v>이세계 소환은 두 번째라구요</v>
      </c>
      <c r="J107">
        <v>500</v>
      </c>
      <c r="K107">
        <v>500</v>
      </c>
      <c r="L107">
        <v>1</v>
      </c>
      <c r="M107">
        <v>0</v>
      </c>
      <c r="N107">
        <v>0</v>
      </c>
      <c r="O107">
        <v>0</v>
      </c>
      <c r="P107">
        <v>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 s="3">
        <v>500</v>
      </c>
      <c r="AH107" s="3">
        <v>4</v>
      </c>
      <c r="AI107" s="3">
        <v>0</v>
      </c>
      <c r="AJ107" s="3">
        <v>0</v>
      </c>
      <c r="AK107" s="3">
        <v>500</v>
      </c>
      <c r="AL107" s="3">
        <v>0</v>
      </c>
      <c r="AM107" s="3">
        <v>0</v>
      </c>
      <c r="AN107" s="3">
        <v>0</v>
      </c>
      <c r="AO107" s="3">
        <v>0</v>
      </c>
      <c r="AP107" s="3">
        <v>350</v>
      </c>
      <c r="AT107" t="str">
        <f t="shared" si="39"/>
        <v>9791166069390</v>
      </c>
      <c r="AV107" t="str">
        <f t="shared" si="40"/>
        <v>웹툰 &gt; 판타지/SF</v>
      </c>
    </row>
    <row r="108" spans="1:48" x14ac:dyDescent="0.4">
      <c r="A108">
        <v>4421000002</v>
      </c>
      <c r="B108">
        <v>4421000248</v>
      </c>
      <c r="C108" t="str">
        <f>T("이세계 소환은 두 번째라구요 32화")</f>
        <v>이세계 소환은 두 번째라구요 32화</v>
      </c>
      <c r="D108" t="str">
        <f>T("32")</f>
        <v>32</v>
      </c>
      <c r="E108" t="str">
        <f t="shared" si="37"/>
        <v>Arashiyama, Kishimoto Kazuha, Shimahara</v>
      </c>
      <c r="H108" t="str">
        <f t="shared" si="20"/>
        <v>스토리위즈</v>
      </c>
      <c r="I108" t="str">
        <f t="shared" si="38"/>
        <v>이세계 소환은 두 번째라구요</v>
      </c>
      <c r="J108">
        <v>500</v>
      </c>
      <c r="K108">
        <v>500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 s="3">
        <v>500</v>
      </c>
      <c r="AH108" s="3">
        <v>1</v>
      </c>
      <c r="AI108" s="3">
        <v>0</v>
      </c>
      <c r="AJ108" s="3">
        <v>0</v>
      </c>
      <c r="AK108" s="3">
        <v>500</v>
      </c>
      <c r="AL108" s="3">
        <v>0</v>
      </c>
      <c r="AM108" s="3">
        <v>0</v>
      </c>
      <c r="AN108" s="3">
        <v>0</v>
      </c>
      <c r="AO108" s="3">
        <v>0</v>
      </c>
      <c r="AP108" s="3">
        <v>350</v>
      </c>
      <c r="AT108" t="str">
        <f t="shared" si="39"/>
        <v>9791166069390</v>
      </c>
      <c r="AV108" t="str">
        <f t="shared" si="40"/>
        <v>웹툰 &gt; 판타지/SF</v>
      </c>
    </row>
    <row r="109" spans="1:48" x14ac:dyDescent="0.4">
      <c r="A109">
        <v>4421000002</v>
      </c>
      <c r="B109">
        <v>4421000034</v>
      </c>
      <c r="C109" t="str">
        <f>T("이세계 소환은 두 번째라구요 14화")</f>
        <v>이세계 소환은 두 번째라구요 14화</v>
      </c>
      <c r="D109" t="str">
        <f>T("14")</f>
        <v>14</v>
      </c>
      <c r="E109" t="str">
        <f t="shared" si="37"/>
        <v>Arashiyama, Kishimoto Kazuha, Shimahara</v>
      </c>
      <c r="H109" t="str">
        <f t="shared" si="20"/>
        <v>스토리위즈</v>
      </c>
      <c r="I109" t="str">
        <f t="shared" si="38"/>
        <v>이세계 소환은 두 번째라구요</v>
      </c>
      <c r="J109">
        <v>500</v>
      </c>
      <c r="K109">
        <v>500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s="3">
        <v>500</v>
      </c>
      <c r="AH109" s="3">
        <v>1</v>
      </c>
      <c r="AI109" s="3">
        <v>0</v>
      </c>
      <c r="AJ109" s="3">
        <v>0</v>
      </c>
      <c r="AK109" s="3">
        <v>500</v>
      </c>
      <c r="AL109" s="3">
        <v>0</v>
      </c>
      <c r="AM109" s="3">
        <v>0</v>
      </c>
      <c r="AN109" s="3">
        <v>0</v>
      </c>
      <c r="AO109" s="3">
        <v>0</v>
      </c>
      <c r="AP109" s="3">
        <v>350</v>
      </c>
      <c r="AT109" t="str">
        <f t="shared" si="39"/>
        <v>9791166069390</v>
      </c>
      <c r="AV109" t="str">
        <f t="shared" si="40"/>
        <v>웹툰 &gt; 판타지/SF</v>
      </c>
    </row>
    <row r="110" spans="1:48" x14ac:dyDescent="0.4">
      <c r="A110">
        <v>4421000001</v>
      </c>
      <c r="B110">
        <v>4421000060</v>
      </c>
      <c r="C110" t="str">
        <f>T("감옥실험 40화")</f>
        <v>감옥실험 40화</v>
      </c>
      <c r="D110" t="str">
        <f>T("40")</f>
        <v>40</v>
      </c>
      <c r="E110" t="str">
        <f>T("Kantetsu")</f>
        <v>Kantetsu</v>
      </c>
      <c r="G110" t="str">
        <f>T("Minase Chiho")</f>
        <v>Minase Chiho</v>
      </c>
      <c r="H110" t="str">
        <f t="shared" si="20"/>
        <v>스토리위즈</v>
      </c>
      <c r="I110" t="str">
        <f>T("감옥실험")</f>
        <v>감옥실험</v>
      </c>
      <c r="J110">
        <v>500</v>
      </c>
      <c r="K110">
        <v>500</v>
      </c>
      <c r="L110">
        <v>1</v>
      </c>
      <c r="M110">
        <v>0</v>
      </c>
      <c r="N110">
        <v>900</v>
      </c>
      <c r="O110">
        <v>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s="3">
        <v>1400</v>
      </c>
      <c r="AH110" s="3">
        <v>4</v>
      </c>
      <c r="AI110" s="3">
        <v>0</v>
      </c>
      <c r="AJ110" s="3">
        <v>0</v>
      </c>
      <c r="AK110" s="3">
        <v>1106</v>
      </c>
      <c r="AL110" s="3">
        <v>0</v>
      </c>
      <c r="AM110" s="3">
        <v>352.8</v>
      </c>
      <c r="AN110" s="3">
        <v>-105.84</v>
      </c>
      <c r="AO110" s="3">
        <v>0</v>
      </c>
      <c r="AP110" s="3">
        <v>947.07</v>
      </c>
      <c r="AT110" t="str">
        <f>T("9791166069406")</f>
        <v>9791166069406</v>
      </c>
      <c r="AV110" t="str">
        <f>T("웹툰 &gt; 드라마")</f>
        <v>웹툰 &gt; 드라마</v>
      </c>
    </row>
    <row r="111" spans="1:48" x14ac:dyDescent="0.4">
      <c r="A111">
        <v>4421000002</v>
      </c>
      <c r="B111">
        <v>4421000183</v>
      </c>
      <c r="C111" t="str">
        <f>T("이세계 소환은 두 번째라구요 28화")</f>
        <v>이세계 소환은 두 번째라구요 28화</v>
      </c>
      <c r="D111" t="str">
        <f>T("28")</f>
        <v>28</v>
      </c>
      <c r="E111" t="str">
        <f t="shared" ref="E111:E116" si="41">T("Arashiyama, Kishimoto Kazuha, Shimahara")</f>
        <v>Arashiyama, Kishimoto Kazuha, Shimahara</v>
      </c>
      <c r="H111" t="str">
        <f t="shared" si="20"/>
        <v>스토리위즈</v>
      </c>
      <c r="I111" t="str">
        <f t="shared" ref="I111:I116" si="42">T("이세계 소환은 두 번째라구요")</f>
        <v>이세계 소환은 두 번째라구요</v>
      </c>
      <c r="J111">
        <v>500</v>
      </c>
      <c r="K111">
        <v>500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s="3">
        <v>500</v>
      </c>
      <c r="AH111" s="3">
        <v>1</v>
      </c>
      <c r="AI111" s="3">
        <v>0</v>
      </c>
      <c r="AJ111" s="3">
        <v>0</v>
      </c>
      <c r="AK111" s="3">
        <v>500</v>
      </c>
      <c r="AL111" s="3">
        <v>0</v>
      </c>
      <c r="AM111" s="3">
        <v>0</v>
      </c>
      <c r="AN111" s="3">
        <v>0</v>
      </c>
      <c r="AO111" s="3">
        <v>0</v>
      </c>
      <c r="AP111" s="3">
        <v>350</v>
      </c>
      <c r="AT111" t="str">
        <f t="shared" ref="AT111:AT116" si="43">T("9791166069390")</f>
        <v>9791166069390</v>
      </c>
      <c r="AV111" t="str">
        <f t="shared" ref="AV111:AV116" si="44">T("웹툰 &gt; 판타지/SF")</f>
        <v>웹툰 &gt; 판타지/SF</v>
      </c>
    </row>
    <row r="112" spans="1:48" x14ac:dyDescent="0.4">
      <c r="A112">
        <v>4421000002</v>
      </c>
      <c r="B112">
        <v>4421000006</v>
      </c>
      <c r="C112" t="str">
        <f>T("이세계 소환은 두 번째라구요 5화")</f>
        <v>이세계 소환은 두 번째라구요 5화</v>
      </c>
      <c r="D112" t="str">
        <f>T("5")</f>
        <v>5</v>
      </c>
      <c r="E112" t="str">
        <f t="shared" si="41"/>
        <v>Arashiyama, Kishimoto Kazuha, Shimahara</v>
      </c>
      <c r="H112" t="str">
        <f t="shared" si="20"/>
        <v>스토리위즈</v>
      </c>
      <c r="I112" t="str">
        <f t="shared" si="42"/>
        <v>이세계 소환은 두 번째라구요</v>
      </c>
      <c r="J112">
        <v>500</v>
      </c>
      <c r="K112">
        <v>500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s="3">
        <v>500</v>
      </c>
      <c r="AH112" s="3">
        <v>1</v>
      </c>
      <c r="AI112" s="3">
        <v>0</v>
      </c>
      <c r="AJ112" s="3">
        <v>0</v>
      </c>
      <c r="AK112" s="3">
        <v>500</v>
      </c>
      <c r="AL112" s="3">
        <v>0</v>
      </c>
      <c r="AM112" s="3">
        <v>0</v>
      </c>
      <c r="AN112" s="3">
        <v>0</v>
      </c>
      <c r="AO112" s="3">
        <v>0</v>
      </c>
      <c r="AP112" s="3">
        <v>350</v>
      </c>
      <c r="AT112" t="str">
        <f t="shared" si="43"/>
        <v>9791166069390</v>
      </c>
      <c r="AV112" t="str">
        <f t="shared" si="44"/>
        <v>웹툰 &gt; 판타지/SF</v>
      </c>
    </row>
    <row r="113" spans="1:49" x14ac:dyDescent="0.4">
      <c r="A113">
        <v>4421000002</v>
      </c>
      <c r="B113">
        <v>4421000252</v>
      </c>
      <c r="C113" t="str">
        <f>T("이세계 소환은 두 번째라구요 36화")</f>
        <v>이세계 소환은 두 번째라구요 36화</v>
      </c>
      <c r="D113" t="str">
        <f>T("36")</f>
        <v>36</v>
      </c>
      <c r="E113" t="str">
        <f t="shared" si="41"/>
        <v>Arashiyama, Kishimoto Kazuha, Shimahara</v>
      </c>
      <c r="H113" t="str">
        <f t="shared" si="20"/>
        <v>스토리위즈</v>
      </c>
      <c r="I113" t="str">
        <f t="shared" si="42"/>
        <v>이세계 소환은 두 번째라구요</v>
      </c>
      <c r="J113">
        <v>500</v>
      </c>
      <c r="K113">
        <v>500</v>
      </c>
      <c r="L113">
        <v>1</v>
      </c>
      <c r="M113">
        <v>0</v>
      </c>
      <c r="N113">
        <v>300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s="3">
        <v>800</v>
      </c>
      <c r="AH113" s="3">
        <v>2</v>
      </c>
      <c r="AI113" s="3">
        <v>0</v>
      </c>
      <c r="AJ113" s="3">
        <v>0</v>
      </c>
      <c r="AK113" s="3">
        <v>500</v>
      </c>
      <c r="AL113" s="3">
        <v>0</v>
      </c>
      <c r="AM113" s="3">
        <v>360</v>
      </c>
      <c r="AN113" s="3">
        <v>-108</v>
      </c>
      <c r="AO113" s="3">
        <v>0</v>
      </c>
      <c r="AP113" s="3">
        <v>526.4</v>
      </c>
      <c r="AT113" t="str">
        <f t="shared" si="43"/>
        <v>9791166069390</v>
      </c>
      <c r="AV113" t="str">
        <f t="shared" si="44"/>
        <v>웹툰 &gt; 판타지/SF</v>
      </c>
    </row>
    <row r="114" spans="1:49" x14ac:dyDescent="0.4">
      <c r="A114">
        <v>4421000002</v>
      </c>
      <c r="B114">
        <v>4421000038</v>
      </c>
      <c r="C114" t="str">
        <f>T("이세계 소환은 두 번째라구요 18화")</f>
        <v>이세계 소환은 두 번째라구요 18화</v>
      </c>
      <c r="D114" t="str">
        <f>T("18")</f>
        <v>18</v>
      </c>
      <c r="E114" t="str">
        <f t="shared" si="41"/>
        <v>Arashiyama, Kishimoto Kazuha, Shimahara</v>
      </c>
      <c r="H114" t="str">
        <f t="shared" si="20"/>
        <v>스토리위즈</v>
      </c>
      <c r="I114" t="str">
        <f t="shared" si="42"/>
        <v>이세계 소환은 두 번째라구요</v>
      </c>
      <c r="J114">
        <v>500</v>
      </c>
      <c r="K114">
        <v>500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s="3">
        <v>500</v>
      </c>
      <c r="AH114" s="3">
        <v>1</v>
      </c>
      <c r="AI114" s="3">
        <v>0</v>
      </c>
      <c r="AJ114" s="3">
        <v>0</v>
      </c>
      <c r="AK114" s="3">
        <v>500</v>
      </c>
      <c r="AL114" s="3">
        <v>0</v>
      </c>
      <c r="AM114" s="3">
        <v>0</v>
      </c>
      <c r="AN114" s="3">
        <v>0</v>
      </c>
      <c r="AO114" s="3">
        <v>0</v>
      </c>
      <c r="AP114" s="3">
        <v>350</v>
      </c>
      <c r="AT114" t="str">
        <f t="shared" si="43"/>
        <v>9791166069390</v>
      </c>
      <c r="AV114" t="str">
        <f t="shared" si="44"/>
        <v>웹툰 &gt; 판타지/SF</v>
      </c>
    </row>
    <row r="115" spans="1:49" x14ac:dyDescent="0.4">
      <c r="A115">
        <v>4421000002</v>
      </c>
      <c r="B115">
        <v>4421000176</v>
      </c>
      <c r="C115" t="str">
        <f>T("이세계 소환은 두 번째라구요 21화")</f>
        <v>이세계 소환은 두 번째라구요 21화</v>
      </c>
      <c r="D115" t="str">
        <f>T("21")</f>
        <v>21</v>
      </c>
      <c r="E115" t="str">
        <f t="shared" si="41"/>
        <v>Arashiyama, Kishimoto Kazuha, Shimahara</v>
      </c>
      <c r="H115" t="str">
        <f t="shared" si="20"/>
        <v>스토리위즈</v>
      </c>
      <c r="I115" t="str">
        <f t="shared" si="42"/>
        <v>이세계 소환은 두 번째라구요</v>
      </c>
      <c r="J115">
        <v>500</v>
      </c>
      <c r="K115">
        <v>500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s="3">
        <v>500</v>
      </c>
      <c r="AH115" s="3">
        <v>1</v>
      </c>
      <c r="AI115" s="3">
        <v>0</v>
      </c>
      <c r="AJ115" s="3">
        <v>0</v>
      </c>
      <c r="AK115" s="3">
        <v>500</v>
      </c>
      <c r="AL115" s="3">
        <v>0</v>
      </c>
      <c r="AM115" s="3">
        <v>0</v>
      </c>
      <c r="AN115" s="3">
        <v>0</v>
      </c>
      <c r="AO115" s="3">
        <v>0</v>
      </c>
      <c r="AP115" s="3">
        <v>350</v>
      </c>
      <c r="AT115" t="str">
        <f t="shared" si="43"/>
        <v>9791166069390</v>
      </c>
      <c r="AV115" t="str">
        <f t="shared" si="44"/>
        <v>웹툰 &gt; 판타지/SF</v>
      </c>
    </row>
    <row r="116" spans="1:49" x14ac:dyDescent="0.4">
      <c r="A116">
        <v>4421000002</v>
      </c>
      <c r="B116">
        <v>4421000031</v>
      </c>
      <c r="C116" t="str">
        <f>T("이세계 소환은 두 번째라구요 11화")</f>
        <v>이세계 소환은 두 번째라구요 11화</v>
      </c>
      <c r="D116" t="str">
        <f>T("11")</f>
        <v>11</v>
      </c>
      <c r="E116" t="str">
        <f t="shared" si="41"/>
        <v>Arashiyama, Kishimoto Kazuha, Shimahara</v>
      </c>
      <c r="H116" t="str">
        <f t="shared" si="20"/>
        <v>스토리위즈</v>
      </c>
      <c r="I116" t="str">
        <f t="shared" si="42"/>
        <v>이세계 소환은 두 번째라구요</v>
      </c>
      <c r="J116">
        <v>500</v>
      </c>
      <c r="K116">
        <v>500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 s="3">
        <v>500</v>
      </c>
      <c r="AH116" s="3">
        <v>1</v>
      </c>
      <c r="AI116" s="3">
        <v>0</v>
      </c>
      <c r="AJ116" s="3">
        <v>0</v>
      </c>
      <c r="AK116" s="3">
        <v>500</v>
      </c>
      <c r="AL116" s="3">
        <v>0</v>
      </c>
      <c r="AM116" s="3">
        <v>0</v>
      </c>
      <c r="AN116" s="3">
        <v>0</v>
      </c>
      <c r="AO116" s="3">
        <v>0</v>
      </c>
      <c r="AP116" s="3">
        <v>350</v>
      </c>
      <c r="AT116" t="str">
        <f t="shared" si="43"/>
        <v>9791166069390</v>
      </c>
      <c r="AV116" t="str">
        <f t="shared" si="44"/>
        <v>웹툰 &gt; 판타지/SF</v>
      </c>
    </row>
    <row r="117" spans="1:49" x14ac:dyDescent="0.4">
      <c r="A117">
        <v>4421000916</v>
      </c>
      <c r="B117">
        <v>4421000981</v>
      </c>
      <c r="C117" t="str">
        <f>T("별빛 아래 우리 32화")</f>
        <v>별빛 아래 우리 32화</v>
      </c>
      <c r="D117" t="str">
        <f>T("32")</f>
        <v>32</v>
      </c>
      <c r="E117" t="str">
        <f>T("건일")</f>
        <v>건일</v>
      </c>
      <c r="G117" t="str">
        <f>T("건일")</f>
        <v>건일</v>
      </c>
      <c r="H117" t="str">
        <f t="shared" si="20"/>
        <v>스토리위즈</v>
      </c>
      <c r="I117" t="str">
        <f>T("별빛 아래 우리")</f>
        <v>별빛 아래 우리</v>
      </c>
      <c r="J117">
        <v>400</v>
      </c>
      <c r="K117">
        <v>400</v>
      </c>
      <c r="L117">
        <v>1</v>
      </c>
      <c r="M117">
        <v>0</v>
      </c>
      <c r="N117">
        <v>1000</v>
      </c>
      <c r="O117">
        <v>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s="3">
        <v>1400</v>
      </c>
      <c r="AH117" s="3">
        <v>6</v>
      </c>
      <c r="AI117" s="3">
        <v>0</v>
      </c>
      <c r="AJ117" s="3">
        <v>0</v>
      </c>
      <c r="AK117" s="3">
        <v>779</v>
      </c>
      <c r="AL117" s="3">
        <v>0</v>
      </c>
      <c r="AM117" s="3">
        <v>745.2</v>
      </c>
      <c r="AN117" s="3">
        <v>-223.56</v>
      </c>
      <c r="AO117" s="3">
        <v>0</v>
      </c>
      <c r="AP117" s="3">
        <v>910.45</v>
      </c>
      <c r="AR117" t="str">
        <f t="shared" ref="AR117:AR157" si="45">T("0000000000000")</f>
        <v>0000000000000</v>
      </c>
      <c r="AT117" t="str">
        <f>T("9791137601413")</f>
        <v>9791137601413</v>
      </c>
      <c r="AV117" t="str">
        <f t="shared" ref="AV117:AV144" si="46">T("웹툰 &gt; 해외 순정")</f>
        <v>웹툰 &gt; 해외 순정</v>
      </c>
      <c r="AW117" t="str">
        <f>T("웹툰 &gt; 로맨스")</f>
        <v>웹툰 &gt; 로맨스</v>
      </c>
    </row>
    <row r="118" spans="1:49" x14ac:dyDescent="0.4">
      <c r="A118">
        <v>4421000198</v>
      </c>
      <c r="B118">
        <v>4421000199</v>
      </c>
      <c r="C118" t="str">
        <f>T("공주전쟁 2화")</f>
        <v>공주전쟁 2화</v>
      </c>
      <c r="D118" t="str">
        <f>T("2")</f>
        <v>2</v>
      </c>
      <c r="E118" t="str">
        <f>T("Hujing")</f>
        <v>Hujing</v>
      </c>
      <c r="G118" t="str">
        <f>T("Luojie")</f>
        <v>Luojie</v>
      </c>
      <c r="H118" t="str">
        <f t="shared" si="20"/>
        <v>스토리위즈</v>
      </c>
      <c r="I118" t="str">
        <f>T("공주전쟁")</f>
        <v>공주전쟁</v>
      </c>
      <c r="J118">
        <v>400</v>
      </c>
      <c r="K118">
        <v>400</v>
      </c>
      <c r="L118">
        <v>1</v>
      </c>
      <c r="M118">
        <v>0</v>
      </c>
      <c r="N118">
        <v>0</v>
      </c>
      <c r="O118">
        <v>0</v>
      </c>
      <c r="P118">
        <v>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 s="3">
        <v>400</v>
      </c>
      <c r="AH118" s="3">
        <v>7</v>
      </c>
      <c r="AI118" s="3">
        <v>0</v>
      </c>
      <c r="AJ118" s="3">
        <v>0</v>
      </c>
      <c r="AK118" s="3">
        <v>400</v>
      </c>
      <c r="AL118" s="3">
        <v>0</v>
      </c>
      <c r="AM118" s="3">
        <v>0</v>
      </c>
      <c r="AN118" s="3">
        <v>0</v>
      </c>
      <c r="AO118" s="3">
        <v>0</v>
      </c>
      <c r="AP118" s="3">
        <v>280</v>
      </c>
      <c r="AR118" t="str">
        <f t="shared" si="45"/>
        <v>0000000000000</v>
      </c>
      <c r="AT118" t="str">
        <f>T("9791166069666")</f>
        <v>9791166069666</v>
      </c>
      <c r="AV118" t="str">
        <f t="shared" si="46"/>
        <v>웹툰 &gt; 해외 순정</v>
      </c>
      <c r="AW118" t="str">
        <f>T("웹툰 &gt; 로판")</f>
        <v>웹툰 &gt; 로판</v>
      </c>
    </row>
    <row r="119" spans="1:49" x14ac:dyDescent="0.4">
      <c r="A119">
        <v>4421001305</v>
      </c>
      <c r="B119">
        <v>4421001309</v>
      </c>
      <c r="C119" t="str">
        <f>T("악역이지만, 남주는 꼬시지 않아요 5화")</f>
        <v>악역이지만, 남주는 꼬시지 않아요 5화</v>
      </c>
      <c r="D119" t="str">
        <f>T("5")</f>
        <v>5</v>
      </c>
      <c r="E119" t="str">
        <f>T("마북명")</f>
        <v>마북명</v>
      </c>
      <c r="G119" t="str">
        <f>T("kuri")</f>
        <v>kuri</v>
      </c>
      <c r="H119" t="str">
        <f t="shared" si="20"/>
        <v>스토리위즈</v>
      </c>
      <c r="I119" t="str">
        <f>T("악역이지만, 남주는 꼬시지 않아요")</f>
        <v>악역이지만, 남주는 꼬시지 않아요</v>
      </c>
      <c r="J119">
        <v>400</v>
      </c>
      <c r="K119">
        <v>400</v>
      </c>
      <c r="L119">
        <v>1</v>
      </c>
      <c r="M119">
        <v>0</v>
      </c>
      <c r="N119">
        <v>0</v>
      </c>
      <c r="O119">
        <v>0</v>
      </c>
      <c r="P119">
        <v>57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 s="3">
        <v>400</v>
      </c>
      <c r="AH119" s="3">
        <v>58</v>
      </c>
      <c r="AI119" s="3">
        <v>0</v>
      </c>
      <c r="AJ119" s="3">
        <v>0</v>
      </c>
      <c r="AK119" s="3">
        <v>400</v>
      </c>
      <c r="AL119" s="3">
        <v>0</v>
      </c>
      <c r="AM119" s="3">
        <v>0</v>
      </c>
      <c r="AN119" s="3">
        <v>0</v>
      </c>
      <c r="AO119" s="3">
        <v>0</v>
      </c>
      <c r="AP119" s="3">
        <v>280</v>
      </c>
      <c r="AR119" t="str">
        <f t="shared" si="45"/>
        <v>0000000000000</v>
      </c>
      <c r="AT119" t="str">
        <f>T("9791137603882")</f>
        <v>9791137603882</v>
      </c>
      <c r="AV119" t="str">
        <f t="shared" si="46"/>
        <v>웹툰 &gt; 해외 순정</v>
      </c>
      <c r="AW119" t="str">
        <f>T("웹툰 &gt; 로판")</f>
        <v>웹툰 &gt; 로판</v>
      </c>
    </row>
    <row r="120" spans="1:49" x14ac:dyDescent="0.4">
      <c r="A120">
        <v>4421000916</v>
      </c>
      <c r="B120">
        <v>4421001166</v>
      </c>
      <c r="C120" t="str">
        <f>T("별빛 아래 우리 35화")</f>
        <v>별빛 아래 우리 35화</v>
      </c>
      <c r="D120" t="str">
        <f>T("35")</f>
        <v>35</v>
      </c>
      <c r="E120" t="str">
        <f>T("건일")</f>
        <v>건일</v>
      </c>
      <c r="G120" t="str">
        <f>T("건일")</f>
        <v>건일</v>
      </c>
      <c r="H120" t="str">
        <f t="shared" si="20"/>
        <v>스토리위즈</v>
      </c>
      <c r="I120" t="str">
        <f>T("별빛 아래 우리")</f>
        <v>별빛 아래 우리</v>
      </c>
      <c r="J120">
        <v>400</v>
      </c>
      <c r="K120">
        <v>400</v>
      </c>
      <c r="L120">
        <v>1</v>
      </c>
      <c r="M120">
        <v>0</v>
      </c>
      <c r="N120">
        <v>1000</v>
      </c>
      <c r="O120">
        <v>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s="3">
        <v>1400</v>
      </c>
      <c r="AH120" s="3">
        <v>6</v>
      </c>
      <c r="AI120" s="3">
        <v>0</v>
      </c>
      <c r="AJ120" s="3">
        <v>0</v>
      </c>
      <c r="AK120" s="3">
        <v>779</v>
      </c>
      <c r="AL120" s="3">
        <v>0</v>
      </c>
      <c r="AM120" s="3">
        <v>745.2</v>
      </c>
      <c r="AN120" s="3">
        <v>-223.56</v>
      </c>
      <c r="AO120" s="3">
        <v>0</v>
      </c>
      <c r="AP120" s="3">
        <v>910.45</v>
      </c>
      <c r="AR120" t="str">
        <f t="shared" si="45"/>
        <v>0000000000000</v>
      </c>
      <c r="AT120" t="str">
        <f>T("9791137601413")</f>
        <v>9791137601413</v>
      </c>
      <c r="AV120" t="str">
        <f t="shared" si="46"/>
        <v>웹툰 &gt; 해외 순정</v>
      </c>
      <c r="AW120" t="str">
        <f>T("웹툰 &gt; 로맨스")</f>
        <v>웹툰 &gt; 로맨스</v>
      </c>
    </row>
    <row r="121" spans="1:49" x14ac:dyDescent="0.4">
      <c r="A121">
        <v>4421000916</v>
      </c>
      <c r="B121">
        <v>4421000978</v>
      </c>
      <c r="C121" t="str">
        <f>T("별빛 아래 우리 29화")</f>
        <v>별빛 아래 우리 29화</v>
      </c>
      <c r="D121" t="str">
        <f>T("29")</f>
        <v>29</v>
      </c>
      <c r="E121" t="str">
        <f>T("건일")</f>
        <v>건일</v>
      </c>
      <c r="G121" t="str">
        <f>T("건일")</f>
        <v>건일</v>
      </c>
      <c r="H121" t="str">
        <f t="shared" si="20"/>
        <v>스토리위즈</v>
      </c>
      <c r="I121" t="str">
        <f>T("별빛 아래 우리")</f>
        <v>별빛 아래 우리</v>
      </c>
      <c r="J121">
        <v>400</v>
      </c>
      <c r="K121">
        <v>400</v>
      </c>
      <c r="L121">
        <v>1</v>
      </c>
      <c r="M121">
        <v>0</v>
      </c>
      <c r="N121">
        <v>1200</v>
      </c>
      <c r="O121">
        <v>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 s="3">
        <v>1600</v>
      </c>
      <c r="AH121" s="3">
        <v>7</v>
      </c>
      <c r="AI121" s="3">
        <v>0</v>
      </c>
      <c r="AJ121" s="3">
        <v>0</v>
      </c>
      <c r="AK121" s="3">
        <v>1079</v>
      </c>
      <c r="AL121" s="3">
        <v>0</v>
      </c>
      <c r="AM121" s="3">
        <v>625.20000000000005</v>
      </c>
      <c r="AN121" s="3">
        <v>-187.56</v>
      </c>
      <c r="AO121" s="3">
        <v>0</v>
      </c>
      <c r="AP121" s="3">
        <v>1061.6500000000001</v>
      </c>
      <c r="AR121" t="str">
        <f t="shared" si="45"/>
        <v>0000000000000</v>
      </c>
      <c r="AT121" t="str">
        <f>T("9791137601413")</f>
        <v>9791137601413</v>
      </c>
      <c r="AV121" t="str">
        <f t="shared" si="46"/>
        <v>웹툰 &gt; 해외 순정</v>
      </c>
      <c r="AW121" t="str">
        <f>T("웹툰 &gt; 로맨스")</f>
        <v>웹툰 &gt; 로맨스</v>
      </c>
    </row>
    <row r="122" spans="1:49" x14ac:dyDescent="0.4">
      <c r="A122">
        <v>4421000198</v>
      </c>
      <c r="B122">
        <v>4421000203</v>
      </c>
      <c r="C122" t="str">
        <f>T("공주전쟁 6화")</f>
        <v>공주전쟁 6화</v>
      </c>
      <c r="D122" t="str">
        <f>T("6")</f>
        <v>6</v>
      </c>
      <c r="E122" t="str">
        <f>T("Hujing")</f>
        <v>Hujing</v>
      </c>
      <c r="G122" t="str">
        <f>T("Luojie")</f>
        <v>Luojie</v>
      </c>
      <c r="H122" t="str">
        <f t="shared" si="20"/>
        <v>스토리위즈</v>
      </c>
      <c r="I122" t="str">
        <f>T("공주전쟁")</f>
        <v>공주전쟁</v>
      </c>
      <c r="J122">
        <v>400</v>
      </c>
      <c r="K122">
        <v>400</v>
      </c>
      <c r="L122">
        <v>1</v>
      </c>
      <c r="M122">
        <v>0</v>
      </c>
      <c r="N122">
        <v>600</v>
      </c>
      <c r="O122">
        <v>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 s="3">
        <v>1000</v>
      </c>
      <c r="AH122" s="3">
        <v>4</v>
      </c>
      <c r="AI122" s="3">
        <v>0</v>
      </c>
      <c r="AJ122" s="3">
        <v>0</v>
      </c>
      <c r="AK122" s="3">
        <v>800</v>
      </c>
      <c r="AL122" s="3">
        <v>0</v>
      </c>
      <c r="AM122" s="3">
        <v>240</v>
      </c>
      <c r="AN122" s="3">
        <v>-72</v>
      </c>
      <c r="AO122" s="3">
        <v>0</v>
      </c>
      <c r="AP122" s="3">
        <v>677.6</v>
      </c>
      <c r="AR122" t="str">
        <f t="shared" si="45"/>
        <v>0000000000000</v>
      </c>
      <c r="AT122" t="str">
        <f>T("9791166069666")</f>
        <v>9791166069666</v>
      </c>
      <c r="AV122" t="str">
        <f t="shared" si="46"/>
        <v>웹툰 &gt; 해외 순정</v>
      </c>
      <c r="AW122" t="str">
        <f>T("웹툰 &gt; 로판")</f>
        <v>웹툰 &gt; 로판</v>
      </c>
    </row>
    <row r="123" spans="1:49" x14ac:dyDescent="0.4">
      <c r="A123">
        <v>4421000916</v>
      </c>
      <c r="B123">
        <v>4421001463</v>
      </c>
      <c r="C123" t="str">
        <f>T("별빛 아래 우리 70화")</f>
        <v>별빛 아래 우리 70화</v>
      </c>
      <c r="D123" t="str">
        <f>T("70")</f>
        <v>70</v>
      </c>
      <c r="E123" t="str">
        <f>T("건일")</f>
        <v>건일</v>
      </c>
      <c r="G123" t="str">
        <f>T("건일")</f>
        <v>건일</v>
      </c>
      <c r="H123" t="str">
        <f t="shared" si="20"/>
        <v>스토리위즈</v>
      </c>
      <c r="I123" t="str">
        <f>T("별빛 아래 우리")</f>
        <v>별빛 아래 우리</v>
      </c>
      <c r="J123">
        <v>400</v>
      </c>
      <c r="K123">
        <v>400</v>
      </c>
      <c r="L123">
        <v>1</v>
      </c>
      <c r="M123">
        <v>0</v>
      </c>
      <c r="N123">
        <v>1200</v>
      </c>
      <c r="O123">
        <v>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s="3">
        <v>1600</v>
      </c>
      <c r="AH123" s="3">
        <v>7</v>
      </c>
      <c r="AI123" s="3">
        <v>0</v>
      </c>
      <c r="AJ123" s="3">
        <v>0</v>
      </c>
      <c r="AK123" s="3">
        <v>1180</v>
      </c>
      <c r="AL123" s="3">
        <v>0</v>
      </c>
      <c r="AM123" s="3">
        <v>504.01</v>
      </c>
      <c r="AN123" s="3">
        <v>-151.19999999999999</v>
      </c>
      <c r="AO123" s="3">
        <v>0</v>
      </c>
      <c r="AP123" s="3">
        <v>1072.97</v>
      </c>
      <c r="AR123" t="str">
        <f t="shared" si="45"/>
        <v>0000000000000</v>
      </c>
      <c r="AT123" t="str">
        <f>T("9791137601413")</f>
        <v>9791137601413</v>
      </c>
      <c r="AV123" t="str">
        <f t="shared" si="46"/>
        <v>웹툰 &gt; 해외 순정</v>
      </c>
      <c r="AW123" t="str">
        <f>T("웹툰 &gt; 로맨스")</f>
        <v>웹툰 &gt; 로맨스</v>
      </c>
    </row>
    <row r="124" spans="1:49" x14ac:dyDescent="0.4">
      <c r="A124">
        <v>4421001305</v>
      </c>
      <c r="B124">
        <v>4421001306</v>
      </c>
      <c r="C124" t="str">
        <f>T("악역이지만, 남주는 꼬시지 않아요 2화")</f>
        <v>악역이지만, 남주는 꼬시지 않아요 2화</v>
      </c>
      <c r="D124" t="str">
        <f>T("2")</f>
        <v>2</v>
      </c>
      <c r="E124" t="str">
        <f>T("마북명")</f>
        <v>마북명</v>
      </c>
      <c r="G124" t="str">
        <f>T("kuri")</f>
        <v>kuri</v>
      </c>
      <c r="H124" t="str">
        <f t="shared" si="20"/>
        <v>스토리위즈</v>
      </c>
      <c r="I124" t="str">
        <f>T("악역이지만, 남주는 꼬시지 않아요")</f>
        <v>악역이지만, 남주는 꼬시지 않아요</v>
      </c>
      <c r="J124">
        <v>400</v>
      </c>
      <c r="K124">
        <v>400</v>
      </c>
      <c r="L124">
        <v>1</v>
      </c>
      <c r="M124">
        <v>0</v>
      </c>
      <c r="N124">
        <v>0</v>
      </c>
      <c r="O124">
        <v>0</v>
      </c>
      <c r="P124">
        <v>78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s="3">
        <v>400</v>
      </c>
      <c r="AH124" s="3">
        <v>79</v>
      </c>
      <c r="AI124" s="3">
        <v>0</v>
      </c>
      <c r="AJ124" s="3">
        <v>0</v>
      </c>
      <c r="AK124" s="3">
        <v>400</v>
      </c>
      <c r="AL124" s="3">
        <v>0</v>
      </c>
      <c r="AM124" s="3">
        <v>0</v>
      </c>
      <c r="AN124" s="3">
        <v>0</v>
      </c>
      <c r="AO124" s="3">
        <v>0</v>
      </c>
      <c r="AP124" s="3">
        <v>280</v>
      </c>
      <c r="AR124" t="str">
        <f t="shared" si="45"/>
        <v>0000000000000</v>
      </c>
      <c r="AT124" t="str">
        <f>T("9791137603882")</f>
        <v>9791137603882</v>
      </c>
      <c r="AV124" t="str">
        <f t="shared" si="46"/>
        <v>웹툰 &gt; 해외 순정</v>
      </c>
      <c r="AW124" t="str">
        <f>T("웹툰 &gt; 로판")</f>
        <v>웹툰 &gt; 로판</v>
      </c>
    </row>
    <row r="125" spans="1:49" x14ac:dyDescent="0.4">
      <c r="A125">
        <v>4421000198</v>
      </c>
      <c r="B125">
        <v>4421000200</v>
      </c>
      <c r="C125" t="str">
        <f>T("공주전쟁 3화")</f>
        <v>공주전쟁 3화</v>
      </c>
      <c r="D125" t="str">
        <f>T("3")</f>
        <v>3</v>
      </c>
      <c r="E125" t="str">
        <f>T("Hujing")</f>
        <v>Hujing</v>
      </c>
      <c r="G125" t="str">
        <f>T("Luojie")</f>
        <v>Luojie</v>
      </c>
      <c r="H125" t="str">
        <f t="shared" si="20"/>
        <v>스토리위즈</v>
      </c>
      <c r="I125" t="str">
        <f>T("공주전쟁")</f>
        <v>공주전쟁</v>
      </c>
      <c r="J125">
        <v>400</v>
      </c>
      <c r="K125">
        <v>400</v>
      </c>
      <c r="L125">
        <v>1</v>
      </c>
      <c r="M125">
        <v>0</v>
      </c>
      <c r="N125">
        <v>0</v>
      </c>
      <c r="O125">
        <v>0</v>
      </c>
      <c r="P125">
        <v>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s="3">
        <v>400</v>
      </c>
      <c r="AH125" s="3">
        <v>7</v>
      </c>
      <c r="AI125" s="3">
        <v>0</v>
      </c>
      <c r="AJ125" s="3">
        <v>0</v>
      </c>
      <c r="AK125" s="3">
        <v>400</v>
      </c>
      <c r="AL125" s="3">
        <v>0</v>
      </c>
      <c r="AM125" s="3">
        <v>0</v>
      </c>
      <c r="AN125" s="3">
        <v>0</v>
      </c>
      <c r="AO125" s="3">
        <v>0</v>
      </c>
      <c r="AP125" s="3">
        <v>280</v>
      </c>
      <c r="AR125" t="str">
        <f t="shared" si="45"/>
        <v>0000000000000</v>
      </c>
      <c r="AT125" t="str">
        <f>T("9791166069666")</f>
        <v>9791166069666</v>
      </c>
      <c r="AV125" t="str">
        <f t="shared" si="46"/>
        <v>웹툰 &gt; 해외 순정</v>
      </c>
      <c r="AW125" t="str">
        <f>T("웹툰 &gt; 로판")</f>
        <v>웹툰 &gt; 로판</v>
      </c>
    </row>
    <row r="126" spans="1:49" x14ac:dyDescent="0.4">
      <c r="A126">
        <v>4421000916</v>
      </c>
      <c r="B126">
        <v>4421001167</v>
      </c>
      <c r="C126" t="str">
        <f>T("별빛 아래 우리 36화")</f>
        <v>별빛 아래 우리 36화</v>
      </c>
      <c r="D126" t="str">
        <f>T("36")</f>
        <v>36</v>
      </c>
      <c r="E126" t="str">
        <f>T("건일")</f>
        <v>건일</v>
      </c>
      <c r="G126" t="str">
        <f>T("건일")</f>
        <v>건일</v>
      </c>
      <c r="H126" t="str">
        <f t="shared" si="20"/>
        <v>스토리위즈</v>
      </c>
      <c r="I126" t="str">
        <f>T("별빛 아래 우리")</f>
        <v>별빛 아래 우리</v>
      </c>
      <c r="J126">
        <v>400</v>
      </c>
      <c r="K126">
        <v>400</v>
      </c>
      <c r="L126">
        <v>1</v>
      </c>
      <c r="M126">
        <v>0</v>
      </c>
      <c r="N126">
        <v>800</v>
      </c>
      <c r="O126">
        <v>4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s="3">
        <v>1200</v>
      </c>
      <c r="AH126" s="3">
        <v>5</v>
      </c>
      <c r="AI126" s="3">
        <v>0</v>
      </c>
      <c r="AJ126" s="3">
        <v>0</v>
      </c>
      <c r="AK126" s="3">
        <v>779</v>
      </c>
      <c r="AL126" s="3">
        <v>0</v>
      </c>
      <c r="AM126" s="3">
        <v>505.2</v>
      </c>
      <c r="AN126" s="3">
        <v>-151.56</v>
      </c>
      <c r="AO126" s="3">
        <v>0</v>
      </c>
      <c r="AP126" s="3">
        <v>792.85</v>
      </c>
      <c r="AR126" t="str">
        <f t="shared" si="45"/>
        <v>0000000000000</v>
      </c>
      <c r="AT126" t="str">
        <f>T("9791137601413")</f>
        <v>9791137601413</v>
      </c>
      <c r="AV126" t="str">
        <f t="shared" si="46"/>
        <v>웹툰 &gt; 해외 순정</v>
      </c>
      <c r="AW126" t="str">
        <f>T("웹툰 &gt; 로맨스")</f>
        <v>웹툰 &gt; 로맨스</v>
      </c>
    </row>
    <row r="127" spans="1:49" x14ac:dyDescent="0.4">
      <c r="A127">
        <v>4421000198</v>
      </c>
      <c r="B127">
        <v>4421002948</v>
      </c>
      <c r="C127" t="str">
        <f>T("공주전쟁 106화")</f>
        <v>공주전쟁 106화</v>
      </c>
      <c r="D127" t="str">
        <f>T("106")</f>
        <v>106</v>
      </c>
      <c r="E127" t="str">
        <f>T("Hujing")</f>
        <v>Hujing</v>
      </c>
      <c r="G127" t="str">
        <f>T("Luojie")</f>
        <v>Luojie</v>
      </c>
      <c r="H127" t="str">
        <f t="shared" si="20"/>
        <v>스토리위즈</v>
      </c>
      <c r="I127" t="str">
        <f>T("공주전쟁")</f>
        <v>공주전쟁</v>
      </c>
      <c r="J127">
        <v>400</v>
      </c>
      <c r="K127">
        <v>400</v>
      </c>
      <c r="L127">
        <v>1</v>
      </c>
      <c r="M127">
        <v>0</v>
      </c>
      <c r="N127">
        <v>800</v>
      </c>
      <c r="O127">
        <v>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s="3">
        <v>1200</v>
      </c>
      <c r="AH127" s="3">
        <v>5</v>
      </c>
      <c r="AI127" s="3">
        <v>0</v>
      </c>
      <c r="AJ127" s="3">
        <v>0</v>
      </c>
      <c r="AK127" s="3">
        <v>600</v>
      </c>
      <c r="AL127" s="3">
        <v>0</v>
      </c>
      <c r="AM127" s="3">
        <v>720</v>
      </c>
      <c r="AN127" s="3">
        <v>-216</v>
      </c>
      <c r="AO127" s="3">
        <v>0</v>
      </c>
      <c r="AP127" s="3">
        <v>772.8</v>
      </c>
      <c r="AR127" t="str">
        <f t="shared" si="45"/>
        <v>0000000000000</v>
      </c>
      <c r="AT127" t="str">
        <f>T("9791166069666")</f>
        <v>9791166069666</v>
      </c>
      <c r="AV127" t="str">
        <f t="shared" si="46"/>
        <v>웹툰 &gt; 해외 순정</v>
      </c>
      <c r="AW127" t="str">
        <f>T("웹툰 &gt; 로판")</f>
        <v>웹툰 &gt; 로판</v>
      </c>
    </row>
    <row r="128" spans="1:49" x14ac:dyDescent="0.4">
      <c r="A128">
        <v>4421000916</v>
      </c>
      <c r="B128">
        <v>4421000939</v>
      </c>
      <c r="C128" t="str">
        <f>T("별빛 아래 우리 24화")</f>
        <v>별빛 아래 우리 24화</v>
      </c>
      <c r="D128" t="str">
        <f>T("24")</f>
        <v>24</v>
      </c>
      <c r="E128" t="str">
        <f>T("건일")</f>
        <v>건일</v>
      </c>
      <c r="G128" t="str">
        <f>T("건일")</f>
        <v>건일</v>
      </c>
      <c r="H128" t="str">
        <f t="shared" si="20"/>
        <v>스토리위즈</v>
      </c>
      <c r="I128" t="str">
        <f>T("별빛 아래 우리")</f>
        <v>별빛 아래 우리</v>
      </c>
      <c r="J128">
        <v>400</v>
      </c>
      <c r="K128">
        <v>400</v>
      </c>
      <c r="L128">
        <v>1</v>
      </c>
      <c r="M128">
        <v>0</v>
      </c>
      <c r="N128">
        <v>1200</v>
      </c>
      <c r="O128">
        <v>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s="3">
        <v>1600</v>
      </c>
      <c r="AH128" s="3">
        <v>7</v>
      </c>
      <c r="AI128" s="3">
        <v>0</v>
      </c>
      <c r="AJ128" s="3">
        <v>0</v>
      </c>
      <c r="AK128" s="3">
        <v>800</v>
      </c>
      <c r="AL128" s="3">
        <v>0</v>
      </c>
      <c r="AM128" s="3">
        <v>958.3</v>
      </c>
      <c r="AN128" s="3">
        <v>-287.49</v>
      </c>
      <c r="AO128" s="3">
        <v>0</v>
      </c>
      <c r="AP128" s="3">
        <v>1029.57</v>
      </c>
      <c r="AR128" t="str">
        <f t="shared" si="45"/>
        <v>0000000000000</v>
      </c>
      <c r="AT128" t="str">
        <f>T("9791137601413")</f>
        <v>9791137601413</v>
      </c>
      <c r="AV128" t="str">
        <f t="shared" si="46"/>
        <v>웹툰 &gt; 해외 순정</v>
      </c>
      <c r="AW128" t="str">
        <f>T("웹툰 &gt; 로맨스")</f>
        <v>웹툰 &gt; 로맨스</v>
      </c>
    </row>
    <row r="129" spans="1:49" x14ac:dyDescent="0.4">
      <c r="A129">
        <v>4421000198</v>
      </c>
      <c r="B129">
        <v>4421000204</v>
      </c>
      <c r="C129" t="str">
        <f>T("공주전쟁 7화")</f>
        <v>공주전쟁 7화</v>
      </c>
      <c r="D129" t="str">
        <f>T("7")</f>
        <v>7</v>
      </c>
      <c r="E129" t="str">
        <f>T("Hujing")</f>
        <v>Hujing</v>
      </c>
      <c r="G129" t="str">
        <f>T("Luojie")</f>
        <v>Luojie</v>
      </c>
      <c r="H129" t="str">
        <f t="shared" si="20"/>
        <v>스토리위즈</v>
      </c>
      <c r="I129" t="str">
        <f>T("공주전쟁")</f>
        <v>공주전쟁</v>
      </c>
      <c r="J129">
        <v>400</v>
      </c>
      <c r="K129">
        <v>400</v>
      </c>
      <c r="L129">
        <v>1</v>
      </c>
      <c r="M129">
        <v>0</v>
      </c>
      <c r="N129">
        <v>600</v>
      </c>
      <c r="O129">
        <v>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s="3">
        <v>1000</v>
      </c>
      <c r="AH129" s="3">
        <v>4</v>
      </c>
      <c r="AI129" s="3">
        <v>0</v>
      </c>
      <c r="AJ129" s="3">
        <v>0</v>
      </c>
      <c r="AK129" s="3">
        <v>800</v>
      </c>
      <c r="AL129" s="3">
        <v>0</v>
      </c>
      <c r="AM129" s="3">
        <v>240</v>
      </c>
      <c r="AN129" s="3">
        <v>-72</v>
      </c>
      <c r="AO129" s="3">
        <v>0</v>
      </c>
      <c r="AP129" s="3">
        <v>677.6</v>
      </c>
      <c r="AR129" t="str">
        <f t="shared" si="45"/>
        <v>0000000000000</v>
      </c>
      <c r="AT129" t="str">
        <f>T("9791166069666")</f>
        <v>9791166069666</v>
      </c>
      <c r="AV129" t="str">
        <f t="shared" si="46"/>
        <v>웹툰 &gt; 해외 순정</v>
      </c>
      <c r="AW129" t="str">
        <f>T("웹툰 &gt; 로판")</f>
        <v>웹툰 &gt; 로판</v>
      </c>
    </row>
    <row r="130" spans="1:49" x14ac:dyDescent="0.4">
      <c r="A130">
        <v>4421001305</v>
      </c>
      <c r="B130">
        <v>4421001307</v>
      </c>
      <c r="C130" t="str">
        <f>T("악역이지만, 남주는 꼬시지 않아요 3화")</f>
        <v>악역이지만, 남주는 꼬시지 않아요 3화</v>
      </c>
      <c r="D130" t="str">
        <f>T("3")</f>
        <v>3</v>
      </c>
      <c r="E130" t="str">
        <f>T("마북명")</f>
        <v>마북명</v>
      </c>
      <c r="G130" t="str">
        <f>T("kuri")</f>
        <v>kuri</v>
      </c>
      <c r="H130" t="str">
        <f t="shared" ref="H130:H193" si="47">T("스토리위즈")</f>
        <v>스토리위즈</v>
      </c>
      <c r="I130" t="str">
        <f>T("악역이지만, 남주는 꼬시지 않아요")</f>
        <v>악역이지만, 남주는 꼬시지 않아요</v>
      </c>
      <c r="J130">
        <v>400</v>
      </c>
      <c r="K130">
        <v>400</v>
      </c>
      <c r="L130">
        <v>1</v>
      </c>
      <c r="M130">
        <v>0</v>
      </c>
      <c r="N130">
        <v>0</v>
      </c>
      <c r="O130">
        <v>0</v>
      </c>
      <c r="P130">
        <v>62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s="3">
        <v>400</v>
      </c>
      <c r="AH130" s="3">
        <v>63</v>
      </c>
      <c r="AI130" s="3">
        <v>0</v>
      </c>
      <c r="AJ130" s="3">
        <v>0</v>
      </c>
      <c r="AK130" s="3">
        <v>400</v>
      </c>
      <c r="AL130" s="3">
        <v>0</v>
      </c>
      <c r="AM130" s="3">
        <v>0</v>
      </c>
      <c r="AN130" s="3">
        <v>0</v>
      </c>
      <c r="AO130" s="3">
        <v>0</v>
      </c>
      <c r="AP130" s="3">
        <v>280</v>
      </c>
      <c r="AR130" t="str">
        <f t="shared" si="45"/>
        <v>0000000000000</v>
      </c>
      <c r="AT130" t="str">
        <f>T("9791137603882")</f>
        <v>9791137603882</v>
      </c>
      <c r="AV130" t="str">
        <f t="shared" si="46"/>
        <v>웹툰 &gt; 해외 순정</v>
      </c>
      <c r="AW130" t="str">
        <f>T("웹툰 &gt; 로판")</f>
        <v>웹툰 &gt; 로판</v>
      </c>
    </row>
    <row r="131" spans="1:49" x14ac:dyDescent="0.4">
      <c r="A131">
        <v>4421000198</v>
      </c>
      <c r="B131">
        <v>4421002953</v>
      </c>
      <c r="C131" t="str">
        <f>T("공주전쟁 107화")</f>
        <v>공주전쟁 107화</v>
      </c>
      <c r="D131" t="str">
        <f>T("107")</f>
        <v>107</v>
      </c>
      <c r="E131" t="str">
        <f>T("Hujing")</f>
        <v>Hujing</v>
      </c>
      <c r="G131" t="str">
        <f>T("Luojie")</f>
        <v>Luojie</v>
      </c>
      <c r="H131" t="str">
        <f t="shared" si="47"/>
        <v>스토리위즈</v>
      </c>
      <c r="I131" t="str">
        <f>T("공주전쟁")</f>
        <v>공주전쟁</v>
      </c>
      <c r="J131">
        <v>400</v>
      </c>
      <c r="K131">
        <v>400</v>
      </c>
      <c r="L131">
        <v>1</v>
      </c>
      <c r="M131">
        <v>0</v>
      </c>
      <c r="N131">
        <v>800</v>
      </c>
      <c r="O131">
        <v>4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s="3">
        <v>1200</v>
      </c>
      <c r="AH131" s="3">
        <v>5</v>
      </c>
      <c r="AI131" s="3">
        <v>0</v>
      </c>
      <c r="AJ131" s="3">
        <v>0</v>
      </c>
      <c r="AK131" s="3">
        <v>600</v>
      </c>
      <c r="AL131" s="3">
        <v>0</v>
      </c>
      <c r="AM131" s="3">
        <v>720</v>
      </c>
      <c r="AN131" s="3">
        <v>-216</v>
      </c>
      <c r="AO131" s="3">
        <v>0</v>
      </c>
      <c r="AP131" s="3">
        <v>772.8</v>
      </c>
      <c r="AR131" t="str">
        <f t="shared" si="45"/>
        <v>0000000000000</v>
      </c>
      <c r="AT131" t="str">
        <f>T("9791166069666")</f>
        <v>9791166069666</v>
      </c>
      <c r="AV131" t="str">
        <f t="shared" si="46"/>
        <v>웹툰 &gt; 해외 순정</v>
      </c>
      <c r="AW131" t="str">
        <f>T("웹툰 &gt; 로판")</f>
        <v>웹툰 &gt; 로판</v>
      </c>
    </row>
    <row r="132" spans="1:49" x14ac:dyDescent="0.4">
      <c r="A132">
        <v>4421000916</v>
      </c>
      <c r="B132">
        <v>4421001164</v>
      </c>
      <c r="C132" t="str">
        <f>T("별빛 아래 우리 33화")</f>
        <v>별빛 아래 우리 33화</v>
      </c>
      <c r="D132" t="str">
        <f>T("33")</f>
        <v>33</v>
      </c>
      <c r="E132" t="str">
        <f>T("건일")</f>
        <v>건일</v>
      </c>
      <c r="G132" t="str">
        <f>T("건일")</f>
        <v>건일</v>
      </c>
      <c r="H132" t="str">
        <f t="shared" si="47"/>
        <v>스토리위즈</v>
      </c>
      <c r="I132" t="str">
        <f>T("별빛 아래 우리")</f>
        <v>별빛 아래 우리</v>
      </c>
      <c r="J132">
        <v>400</v>
      </c>
      <c r="K132">
        <v>400</v>
      </c>
      <c r="L132">
        <v>1</v>
      </c>
      <c r="M132">
        <v>0</v>
      </c>
      <c r="N132">
        <v>1000</v>
      </c>
      <c r="O132">
        <v>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s="3">
        <v>1400</v>
      </c>
      <c r="AH132" s="3">
        <v>6</v>
      </c>
      <c r="AI132" s="3">
        <v>0</v>
      </c>
      <c r="AJ132" s="3">
        <v>0</v>
      </c>
      <c r="AK132" s="3">
        <v>779</v>
      </c>
      <c r="AL132" s="3">
        <v>0</v>
      </c>
      <c r="AM132" s="3">
        <v>745.2</v>
      </c>
      <c r="AN132" s="3">
        <v>-223.56</v>
      </c>
      <c r="AO132" s="3">
        <v>0</v>
      </c>
      <c r="AP132" s="3">
        <v>910.45</v>
      </c>
      <c r="AR132" t="str">
        <f t="shared" si="45"/>
        <v>0000000000000</v>
      </c>
      <c r="AT132" t="str">
        <f>T("9791137601413")</f>
        <v>9791137601413</v>
      </c>
      <c r="AV132" t="str">
        <f t="shared" si="46"/>
        <v>웹툰 &gt; 해외 순정</v>
      </c>
      <c r="AW132" t="str">
        <f>T("웹툰 &gt; 로맨스")</f>
        <v>웹툰 &gt; 로맨스</v>
      </c>
    </row>
    <row r="133" spans="1:49" x14ac:dyDescent="0.4">
      <c r="A133">
        <v>4421000198</v>
      </c>
      <c r="B133">
        <v>4421000201</v>
      </c>
      <c r="C133" t="str">
        <f>T("공주전쟁 4화")</f>
        <v>공주전쟁 4화</v>
      </c>
      <c r="D133" t="str">
        <f>T("4")</f>
        <v>4</v>
      </c>
      <c r="E133" t="str">
        <f>T("Hujing")</f>
        <v>Hujing</v>
      </c>
      <c r="G133" t="str">
        <f>T("Luojie")</f>
        <v>Luojie</v>
      </c>
      <c r="H133" t="str">
        <f t="shared" si="47"/>
        <v>스토리위즈</v>
      </c>
      <c r="I133" t="str">
        <f>T("공주전쟁")</f>
        <v>공주전쟁</v>
      </c>
      <c r="J133">
        <v>400</v>
      </c>
      <c r="K133">
        <v>400</v>
      </c>
      <c r="L133">
        <v>1</v>
      </c>
      <c r="M133">
        <v>0</v>
      </c>
      <c r="N133">
        <v>0</v>
      </c>
      <c r="O133">
        <v>0</v>
      </c>
      <c r="P133">
        <v>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s="3">
        <v>400</v>
      </c>
      <c r="AH133" s="3">
        <v>6</v>
      </c>
      <c r="AI133" s="3">
        <v>0</v>
      </c>
      <c r="AJ133" s="3">
        <v>0</v>
      </c>
      <c r="AK133" s="3">
        <v>400</v>
      </c>
      <c r="AL133" s="3">
        <v>0</v>
      </c>
      <c r="AM133" s="3">
        <v>0</v>
      </c>
      <c r="AN133" s="3">
        <v>0</v>
      </c>
      <c r="AO133" s="3">
        <v>0</v>
      </c>
      <c r="AP133" s="3">
        <v>280</v>
      </c>
      <c r="AR133" t="str">
        <f t="shared" si="45"/>
        <v>0000000000000</v>
      </c>
      <c r="AT133" t="str">
        <f>T("9791166069666")</f>
        <v>9791166069666</v>
      </c>
      <c r="AV133" t="str">
        <f t="shared" si="46"/>
        <v>웹툰 &gt; 해외 순정</v>
      </c>
      <c r="AW133" t="str">
        <f>T("웹툰 &gt; 로판")</f>
        <v>웹툰 &gt; 로판</v>
      </c>
    </row>
    <row r="134" spans="1:49" x14ac:dyDescent="0.4">
      <c r="A134">
        <v>4421000916</v>
      </c>
      <c r="B134">
        <v>4421001168</v>
      </c>
      <c r="C134" t="str">
        <f>T("별빛 아래 우리 37화")</f>
        <v>별빛 아래 우리 37화</v>
      </c>
      <c r="D134" t="str">
        <f>T("37")</f>
        <v>37</v>
      </c>
      <c r="E134" t="str">
        <f>T("건일")</f>
        <v>건일</v>
      </c>
      <c r="G134" t="str">
        <f>T("건일")</f>
        <v>건일</v>
      </c>
      <c r="H134" t="str">
        <f t="shared" si="47"/>
        <v>스토리위즈</v>
      </c>
      <c r="I134" t="str">
        <f>T("별빛 아래 우리")</f>
        <v>별빛 아래 우리</v>
      </c>
      <c r="J134">
        <v>400</v>
      </c>
      <c r="K134">
        <v>400</v>
      </c>
      <c r="L134">
        <v>1</v>
      </c>
      <c r="M134">
        <v>0</v>
      </c>
      <c r="N134">
        <v>800</v>
      </c>
      <c r="O134">
        <v>4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s="3">
        <v>1200</v>
      </c>
      <c r="AH134" s="3">
        <v>5</v>
      </c>
      <c r="AI134" s="3">
        <v>0</v>
      </c>
      <c r="AJ134" s="3">
        <v>0</v>
      </c>
      <c r="AK134" s="3">
        <v>779</v>
      </c>
      <c r="AL134" s="3">
        <v>0</v>
      </c>
      <c r="AM134" s="3">
        <v>505.2</v>
      </c>
      <c r="AN134" s="3">
        <v>-151.56</v>
      </c>
      <c r="AO134" s="3">
        <v>0</v>
      </c>
      <c r="AP134" s="3">
        <v>792.85</v>
      </c>
      <c r="AR134" t="str">
        <f t="shared" si="45"/>
        <v>0000000000000</v>
      </c>
      <c r="AT134" t="str">
        <f>T("9791137601413")</f>
        <v>9791137601413</v>
      </c>
      <c r="AV134" t="str">
        <f t="shared" si="46"/>
        <v>웹툰 &gt; 해외 순정</v>
      </c>
      <c r="AW134" t="str">
        <f>T("웹툰 &gt; 로맨스")</f>
        <v>웹툰 &gt; 로맨스</v>
      </c>
    </row>
    <row r="135" spans="1:49" x14ac:dyDescent="0.4">
      <c r="A135">
        <v>4421000916</v>
      </c>
      <c r="B135">
        <v>4421000980</v>
      </c>
      <c r="C135" t="str">
        <f>T("별빛 아래 우리 31화")</f>
        <v>별빛 아래 우리 31화</v>
      </c>
      <c r="D135" t="str">
        <f>T("31")</f>
        <v>31</v>
      </c>
      <c r="E135" t="str">
        <f>T("건일")</f>
        <v>건일</v>
      </c>
      <c r="G135" t="str">
        <f>T("건일")</f>
        <v>건일</v>
      </c>
      <c r="H135" t="str">
        <f t="shared" si="47"/>
        <v>스토리위즈</v>
      </c>
      <c r="I135" t="str">
        <f>T("별빛 아래 우리")</f>
        <v>별빛 아래 우리</v>
      </c>
      <c r="J135">
        <v>400</v>
      </c>
      <c r="K135">
        <v>400</v>
      </c>
      <c r="L135">
        <v>1</v>
      </c>
      <c r="M135">
        <v>0</v>
      </c>
      <c r="N135">
        <v>1000</v>
      </c>
      <c r="O135">
        <v>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s="3">
        <v>1400</v>
      </c>
      <c r="AH135" s="3">
        <v>6</v>
      </c>
      <c r="AI135" s="3">
        <v>0</v>
      </c>
      <c r="AJ135" s="3">
        <v>0</v>
      </c>
      <c r="AK135" s="3">
        <v>779</v>
      </c>
      <c r="AL135" s="3">
        <v>0</v>
      </c>
      <c r="AM135" s="3">
        <v>745.2</v>
      </c>
      <c r="AN135" s="3">
        <v>-223.56</v>
      </c>
      <c r="AO135" s="3">
        <v>0</v>
      </c>
      <c r="AP135" s="3">
        <v>910.45</v>
      </c>
      <c r="AR135" t="str">
        <f t="shared" si="45"/>
        <v>0000000000000</v>
      </c>
      <c r="AT135" t="str">
        <f>T("9791137601413")</f>
        <v>9791137601413</v>
      </c>
      <c r="AV135" t="str">
        <f t="shared" si="46"/>
        <v>웹툰 &gt; 해외 순정</v>
      </c>
      <c r="AW135" t="str">
        <f>T("웹툰 &gt; 로맨스")</f>
        <v>웹툰 &gt; 로맨스</v>
      </c>
    </row>
    <row r="136" spans="1:49" x14ac:dyDescent="0.4">
      <c r="A136">
        <v>4421000198</v>
      </c>
      <c r="B136">
        <v>4421000198</v>
      </c>
      <c r="C136" t="str">
        <f>T("공주전쟁 1화")</f>
        <v>공주전쟁 1화</v>
      </c>
      <c r="D136" t="str">
        <f>T("1")</f>
        <v>1</v>
      </c>
      <c r="E136" t="str">
        <f>T("Hujing")</f>
        <v>Hujing</v>
      </c>
      <c r="G136" t="str">
        <f>T("Luojie")</f>
        <v>Luojie</v>
      </c>
      <c r="H136" t="str">
        <f t="shared" si="47"/>
        <v>스토리위즈</v>
      </c>
      <c r="I136" t="str">
        <f>T("공주전쟁")</f>
        <v>공주전쟁</v>
      </c>
      <c r="J136">
        <v>400</v>
      </c>
      <c r="K136">
        <v>400</v>
      </c>
      <c r="L136">
        <v>1</v>
      </c>
      <c r="M136">
        <v>0</v>
      </c>
      <c r="N136">
        <v>0</v>
      </c>
      <c r="O136">
        <v>0</v>
      </c>
      <c r="P136">
        <v>10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 s="3">
        <v>400</v>
      </c>
      <c r="AH136" s="3">
        <v>11</v>
      </c>
      <c r="AI136" s="3">
        <v>0</v>
      </c>
      <c r="AJ136" s="3">
        <v>0</v>
      </c>
      <c r="AK136" s="3">
        <v>400</v>
      </c>
      <c r="AL136" s="3">
        <v>0</v>
      </c>
      <c r="AM136" s="3">
        <v>0</v>
      </c>
      <c r="AN136" s="3">
        <v>0</v>
      </c>
      <c r="AO136" s="3">
        <v>0</v>
      </c>
      <c r="AP136" s="3">
        <v>280</v>
      </c>
      <c r="AR136" t="str">
        <f t="shared" si="45"/>
        <v>0000000000000</v>
      </c>
      <c r="AT136" t="str">
        <f>T("9791166069666")</f>
        <v>9791166069666</v>
      </c>
      <c r="AV136" t="str">
        <f t="shared" si="46"/>
        <v>웹툰 &gt; 해외 순정</v>
      </c>
      <c r="AW136" t="str">
        <f>T("웹툰 &gt; 로판")</f>
        <v>웹툰 &gt; 로판</v>
      </c>
    </row>
    <row r="137" spans="1:49" x14ac:dyDescent="0.4">
      <c r="A137">
        <v>4421001305</v>
      </c>
      <c r="B137">
        <v>4421001308</v>
      </c>
      <c r="C137" t="str">
        <f>T("악역이지만, 남주는 꼬시지 않아요 4화")</f>
        <v>악역이지만, 남주는 꼬시지 않아요 4화</v>
      </c>
      <c r="D137" t="str">
        <f>T("4")</f>
        <v>4</v>
      </c>
      <c r="E137" t="str">
        <f>T("마북명")</f>
        <v>마북명</v>
      </c>
      <c r="G137" t="str">
        <f>T("kuri")</f>
        <v>kuri</v>
      </c>
      <c r="H137" t="str">
        <f t="shared" si="47"/>
        <v>스토리위즈</v>
      </c>
      <c r="I137" t="str">
        <f>T("악역이지만, 남주는 꼬시지 않아요")</f>
        <v>악역이지만, 남주는 꼬시지 않아요</v>
      </c>
      <c r="J137">
        <v>400</v>
      </c>
      <c r="K137">
        <v>400</v>
      </c>
      <c r="L137">
        <v>1</v>
      </c>
      <c r="M137">
        <v>0</v>
      </c>
      <c r="N137">
        <v>0</v>
      </c>
      <c r="O137">
        <v>0</v>
      </c>
      <c r="P137">
        <v>58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s="3">
        <v>400</v>
      </c>
      <c r="AH137" s="3">
        <v>59</v>
      </c>
      <c r="AI137" s="3">
        <v>0</v>
      </c>
      <c r="AJ137" s="3">
        <v>0</v>
      </c>
      <c r="AK137" s="3">
        <v>400</v>
      </c>
      <c r="AL137" s="3">
        <v>0</v>
      </c>
      <c r="AM137" s="3">
        <v>0</v>
      </c>
      <c r="AN137" s="3">
        <v>0</v>
      </c>
      <c r="AO137" s="3">
        <v>0</v>
      </c>
      <c r="AP137" s="3">
        <v>280</v>
      </c>
      <c r="AR137" t="str">
        <f t="shared" si="45"/>
        <v>0000000000000</v>
      </c>
      <c r="AT137" t="str">
        <f>T("9791137603882")</f>
        <v>9791137603882</v>
      </c>
      <c r="AV137" t="str">
        <f t="shared" si="46"/>
        <v>웹툰 &gt; 해외 순정</v>
      </c>
      <c r="AW137" t="str">
        <f>T("웹툰 &gt; 로판")</f>
        <v>웹툰 &gt; 로판</v>
      </c>
    </row>
    <row r="138" spans="1:49" x14ac:dyDescent="0.4">
      <c r="A138">
        <v>4421000198</v>
      </c>
      <c r="B138">
        <v>4421002954</v>
      </c>
      <c r="C138" t="str">
        <f>T("공주전쟁 108화")</f>
        <v>공주전쟁 108화</v>
      </c>
      <c r="D138" t="str">
        <f>T("108")</f>
        <v>108</v>
      </c>
      <c r="E138" t="str">
        <f>T("Hujing")</f>
        <v>Hujing</v>
      </c>
      <c r="G138" t="str">
        <f>T("Luojie")</f>
        <v>Luojie</v>
      </c>
      <c r="H138" t="str">
        <f t="shared" si="47"/>
        <v>스토리위즈</v>
      </c>
      <c r="I138" t="str">
        <f>T("공주전쟁")</f>
        <v>공주전쟁</v>
      </c>
      <c r="J138">
        <v>400</v>
      </c>
      <c r="K138">
        <v>400</v>
      </c>
      <c r="L138">
        <v>1</v>
      </c>
      <c r="M138">
        <v>0</v>
      </c>
      <c r="N138">
        <v>800</v>
      </c>
      <c r="O138">
        <v>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s="3">
        <v>1200</v>
      </c>
      <c r="AH138" s="3">
        <v>5</v>
      </c>
      <c r="AI138" s="3">
        <v>0</v>
      </c>
      <c r="AJ138" s="3">
        <v>0</v>
      </c>
      <c r="AK138" s="3">
        <v>1000</v>
      </c>
      <c r="AL138" s="3">
        <v>0</v>
      </c>
      <c r="AM138" s="3">
        <v>240</v>
      </c>
      <c r="AN138" s="3">
        <v>-72</v>
      </c>
      <c r="AO138" s="3">
        <v>0</v>
      </c>
      <c r="AP138" s="3">
        <v>817.6</v>
      </c>
      <c r="AR138" t="str">
        <f t="shared" si="45"/>
        <v>0000000000000</v>
      </c>
      <c r="AT138" t="str">
        <f>T("9791166069666")</f>
        <v>9791166069666</v>
      </c>
      <c r="AV138" t="str">
        <f t="shared" si="46"/>
        <v>웹툰 &gt; 해외 순정</v>
      </c>
      <c r="AW138" t="str">
        <f>T("웹툰 &gt; 로판")</f>
        <v>웹툰 &gt; 로판</v>
      </c>
    </row>
    <row r="139" spans="1:49" x14ac:dyDescent="0.4">
      <c r="A139">
        <v>4421000916</v>
      </c>
      <c r="B139">
        <v>4421001165</v>
      </c>
      <c r="C139" t="str">
        <f>T("별빛 아래 우리 34화")</f>
        <v>별빛 아래 우리 34화</v>
      </c>
      <c r="D139" t="str">
        <f>T("34")</f>
        <v>34</v>
      </c>
      <c r="E139" t="str">
        <f>T("건일")</f>
        <v>건일</v>
      </c>
      <c r="G139" t="str">
        <f>T("건일")</f>
        <v>건일</v>
      </c>
      <c r="H139" t="str">
        <f t="shared" si="47"/>
        <v>스토리위즈</v>
      </c>
      <c r="I139" t="str">
        <f>T("별빛 아래 우리")</f>
        <v>별빛 아래 우리</v>
      </c>
      <c r="J139">
        <v>400</v>
      </c>
      <c r="K139">
        <v>400</v>
      </c>
      <c r="L139">
        <v>1</v>
      </c>
      <c r="M139">
        <v>0</v>
      </c>
      <c r="N139">
        <v>1000</v>
      </c>
      <c r="O139">
        <v>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 s="3">
        <v>1400</v>
      </c>
      <c r="AH139" s="3">
        <v>6</v>
      </c>
      <c r="AI139" s="3">
        <v>0</v>
      </c>
      <c r="AJ139" s="3">
        <v>0</v>
      </c>
      <c r="AK139" s="3">
        <v>879</v>
      </c>
      <c r="AL139" s="3">
        <v>0</v>
      </c>
      <c r="AM139" s="3">
        <v>625.20000000000005</v>
      </c>
      <c r="AN139" s="3">
        <v>-187.56</v>
      </c>
      <c r="AO139" s="3">
        <v>0</v>
      </c>
      <c r="AP139" s="3">
        <v>921.65</v>
      </c>
      <c r="AR139" t="str">
        <f t="shared" si="45"/>
        <v>0000000000000</v>
      </c>
      <c r="AT139" t="str">
        <f>T("9791137601413")</f>
        <v>9791137601413</v>
      </c>
      <c r="AV139" t="str">
        <f t="shared" si="46"/>
        <v>웹툰 &gt; 해외 순정</v>
      </c>
      <c r="AW139" t="str">
        <f>T("웹툰 &gt; 로맨스")</f>
        <v>웹툰 &gt; 로맨스</v>
      </c>
    </row>
    <row r="140" spans="1:49" x14ac:dyDescent="0.4">
      <c r="A140">
        <v>4421000198</v>
      </c>
      <c r="B140">
        <v>4421000202</v>
      </c>
      <c r="C140" t="str">
        <f>T("공주전쟁 5화")</f>
        <v>공주전쟁 5화</v>
      </c>
      <c r="D140" t="str">
        <f>T("5")</f>
        <v>5</v>
      </c>
      <c r="E140" t="str">
        <f>T("Hujing")</f>
        <v>Hujing</v>
      </c>
      <c r="G140" t="str">
        <f>T("Luojie")</f>
        <v>Luojie</v>
      </c>
      <c r="H140" t="str">
        <f t="shared" si="47"/>
        <v>스토리위즈</v>
      </c>
      <c r="I140" t="str">
        <f>T("공주전쟁")</f>
        <v>공주전쟁</v>
      </c>
      <c r="J140">
        <v>400</v>
      </c>
      <c r="K140">
        <v>400</v>
      </c>
      <c r="L140">
        <v>1</v>
      </c>
      <c r="M140">
        <v>0</v>
      </c>
      <c r="N140">
        <v>0</v>
      </c>
      <c r="O140">
        <v>0</v>
      </c>
      <c r="P140">
        <v>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s="3">
        <v>400</v>
      </c>
      <c r="AH140" s="3">
        <v>9</v>
      </c>
      <c r="AI140" s="3">
        <v>0</v>
      </c>
      <c r="AJ140" s="3">
        <v>0</v>
      </c>
      <c r="AK140" s="3">
        <v>400</v>
      </c>
      <c r="AL140" s="3">
        <v>0</v>
      </c>
      <c r="AM140" s="3">
        <v>0</v>
      </c>
      <c r="AN140" s="3">
        <v>0</v>
      </c>
      <c r="AO140" s="3">
        <v>0</v>
      </c>
      <c r="AP140" s="3">
        <v>280</v>
      </c>
      <c r="AR140" t="str">
        <f t="shared" si="45"/>
        <v>0000000000000</v>
      </c>
      <c r="AT140" t="str">
        <f>T("9791166069666")</f>
        <v>9791166069666</v>
      </c>
      <c r="AV140" t="str">
        <f t="shared" si="46"/>
        <v>웹툰 &gt; 해외 순정</v>
      </c>
      <c r="AW140" t="str">
        <f>T("웹툰 &gt; 로판")</f>
        <v>웹툰 &gt; 로판</v>
      </c>
    </row>
    <row r="141" spans="1:49" x14ac:dyDescent="0.4">
      <c r="A141">
        <v>4421001305</v>
      </c>
      <c r="B141">
        <v>4421001305</v>
      </c>
      <c r="C141" t="str">
        <f>T("악역이지만, 남주는 꼬시지 않아요 1화")</f>
        <v>악역이지만, 남주는 꼬시지 않아요 1화</v>
      </c>
      <c r="D141" t="str">
        <f>T("1")</f>
        <v>1</v>
      </c>
      <c r="E141" t="str">
        <f>T("마북명")</f>
        <v>마북명</v>
      </c>
      <c r="G141" t="str">
        <f>T("kuri")</f>
        <v>kuri</v>
      </c>
      <c r="H141" t="str">
        <f t="shared" si="47"/>
        <v>스토리위즈</v>
      </c>
      <c r="I141" t="str">
        <f>T("악역이지만, 남주는 꼬시지 않아요")</f>
        <v>악역이지만, 남주는 꼬시지 않아요</v>
      </c>
      <c r="J141">
        <v>400</v>
      </c>
      <c r="K141">
        <v>400</v>
      </c>
      <c r="L141">
        <v>1</v>
      </c>
      <c r="M141">
        <v>0</v>
      </c>
      <c r="N141">
        <v>0</v>
      </c>
      <c r="O141">
        <v>0</v>
      </c>
      <c r="P141">
        <v>103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s="3">
        <v>400</v>
      </c>
      <c r="AH141" s="3">
        <v>104</v>
      </c>
      <c r="AI141" s="3">
        <v>0</v>
      </c>
      <c r="AJ141" s="3">
        <v>0</v>
      </c>
      <c r="AK141" s="3">
        <v>400</v>
      </c>
      <c r="AL141" s="3">
        <v>0</v>
      </c>
      <c r="AM141" s="3">
        <v>0</v>
      </c>
      <c r="AN141" s="3">
        <v>0</v>
      </c>
      <c r="AO141" s="3">
        <v>0</v>
      </c>
      <c r="AP141" s="3">
        <v>280</v>
      </c>
      <c r="AR141" t="str">
        <f t="shared" si="45"/>
        <v>0000000000000</v>
      </c>
      <c r="AT141" t="str">
        <f>T("9791137603882")</f>
        <v>9791137603882</v>
      </c>
      <c r="AV141" t="str">
        <f t="shared" si="46"/>
        <v>웹툰 &gt; 해외 순정</v>
      </c>
      <c r="AW141" t="str">
        <f>T("웹툰 &gt; 로판")</f>
        <v>웹툰 &gt; 로판</v>
      </c>
    </row>
    <row r="142" spans="1:49" x14ac:dyDescent="0.4">
      <c r="A142">
        <v>4421000198</v>
      </c>
      <c r="B142">
        <v>4421002898</v>
      </c>
      <c r="C142" t="str">
        <f>T("공주전쟁 104화")</f>
        <v>공주전쟁 104화</v>
      </c>
      <c r="D142" t="str">
        <f>T("104")</f>
        <v>104</v>
      </c>
      <c r="E142" t="str">
        <f>T("Hujing")</f>
        <v>Hujing</v>
      </c>
      <c r="G142" t="str">
        <f>T("Luojie")</f>
        <v>Luojie</v>
      </c>
      <c r="H142" t="str">
        <f t="shared" si="47"/>
        <v>스토리위즈</v>
      </c>
      <c r="I142" t="str">
        <f>T("공주전쟁")</f>
        <v>공주전쟁</v>
      </c>
      <c r="J142">
        <v>400</v>
      </c>
      <c r="K142">
        <v>400</v>
      </c>
      <c r="L142">
        <v>1</v>
      </c>
      <c r="M142">
        <v>0</v>
      </c>
      <c r="N142">
        <v>1000</v>
      </c>
      <c r="O142">
        <v>5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s="3">
        <v>1400</v>
      </c>
      <c r="AH142" s="3">
        <v>6</v>
      </c>
      <c r="AI142" s="3">
        <v>0</v>
      </c>
      <c r="AJ142" s="3">
        <v>0</v>
      </c>
      <c r="AK142" s="3">
        <v>1200</v>
      </c>
      <c r="AL142" s="3">
        <v>0</v>
      </c>
      <c r="AM142" s="3">
        <v>240</v>
      </c>
      <c r="AN142" s="3">
        <v>-72</v>
      </c>
      <c r="AO142" s="3">
        <v>0</v>
      </c>
      <c r="AP142" s="3">
        <v>957.6</v>
      </c>
      <c r="AR142" t="str">
        <f t="shared" si="45"/>
        <v>0000000000000</v>
      </c>
      <c r="AT142" t="str">
        <f>T("9791166069666")</f>
        <v>9791166069666</v>
      </c>
      <c r="AV142" t="str">
        <f t="shared" si="46"/>
        <v>웹툰 &gt; 해외 순정</v>
      </c>
      <c r="AW142" t="str">
        <f>T("웹툰 &gt; 로판")</f>
        <v>웹툰 &gt; 로판</v>
      </c>
    </row>
    <row r="143" spans="1:49" x14ac:dyDescent="0.4">
      <c r="A143">
        <v>4421000887</v>
      </c>
      <c r="B143">
        <v>4421001298</v>
      </c>
      <c r="C143" t="str">
        <f>T("폭군의 눈물 56화")</f>
        <v>폭군의 눈물 56화</v>
      </c>
      <c r="D143" t="str">
        <f>T("56")</f>
        <v>56</v>
      </c>
      <c r="E143" t="str">
        <f>T("Ice×FANFAN COMIC")</f>
        <v>Ice×FANFAN COMIC</v>
      </c>
      <c r="G143" t="str">
        <f>T("Ice×FANFAN COMIC")</f>
        <v>Ice×FANFAN COMIC</v>
      </c>
      <c r="H143" t="str">
        <f t="shared" si="47"/>
        <v>스토리위즈</v>
      </c>
      <c r="I143" t="str">
        <f>T("폭군의 눈물")</f>
        <v>폭군의 눈물</v>
      </c>
      <c r="J143">
        <v>400</v>
      </c>
      <c r="K143">
        <v>400</v>
      </c>
      <c r="L143">
        <v>1</v>
      </c>
      <c r="M143">
        <v>0</v>
      </c>
      <c r="N143">
        <v>600</v>
      </c>
      <c r="O143">
        <v>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s="3">
        <v>1000</v>
      </c>
      <c r="AH143" s="3">
        <v>4</v>
      </c>
      <c r="AI143" s="3">
        <v>0</v>
      </c>
      <c r="AJ143" s="3">
        <v>0</v>
      </c>
      <c r="AK143" s="3">
        <v>800</v>
      </c>
      <c r="AL143" s="3">
        <v>0</v>
      </c>
      <c r="AM143" s="3">
        <v>240</v>
      </c>
      <c r="AN143" s="3">
        <v>-72</v>
      </c>
      <c r="AO143" s="3">
        <v>0</v>
      </c>
      <c r="AP143" s="3">
        <v>677.6</v>
      </c>
      <c r="AR143" t="str">
        <f t="shared" si="45"/>
        <v>0000000000000</v>
      </c>
      <c r="AT143" t="str">
        <f>T("9791137601291")</f>
        <v>9791137601291</v>
      </c>
      <c r="AV143" t="str">
        <f t="shared" si="46"/>
        <v>웹툰 &gt; 해외 순정</v>
      </c>
      <c r="AW143" t="str">
        <f>T("웹툰 &gt; 로판")</f>
        <v>웹툰 &gt; 로판</v>
      </c>
    </row>
    <row r="144" spans="1:49" x14ac:dyDescent="0.4">
      <c r="A144">
        <v>4421000866</v>
      </c>
      <c r="B144">
        <v>4421001257</v>
      </c>
      <c r="C144" t="str">
        <f>T("최애에게 들켜버렸다 59화")</f>
        <v>최애에게 들켜버렸다 59화</v>
      </c>
      <c r="D144" t="str">
        <f>T("62")</f>
        <v>62</v>
      </c>
      <c r="E144" t="str">
        <f>T("Lv")</f>
        <v>Lv</v>
      </c>
      <c r="G144" t="str">
        <f>T("Lv")</f>
        <v>Lv</v>
      </c>
      <c r="H144" t="str">
        <f t="shared" si="47"/>
        <v>스토리위즈</v>
      </c>
      <c r="I144" t="str">
        <f>T("최애에게 들켜버렸다")</f>
        <v>최애에게 들켜버렸다</v>
      </c>
      <c r="J144">
        <v>400</v>
      </c>
      <c r="K144">
        <v>0</v>
      </c>
      <c r="L144">
        <v>0</v>
      </c>
      <c r="M144">
        <v>0</v>
      </c>
      <c r="N144">
        <v>600</v>
      </c>
      <c r="O144">
        <v>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s="3">
        <v>600</v>
      </c>
      <c r="AH144" s="3">
        <v>3</v>
      </c>
      <c r="AI144" s="3">
        <v>0</v>
      </c>
      <c r="AJ144" s="3">
        <v>0</v>
      </c>
      <c r="AK144" s="3">
        <v>424</v>
      </c>
      <c r="AL144" s="3">
        <v>0</v>
      </c>
      <c r="AM144" s="3">
        <v>211.38</v>
      </c>
      <c r="AN144" s="3">
        <v>-63.41</v>
      </c>
      <c r="AO144" s="3">
        <v>0</v>
      </c>
      <c r="AP144" s="3">
        <v>400.38</v>
      </c>
      <c r="AR144" t="str">
        <f t="shared" si="45"/>
        <v>0000000000000</v>
      </c>
      <c r="AT144" t="str">
        <f>T("9791137601253")</f>
        <v>9791137601253</v>
      </c>
      <c r="AV144" t="str">
        <f t="shared" si="46"/>
        <v>웹툰 &gt; 해외 순정</v>
      </c>
      <c r="AW144" t="str">
        <f>T("웹툰 &gt; 로맨스")</f>
        <v>웹툰 &gt; 로맨스</v>
      </c>
    </row>
    <row r="145" spans="1:49" x14ac:dyDescent="0.4">
      <c r="A145">
        <v>4421000069</v>
      </c>
      <c r="B145">
        <v>4421000096</v>
      </c>
      <c r="C145" t="str">
        <f>T("너랑 나랑 하면 27화")</f>
        <v>너랑 나랑 하면 27화</v>
      </c>
      <c r="D145" t="str">
        <f>T("27")</f>
        <v>27</v>
      </c>
      <c r="E145" t="str">
        <f>T("NISANSUI")</f>
        <v>NISANSUI</v>
      </c>
      <c r="G145" t="str">
        <f>T("ZIQUAN")</f>
        <v>ZIQUAN</v>
      </c>
      <c r="H145" t="str">
        <f t="shared" si="47"/>
        <v>스토리위즈</v>
      </c>
      <c r="I145" t="str">
        <f>T("너랑 나랑 하면")</f>
        <v>너랑 나랑 하면</v>
      </c>
      <c r="J145">
        <v>400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s="3">
        <v>0</v>
      </c>
      <c r="AH145" s="3">
        <v>3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R145" t="str">
        <f t="shared" si="45"/>
        <v>0000000000000</v>
      </c>
      <c r="AT145" t="str">
        <f>T("9791166067884")</f>
        <v>9791166067884</v>
      </c>
      <c r="AV145" t="str">
        <f>T("BL 웹툰 &gt; 웹툰")</f>
        <v>BL 웹툰 &gt; 웹툰</v>
      </c>
    </row>
    <row r="146" spans="1:49" x14ac:dyDescent="0.4">
      <c r="A146">
        <v>4421000866</v>
      </c>
      <c r="B146">
        <v>4421001531</v>
      </c>
      <c r="C146" t="str">
        <f>T("최애에게 들켜버렸다 76화")</f>
        <v>최애에게 들켜버렸다 76화</v>
      </c>
      <c r="D146" t="str">
        <f>T("79")</f>
        <v>79</v>
      </c>
      <c r="E146" t="str">
        <f>T("Lv")</f>
        <v>Lv</v>
      </c>
      <c r="G146" t="str">
        <f>T("Lv")</f>
        <v>Lv</v>
      </c>
      <c r="H146" t="str">
        <f t="shared" si="47"/>
        <v>스토리위즈</v>
      </c>
      <c r="I146" t="str">
        <f>T("최애에게 들켜버렸다")</f>
        <v>최애에게 들켜버렸다</v>
      </c>
      <c r="J146">
        <v>400</v>
      </c>
      <c r="K146">
        <v>0</v>
      </c>
      <c r="L146">
        <v>0</v>
      </c>
      <c r="M146">
        <v>0</v>
      </c>
      <c r="N146">
        <v>400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s="3">
        <v>400</v>
      </c>
      <c r="AH146" s="3">
        <v>2</v>
      </c>
      <c r="AI146" s="3">
        <v>0</v>
      </c>
      <c r="AJ146" s="3">
        <v>0</v>
      </c>
      <c r="AK146" s="3">
        <v>224</v>
      </c>
      <c r="AL146" s="3">
        <v>0</v>
      </c>
      <c r="AM146" s="3">
        <v>211.38</v>
      </c>
      <c r="AN146" s="3">
        <v>-63.41</v>
      </c>
      <c r="AO146" s="3">
        <v>0</v>
      </c>
      <c r="AP146" s="3">
        <v>260.38</v>
      </c>
      <c r="AR146" t="str">
        <f t="shared" si="45"/>
        <v>0000000000000</v>
      </c>
      <c r="AT146" t="str">
        <f>T("9791137601253")</f>
        <v>9791137601253</v>
      </c>
      <c r="AV146" t="str">
        <f>T("웹툰 &gt; 해외 순정")</f>
        <v>웹툰 &gt; 해외 순정</v>
      </c>
      <c r="AW146" t="str">
        <f>T("웹툰 &gt; 로맨스")</f>
        <v>웹툰 &gt; 로맨스</v>
      </c>
    </row>
    <row r="147" spans="1:49" x14ac:dyDescent="0.4">
      <c r="A147">
        <v>4421000198</v>
      </c>
      <c r="B147">
        <v>4421000206</v>
      </c>
      <c r="C147" t="str">
        <f>T("공주전쟁 9화")</f>
        <v>공주전쟁 9화</v>
      </c>
      <c r="D147" t="str">
        <f>T("9")</f>
        <v>9</v>
      </c>
      <c r="E147" t="str">
        <f>T("Hujing")</f>
        <v>Hujing</v>
      </c>
      <c r="G147" t="str">
        <f>T("Luojie")</f>
        <v>Luojie</v>
      </c>
      <c r="H147" t="str">
        <f t="shared" si="47"/>
        <v>스토리위즈</v>
      </c>
      <c r="I147" t="str">
        <f>T("공주전쟁")</f>
        <v>공주전쟁</v>
      </c>
      <c r="J147">
        <v>400</v>
      </c>
      <c r="K147">
        <v>0</v>
      </c>
      <c r="L147">
        <v>0</v>
      </c>
      <c r="M147">
        <v>0</v>
      </c>
      <c r="N147">
        <v>600</v>
      </c>
      <c r="O147">
        <v>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s="3">
        <v>600</v>
      </c>
      <c r="AH147" s="3">
        <v>3</v>
      </c>
      <c r="AI147" s="3">
        <v>0</v>
      </c>
      <c r="AJ147" s="3">
        <v>0</v>
      </c>
      <c r="AK147" s="3">
        <v>400</v>
      </c>
      <c r="AL147" s="3">
        <v>0</v>
      </c>
      <c r="AM147" s="3">
        <v>240</v>
      </c>
      <c r="AN147" s="3">
        <v>-72</v>
      </c>
      <c r="AO147" s="3">
        <v>0</v>
      </c>
      <c r="AP147" s="3">
        <v>397.6</v>
      </c>
      <c r="AR147" t="str">
        <f t="shared" si="45"/>
        <v>0000000000000</v>
      </c>
      <c r="AT147" t="str">
        <f>T("9791166069666")</f>
        <v>9791166069666</v>
      </c>
      <c r="AV147" t="str">
        <f>T("웹툰 &gt; 해외 순정")</f>
        <v>웹툰 &gt; 해외 순정</v>
      </c>
      <c r="AW147" t="str">
        <f>T("웹툰 &gt; 로판")</f>
        <v>웹툰 &gt; 로판</v>
      </c>
    </row>
    <row r="148" spans="1:49" x14ac:dyDescent="0.4">
      <c r="A148">
        <v>4421001340</v>
      </c>
      <c r="B148">
        <v>4421001371</v>
      </c>
      <c r="C148" t="str">
        <f>T("가출천사 육성계약 32화")</f>
        <v>가출천사 육성계약 32화</v>
      </c>
      <c r="D148" t="str">
        <f>T("32")</f>
        <v>32</v>
      </c>
      <c r="E148" t="str">
        <f>T("Bae.C, IIAKI, 박제후")</f>
        <v>Bae.C, IIAKI, 박제후</v>
      </c>
      <c r="G148" t="str">
        <f>T("Bae.C, 조우")</f>
        <v>Bae.C, 조우</v>
      </c>
      <c r="H148" t="str">
        <f t="shared" si="47"/>
        <v>스토리위즈</v>
      </c>
      <c r="I148" t="str">
        <f>T("가출천사 육성계약")</f>
        <v>가출천사 육성계약</v>
      </c>
      <c r="J148">
        <v>400</v>
      </c>
      <c r="K148">
        <v>0</v>
      </c>
      <c r="L148">
        <v>0</v>
      </c>
      <c r="M148">
        <v>0</v>
      </c>
      <c r="N148">
        <v>200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s="3">
        <v>200</v>
      </c>
      <c r="AH148" s="3">
        <v>1</v>
      </c>
      <c r="AI148" s="3">
        <v>0</v>
      </c>
      <c r="AJ148" s="3">
        <v>0</v>
      </c>
      <c r="AK148" s="3">
        <v>200</v>
      </c>
      <c r="AL148" s="3">
        <v>0</v>
      </c>
      <c r="AM148" s="3">
        <v>0</v>
      </c>
      <c r="AN148" s="3">
        <v>0</v>
      </c>
      <c r="AO148" s="3">
        <v>0</v>
      </c>
      <c r="AP148" s="3">
        <v>140</v>
      </c>
      <c r="AR148" t="str">
        <f t="shared" si="45"/>
        <v>0000000000000</v>
      </c>
      <c r="AT148" t="str">
        <f>T("9791191765663")</f>
        <v>9791191765663</v>
      </c>
      <c r="AV148" t="str">
        <f>T("웹툰 &gt; 판타지/SF")</f>
        <v>웹툰 &gt; 판타지/SF</v>
      </c>
    </row>
    <row r="149" spans="1:49" x14ac:dyDescent="0.4">
      <c r="A149">
        <v>4421000337</v>
      </c>
      <c r="B149">
        <v>4421000431</v>
      </c>
      <c r="C149" t="str">
        <f>T("계약연애, 오늘부터 1일 95화")</f>
        <v>계약연애, 오늘부터 1일 95화</v>
      </c>
      <c r="D149" t="str">
        <f>T("95")</f>
        <v>95</v>
      </c>
      <c r="E149" t="str">
        <f>T("원기공장")</f>
        <v>원기공장</v>
      </c>
      <c r="H149" t="str">
        <f t="shared" si="47"/>
        <v>스토리위즈</v>
      </c>
      <c r="I149" t="str">
        <f>T("계약연애, 오늘부터 1일")</f>
        <v>계약연애, 오늘부터 1일</v>
      </c>
      <c r="J149">
        <v>200</v>
      </c>
      <c r="K149">
        <v>0</v>
      </c>
      <c r="L149">
        <v>0</v>
      </c>
      <c r="M149">
        <v>0</v>
      </c>
      <c r="N149">
        <v>100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s="3">
        <v>100</v>
      </c>
      <c r="AH149" s="3">
        <v>1</v>
      </c>
      <c r="AI149" s="3">
        <v>0</v>
      </c>
      <c r="AJ149" s="3">
        <v>0</v>
      </c>
      <c r="AK149" s="3">
        <v>100</v>
      </c>
      <c r="AL149" s="3">
        <v>0</v>
      </c>
      <c r="AM149" s="3">
        <v>0</v>
      </c>
      <c r="AN149" s="3">
        <v>0</v>
      </c>
      <c r="AO149" s="3">
        <v>0</v>
      </c>
      <c r="AP149" s="3">
        <v>70</v>
      </c>
      <c r="AR149" t="str">
        <f t="shared" si="45"/>
        <v>0000000000000</v>
      </c>
      <c r="AT149" t="str">
        <f>T("9791166068027")</f>
        <v>9791166068027</v>
      </c>
      <c r="AV149" t="str">
        <f>T("웹툰 &gt; 해외 순정")</f>
        <v>웹툰 &gt; 해외 순정</v>
      </c>
      <c r="AW149" t="str">
        <f>T("웹툰 &gt; 로맨스")</f>
        <v>웹툰 &gt; 로맨스</v>
      </c>
    </row>
    <row r="150" spans="1:49" x14ac:dyDescent="0.4">
      <c r="A150">
        <v>4421000916</v>
      </c>
      <c r="B150">
        <v>4421000934</v>
      </c>
      <c r="C150" t="str">
        <f>T("별빛 아래 우리 19화")</f>
        <v>별빛 아래 우리 19화</v>
      </c>
      <c r="D150" t="str">
        <f>T("19")</f>
        <v>19</v>
      </c>
      <c r="E150" t="str">
        <f>T("건일")</f>
        <v>건일</v>
      </c>
      <c r="G150" t="str">
        <f>T("건일")</f>
        <v>건일</v>
      </c>
      <c r="H150" t="str">
        <f t="shared" si="47"/>
        <v>스토리위즈</v>
      </c>
      <c r="I150" t="str">
        <f>T("별빛 아래 우리")</f>
        <v>별빛 아래 우리</v>
      </c>
      <c r="J150">
        <v>400</v>
      </c>
      <c r="K150">
        <v>0</v>
      </c>
      <c r="L150">
        <v>0</v>
      </c>
      <c r="M150">
        <v>0</v>
      </c>
      <c r="N150">
        <v>1400</v>
      </c>
      <c r="O150">
        <v>7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s="3">
        <v>1400</v>
      </c>
      <c r="AH150" s="3">
        <v>7</v>
      </c>
      <c r="AI150" s="3">
        <v>0</v>
      </c>
      <c r="AJ150" s="3">
        <v>0</v>
      </c>
      <c r="AK150" s="3">
        <v>400</v>
      </c>
      <c r="AL150" s="3">
        <v>0</v>
      </c>
      <c r="AM150" s="3">
        <v>1199.1199999999999</v>
      </c>
      <c r="AN150" s="3">
        <v>-359.74</v>
      </c>
      <c r="AO150" s="3">
        <v>0</v>
      </c>
      <c r="AP150" s="3">
        <v>867.57</v>
      </c>
      <c r="AR150" t="str">
        <f t="shared" si="45"/>
        <v>0000000000000</v>
      </c>
      <c r="AT150" t="str">
        <f>T("9791137601413")</f>
        <v>9791137601413</v>
      </c>
      <c r="AV150" t="str">
        <f>T("웹툰 &gt; 해외 순정")</f>
        <v>웹툰 &gt; 해외 순정</v>
      </c>
      <c r="AW150" t="str">
        <f>T("웹툰 &gt; 로맨스")</f>
        <v>웹툰 &gt; 로맨스</v>
      </c>
    </row>
    <row r="151" spans="1:49" x14ac:dyDescent="0.4">
      <c r="A151">
        <v>4421001764</v>
      </c>
      <c r="B151">
        <v>4421001765</v>
      </c>
      <c r="C151" t="str">
        <f>T("예쁜 남자 잘생긴 여자 2화")</f>
        <v>예쁜 남자 잘생긴 여자 2화</v>
      </c>
      <c r="D151" t="str">
        <f>T("2")</f>
        <v>2</v>
      </c>
      <c r="E151" t="str">
        <f>T("웹티")</f>
        <v>웹티</v>
      </c>
      <c r="H151" t="str">
        <f t="shared" si="47"/>
        <v>스토리위즈</v>
      </c>
      <c r="I151" t="str">
        <f>T("예쁜 남자 잘생긴 여자")</f>
        <v>예쁜 남자 잘생긴 여자</v>
      </c>
      <c r="J151">
        <v>0</v>
      </c>
      <c r="K151">
        <v>0</v>
      </c>
      <c r="L151">
        <v>0</v>
      </c>
      <c r="M151">
        <v>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 s="3">
        <v>0</v>
      </c>
      <c r="AH151" s="3">
        <v>2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R151" t="str">
        <f t="shared" si="45"/>
        <v>0000000000000</v>
      </c>
      <c r="AT151" t="str">
        <f>T("9791190702164")</f>
        <v>9791190702164</v>
      </c>
      <c r="AV151" t="str">
        <f>T("웹툰 &gt; 로맨스")</f>
        <v>웹툰 &gt; 로맨스</v>
      </c>
    </row>
    <row r="152" spans="1:49" x14ac:dyDescent="0.4">
      <c r="A152">
        <v>4421000337</v>
      </c>
      <c r="B152">
        <v>4421000391</v>
      </c>
      <c r="C152" t="str">
        <f>T("계약연애, 오늘부터 1일 55화")</f>
        <v>계약연애, 오늘부터 1일 55화</v>
      </c>
      <c r="D152" t="str">
        <f>T("55")</f>
        <v>55</v>
      </c>
      <c r="E152" t="str">
        <f>T("원기공장")</f>
        <v>원기공장</v>
      </c>
      <c r="H152" t="str">
        <f t="shared" si="47"/>
        <v>스토리위즈</v>
      </c>
      <c r="I152" t="str">
        <f>T("계약연애, 오늘부터 1일")</f>
        <v>계약연애, 오늘부터 1일</v>
      </c>
      <c r="J152">
        <v>200</v>
      </c>
      <c r="K152">
        <v>0</v>
      </c>
      <c r="L152">
        <v>0</v>
      </c>
      <c r="M152">
        <v>0</v>
      </c>
      <c r="N152">
        <v>100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 s="3">
        <v>100</v>
      </c>
      <c r="AH152" s="3">
        <v>1</v>
      </c>
      <c r="AI152" s="3">
        <v>0</v>
      </c>
      <c r="AJ152" s="3">
        <v>0</v>
      </c>
      <c r="AK152" s="3">
        <v>100</v>
      </c>
      <c r="AL152" s="3">
        <v>0</v>
      </c>
      <c r="AM152" s="3">
        <v>0</v>
      </c>
      <c r="AN152" s="3">
        <v>0</v>
      </c>
      <c r="AO152" s="3">
        <v>0</v>
      </c>
      <c r="AP152" s="3">
        <v>70</v>
      </c>
      <c r="AR152" t="str">
        <f t="shared" si="45"/>
        <v>0000000000000</v>
      </c>
      <c r="AT152" t="str">
        <f>T("9791166068027")</f>
        <v>9791166068027</v>
      </c>
      <c r="AV152" t="str">
        <f>T("웹툰 &gt; 해외 순정")</f>
        <v>웹툰 &gt; 해외 순정</v>
      </c>
      <c r="AW152" t="str">
        <f>T("웹툰 &gt; 로맨스")</f>
        <v>웹툰 &gt; 로맨스</v>
      </c>
    </row>
    <row r="153" spans="1:49" x14ac:dyDescent="0.4">
      <c r="A153">
        <v>4421001568</v>
      </c>
      <c r="B153">
        <v>4421001573</v>
      </c>
      <c r="C153" t="str">
        <f>T("구름의 연인 6화")</f>
        <v>구름의 연인 6화</v>
      </c>
      <c r="D153" t="str">
        <f>T("6")</f>
        <v>6</v>
      </c>
      <c r="E153" t="str">
        <f>T("웹티")</f>
        <v>웹티</v>
      </c>
      <c r="H153" t="str">
        <f t="shared" si="47"/>
        <v>스토리위즈</v>
      </c>
      <c r="I153" t="str">
        <f>T("구름의 연인")</f>
        <v>구름의 연인</v>
      </c>
      <c r="J153">
        <v>500</v>
      </c>
      <c r="K153">
        <v>0</v>
      </c>
      <c r="L153">
        <v>0</v>
      </c>
      <c r="M153">
        <v>0</v>
      </c>
      <c r="N153">
        <v>200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 s="3">
        <v>200</v>
      </c>
      <c r="AH153" s="3">
        <v>1</v>
      </c>
      <c r="AI153" s="3">
        <v>0</v>
      </c>
      <c r="AJ153" s="3">
        <v>0</v>
      </c>
      <c r="AK153" s="3">
        <v>200</v>
      </c>
      <c r="AL153" s="3">
        <v>0</v>
      </c>
      <c r="AM153" s="3">
        <v>0</v>
      </c>
      <c r="AN153" s="3">
        <v>0</v>
      </c>
      <c r="AO153" s="3">
        <v>0</v>
      </c>
      <c r="AP153" s="3">
        <v>140</v>
      </c>
      <c r="AR153" t="str">
        <f t="shared" si="45"/>
        <v>0000000000000</v>
      </c>
      <c r="AT153" t="str">
        <f>T("9791196402730")</f>
        <v>9791196402730</v>
      </c>
      <c r="AV153" t="str">
        <f>T("웹툰 &gt; 로맨스")</f>
        <v>웹툰 &gt; 로맨스</v>
      </c>
    </row>
    <row r="154" spans="1:49" x14ac:dyDescent="0.4">
      <c r="A154">
        <v>4421000198</v>
      </c>
      <c r="B154">
        <v>4421001291</v>
      </c>
      <c r="C154" t="str">
        <f>T("공주전쟁 89화")</f>
        <v>공주전쟁 89화</v>
      </c>
      <c r="D154" t="str">
        <f>T("89")</f>
        <v>89</v>
      </c>
      <c r="E154" t="str">
        <f>T("Hujing")</f>
        <v>Hujing</v>
      </c>
      <c r="G154" t="str">
        <f>T("Luojie")</f>
        <v>Luojie</v>
      </c>
      <c r="H154" t="str">
        <f t="shared" si="47"/>
        <v>스토리위즈</v>
      </c>
      <c r="I154" t="str">
        <f>T("공주전쟁")</f>
        <v>공주전쟁</v>
      </c>
      <c r="J154">
        <v>400</v>
      </c>
      <c r="K154">
        <v>0</v>
      </c>
      <c r="L154">
        <v>0</v>
      </c>
      <c r="M154">
        <v>0</v>
      </c>
      <c r="N154">
        <v>200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 s="3">
        <v>200</v>
      </c>
      <c r="AH154" s="3">
        <v>1</v>
      </c>
      <c r="AI154" s="3">
        <v>0</v>
      </c>
      <c r="AJ154" s="3">
        <v>0</v>
      </c>
      <c r="AK154" s="3">
        <v>0</v>
      </c>
      <c r="AL154" s="3">
        <v>0</v>
      </c>
      <c r="AM154" s="3">
        <v>240</v>
      </c>
      <c r="AN154" s="3">
        <v>-72</v>
      </c>
      <c r="AO154" s="3">
        <v>0</v>
      </c>
      <c r="AP154" s="3">
        <v>117.6</v>
      </c>
      <c r="AR154" t="str">
        <f t="shared" si="45"/>
        <v>0000000000000</v>
      </c>
      <c r="AT154" t="str">
        <f>T("9791166069666")</f>
        <v>9791166069666</v>
      </c>
      <c r="AV154" t="str">
        <f>T("웹툰 &gt; 해외 순정")</f>
        <v>웹툰 &gt; 해외 순정</v>
      </c>
      <c r="AW154" t="str">
        <f>T("웹툰 &gt; 로판")</f>
        <v>웹툰 &gt; 로판</v>
      </c>
    </row>
    <row r="155" spans="1:49" x14ac:dyDescent="0.4">
      <c r="A155">
        <v>4421000069</v>
      </c>
      <c r="B155">
        <v>4421001188</v>
      </c>
      <c r="C155" t="str">
        <f>T("너랑 나랑 하면 145화")</f>
        <v>너랑 나랑 하면 145화</v>
      </c>
      <c r="D155" t="str">
        <f>T("145")</f>
        <v>145</v>
      </c>
      <c r="E155" t="str">
        <f>T("NISANSUI")</f>
        <v>NISANSUI</v>
      </c>
      <c r="G155" t="str">
        <f>T("ZIQUAN")</f>
        <v>ZIQUAN</v>
      </c>
      <c r="H155" t="str">
        <f t="shared" si="47"/>
        <v>스토리위즈</v>
      </c>
      <c r="I155" t="str">
        <f>T("너랑 나랑 하면")</f>
        <v>너랑 나랑 하면</v>
      </c>
      <c r="J155">
        <v>400</v>
      </c>
      <c r="K155">
        <v>0</v>
      </c>
      <c r="L155">
        <v>0</v>
      </c>
      <c r="M155">
        <v>0</v>
      </c>
      <c r="N155">
        <v>200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s="3">
        <v>200</v>
      </c>
      <c r="AH155" s="3">
        <v>1</v>
      </c>
      <c r="AI155" s="3">
        <v>0</v>
      </c>
      <c r="AJ155" s="3">
        <v>0</v>
      </c>
      <c r="AK155" s="3">
        <v>200</v>
      </c>
      <c r="AL155" s="3">
        <v>0</v>
      </c>
      <c r="AM155" s="3">
        <v>0</v>
      </c>
      <c r="AN155" s="3">
        <v>0</v>
      </c>
      <c r="AO155" s="3">
        <v>0</v>
      </c>
      <c r="AP155" s="3">
        <v>140</v>
      </c>
      <c r="AR155" t="str">
        <f t="shared" si="45"/>
        <v>0000000000000</v>
      </c>
      <c r="AT155" t="str">
        <f>T("9791166067884")</f>
        <v>9791166067884</v>
      </c>
      <c r="AV155" t="str">
        <f>T("BL 웹툰 &gt; 웹툰")</f>
        <v>BL 웹툰 &gt; 웹툰</v>
      </c>
    </row>
    <row r="156" spans="1:49" x14ac:dyDescent="0.4">
      <c r="A156">
        <v>4421000450</v>
      </c>
      <c r="B156">
        <v>4421000463</v>
      </c>
      <c r="C156" t="str">
        <f>T("내 남편의 스토커 13화")</f>
        <v>내 남편의 스토커 13화</v>
      </c>
      <c r="D156" t="str">
        <f>T("13")</f>
        <v>13</v>
      </c>
      <c r="E156" t="str">
        <f>T("혜원")</f>
        <v>혜원</v>
      </c>
      <c r="G156" t="str">
        <f>T("혜원")</f>
        <v>혜원</v>
      </c>
      <c r="H156" t="str">
        <f t="shared" si="47"/>
        <v>스토리위즈</v>
      </c>
      <c r="I156" t="str">
        <f>T("내 남편의 스토커")</f>
        <v>내 남편의 스토커</v>
      </c>
      <c r="J156">
        <v>400</v>
      </c>
      <c r="K156">
        <v>0</v>
      </c>
      <c r="L156">
        <v>0</v>
      </c>
      <c r="M156">
        <v>0</v>
      </c>
      <c r="N156">
        <v>200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s="3">
        <v>200</v>
      </c>
      <c r="AH156" s="3">
        <v>1</v>
      </c>
      <c r="AI156" s="3">
        <v>0</v>
      </c>
      <c r="AJ156" s="3">
        <v>0</v>
      </c>
      <c r="AK156" s="3">
        <v>200</v>
      </c>
      <c r="AL156" s="3">
        <v>0</v>
      </c>
      <c r="AM156" s="3">
        <v>0</v>
      </c>
      <c r="AN156" s="3">
        <v>0</v>
      </c>
      <c r="AO156" s="3">
        <v>0</v>
      </c>
      <c r="AP156" s="3">
        <v>140</v>
      </c>
      <c r="AR156" t="str">
        <f t="shared" si="45"/>
        <v>0000000000000</v>
      </c>
      <c r="AT156" t="str">
        <f>T("9791166068034")</f>
        <v>9791166068034</v>
      </c>
      <c r="AV156" t="str">
        <f>T("웹툰 &gt; 로맨스")</f>
        <v>웹툰 &gt; 로맨스</v>
      </c>
    </row>
    <row r="157" spans="1:49" x14ac:dyDescent="0.4">
      <c r="A157">
        <v>4421000198</v>
      </c>
      <c r="B157">
        <v>4421000238</v>
      </c>
      <c r="C157" t="str">
        <f>T("공주전쟁 41화")</f>
        <v>공주전쟁 41화</v>
      </c>
      <c r="D157" t="str">
        <f>T("41")</f>
        <v>41</v>
      </c>
      <c r="E157" t="str">
        <f>T("Hujing")</f>
        <v>Hujing</v>
      </c>
      <c r="G157" t="str">
        <f>T("Luojie")</f>
        <v>Luojie</v>
      </c>
      <c r="H157" t="str">
        <f t="shared" si="47"/>
        <v>스토리위즈</v>
      </c>
      <c r="I157" t="str">
        <f>T("공주전쟁")</f>
        <v>공주전쟁</v>
      </c>
      <c r="J157">
        <v>400</v>
      </c>
      <c r="K157">
        <v>0</v>
      </c>
      <c r="L157">
        <v>0</v>
      </c>
      <c r="M157">
        <v>0</v>
      </c>
      <c r="N157">
        <v>600</v>
      </c>
      <c r="O157">
        <v>3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s="3">
        <v>600</v>
      </c>
      <c r="AH157" s="3">
        <v>3</v>
      </c>
      <c r="AI157" s="3">
        <v>0</v>
      </c>
      <c r="AJ157" s="3">
        <v>0</v>
      </c>
      <c r="AK157" s="3">
        <v>400</v>
      </c>
      <c r="AL157" s="3">
        <v>0</v>
      </c>
      <c r="AM157" s="3">
        <v>240</v>
      </c>
      <c r="AN157" s="3">
        <v>-72</v>
      </c>
      <c r="AO157" s="3">
        <v>0</v>
      </c>
      <c r="AP157" s="3">
        <v>397.6</v>
      </c>
      <c r="AR157" t="str">
        <f t="shared" si="45"/>
        <v>0000000000000</v>
      </c>
      <c r="AT157" t="str">
        <f>T("9791166069666")</f>
        <v>9791166069666</v>
      </c>
      <c r="AV157" t="str">
        <f>T("웹툰 &gt; 해외 순정")</f>
        <v>웹툰 &gt; 해외 순정</v>
      </c>
      <c r="AW157" t="str">
        <f>T("웹툰 &gt; 로판")</f>
        <v>웹툰 &gt; 로판</v>
      </c>
    </row>
    <row r="158" spans="1:49" x14ac:dyDescent="0.4">
      <c r="A158">
        <v>4421001936</v>
      </c>
      <c r="B158">
        <v>4421001938</v>
      </c>
      <c r="C158" t="str">
        <f>T("보스 오빠, 살살! 3화")</f>
        <v>보스 오빠, 살살! 3화</v>
      </c>
      <c r="D158" t="str">
        <f>T("3")</f>
        <v>3</v>
      </c>
      <c r="E158" t="str">
        <f>T("웹티")</f>
        <v>웹티</v>
      </c>
      <c r="H158" t="str">
        <f t="shared" si="47"/>
        <v>스토리위즈</v>
      </c>
      <c r="I158" t="str">
        <f>T("보스 오빠, 살살!")</f>
        <v>보스 오빠, 살살!</v>
      </c>
      <c r="J158">
        <v>0</v>
      </c>
      <c r="K158">
        <v>0</v>
      </c>
      <c r="L158">
        <v>0</v>
      </c>
      <c r="M158">
        <v>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 s="3">
        <v>0</v>
      </c>
      <c r="AH158" s="3">
        <v>4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T158" t="str">
        <f>T("9791190702331")</f>
        <v>9791190702331</v>
      </c>
      <c r="AV158" t="str">
        <f>T("웹툰 &gt; 로맨스")</f>
        <v>웹툰 &gt; 로맨스</v>
      </c>
    </row>
    <row r="159" spans="1:49" x14ac:dyDescent="0.4">
      <c r="A159">
        <v>4421001936</v>
      </c>
      <c r="B159">
        <v>4421001960</v>
      </c>
      <c r="C159" t="str">
        <f>T("보스 오빠, 살살! 25화")</f>
        <v>보스 오빠, 살살! 25화</v>
      </c>
      <c r="D159" t="str">
        <f>T("25")</f>
        <v>25</v>
      </c>
      <c r="E159" t="str">
        <f>T("웹티")</f>
        <v>웹티</v>
      </c>
      <c r="H159" t="str">
        <f t="shared" si="47"/>
        <v>스토리위즈</v>
      </c>
      <c r="I159" t="str">
        <f>T("보스 오빠, 살살!")</f>
        <v>보스 오빠, 살살!</v>
      </c>
      <c r="J159">
        <v>500</v>
      </c>
      <c r="K159">
        <v>0</v>
      </c>
      <c r="L159">
        <v>0</v>
      </c>
      <c r="M159">
        <v>0</v>
      </c>
      <c r="N159">
        <v>200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 s="3">
        <v>200</v>
      </c>
      <c r="AH159" s="3">
        <v>1</v>
      </c>
      <c r="AI159" s="3">
        <v>0</v>
      </c>
      <c r="AJ159" s="3">
        <v>0</v>
      </c>
      <c r="AK159" s="3">
        <v>0</v>
      </c>
      <c r="AL159" s="3">
        <v>0</v>
      </c>
      <c r="AM159" s="3">
        <v>240</v>
      </c>
      <c r="AN159" s="3">
        <v>-72</v>
      </c>
      <c r="AO159" s="3">
        <v>0</v>
      </c>
      <c r="AP159" s="3">
        <v>117.6</v>
      </c>
      <c r="AT159" t="str">
        <f>T("9791190702331")</f>
        <v>9791190702331</v>
      </c>
      <c r="AV159" t="str">
        <f>T("웹툰 &gt; 로맨스")</f>
        <v>웹툰 &gt; 로맨스</v>
      </c>
    </row>
    <row r="160" spans="1:49" x14ac:dyDescent="0.4">
      <c r="A160">
        <v>4421000001</v>
      </c>
      <c r="B160">
        <v>4421000024</v>
      </c>
      <c r="C160" t="str">
        <f>T("감옥실험 14화")</f>
        <v>감옥실험 14화</v>
      </c>
      <c r="D160" t="str">
        <f>T("14")</f>
        <v>14</v>
      </c>
      <c r="E160" t="str">
        <f>T("Kantetsu")</f>
        <v>Kantetsu</v>
      </c>
      <c r="G160" t="str">
        <f>T("Minase Chiho")</f>
        <v>Minase Chiho</v>
      </c>
      <c r="H160" t="str">
        <f t="shared" si="47"/>
        <v>스토리위즈</v>
      </c>
      <c r="I160" t="str">
        <f>T("감옥실험")</f>
        <v>감옥실험</v>
      </c>
      <c r="J160">
        <v>500</v>
      </c>
      <c r="K160">
        <v>0</v>
      </c>
      <c r="L160">
        <v>0</v>
      </c>
      <c r="M160">
        <v>0</v>
      </c>
      <c r="N160">
        <v>1200</v>
      </c>
      <c r="O160">
        <v>4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 s="3">
        <v>1200</v>
      </c>
      <c r="AH160" s="3">
        <v>4</v>
      </c>
      <c r="AI160" s="3">
        <v>0</v>
      </c>
      <c r="AJ160" s="3">
        <v>0</v>
      </c>
      <c r="AK160" s="3">
        <v>900</v>
      </c>
      <c r="AL160" s="3">
        <v>0</v>
      </c>
      <c r="AM160" s="3">
        <v>360</v>
      </c>
      <c r="AN160" s="3">
        <v>-108</v>
      </c>
      <c r="AO160" s="3">
        <v>0</v>
      </c>
      <c r="AP160" s="3">
        <v>806.4</v>
      </c>
      <c r="AT160" t="str">
        <f>T("9791166069406")</f>
        <v>9791166069406</v>
      </c>
      <c r="AV160" t="str">
        <f>T("웹툰 &gt; 드라마")</f>
        <v>웹툰 &gt; 드라마</v>
      </c>
    </row>
    <row r="161" spans="1:49" x14ac:dyDescent="0.4">
      <c r="A161">
        <v>4421000518</v>
      </c>
      <c r="B161">
        <v>4421000543</v>
      </c>
      <c r="C161" t="str">
        <f>T("백스테이지 키스신 25화")</f>
        <v>백스테이지 키스신 25화</v>
      </c>
      <c r="D161" t="str">
        <f>T("25")</f>
        <v>25</v>
      </c>
      <c r="E161" t="str">
        <f>T("최도비")</f>
        <v>최도비</v>
      </c>
      <c r="G161" t="str">
        <f>T("수정과")</f>
        <v>수정과</v>
      </c>
      <c r="H161" t="str">
        <f t="shared" si="47"/>
        <v>스토리위즈</v>
      </c>
      <c r="I161" t="str">
        <f>T("백스테이지 키스신")</f>
        <v>백스테이지 키스신</v>
      </c>
      <c r="J161">
        <v>400</v>
      </c>
      <c r="K161">
        <v>0</v>
      </c>
      <c r="L161">
        <v>0</v>
      </c>
      <c r="M161">
        <v>0</v>
      </c>
      <c r="N161">
        <v>200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 s="3">
        <v>200</v>
      </c>
      <c r="AH161" s="3">
        <v>1</v>
      </c>
      <c r="AI161" s="3">
        <v>0</v>
      </c>
      <c r="AJ161" s="3">
        <v>0</v>
      </c>
      <c r="AK161" s="3">
        <v>200</v>
      </c>
      <c r="AL161" s="3">
        <v>0</v>
      </c>
      <c r="AM161" s="3">
        <v>0</v>
      </c>
      <c r="AN161" s="3">
        <v>0</v>
      </c>
      <c r="AO161" s="3">
        <v>0</v>
      </c>
      <c r="AP161" s="3">
        <v>140</v>
      </c>
      <c r="AR161" t="str">
        <f>T("0000000000000")</f>
        <v>0000000000000</v>
      </c>
      <c r="AT161" t="str">
        <f>T("9791166067990")</f>
        <v>9791166067990</v>
      </c>
      <c r="AV161" t="str">
        <f>T("웹툰 &gt; 로맨스")</f>
        <v>웹툰 &gt; 로맨스</v>
      </c>
    </row>
    <row r="162" spans="1:49" x14ac:dyDescent="0.4">
      <c r="A162">
        <v>4421000866</v>
      </c>
      <c r="B162">
        <v>4421001220</v>
      </c>
      <c r="C162" t="str">
        <f>T("최애에게 들켜버렸다 54화")</f>
        <v>최애에게 들켜버렸다 54화</v>
      </c>
      <c r="D162" t="str">
        <f>T("57")</f>
        <v>57</v>
      </c>
      <c r="E162" t="str">
        <f>T("Lv")</f>
        <v>Lv</v>
      </c>
      <c r="G162" t="str">
        <f>T("Lv")</f>
        <v>Lv</v>
      </c>
      <c r="H162" t="str">
        <f t="shared" si="47"/>
        <v>스토리위즈</v>
      </c>
      <c r="I162" t="str">
        <f>T("최애에게 들켜버렸다")</f>
        <v>최애에게 들켜버렸다</v>
      </c>
      <c r="J162">
        <v>400</v>
      </c>
      <c r="K162">
        <v>0</v>
      </c>
      <c r="L162">
        <v>0</v>
      </c>
      <c r="M162">
        <v>0</v>
      </c>
      <c r="N162">
        <v>600</v>
      </c>
      <c r="O162">
        <v>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 s="3">
        <v>600</v>
      </c>
      <c r="AH162" s="3">
        <v>3</v>
      </c>
      <c r="AI162" s="3">
        <v>0</v>
      </c>
      <c r="AJ162" s="3">
        <v>0</v>
      </c>
      <c r="AK162" s="3">
        <v>424</v>
      </c>
      <c r="AL162" s="3">
        <v>0</v>
      </c>
      <c r="AM162" s="3">
        <v>211.38</v>
      </c>
      <c r="AN162" s="3">
        <v>-63.41</v>
      </c>
      <c r="AO162" s="3">
        <v>0</v>
      </c>
      <c r="AP162" s="3">
        <v>400.38</v>
      </c>
      <c r="AR162" t="str">
        <f>T("0000000000000")</f>
        <v>0000000000000</v>
      </c>
      <c r="AT162" t="str">
        <f>T("9791137601253")</f>
        <v>9791137601253</v>
      </c>
      <c r="AV162" t="str">
        <f>T("웹툰 &gt; 해외 순정")</f>
        <v>웹툰 &gt; 해외 순정</v>
      </c>
      <c r="AW162" t="str">
        <f>T("웹툰 &gt; 로맨스")</f>
        <v>웹툰 &gt; 로맨스</v>
      </c>
    </row>
    <row r="163" spans="1:49" x14ac:dyDescent="0.4">
      <c r="A163">
        <v>4421000450</v>
      </c>
      <c r="B163">
        <v>4421000503</v>
      </c>
      <c r="C163" t="str">
        <f>T("내 남편의 스토커 53화")</f>
        <v>내 남편의 스토커 53화</v>
      </c>
      <c r="D163" t="str">
        <f>T("53")</f>
        <v>53</v>
      </c>
      <c r="E163" t="str">
        <f>T("혜원")</f>
        <v>혜원</v>
      </c>
      <c r="G163" t="str">
        <f>T("혜원")</f>
        <v>혜원</v>
      </c>
      <c r="H163" t="str">
        <f t="shared" si="47"/>
        <v>스토리위즈</v>
      </c>
      <c r="I163" t="str">
        <f>T("내 남편의 스토커")</f>
        <v>내 남편의 스토커</v>
      </c>
      <c r="J163">
        <v>400</v>
      </c>
      <c r="K163">
        <v>0</v>
      </c>
      <c r="L163">
        <v>0</v>
      </c>
      <c r="M163">
        <v>0</v>
      </c>
      <c r="N163">
        <v>200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 s="3">
        <v>200</v>
      </c>
      <c r="AH163" s="3">
        <v>1</v>
      </c>
      <c r="AI163" s="3">
        <v>0</v>
      </c>
      <c r="AJ163" s="3">
        <v>0</v>
      </c>
      <c r="AK163" s="3">
        <v>200</v>
      </c>
      <c r="AL163" s="3">
        <v>0</v>
      </c>
      <c r="AM163" s="3">
        <v>0</v>
      </c>
      <c r="AN163" s="3">
        <v>0</v>
      </c>
      <c r="AO163" s="3">
        <v>0</v>
      </c>
      <c r="AP163" s="3">
        <v>140</v>
      </c>
      <c r="AR163" t="str">
        <f>T("0000000000000")</f>
        <v>0000000000000</v>
      </c>
      <c r="AT163" t="str">
        <f>T("9791166068034")</f>
        <v>9791166068034</v>
      </c>
      <c r="AV163" t="str">
        <f>T("웹툰 &gt; 로맨스")</f>
        <v>웹툰 &gt; 로맨스</v>
      </c>
    </row>
    <row r="164" spans="1:49" x14ac:dyDescent="0.4">
      <c r="A164">
        <v>4421000337</v>
      </c>
      <c r="B164">
        <v>4421000343</v>
      </c>
      <c r="C164" t="str">
        <f>T("계약연애, 오늘부터 1일 7화")</f>
        <v>계약연애, 오늘부터 1일 7화</v>
      </c>
      <c r="D164" t="str">
        <f>T("7")</f>
        <v>7</v>
      </c>
      <c r="E164" t="str">
        <f>T("원기공장")</f>
        <v>원기공장</v>
      </c>
      <c r="H164" t="str">
        <f t="shared" si="47"/>
        <v>스토리위즈</v>
      </c>
      <c r="I164" t="str">
        <f>T("계약연애, 오늘부터 1일")</f>
        <v>계약연애, 오늘부터 1일</v>
      </c>
      <c r="J164">
        <v>200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s="3">
        <v>0</v>
      </c>
      <c r="AH164" s="3">
        <v>6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R164" t="str">
        <f>T("0000000000000")</f>
        <v>0000000000000</v>
      </c>
      <c r="AT164" t="str">
        <f>T("9791166068027")</f>
        <v>9791166068027</v>
      </c>
      <c r="AV164" t="str">
        <f>T("웹툰 &gt; 해외 순정")</f>
        <v>웹툰 &gt; 해외 순정</v>
      </c>
      <c r="AW164" t="str">
        <f>T("웹툰 &gt; 로맨스")</f>
        <v>웹툰 &gt; 로맨스</v>
      </c>
    </row>
    <row r="165" spans="1:49" x14ac:dyDescent="0.4">
      <c r="A165">
        <v>4421000001</v>
      </c>
      <c r="B165">
        <v>4421000064</v>
      </c>
      <c r="C165" t="str">
        <f>T("감옥실험 44화")</f>
        <v>감옥실험 44화</v>
      </c>
      <c r="D165" t="str">
        <f>T("44")</f>
        <v>44</v>
      </c>
      <c r="E165" t="str">
        <f>T("Kantetsu")</f>
        <v>Kantetsu</v>
      </c>
      <c r="G165" t="str">
        <f>T("Minase Chiho")</f>
        <v>Minase Chiho</v>
      </c>
      <c r="H165" t="str">
        <f t="shared" si="47"/>
        <v>스토리위즈</v>
      </c>
      <c r="I165" t="str">
        <f>T("감옥실험")</f>
        <v>감옥실험</v>
      </c>
      <c r="J165">
        <v>500</v>
      </c>
      <c r="K165">
        <v>0</v>
      </c>
      <c r="L165">
        <v>0</v>
      </c>
      <c r="M165">
        <v>0</v>
      </c>
      <c r="N165">
        <v>600</v>
      </c>
      <c r="O165">
        <v>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 s="3">
        <v>600</v>
      </c>
      <c r="AH165" s="3">
        <v>2</v>
      </c>
      <c r="AI165" s="3">
        <v>0</v>
      </c>
      <c r="AJ165" s="3">
        <v>0</v>
      </c>
      <c r="AK165" s="3">
        <v>300</v>
      </c>
      <c r="AL165" s="3">
        <v>0</v>
      </c>
      <c r="AM165" s="3">
        <v>360</v>
      </c>
      <c r="AN165" s="3">
        <v>-108</v>
      </c>
      <c r="AO165" s="3">
        <v>0</v>
      </c>
      <c r="AP165" s="3">
        <v>386.4</v>
      </c>
      <c r="AT165" t="str">
        <f>T("9791166069406")</f>
        <v>9791166069406</v>
      </c>
      <c r="AV165" t="str">
        <f>T("웹툰 &gt; 드라마")</f>
        <v>웹툰 &gt; 드라마</v>
      </c>
    </row>
    <row r="166" spans="1:49" x14ac:dyDescent="0.4">
      <c r="A166">
        <v>4421000887</v>
      </c>
      <c r="B166">
        <v>4421000902</v>
      </c>
      <c r="C166" t="str">
        <f>T("폭군의 눈물 16화")</f>
        <v>폭군의 눈물 16화</v>
      </c>
      <c r="D166" t="str">
        <f>T("16")</f>
        <v>16</v>
      </c>
      <c r="E166" t="str">
        <f>T("Ice×FANFAN COMIC")</f>
        <v>Ice×FANFAN COMIC</v>
      </c>
      <c r="G166" t="str">
        <f>T("Ice×FANFAN COMIC")</f>
        <v>Ice×FANFAN COMIC</v>
      </c>
      <c r="H166" t="str">
        <f t="shared" si="47"/>
        <v>스토리위즈</v>
      </c>
      <c r="I166" t="str">
        <f>T("폭군의 눈물")</f>
        <v>폭군의 눈물</v>
      </c>
      <c r="J166">
        <v>400</v>
      </c>
      <c r="K166">
        <v>0</v>
      </c>
      <c r="L166">
        <v>0</v>
      </c>
      <c r="M166">
        <v>0</v>
      </c>
      <c r="N166">
        <v>600</v>
      </c>
      <c r="O166">
        <v>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s="3">
        <v>600</v>
      </c>
      <c r="AH166" s="3">
        <v>3</v>
      </c>
      <c r="AI166" s="3">
        <v>0</v>
      </c>
      <c r="AJ166" s="3">
        <v>0</v>
      </c>
      <c r="AK166" s="3">
        <v>400</v>
      </c>
      <c r="AL166" s="3">
        <v>0</v>
      </c>
      <c r="AM166" s="3">
        <v>240</v>
      </c>
      <c r="AN166" s="3">
        <v>-72</v>
      </c>
      <c r="AO166" s="3">
        <v>0</v>
      </c>
      <c r="AP166" s="3">
        <v>397.6</v>
      </c>
      <c r="AR166" t="str">
        <f>T("0000000000000")</f>
        <v>0000000000000</v>
      </c>
      <c r="AT166" t="str">
        <f>T("9791137601291")</f>
        <v>9791137601291</v>
      </c>
      <c r="AV166" t="str">
        <f>T("웹툰 &gt; 해외 순정")</f>
        <v>웹툰 &gt; 해외 순정</v>
      </c>
      <c r="AW166" t="str">
        <f>T("웹툰 &gt; 로판")</f>
        <v>웹툰 &gt; 로판</v>
      </c>
    </row>
    <row r="167" spans="1:49" x14ac:dyDescent="0.4">
      <c r="A167">
        <v>4421002306</v>
      </c>
      <c r="B167">
        <v>4421002326</v>
      </c>
      <c r="C167" t="str">
        <f>T("지금은 여장중! 3화")</f>
        <v>지금은 여장중! 3화</v>
      </c>
      <c r="D167" t="str">
        <f>T("3")</f>
        <v>3</v>
      </c>
      <c r="E167" t="str">
        <f>T("웹티")</f>
        <v>웹티</v>
      </c>
      <c r="H167" t="str">
        <f t="shared" si="47"/>
        <v>스토리위즈</v>
      </c>
      <c r="I167" t="str">
        <f>T("지금은 여장중!")</f>
        <v>지금은 여장중!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 s="3">
        <v>0</v>
      </c>
      <c r="AH167" s="3">
        <v>1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R167" t="str">
        <f>T("0000000000000")</f>
        <v>0000000000000</v>
      </c>
      <c r="AT167" t="str">
        <f>T("9791196608354")</f>
        <v>9791196608354</v>
      </c>
      <c r="AV167" t="str">
        <f>T("웹툰 &gt; 로맨스")</f>
        <v>웹툰 &gt; 로맨스</v>
      </c>
    </row>
    <row r="168" spans="1:49" x14ac:dyDescent="0.4">
      <c r="A168">
        <v>4421000198</v>
      </c>
      <c r="B168">
        <v>4421000856</v>
      </c>
      <c r="C168" t="str">
        <f>T("공주전쟁 57화")</f>
        <v>공주전쟁 57화</v>
      </c>
      <c r="D168" t="str">
        <f>T("57")</f>
        <v>57</v>
      </c>
      <c r="E168" t="str">
        <f>T("Hujing")</f>
        <v>Hujing</v>
      </c>
      <c r="G168" t="str">
        <f>T("Luojie")</f>
        <v>Luojie</v>
      </c>
      <c r="H168" t="str">
        <f t="shared" si="47"/>
        <v>스토리위즈</v>
      </c>
      <c r="I168" t="str">
        <f>T("공주전쟁")</f>
        <v>공주전쟁</v>
      </c>
      <c r="J168">
        <v>400</v>
      </c>
      <c r="K168">
        <v>0</v>
      </c>
      <c r="L168">
        <v>0</v>
      </c>
      <c r="M168">
        <v>0</v>
      </c>
      <c r="N168">
        <v>400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s="3">
        <v>400</v>
      </c>
      <c r="AH168" s="3">
        <v>2</v>
      </c>
      <c r="AI168" s="3">
        <v>0</v>
      </c>
      <c r="AJ168" s="3">
        <v>0</v>
      </c>
      <c r="AK168" s="3">
        <v>200</v>
      </c>
      <c r="AL168" s="3">
        <v>0</v>
      </c>
      <c r="AM168" s="3">
        <v>240</v>
      </c>
      <c r="AN168" s="3">
        <v>-72</v>
      </c>
      <c r="AO168" s="3">
        <v>0</v>
      </c>
      <c r="AP168" s="3">
        <v>257.60000000000002</v>
      </c>
      <c r="AR168" t="str">
        <f>T("0000000000000")</f>
        <v>0000000000000</v>
      </c>
      <c r="AT168" t="str">
        <f>T("9791166069666")</f>
        <v>9791166069666</v>
      </c>
      <c r="AV168" t="str">
        <f>T("웹툰 &gt; 해외 순정")</f>
        <v>웹툰 &gt; 해외 순정</v>
      </c>
      <c r="AW168" t="str">
        <f>T("웹툰 &gt; 로판")</f>
        <v>웹툰 &gt; 로판</v>
      </c>
    </row>
    <row r="169" spans="1:49" x14ac:dyDescent="0.4">
      <c r="A169">
        <v>4421001325</v>
      </c>
      <c r="B169">
        <v>4421002866</v>
      </c>
      <c r="C169" t="str">
        <f>T("커피여우 김삼월 27화")</f>
        <v>커피여우 김삼월 27화</v>
      </c>
      <c r="D169" t="str">
        <f>T("27")</f>
        <v>27</v>
      </c>
      <c r="E169" t="str">
        <f>T("Nica")</f>
        <v>Nica</v>
      </c>
      <c r="G169" t="str">
        <f>T("A.Noa, RK Studio")</f>
        <v>A.Noa, RK Studio</v>
      </c>
      <c r="H169" t="str">
        <f t="shared" si="47"/>
        <v>스토리위즈</v>
      </c>
      <c r="I169" t="str">
        <f>T("커피여우 김삼월")</f>
        <v>커피여우 김삼월</v>
      </c>
      <c r="J169">
        <v>500</v>
      </c>
      <c r="K169">
        <v>0</v>
      </c>
      <c r="L169">
        <v>0</v>
      </c>
      <c r="M169">
        <v>0</v>
      </c>
      <c r="N169">
        <v>400</v>
      </c>
      <c r="O169">
        <v>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 s="3">
        <v>400</v>
      </c>
      <c r="AH169" s="3">
        <v>2</v>
      </c>
      <c r="AI169" s="3">
        <v>0</v>
      </c>
      <c r="AJ169" s="3">
        <v>0</v>
      </c>
      <c r="AK169" s="3">
        <v>400</v>
      </c>
      <c r="AL169" s="3">
        <v>0</v>
      </c>
      <c r="AM169" s="3">
        <v>0</v>
      </c>
      <c r="AN169" s="3">
        <v>0</v>
      </c>
      <c r="AO169" s="3">
        <v>0</v>
      </c>
      <c r="AP169" s="3">
        <v>280</v>
      </c>
      <c r="AR169" t="str">
        <f>T("0000000000000")</f>
        <v>0000000000000</v>
      </c>
      <c r="AT169" t="str">
        <f>T("9791191241792")</f>
        <v>9791191241792</v>
      </c>
      <c r="AV169" t="str">
        <f>T("웹툰 &gt; 로맨스")</f>
        <v>웹툰 &gt; 로맨스</v>
      </c>
    </row>
    <row r="170" spans="1:49" x14ac:dyDescent="0.4">
      <c r="A170">
        <v>4421001936</v>
      </c>
      <c r="B170">
        <v>4421001947</v>
      </c>
      <c r="C170" t="str">
        <f>T("보스 오빠, 살살! 12화")</f>
        <v>보스 오빠, 살살! 12화</v>
      </c>
      <c r="D170" t="str">
        <f>T("12")</f>
        <v>12</v>
      </c>
      <c r="E170" t="str">
        <f>T("웹티")</f>
        <v>웹티</v>
      </c>
      <c r="H170" t="str">
        <f t="shared" si="47"/>
        <v>스토리위즈</v>
      </c>
      <c r="I170" t="str">
        <f>T("보스 오빠, 살살!")</f>
        <v>보스 오빠, 살살!</v>
      </c>
      <c r="J170">
        <v>500</v>
      </c>
      <c r="K170">
        <v>0</v>
      </c>
      <c r="L170">
        <v>0</v>
      </c>
      <c r="M170">
        <v>0</v>
      </c>
      <c r="N170">
        <v>200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 s="3">
        <v>200</v>
      </c>
      <c r="AH170" s="3">
        <v>1</v>
      </c>
      <c r="AI170" s="3">
        <v>0</v>
      </c>
      <c r="AJ170" s="3">
        <v>0</v>
      </c>
      <c r="AK170" s="3">
        <v>0</v>
      </c>
      <c r="AL170" s="3">
        <v>0</v>
      </c>
      <c r="AM170" s="3">
        <v>240</v>
      </c>
      <c r="AN170" s="3">
        <v>-72</v>
      </c>
      <c r="AO170" s="3">
        <v>0</v>
      </c>
      <c r="AP170" s="3">
        <v>117.6</v>
      </c>
      <c r="AT170" t="str">
        <f>T("9791190702331")</f>
        <v>9791190702331</v>
      </c>
      <c r="AV170" t="str">
        <f>T("웹툰 &gt; 로맨스")</f>
        <v>웹툰 &gt; 로맨스</v>
      </c>
    </row>
    <row r="171" spans="1:49" x14ac:dyDescent="0.4">
      <c r="A171">
        <v>4421000001</v>
      </c>
      <c r="B171">
        <v>4421000017</v>
      </c>
      <c r="C171" t="str">
        <f>T("감옥실험 7화")</f>
        <v>감옥실험 7화</v>
      </c>
      <c r="D171" t="str">
        <f>T("7")</f>
        <v>7</v>
      </c>
      <c r="E171" t="str">
        <f>T("Kantetsu")</f>
        <v>Kantetsu</v>
      </c>
      <c r="G171" t="str">
        <f>T("Minase Chiho")</f>
        <v>Minase Chiho</v>
      </c>
      <c r="H171" t="str">
        <f t="shared" si="47"/>
        <v>스토리위즈</v>
      </c>
      <c r="I171" t="str">
        <f>T("감옥실험")</f>
        <v>감옥실험</v>
      </c>
      <c r="J171">
        <v>500</v>
      </c>
      <c r="K171">
        <v>0</v>
      </c>
      <c r="L171">
        <v>0</v>
      </c>
      <c r="M171">
        <v>0</v>
      </c>
      <c r="N171">
        <v>4800</v>
      </c>
      <c r="O171">
        <v>16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s="3">
        <v>4800</v>
      </c>
      <c r="AH171" s="3">
        <v>16</v>
      </c>
      <c r="AI171" s="3">
        <v>0</v>
      </c>
      <c r="AJ171" s="3">
        <v>0</v>
      </c>
      <c r="AK171" s="3">
        <v>4800</v>
      </c>
      <c r="AL171" s="3">
        <v>0</v>
      </c>
      <c r="AM171" s="3">
        <v>0</v>
      </c>
      <c r="AN171" s="3">
        <v>0</v>
      </c>
      <c r="AO171" s="3">
        <v>0</v>
      </c>
      <c r="AP171" s="3">
        <v>3360</v>
      </c>
      <c r="AT171" t="str">
        <f>T("9791166069406")</f>
        <v>9791166069406</v>
      </c>
      <c r="AV171" t="str">
        <f>T("웹툰 &gt; 드라마")</f>
        <v>웹툰 &gt; 드라마</v>
      </c>
    </row>
    <row r="172" spans="1:49" x14ac:dyDescent="0.4">
      <c r="A172">
        <v>4421000518</v>
      </c>
      <c r="B172">
        <v>4421000536</v>
      </c>
      <c r="C172" t="str">
        <f>T("백스테이지 키스신 18화")</f>
        <v>백스테이지 키스신 18화</v>
      </c>
      <c r="D172" t="str">
        <f>T("18")</f>
        <v>18</v>
      </c>
      <c r="E172" t="str">
        <f>T("최도비")</f>
        <v>최도비</v>
      </c>
      <c r="G172" t="str">
        <f>T("수정과")</f>
        <v>수정과</v>
      </c>
      <c r="H172" t="str">
        <f t="shared" si="47"/>
        <v>스토리위즈</v>
      </c>
      <c r="I172" t="str">
        <f>T("백스테이지 키스신")</f>
        <v>백스테이지 키스신</v>
      </c>
      <c r="J172">
        <v>400</v>
      </c>
      <c r="K172">
        <v>0</v>
      </c>
      <c r="L172">
        <v>0</v>
      </c>
      <c r="M172">
        <v>0</v>
      </c>
      <c r="N172">
        <v>200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 s="3">
        <v>200</v>
      </c>
      <c r="AH172" s="3">
        <v>1</v>
      </c>
      <c r="AI172" s="3">
        <v>0</v>
      </c>
      <c r="AJ172" s="3">
        <v>0</v>
      </c>
      <c r="AK172" s="3">
        <v>200</v>
      </c>
      <c r="AL172" s="3">
        <v>0</v>
      </c>
      <c r="AM172" s="3">
        <v>0</v>
      </c>
      <c r="AN172" s="3">
        <v>0</v>
      </c>
      <c r="AO172" s="3">
        <v>0</v>
      </c>
      <c r="AP172" s="3">
        <v>140</v>
      </c>
      <c r="AR172" t="str">
        <f t="shared" ref="AR172:AR177" si="48">T("0000000000000")</f>
        <v>0000000000000</v>
      </c>
      <c r="AT172" t="str">
        <f>T("9791166067990")</f>
        <v>9791166067990</v>
      </c>
      <c r="AV172" t="str">
        <f>T("웹툰 &gt; 로맨스")</f>
        <v>웹툰 &gt; 로맨스</v>
      </c>
    </row>
    <row r="173" spans="1:49" x14ac:dyDescent="0.4">
      <c r="A173">
        <v>4421002795</v>
      </c>
      <c r="B173">
        <v>4421002797</v>
      </c>
      <c r="C173" t="str">
        <f>T("심연의 눈 3화")</f>
        <v>심연의 눈 3화</v>
      </c>
      <c r="D173" t="str">
        <f>T("3")</f>
        <v>3</v>
      </c>
      <c r="E173" t="str">
        <f>T("M.C.K")</f>
        <v>M.C.K</v>
      </c>
      <c r="H173" t="str">
        <f t="shared" si="47"/>
        <v>스토리위즈</v>
      </c>
      <c r="I173" t="str">
        <f>T("심연의 눈")</f>
        <v>심연의 눈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 s="3">
        <v>0</v>
      </c>
      <c r="AH173" s="3">
        <v>1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R173" t="str">
        <f t="shared" si="48"/>
        <v>0000000000000</v>
      </c>
      <c r="AT173" t="str">
        <f>T("9791190622226")</f>
        <v>9791190622226</v>
      </c>
      <c r="AV173" t="str">
        <f>T("웹툰 &gt; 판타지/SF")</f>
        <v>웹툰 &gt; 판타지/SF</v>
      </c>
    </row>
    <row r="174" spans="1:49" x14ac:dyDescent="0.4">
      <c r="A174">
        <v>4421000916</v>
      </c>
      <c r="B174">
        <v>4421001213</v>
      </c>
      <c r="C174" t="str">
        <f>T("별빛 아래 우리 50화")</f>
        <v>별빛 아래 우리 50화</v>
      </c>
      <c r="D174" t="str">
        <f>T("50")</f>
        <v>50</v>
      </c>
      <c r="E174" t="str">
        <f>T("건일")</f>
        <v>건일</v>
      </c>
      <c r="G174" t="str">
        <f>T("건일")</f>
        <v>건일</v>
      </c>
      <c r="H174" t="str">
        <f t="shared" si="47"/>
        <v>스토리위즈</v>
      </c>
      <c r="I174" t="str">
        <f>T("별빛 아래 우리")</f>
        <v>별빛 아래 우리</v>
      </c>
      <c r="J174">
        <v>400</v>
      </c>
      <c r="K174">
        <v>0</v>
      </c>
      <c r="L174">
        <v>0</v>
      </c>
      <c r="M174">
        <v>0</v>
      </c>
      <c r="N174">
        <v>1400</v>
      </c>
      <c r="O174">
        <v>7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s="3">
        <v>1400</v>
      </c>
      <c r="AH174" s="3">
        <v>7</v>
      </c>
      <c r="AI174" s="3">
        <v>0</v>
      </c>
      <c r="AJ174" s="3">
        <v>0</v>
      </c>
      <c r="AK174" s="3">
        <v>579</v>
      </c>
      <c r="AL174" s="3">
        <v>0</v>
      </c>
      <c r="AM174" s="3">
        <v>985.2</v>
      </c>
      <c r="AN174" s="3">
        <v>-295.56</v>
      </c>
      <c r="AO174" s="3">
        <v>0</v>
      </c>
      <c r="AP174" s="3">
        <v>888.05</v>
      </c>
      <c r="AR174" t="str">
        <f t="shared" si="48"/>
        <v>0000000000000</v>
      </c>
      <c r="AT174" t="str">
        <f>T("9791137601413")</f>
        <v>9791137601413</v>
      </c>
      <c r="AV174" t="str">
        <f>T("웹툰 &gt; 해외 순정")</f>
        <v>웹툰 &gt; 해외 순정</v>
      </c>
      <c r="AW174" t="str">
        <f>T("웹툰 &gt; 로맨스")</f>
        <v>웹툰 &gt; 로맨스</v>
      </c>
    </row>
    <row r="175" spans="1:49" x14ac:dyDescent="0.4">
      <c r="A175">
        <v>4421000450</v>
      </c>
      <c r="B175">
        <v>4421000496</v>
      </c>
      <c r="C175" t="str">
        <f>T("내 남편의 스토커 46화")</f>
        <v>내 남편의 스토커 46화</v>
      </c>
      <c r="D175" t="str">
        <f>T("46")</f>
        <v>46</v>
      </c>
      <c r="E175" t="str">
        <f>T("혜원")</f>
        <v>혜원</v>
      </c>
      <c r="G175" t="str">
        <f>T("혜원")</f>
        <v>혜원</v>
      </c>
      <c r="H175" t="str">
        <f t="shared" si="47"/>
        <v>스토리위즈</v>
      </c>
      <c r="I175" t="str">
        <f>T("내 남편의 스토커")</f>
        <v>내 남편의 스토커</v>
      </c>
      <c r="J175">
        <v>400</v>
      </c>
      <c r="K175">
        <v>0</v>
      </c>
      <c r="L175">
        <v>0</v>
      </c>
      <c r="M175">
        <v>0</v>
      </c>
      <c r="N175">
        <v>200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s="3">
        <v>200</v>
      </c>
      <c r="AH175" s="3">
        <v>1</v>
      </c>
      <c r="AI175" s="3">
        <v>0</v>
      </c>
      <c r="AJ175" s="3">
        <v>0</v>
      </c>
      <c r="AK175" s="3">
        <v>200</v>
      </c>
      <c r="AL175" s="3">
        <v>0</v>
      </c>
      <c r="AM175" s="3">
        <v>0</v>
      </c>
      <c r="AN175" s="3">
        <v>0</v>
      </c>
      <c r="AO175" s="3">
        <v>0</v>
      </c>
      <c r="AP175" s="3">
        <v>140</v>
      </c>
      <c r="AR175" t="str">
        <f t="shared" si="48"/>
        <v>0000000000000</v>
      </c>
      <c r="AT175" t="str">
        <f>T("9791166068034")</f>
        <v>9791166068034</v>
      </c>
      <c r="AV175" t="str">
        <f>T("웹툰 &gt; 로맨스")</f>
        <v>웹툰 &gt; 로맨스</v>
      </c>
    </row>
    <row r="176" spans="1:49" x14ac:dyDescent="0.4">
      <c r="A176">
        <v>4421000198</v>
      </c>
      <c r="B176">
        <v>4421000263</v>
      </c>
      <c r="C176" t="str">
        <f>T("공주전쟁 55화")</f>
        <v>공주전쟁 55화</v>
      </c>
      <c r="D176" t="str">
        <f>T("55")</f>
        <v>55</v>
      </c>
      <c r="E176" t="str">
        <f>T("Hujing")</f>
        <v>Hujing</v>
      </c>
      <c r="G176" t="str">
        <f>T("Luojie")</f>
        <v>Luojie</v>
      </c>
      <c r="H176" t="str">
        <f t="shared" si="47"/>
        <v>스토리위즈</v>
      </c>
      <c r="I176" t="str">
        <f>T("공주전쟁")</f>
        <v>공주전쟁</v>
      </c>
      <c r="J176">
        <v>400</v>
      </c>
      <c r="K176">
        <v>0</v>
      </c>
      <c r="L176">
        <v>0</v>
      </c>
      <c r="M176">
        <v>0</v>
      </c>
      <c r="N176">
        <v>400</v>
      </c>
      <c r="O176">
        <v>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 s="3">
        <v>400</v>
      </c>
      <c r="AH176" s="3">
        <v>2</v>
      </c>
      <c r="AI176" s="3">
        <v>0</v>
      </c>
      <c r="AJ176" s="3">
        <v>0</v>
      </c>
      <c r="AK176" s="3">
        <v>200</v>
      </c>
      <c r="AL176" s="3">
        <v>0</v>
      </c>
      <c r="AM176" s="3">
        <v>240</v>
      </c>
      <c r="AN176" s="3">
        <v>-72</v>
      </c>
      <c r="AO176" s="3">
        <v>0</v>
      </c>
      <c r="AP176" s="3">
        <v>257.60000000000002</v>
      </c>
      <c r="AR176" t="str">
        <f t="shared" si="48"/>
        <v>0000000000000</v>
      </c>
      <c r="AT176" t="str">
        <f>T("9791166069666")</f>
        <v>9791166069666</v>
      </c>
      <c r="AV176" t="str">
        <f>T("웹툰 &gt; 해외 순정")</f>
        <v>웹툰 &gt; 해외 순정</v>
      </c>
      <c r="AW176" t="str">
        <f>T("웹툰 &gt; 로판")</f>
        <v>웹툰 &gt; 로판</v>
      </c>
    </row>
    <row r="177" spans="1:49" x14ac:dyDescent="0.4">
      <c r="A177">
        <v>4421000887</v>
      </c>
      <c r="B177">
        <v>4421000895</v>
      </c>
      <c r="C177" t="str">
        <f>T("폭군의 눈물 9화")</f>
        <v>폭군의 눈물 9화</v>
      </c>
      <c r="D177" t="str">
        <f>T("9")</f>
        <v>9</v>
      </c>
      <c r="E177" t="str">
        <f>T("Ice×FANFAN COMIC")</f>
        <v>Ice×FANFAN COMIC</v>
      </c>
      <c r="G177" t="str">
        <f>T("Ice×FANFAN COMIC")</f>
        <v>Ice×FANFAN COMIC</v>
      </c>
      <c r="H177" t="str">
        <f t="shared" si="47"/>
        <v>스토리위즈</v>
      </c>
      <c r="I177" t="str">
        <f>T("폭군의 눈물")</f>
        <v>폭군의 눈물</v>
      </c>
      <c r="J177">
        <v>400</v>
      </c>
      <c r="K177">
        <v>0</v>
      </c>
      <c r="L177">
        <v>0</v>
      </c>
      <c r="M177">
        <v>0</v>
      </c>
      <c r="N177">
        <v>600</v>
      </c>
      <c r="O177">
        <v>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 s="3">
        <v>600</v>
      </c>
      <c r="AH177" s="3">
        <v>3</v>
      </c>
      <c r="AI177" s="3">
        <v>0</v>
      </c>
      <c r="AJ177" s="3">
        <v>0</v>
      </c>
      <c r="AK177" s="3">
        <v>400</v>
      </c>
      <c r="AL177" s="3">
        <v>0</v>
      </c>
      <c r="AM177" s="3">
        <v>240</v>
      </c>
      <c r="AN177" s="3">
        <v>-72</v>
      </c>
      <c r="AO177" s="3">
        <v>0</v>
      </c>
      <c r="AP177" s="3">
        <v>397.6</v>
      </c>
      <c r="AR177" t="str">
        <f t="shared" si="48"/>
        <v>0000000000000</v>
      </c>
      <c r="AT177" t="str">
        <f>T("9791137601291")</f>
        <v>9791137601291</v>
      </c>
      <c r="AV177" t="str">
        <f>T("웹툰 &gt; 해외 순정")</f>
        <v>웹툰 &gt; 해외 순정</v>
      </c>
      <c r="AW177" t="str">
        <f>T("웹툰 &gt; 로판")</f>
        <v>웹툰 &gt; 로판</v>
      </c>
    </row>
    <row r="178" spans="1:49" x14ac:dyDescent="0.4">
      <c r="A178">
        <v>4421002255</v>
      </c>
      <c r="B178">
        <v>4421002256</v>
      </c>
      <c r="C178" t="str">
        <f>T("역전의 샤이닝스타! 2화")</f>
        <v>역전의 샤이닝스타! 2화</v>
      </c>
      <c r="D178" t="str">
        <f>T("2")</f>
        <v>2</v>
      </c>
      <c r="E178" t="str">
        <f>T("웹티")</f>
        <v>웹티</v>
      </c>
      <c r="H178" t="str">
        <f t="shared" si="47"/>
        <v>스토리위즈</v>
      </c>
      <c r="I178" t="str">
        <f>T("역전의 샤이닝스타!")</f>
        <v>역전의 샤이닝스타!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 s="3">
        <v>0</v>
      </c>
      <c r="AH178" s="3">
        <v>1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T178" t="str">
        <f>T("9791196608330")</f>
        <v>9791196608330</v>
      </c>
      <c r="AV178" t="str">
        <f>T("웹툰 &gt; 로맨스")</f>
        <v>웹툰 &gt; 로맨스</v>
      </c>
    </row>
    <row r="179" spans="1:49" x14ac:dyDescent="0.4">
      <c r="A179">
        <v>4421000001</v>
      </c>
      <c r="B179">
        <v>4421000049</v>
      </c>
      <c r="C179" t="str">
        <f>T("감옥실험 29화")</f>
        <v>감옥실험 29화</v>
      </c>
      <c r="D179" t="str">
        <f>T("29")</f>
        <v>29</v>
      </c>
      <c r="E179" t="str">
        <f>T("Kantetsu")</f>
        <v>Kantetsu</v>
      </c>
      <c r="G179" t="str">
        <f>T("Minase Chiho")</f>
        <v>Minase Chiho</v>
      </c>
      <c r="H179" t="str">
        <f t="shared" si="47"/>
        <v>스토리위즈</v>
      </c>
      <c r="I179" t="str">
        <f>T("감옥실험")</f>
        <v>감옥실험</v>
      </c>
      <c r="J179">
        <v>500</v>
      </c>
      <c r="K179">
        <v>0</v>
      </c>
      <c r="L179">
        <v>0</v>
      </c>
      <c r="M179">
        <v>0</v>
      </c>
      <c r="N179">
        <v>900</v>
      </c>
      <c r="O179">
        <v>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 s="3">
        <v>900</v>
      </c>
      <c r="AH179" s="3">
        <v>3</v>
      </c>
      <c r="AI179" s="3">
        <v>0</v>
      </c>
      <c r="AJ179" s="3">
        <v>0</v>
      </c>
      <c r="AK179" s="3">
        <v>606</v>
      </c>
      <c r="AL179" s="3">
        <v>0</v>
      </c>
      <c r="AM179" s="3">
        <v>352.8</v>
      </c>
      <c r="AN179" s="3">
        <v>-105.84</v>
      </c>
      <c r="AO179" s="3">
        <v>0</v>
      </c>
      <c r="AP179" s="3">
        <v>597.07000000000005</v>
      </c>
      <c r="AT179" t="str">
        <f>T("9791166069406")</f>
        <v>9791166069406</v>
      </c>
      <c r="AV179" t="str">
        <f>T("웹툰 &gt; 드라마")</f>
        <v>웹툰 &gt; 드라마</v>
      </c>
    </row>
    <row r="180" spans="1:49" x14ac:dyDescent="0.4">
      <c r="A180">
        <v>4421000518</v>
      </c>
      <c r="B180">
        <v>4421000568</v>
      </c>
      <c r="C180" t="str">
        <f>T("백스테이지 키스신 50화")</f>
        <v>백스테이지 키스신 50화</v>
      </c>
      <c r="D180" t="str">
        <f>T("50")</f>
        <v>50</v>
      </c>
      <c r="E180" t="str">
        <f>T("최도비")</f>
        <v>최도비</v>
      </c>
      <c r="G180" t="str">
        <f>T("수정과")</f>
        <v>수정과</v>
      </c>
      <c r="H180" t="str">
        <f t="shared" si="47"/>
        <v>스토리위즈</v>
      </c>
      <c r="I180" t="str">
        <f>T("백스테이지 키스신")</f>
        <v>백스테이지 키스신</v>
      </c>
      <c r="J180">
        <v>400</v>
      </c>
      <c r="K180">
        <v>0</v>
      </c>
      <c r="L180">
        <v>0</v>
      </c>
      <c r="M180">
        <v>0</v>
      </c>
      <c r="N180">
        <v>200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s="3">
        <v>200</v>
      </c>
      <c r="AH180" s="3">
        <v>1</v>
      </c>
      <c r="AI180" s="3">
        <v>0</v>
      </c>
      <c r="AJ180" s="3">
        <v>0</v>
      </c>
      <c r="AK180" s="3">
        <v>200</v>
      </c>
      <c r="AL180" s="3">
        <v>0</v>
      </c>
      <c r="AM180" s="3">
        <v>0</v>
      </c>
      <c r="AN180" s="3">
        <v>0</v>
      </c>
      <c r="AO180" s="3">
        <v>0</v>
      </c>
      <c r="AP180" s="3">
        <v>140</v>
      </c>
      <c r="AR180" t="str">
        <f t="shared" ref="AR180:AR187" si="49">T("0000000000000")</f>
        <v>0000000000000</v>
      </c>
      <c r="AT180" t="str">
        <f>T("9791166067990")</f>
        <v>9791166067990</v>
      </c>
      <c r="AV180" t="str">
        <f>T("웹툰 &gt; 로맨스")</f>
        <v>웹툰 &gt; 로맨스</v>
      </c>
    </row>
    <row r="181" spans="1:49" x14ac:dyDescent="0.4">
      <c r="A181">
        <v>4421000198</v>
      </c>
      <c r="B181">
        <v>4421002857</v>
      </c>
      <c r="C181" t="str">
        <f>T("공주전쟁 103화")</f>
        <v>공주전쟁 103화</v>
      </c>
      <c r="D181" t="str">
        <f>T("103")</f>
        <v>103</v>
      </c>
      <c r="E181" t="str">
        <f>T("Hujing")</f>
        <v>Hujing</v>
      </c>
      <c r="G181" t="str">
        <f>T("Luojie")</f>
        <v>Luojie</v>
      </c>
      <c r="H181" t="str">
        <f t="shared" si="47"/>
        <v>스토리위즈</v>
      </c>
      <c r="I181" t="str">
        <f>T("공주전쟁")</f>
        <v>공주전쟁</v>
      </c>
      <c r="J181">
        <v>400</v>
      </c>
      <c r="K181">
        <v>0</v>
      </c>
      <c r="L181">
        <v>0</v>
      </c>
      <c r="M181">
        <v>0</v>
      </c>
      <c r="N181">
        <v>200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 s="3">
        <v>200</v>
      </c>
      <c r="AH181" s="3">
        <v>1</v>
      </c>
      <c r="AI181" s="3">
        <v>0</v>
      </c>
      <c r="AJ181" s="3">
        <v>0</v>
      </c>
      <c r="AK181" s="3">
        <v>0</v>
      </c>
      <c r="AL181" s="3">
        <v>0</v>
      </c>
      <c r="AM181" s="3">
        <v>240</v>
      </c>
      <c r="AN181" s="3">
        <v>-72</v>
      </c>
      <c r="AO181" s="3">
        <v>0</v>
      </c>
      <c r="AP181" s="3">
        <v>117.6</v>
      </c>
      <c r="AR181" t="str">
        <f t="shared" si="49"/>
        <v>0000000000000</v>
      </c>
      <c r="AT181" t="str">
        <f>T("9791166069666")</f>
        <v>9791166069666</v>
      </c>
      <c r="AV181" t="str">
        <f>T("웹툰 &gt; 해외 순정")</f>
        <v>웹툰 &gt; 해외 순정</v>
      </c>
      <c r="AW181" t="str">
        <f>T("웹툰 &gt; 로판")</f>
        <v>웹툰 &gt; 로판</v>
      </c>
    </row>
    <row r="182" spans="1:49" x14ac:dyDescent="0.4">
      <c r="A182">
        <v>4421000916</v>
      </c>
      <c r="B182">
        <v>4421001247</v>
      </c>
      <c r="C182" t="str">
        <f>T("별빛 아래 우리 58화")</f>
        <v>별빛 아래 우리 58화</v>
      </c>
      <c r="D182" t="str">
        <f>T("58")</f>
        <v>58</v>
      </c>
      <c r="E182" t="str">
        <f>T("건일")</f>
        <v>건일</v>
      </c>
      <c r="G182" t="str">
        <f>T("건일")</f>
        <v>건일</v>
      </c>
      <c r="H182" t="str">
        <f t="shared" si="47"/>
        <v>스토리위즈</v>
      </c>
      <c r="I182" t="str">
        <f>T("별빛 아래 우리")</f>
        <v>별빛 아래 우리</v>
      </c>
      <c r="J182">
        <v>400</v>
      </c>
      <c r="K182">
        <v>0</v>
      </c>
      <c r="L182">
        <v>0</v>
      </c>
      <c r="M182">
        <v>0</v>
      </c>
      <c r="N182">
        <v>1000</v>
      </c>
      <c r="O182">
        <v>5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 s="3">
        <v>1000</v>
      </c>
      <c r="AH182" s="3">
        <v>5</v>
      </c>
      <c r="AI182" s="3">
        <v>0</v>
      </c>
      <c r="AJ182" s="3">
        <v>0</v>
      </c>
      <c r="AK182" s="3">
        <v>380</v>
      </c>
      <c r="AL182" s="3">
        <v>0</v>
      </c>
      <c r="AM182" s="3">
        <v>744.01</v>
      </c>
      <c r="AN182" s="3">
        <v>-223.2</v>
      </c>
      <c r="AO182" s="3">
        <v>0</v>
      </c>
      <c r="AP182" s="3">
        <v>630.57000000000005</v>
      </c>
      <c r="AR182" t="str">
        <f t="shared" si="49"/>
        <v>0000000000000</v>
      </c>
      <c r="AT182" t="str">
        <f>T("9791137601413")</f>
        <v>9791137601413</v>
      </c>
      <c r="AV182" t="str">
        <f>T("웹툰 &gt; 해외 순정")</f>
        <v>웹툰 &gt; 해외 순정</v>
      </c>
      <c r="AW182" t="str">
        <f>T("웹툰 &gt; 로맨스")</f>
        <v>웹툰 &gt; 로맨스</v>
      </c>
    </row>
    <row r="183" spans="1:49" x14ac:dyDescent="0.4">
      <c r="A183">
        <v>4421000069</v>
      </c>
      <c r="B183">
        <v>4421000089</v>
      </c>
      <c r="C183" t="str">
        <f>T("너랑 나랑 하면 20화")</f>
        <v>너랑 나랑 하면 20화</v>
      </c>
      <c r="D183" t="str">
        <f>T("20")</f>
        <v>20</v>
      </c>
      <c r="E183" t="str">
        <f>T("NISANSUI")</f>
        <v>NISANSUI</v>
      </c>
      <c r="G183" t="str">
        <f>T("ZIQUAN")</f>
        <v>ZIQUAN</v>
      </c>
      <c r="H183" t="str">
        <f t="shared" si="47"/>
        <v>스토리위즈</v>
      </c>
      <c r="I183" t="str">
        <f>T("너랑 나랑 하면")</f>
        <v>너랑 나랑 하면</v>
      </c>
      <c r="J183">
        <v>400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 s="3">
        <v>0</v>
      </c>
      <c r="AH183" s="3">
        <v>3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R183" t="str">
        <f t="shared" si="49"/>
        <v>0000000000000</v>
      </c>
      <c r="AT183" t="str">
        <f>T("9791166067884")</f>
        <v>9791166067884</v>
      </c>
      <c r="AV183" t="str">
        <f>T("BL 웹툰 &gt; 웹툰")</f>
        <v>BL 웹툰 &gt; 웹툰</v>
      </c>
    </row>
    <row r="184" spans="1:49" x14ac:dyDescent="0.4">
      <c r="A184">
        <v>4421000866</v>
      </c>
      <c r="B184">
        <v>4421001479</v>
      </c>
      <c r="C184" t="str">
        <f>T("최애에게 들켜버렸다 75화")</f>
        <v>최애에게 들켜버렸다 75화</v>
      </c>
      <c r="D184" t="str">
        <f>T("78")</f>
        <v>78</v>
      </c>
      <c r="E184" t="str">
        <f>T("Lv")</f>
        <v>Lv</v>
      </c>
      <c r="G184" t="str">
        <f>T("Lv")</f>
        <v>Lv</v>
      </c>
      <c r="H184" t="str">
        <f t="shared" si="47"/>
        <v>스토리위즈</v>
      </c>
      <c r="I184" t="str">
        <f>T("최애에게 들켜버렸다")</f>
        <v>최애에게 들켜버렸다</v>
      </c>
      <c r="J184">
        <v>400</v>
      </c>
      <c r="K184">
        <v>0</v>
      </c>
      <c r="L184">
        <v>0</v>
      </c>
      <c r="M184">
        <v>0</v>
      </c>
      <c r="N184">
        <v>400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 s="3">
        <v>400</v>
      </c>
      <c r="AH184" s="3">
        <v>2</v>
      </c>
      <c r="AI184" s="3">
        <v>0</v>
      </c>
      <c r="AJ184" s="3">
        <v>0</v>
      </c>
      <c r="AK184" s="3">
        <v>224</v>
      </c>
      <c r="AL184" s="3">
        <v>0</v>
      </c>
      <c r="AM184" s="3">
        <v>211.38</v>
      </c>
      <c r="AN184" s="3">
        <v>-63.41</v>
      </c>
      <c r="AO184" s="3">
        <v>0</v>
      </c>
      <c r="AP184" s="3">
        <v>260.38</v>
      </c>
      <c r="AR184" t="str">
        <f t="shared" si="49"/>
        <v>0000000000000</v>
      </c>
      <c r="AT184" t="str">
        <f>T("9791137601253")</f>
        <v>9791137601253</v>
      </c>
      <c r="AV184" t="str">
        <f>T("웹툰 &gt; 해외 순정")</f>
        <v>웹툰 &gt; 해외 순정</v>
      </c>
      <c r="AW184" t="str">
        <f>T("웹툰 &gt; 로맨스")</f>
        <v>웹툰 &gt; 로맨스</v>
      </c>
    </row>
    <row r="185" spans="1:49" x14ac:dyDescent="0.4">
      <c r="A185">
        <v>4421001340</v>
      </c>
      <c r="B185">
        <v>4421001364</v>
      </c>
      <c r="C185" t="str">
        <f>T("가출천사 육성계약 25화")</f>
        <v>가출천사 육성계약 25화</v>
      </c>
      <c r="D185" t="str">
        <f>T("25")</f>
        <v>25</v>
      </c>
      <c r="E185" t="str">
        <f>T("Bae.C, IIAKI, 박제후")</f>
        <v>Bae.C, IIAKI, 박제후</v>
      </c>
      <c r="G185" t="str">
        <f>T("Bae.C, 조우")</f>
        <v>Bae.C, 조우</v>
      </c>
      <c r="H185" t="str">
        <f t="shared" si="47"/>
        <v>스토리위즈</v>
      </c>
      <c r="I185" t="str">
        <f>T("가출천사 육성계약")</f>
        <v>가출천사 육성계약</v>
      </c>
      <c r="J185">
        <v>400</v>
      </c>
      <c r="K185">
        <v>0</v>
      </c>
      <c r="L185">
        <v>0</v>
      </c>
      <c r="M185">
        <v>0</v>
      </c>
      <c r="N185">
        <v>200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 s="3">
        <v>200</v>
      </c>
      <c r="AH185" s="3">
        <v>1</v>
      </c>
      <c r="AI185" s="3">
        <v>0</v>
      </c>
      <c r="AJ185" s="3">
        <v>0</v>
      </c>
      <c r="AK185" s="3">
        <v>200</v>
      </c>
      <c r="AL185" s="3">
        <v>0</v>
      </c>
      <c r="AM185" s="3">
        <v>0</v>
      </c>
      <c r="AN185" s="3">
        <v>0</v>
      </c>
      <c r="AO185" s="3">
        <v>0</v>
      </c>
      <c r="AP185" s="3">
        <v>140</v>
      </c>
      <c r="AR185" t="str">
        <f t="shared" si="49"/>
        <v>0000000000000</v>
      </c>
      <c r="AT185" t="str">
        <f>T("9791191765663")</f>
        <v>9791191765663</v>
      </c>
      <c r="AV185" t="str">
        <f>T("웹툰 &gt; 판타지/SF")</f>
        <v>웹툰 &gt; 판타지/SF</v>
      </c>
    </row>
    <row r="186" spans="1:49" x14ac:dyDescent="0.4">
      <c r="A186">
        <v>4421000337</v>
      </c>
      <c r="B186">
        <v>4421000424</v>
      </c>
      <c r="C186" t="str">
        <f>T("계약연애, 오늘부터 1일 88화")</f>
        <v>계약연애, 오늘부터 1일 88화</v>
      </c>
      <c r="D186" t="str">
        <f>T("88")</f>
        <v>88</v>
      </c>
      <c r="E186" t="str">
        <f>T("원기공장")</f>
        <v>원기공장</v>
      </c>
      <c r="H186" t="str">
        <f t="shared" si="47"/>
        <v>스토리위즈</v>
      </c>
      <c r="I186" t="str">
        <f>T("계약연애, 오늘부터 1일")</f>
        <v>계약연애, 오늘부터 1일</v>
      </c>
      <c r="J186">
        <v>200</v>
      </c>
      <c r="K186">
        <v>0</v>
      </c>
      <c r="L186">
        <v>0</v>
      </c>
      <c r="M186">
        <v>0</v>
      </c>
      <c r="N186">
        <v>100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s="3">
        <v>100</v>
      </c>
      <c r="AH186" s="3">
        <v>1</v>
      </c>
      <c r="AI186" s="3">
        <v>0</v>
      </c>
      <c r="AJ186" s="3">
        <v>0</v>
      </c>
      <c r="AK186" s="3">
        <v>100</v>
      </c>
      <c r="AL186" s="3">
        <v>0</v>
      </c>
      <c r="AM186" s="3">
        <v>0</v>
      </c>
      <c r="AN186" s="3">
        <v>0</v>
      </c>
      <c r="AO186" s="3">
        <v>0</v>
      </c>
      <c r="AP186" s="3">
        <v>70</v>
      </c>
      <c r="AR186" t="str">
        <f t="shared" si="49"/>
        <v>0000000000000</v>
      </c>
      <c r="AT186" t="str">
        <f>T("9791166068027")</f>
        <v>9791166068027</v>
      </c>
      <c r="AV186" t="str">
        <f>T("웹툰 &gt; 해외 순정")</f>
        <v>웹툰 &gt; 해외 순정</v>
      </c>
      <c r="AW186" t="str">
        <f>T("웹툰 &gt; 로맨스")</f>
        <v>웹툰 &gt; 로맨스</v>
      </c>
    </row>
    <row r="187" spans="1:49" x14ac:dyDescent="0.4">
      <c r="A187">
        <v>4421000916</v>
      </c>
      <c r="B187">
        <v>4421000927</v>
      </c>
      <c r="C187" t="str">
        <f>T("별빛 아래 우리 12화")</f>
        <v>별빛 아래 우리 12화</v>
      </c>
      <c r="D187" t="str">
        <f>T("12")</f>
        <v>12</v>
      </c>
      <c r="E187" t="str">
        <f>T("건일")</f>
        <v>건일</v>
      </c>
      <c r="G187" t="str">
        <f>T("건일")</f>
        <v>건일</v>
      </c>
      <c r="H187" t="str">
        <f t="shared" si="47"/>
        <v>스토리위즈</v>
      </c>
      <c r="I187" t="str">
        <f>T("별빛 아래 우리")</f>
        <v>별빛 아래 우리</v>
      </c>
      <c r="J187">
        <v>400</v>
      </c>
      <c r="K187">
        <v>0</v>
      </c>
      <c r="L187">
        <v>0</v>
      </c>
      <c r="M187">
        <v>0</v>
      </c>
      <c r="N187">
        <v>1000</v>
      </c>
      <c r="O187">
        <v>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 s="3">
        <v>1000</v>
      </c>
      <c r="AH187" s="3">
        <v>5</v>
      </c>
      <c r="AI187" s="3">
        <v>0</v>
      </c>
      <c r="AJ187" s="3">
        <v>0</v>
      </c>
      <c r="AK187" s="3">
        <v>400</v>
      </c>
      <c r="AL187" s="3">
        <v>0</v>
      </c>
      <c r="AM187" s="3">
        <v>720.2</v>
      </c>
      <c r="AN187" s="3">
        <v>-216.06</v>
      </c>
      <c r="AO187" s="3">
        <v>0</v>
      </c>
      <c r="AP187" s="3">
        <v>632.9</v>
      </c>
      <c r="AR187" t="str">
        <f t="shared" si="49"/>
        <v>0000000000000</v>
      </c>
      <c r="AT187" t="str">
        <f>T("9791137601413")</f>
        <v>9791137601413</v>
      </c>
      <c r="AV187" t="str">
        <f>T("웹툰 &gt; 해외 순정")</f>
        <v>웹툰 &gt; 해외 순정</v>
      </c>
      <c r="AW187" t="str">
        <f>T("웹툰 &gt; 로맨스")</f>
        <v>웹툰 &gt; 로맨스</v>
      </c>
    </row>
    <row r="188" spans="1:49" x14ac:dyDescent="0.4">
      <c r="A188">
        <v>4421001684</v>
      </c>
      <c r="B188">
        <v>4421001684</v>
      </c>
      <c r="C188" t="str">
        <f>T("달콤한 키스 1화")</f>
        <v>달콤한 키스 1화</v>
      </c>
      <c r="D188" t="str">
        <f>T("1")</f>
        <v>1</v>
      </c>
      <c r="E188" t="str">
        <f>T("웹티")</f>
        <v>웹티</v>
      </c>
      <c r="H188" t="str">
        <f t="shared" si="47"/>
        <v>스토리위즈</v>
      </c>
      <c r="I188" t="str">
        <f>T("달콤한 키스")</f>
        <v>달콤한 키스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 s="3">
        <v>0</v>
      </c>
      <c r="AH188" s="3">
        <v>1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T188" t="str">
        <f>T("9791196608378")</f>
        <v>9791196608378</v>
      </c>
      <c r="AV188" t="str">
        <f>T("웹툰 &gt; 로맨스")</f>
        <v>웹툰 &gt; 로맨스</v>
      </c>
    </row>
    <row r="189" spans="1:49" x14ac:dyDescent="0.4">
      <c r="A189">
        <v>4421000337</v>
      </c>
      <c r="B189">
        <v>4421000384</v>
      </c>
      <c r="C189" t="str">
        <f>T("계약연애, 오늘부터 1일 48화")</f>
        <v>계약연애, 오늘부터 1일 48화</v>
      </c>
      <c r="D189" t="str">
        <f>T("48")</f>
        <v>48</v>
      </c>
      <c r="E189" t="str">
        <f>T("원기공장")</f>
        <v>원기공장</v>
      </c>
      <c r="H189" t="str">
        <f t="shared" si="47"/>
        <v>스토리위즈</v>
      </c>
      <c r="I189" t="str">
        <f>T("계약연애, 오늘부터 1일")</f>
        <v>계약연애, 오늘부터 1일</v>
      </c>
      <c r="J189">
        <v>200</v>
      </c>
      <c r="K189">
        <v>0</v>
      </c>
      <c r="L189">
        <v>0</v>
      </c>
      <c r="M189">
        <v>0</v>
      </c>
      <c r="N189">
        <v>100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 s="3">
        <v>100</v>
      </c>
      <c r="AH189" s="3">
        <v>1</v>
      </c>
      <c r="AI189" s="3">
        <v>0</v>
      </c>
      <c r="AJ189" s="3">
        <v>0</v>
      </c>
      <c r="AK189" s="3">
        <v>100</v>
      </c>
      <c r="AL189" s="3">
        <v>0</v>
      </c>
      <c r="AM189" s="3">
        <v>0</v>
      </c>
      <c r="AN189" s="3">
        <v>0</v>
      </c>
      <c r="AO189" s="3">
        <v>0</v>
      </c>
      <c r="AP189" s="3">
        <v>70</v>
      </c>
      <c r="AR189" t="str">
        <f t="shared" ref="AR189:AR195" si="50">T("0000000000000")</f>
        <v>0000000000000</v>
      </c>
      <c r="AT189" t="str">
        <f>T("9791166068027")</f>
        <v>9791166068027</v>
      </c>
      <c r="AV189" t="str">
        <f>T("웹툰 &gt; 해외 순정")</f>
        <v>웹툰 &gt; 해외 순정</v>
      </c>
      <c r="AW189" t="str">
        <f>T("웹툰 &gt; 로맨스")</f>
        <v>웹툰 &gt; 로맨스</v>
      </c>
    </row>
    <row r="190" spans="1:49" x14ac:dyDescent="0.4">
      <c r="A190">
        <v>4421001340</v>
      </c>
      <c r="B190">
        <v>4421001566</v>
      </c>
      <c r="C190" t="str">
        <f>T("가출천사 육성계약 44화")</f>
        <v>가출천사 육성계약 44화</v>
      </c>
      <c r="D190" t="str">
        <f>T("44")</f>
        <v>44</v>
      </c>
      <c r="E190" t="str">
        <f>T("Bae.C, IIAKI, 박제후")</f>
        <v>Bae.C, IIAKI, 박제후</v>
      </c>
      <c r="G190" t="str">
        <f>T("Bae.C, 조우")</f>
        <v>Bae.C, 조우</v>
      </c>
      <c r="H190" t="str">
        <f t="shared" si="47"/>
        <v>스토리위즈</v>
      </c>
      <c r="I190" t="str">
        <f>T("가출천사 육성계약")</f>
        <v>가출천사 육성계약</v>
      </c>
      <c r="J190">
        <v>400</v>
      </c>
      <c r="K190">
        <v>0</v>
      </c>
      <c r="L190">
        <v>0</v>
      </c>
      <c r="M190">
        <v>0</v>
      </c>
      <c r="N190">
        <v>200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 s="3">
        <v>200</v>
      </c>
      <c r="AH190" s="3">
        <v>1</v>
      </c>
      <c r="AI190" s="3">
        <v>0</v>
      </c>
      <c r="AJ190" s="3">
        <v>0</v>
      </c>
      <c r="AK190" s="3">
        <v>200</v>
      </c>
      <c r="AL190" s="3">
        <v>0</v>
      </c>
      <c r="AM190" s="3">
        <v>0</v>
      </c>
      <c r="AN190" s="3">
        <v>0</v>
      </c>
      <c r="AO190" s="3">
        <v>0</v>
      </c>
      <c r="AP190" s="3">
        <v>140</v>
      </c>
      <c r="AR190" t="str">
        <f t="shared" si="50"/>
        <v>0000000000000</v>
      </c>
      <c r="AT190" t="str">
        <f>T("9791191765663")</f>
        <v>9791191765663</v>
      </c>
      <c r="AV190" t="str">
        <f>T("웹툰 &gt; 판타지/SF")</f>
        <v>웹툰 &gt; 판타지/SF</v>
      </c>
    </row>
    <row r="191" spans="1:49" x14ac:dyDescent="0.4">
      <c r="A191">
        <v>4421000887</v>
      </c>
      <c r="B191">
        <v>4421001284</v>
      </c>
      <c r="C191" t="str">
        <f>T("폭군의 눈물 54화")</f>
        <v>폭군의 눈물 54화</v>
      </c>
      <c r="D191" t="str">
        <f>T("54")</f>
        <v>54</v>
      </c>
      <c r="E191" t="str">
        <f>T("Ice×FANFAN COMIC")</f>
        <v>Ice×FANFAN COMIC</v>
      </c>
      <c r="G191" t="str">
        <f>T("Ice×FANFAN COMIC")</f>
        <v>Ice×FANFAN COMIC</v>
      </c>
      <c r="H191" t="str">
        <f t="shared" si="47"/>
        <v>스토리위즈</v>
      </c>
      <c r="I191" t="str">
        <f>T("폭군의 눈물")</f>
        <v>폭군의 눈물</v>
      </c>
      <c r="J191">
        <v>400</v>
      </c>
      <c r="K191">
        <v>0</v>
      </c>
      <c r="L191">
        <v>0</v>
      </c>
      <c r="M191">
        <v>0</v>
      </c>
      <c r="N191">
        <v>600</v>
      </c>
      <c r="O191">
        <v>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 s="3">
        <v>600</v>
      </c>
      <c r="AH191" s="3">
        <v>3</v>
      </c>
      <c r="AI191" s="3">
        <v>0</v>
      </c>
      <c r="AJ191" s="3">
        <v>0</v>
      </c>
      <c r="AK191" s="3">
        <v>400</v>
      </c>
      <c r="AL191" s="3">
        <v>0</v>
      </c>
      <c r="AM191" s="3">
        <v>240</v>
      </c>
      <c r="AN191" s="3">
        <v>-72</v>
      </c>
      <c r="AO191" s="3">
        <v>0</v>
      </c>
      <c r="AP191" s="3">
        <v>397.6</v>
      </c>
      <c r="AR191" t="str">
        <f t="shared" si="50"/>
        <v>0000000000000</v>
      </c>
      <c r="AT191" t="str">
        <f>T("9791137601291")</f>
        <v>9791137601291</v>
      </c>
      <c r="AV191" t="str">
        <f>T("웹툰 &gt; 해외 순정")</f>
        <v>웹툰 &gt; 해외 순정</v>
      </c>
      <c r="AW191" t="str">
        <f>T("웹툰 &gt; 로판")</f>
        <v>웹툰 &gt; 로판</v>
      </c>
    </row>
    <row r="192" spans="1:49" x14ac:dyDescent="0.4">
      <c r="A192">
        <v>4421000866</v>
      </c>
      <c r="B192">
        <v>4421001180</v>
      </c>
      <c r="C192" t="str">
        <f>T("최애에게 들켜버렸다 번외편 3화")</f>
        <v>최애에게 들켜버렸다 번외편 3화</v>
      </c>
      <c r="D192" t="str">
        <f>T("47")</f>
        <v>47</v>
      </c>
      <c r="E192" t="str">
        <f>T("Lv")</f>
        <v>Lv</v>
      </c>
      <c r="G192" t="str">
        <f>T("Lv")</f>
        <v>Lv</v>
      </c>
      <c r="H192" t="str">
        <f t="shared" si="47"/>
        <v>스토리위즈</v>
      </c>
      <c r="I192" t="str">
        <f>T("최애에게 들켜버렸다")</f>
        <v>최애에게 들켜버렸다</v>
      </c>
      <c r="J192">
        <v>400</v>
      </c>
      <c r="K192">
        <v>0</v>
      </c>
      <c r="L192">
        <v>0</v>
      </c>
      <c r="M192">
        <v>0</v>
      </c>
      <c r="N192">
        <v>600</v>
      </c>
      <c r="O192">
        <v>3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 s="3">
        <v>600</v>
      </c>
      <c r="AH192" s="3">
        <v>3</v>
      </c>
      <c r="AI192" s="3">
        <v>0</v>
      </c>
      <c r="AJ192" s="3">
        <v>0</v>
      </c>
      <c r="AK192" s="3">
        <v>424</v>
      </c>
      <c r="AL192" s="3">
        <v>0</v>
      </c>
      <c r="AM192" s="3">
        <v>211.38</v>
      </c>
      <c r="AN192" s="3">
        <v>-63.41</v>
      </c>
      <c r="AO192" s="3">
        <v>0</v>
      </c>
      <c r="AP192" s="3">
        <v>400.38</v>
      </c>
      <c r="AR192" t="str">
        <f t="shared" si="50"/>
        <v>0000000000000</v>
      </c>
      <c r="AT192" t="str">
        <f>T("9791137601253")</f>
        <v>9791137601253</v>
      </c>
      <c r="AV192" t="str">
        <f>T("웹툰 &gt; 해외 순정")</f>
        <v>웹툰 &gt; 해외 순정</v>
      </c>
      <c r="AW192" t="str">
        <f>T("웹툰 &gt; 로맨스")</f>
        <v>웹툰 &gt; 로맨스</v>
      </c>
    </row>
    <row r="193" spans="1:49" x14ac:dyDescent="0.4">
      <c r="A193">
        <v>4421000450</v>
      </c>
      <c r="B193">
        <v>4421000456</v>
      </c>
      <c r="C193" t="str">
        <f>T("내 남편의 스토커 6화")</f>
        <v>내 남편의 스토커 6화</v>
      </c>
      <c r="D193" t="str">
        <f>T("6")</f>
        <v>6</v>
      </c>
      <c r="E193" t="str">
        <f>T("혜원")</f>
        <v>혜원</v>
      </c>
      <c r="G193" t="str">
        <f>T("혜원")</f>
        <v>혜원</v>
      </c>
      <c r="H193" t="str">
        <f t="shared" si="47"/>
        <v>스토리위즈</v>
      </c>
      <c r="I193" t="str">
        <f>T("내 남편의 스토커")</f>
        <v>내 남편의 스토커</v>
      </c>
      <c r="J193">
        <v>400</v>
      </c>
      <c r="K193">
        <v>0</v>
      </c>
      <c r="L193">
        <v>0</v>
      </c>
      <c r="M193">
        <v>0</v>
      </c>
      <c r="N193">
        <v>200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s="3">
        <v>200</v>
      </c>
      <c r="AH193" s="3">
        <v>1</v>
      </c>
      <c r="AI193" s="3">
        <v>0</v>
      </c>
      <c r="AJ193" s="3">
        <v>0</v>
      </c>
      <c r="AK193" s="3">
        <v>200</v>
      </c>
      <c r="AL193" s="3">
        <v>0</v>
      </c>
      <c r="AM193" s="3">
        <v>0</v>
      </c>
      <c r="AN193" s="3">
        <v>0</v>
      </c>
      <c r="AO193" s="3">
        <v>0</v>
      </c>
      <c r="AP193" s="3">
        <v>140</v>
      </c>
      <c r="AR193" t="str">
        <f t="shared" si="50"/>
        <v>0000000000000</v>
      </c>
      <c r="AT193" t="str">
        <f>T("9791166068034")</f>
        <v>9791166068034</v>
      </c>
      <c r="AV193" t="str">
        <f>T("웹툰 &gt; 로맨스")</f>
        <v>웹툰 &gt; 로맨스</v>
      </c>
    </row>
    <row r="194" spans="1:49" x14ac:dyDescent="0.4">
      <c r="A194">
        <v>4421000198</v>
      </c>
      <c r="B194">
        <v>4421000231</v>
      </c>
      <c r="C194" t="str">
        <f>T("공주전쟁 34화")</f>
        <v>공주전쟁 34화</v>
      </c>
      <c r="D194" t="str">
        <f>T("34")</f>
        <v>34</v>
      </c>
      <c r="E194" t="str">
        <f>T("Hujing")</f>
        <v>Hujing</v>
      </c>
      <c r="G194" t="str">
        <f>T("Luojie")</f>
        <v>Luojie</v>
      </c>
      <c r="H194" t="str">
        <f t="shared" ref="H194:H257" si="51">T("스토리위즈")</f>
        <v>스토리위즈</v>
      </c>
      <c r="I194" t="str">
        <f>T("공주전쟁")</f>
        <v>공주전쟁</v>
      </c>
      <c r="J194">
        <v>400</v>
      </c>
      <c r="K194">
        <v>0</v>
      </c>
      <c r="L194">
        <v>0</v>
      </c>
      <c r="M194">
        <v>0</v>
      </c>
      <c r="N194">
        <v>600</v>
      </c>
      <c r="O194">
        <v>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 s="3">
        <v>600</v>
      </c>
      <c r="AH194" s="3">
        <v>3</v>
      </c>
      <c r="AI194" s="3">
        <v>0</v>
      </c>
      <c r="AJ194" s="3">
        <v>0</v>
      </c>
      <c r="AK194" s="3">
        <v>400</v>
      </c>
      <c r="AL194" s="3">
        <v>0</v>
      </c>
      <c r="AM194" s="3">
        <v>240</v>
      </c>
      <c r="AN194" s="3">
        <v>-72</v>
      </c>
      <c r="AO194" s="3">
        <v>0</v>
      </c>
      <c r="AP194" s="3">
        <v>397.6</v>
      </c>
      <c r="AR194" t="str">
        <f t="shared" si="50"/>
        <v>0000000000000</v>
      </c>
      <c r="AT194" t="str">
        <f>T("9791166069666")</f>
        <v>9791166069666</v>
      </c>
      <c r="AV194" t="str">
        <f>T("웹툰 &gt; 해외 순정")</f>
        <v>웹툰 &gt; 해외 순정</v>
      </c>
      <c r="AW194" t="str">
        <f>T("웹툰 &gt; 로판")</f>
        <v>웹툰 &gt; 로판</v>
      </c>
    </row>
    <row r="195" spans="1:49" x14ac:dyDescent="0.4">
      <c r="A195">
        <v>4421000866</v>
      </c>
      <c r="B195">
        <v>4421000974</v>
      </c>
      <c r="C195" t="str">
        <f>T("최애에게 들켜버렸다 32화")</f>
        <v>최애에게 들켜버렸다 32화</v>
      </c>
      <c r="D195" t="str">
        <f>T("33")</f>
        <v>33</v>
      </c>
      <c r="E195" t="str">
        <f>T("Lv")</f>
        <v>Lv</v>
      </c>
      <c r="G195" t="str">
        <f>T("Lv")</f>
        <v>Lv</v>
      </c>
      <c r="H195" t="str">
        <f t="shared" si="51"/>
        <v>스토리위즈</v>
      </c>
      <c r="I195" t="str">
        <f>T("최애에게 들켜버렸다")</f>
        <v>최애에게 들켜버렸다</v>
      </c>
      <c r="J195">
        <v>400</v>
      </c>
      <c r="K195">
        <v>0</v>
      </c>
      <c r="L195">
        <v>0</v>
      </c>
      <c r="M195">
        <v>0</v>
      </c>
      <c r="N195">
        <v>600</v>
      </c>
      <c r="O195">
        <v>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 s="3">
        <v>600</v>
      </c>
      <c r="AH195" s="3">
        <v>3</v>
      </c>
      <c r="AI195" s="3">
        <v>0</v>
      </c>
      <c r="AJ195" s="3">
        <v>0</v>
      </c>
      <c r="AK195" s="3">
        <v>424</v>
      </c>
      <c r="AL195" s="3">
        <v>0</v>
      </c>
      <c r="AM195" s="3">
        <v>211.38</v>
      </c>
      <c r="AN195" s="3">
        <v>-63.41</v>
      </c>
      <c r="AO195" s="3">
        <v>0</v>
      </c>
      <c r="AP195" s="3">
        <v>400.38</v>
      </c>
      <c r="AR195" t="str">
        <f t="shared" si="50"/>
        <v>0000000000000</v>
      </c>
      <c r="AT195" t="str">
        <f>T("9791137601253")</f>
        <v>9791137601253</v>
      </c>
      <c r="AV195" t="str">
        <f>T("웹툰 &gt; 해외 순정")</f>
        <v>웹툰 &gt; 해외 순정</v>
      </c>
      <c r="AW195" t="str">
        <f>T("웹툰 &gt; 로맨스")</f>
        <v>웹툰 &gt; 로맨스</v>
      </c>
    </row>
    <row r="196" spans="1:49" x14ac:dyDescent="0.4">
      <c r="A196">
        <v>4421001836</v>
      </c>
      <c r="B196">
        <v>4421001837</v>
      </c>
      <c r="C196" t="str">
        <f>T("무령후 2화")</f>
        <v>무령후 2화</v>
      </c>
      <c r="D196" t="str">
        <f>T("2")</f>
        <v>2</v>
      </c>
      <c r="E196" t="str">
        <f>T("웹티")</f>
        <v>웹티</v>
      </c>
      <c r="H196" t="str">
        <f t="shared" si="51"/>
        <v>스토리위즈</v>
      </c>
      <c r="I196" t="str">
        <f>T("무령후")</f>
        <v>무령후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s="3">
        <v>0</v>
      </c>
      <c r="AH196" s="3">
        <v>1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T196" t="str">
        <f>T("9791190622066")</f>
        <v>9791190622066</v>
      </c>
      <c r="AV196" t="str">
        <f>T("웹툰 &gt; 액션/무협")</f>
        <v>웹툰 &gt; 액션/무협</v>
      </c>
    </row>
    <row r="197" spans="1:49" x14ac:dyDescent="0.4">
      <c r="A197">
        <v>4421000518</v>
      </c>
      <c r="B197">
        <v>4421000521</v>
      </c>
      <c r="C197" t="str">
        <f>T("백스테이지 키스신 3화")</f>
        <v>백스테이지 키스신 3화</v>
      </c>
      <c r="D197" t="str">
        <f>T("3")</f>
        <v>3</v>
      </c>
      <c r="E197" t="str">
        <f>T("최도비")</f>
        <v>최도비</v>
      </c>
      <c r="G197" t="str">
        <f>T("수정과")</f>
        <v>수정과</v>
      </c>
      <c r="H197" t="str">
        <f t="shared" si="51"/>
        <v>스토리위즈</v>
      </c>
      <c r="I197" t="str">
        <f>T("백스테이지 키스신")</f>
        <v>백스테이지 키스신</v>
      </c>
      <c r="J197">
        <v>400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 s="3">
        <v>0</v>
      </c>
      <c r="AH197" s="3">
        <v>2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R197" t="str">
        <f t="shared" ref="AR197:AR217" si="52">T("0000000000000")</f>
        <v>0000000000000</v>
      </c>
      <c r="AT197" t="str">
        <f>T("9791166067990")</f>
        <v>9791166067990</v>
      </c>
      <c r="AV197" t="str">
        <f>T("웹툰 &gt; 로맨스")</f>
        <v>웹툰 &gt; 로맨스</v>
      </c>
    </row>
    <row r="198" spans="1:49" x14ac:dyDescent="0.4">
      <c r="A198">
        <v>4421000866</v>
      </c>
      <c r="B198">
        <v>4421001240</v>
      </c>
      <c r="C198" t="str">
        <f>T("최애에게 들켜버렸다 57화")</f>
        <v>최애에게 들켜버렸다 57화</v>
      </c>
      <c r="D198" t="str">
        <f>T("60")</f>
        <v>60</v>
      </c>
      <c r="E198" t="str">
        <f>T("Lv")</f>
        <v>Lv</v>
      </c>
      <c r="G198" t="str">
        <f>T("Lv")</f>
        <v>Lv</v>
      </c>
      <c r="H198" t="str">
        <f t="shared" si="51"/>
        <v>스토리위즈</v>
      </c>
      <c r="I198" t="str">
        <f>T("최애에게 들켜버렸다")</f>
        <v>최애에게 들켜버렸다</v>
      </c>
      <c r="J198">
        <v>400</v>
      </c>
      <c r="K198">
        <v>0</v>
      </c>
      <c r="L198">
        <v>0</v>
      </c>
      <c r="M198">
        <v>0</v>
      </c>
      <c r="N198">
        <v>600</v>
      </c>
      <c r="O198">
        <v>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 s="3">
        <v>600</v>
      </c>
      <c r="AH198" s="3">
        <v>3</v>
      </c>
      <c r="AI198" s="3">
        <v>0</v>
      </c>
      <c r="AJ198" s="3">
        <v>0</v>
      </c>
      <c r="AK198" s="3">
        <v>424</v>
      </c>
      <c r="AL198" s="3">
        <v>0</v>
      </c>
      <c r="AM198" s="3">
        <v>211.38</v>
      </c>
      <c r="AN198" s="3">
        <v>-63.41</v>
      </c>
      <c r="AO198" s="3">
        <v>0</v>
      </c>
      <c r="AP198" s="3">
        <v>400.38</v>
      </c>
      <c r="AR198" t="str">
        <f t="shared" si="52"/>
        <v>0000000000000</v>
      </c>
      <c r="AT198" t="str">
        <f>T("9791137601253")</f>
        <v>9791137601253</v>
      </c>
      <c r="AV198" t="str">
        <f>T("웹툰 &gt; 해외 순정")</f>
        <v>웹툰 &gt; 해외 순정</v>
      </c>
      <c r="AW198" t="str">
        <f>T("웹툰 &gt; 로맨스")</f>
        <v>웹툰 &gt; 로맨스</v>
      </c>
    </row>
    <row r="199" spans="1:49" x14ac:dyDescent="0.4">
      <c r="A199">
        <v>4421000069</v>
      </c>
      <c r="B199">
        <v>4421000082</v>
      </c>
      <c r="C199" t="str">
        <f>T("너랑 나랑 하면 13화")</f>
        <v>너랑 나랑 하면 13화</v>
      </c>
      <c r="D199" t="str">
        <f>T("13")</f>
        <v>13</v>
      </c>
      <c r="E199" t="str">
        <f>T("NISANSUI")</f>
        <v>NISANSUI</v>
      </c>
      <c r="G199" t="str">
        <f>T("ZIQUAN")</f>
        <v>ZIQUAN</v>
      </c>
      <c r="H199" t="str">
        <f t="shared" si="51"/>
        <v>스토리위즈</v>
      </c>
      <c r="I199" t="str">
        <f>T("너랑 나랑 하면")</f>
        <v>너랑 나랑 하면</v>
      </c>
      <c r="J199">
        <v>400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 s="3">
        <v>0</v>
      </c>
      <c r="AH199" s="3">
        <v>3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R199" t="str">
        <f t="shared" si="52"/>
        <v>0000000000000</v>
      </c>
      <c r="AT199" t="str">
        <f>T("9791166067884")</f>
        <v>9791166067884</v>
      </c>
      <c r="AV199" t="str">
        <f>T("BL 웹툰 &gt; 웹툰")</f>
        <v>BL 웹툰 &gt; 웹툰</v>
      </c>
    </row>
    <row r="200" spans="1:49" x14ac:dyDescent="0.4">
      <c r="A200">
        <v>4421001340</v>
      </c>
      <c r="B200">
        <v>4421001469</v>
      </c>
      <c r="C200" t="str">
        <f>T("가출천사 육성계약 37화")</f>
        <v>가출천사 육성계약 37화</v>
      </c>
      <c r="D200" t="str">
        <f>T("37")</f>
        <v>37</v>
      </c>
      <c r="E200" t="str">
        <f>T("Bae.C, IIAKI, 박제후")</f>
        <v>Bae.C, IIAKI, 박제후</v>
      </c>
      <c r="G200" t="str">
        <f>T("Bae.C, 조우")</f>
        <v>Bae.C, 조우</v>
      </c>
      <c r="H200" t="str">
        <f t="shared" si="51"/>
        <v>스토리위즈</v>
      </c>
      <c r="I200" t="str">
        <f>T("가출천사 육성계약")</f>
        <v>가출천사 육성계약</v>
      </c>
      <c r="J200">
        <v>400</v>
      </c>
      <c r="K200">
        <v>0</v>
      </c>
      <c r="L200">
        <v>0</v>
      </c>
      <c r="M200">
        <v>0</v>
      </c>
      <c r="N200">
        <v>200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 s="3">
        <v>200</v>
      </c>
      <c r="AH200" s="3">
        <v>1</v>
      </c>
      <c r="AI200" s="3">
        <v>0</v>
      </c>
      <c r="AJ200" s="3">
        <v>0</v>
      </c>
      <c r="AK200" s="3">
        <v>200</v>
      </c>
      <c r="AL200" s="3">
        <v>0</v>
      </c>
      <c r="AM200" s="3">
        <v>0</v>
      </c>
      <c r="AN200" s="3">
        <v>0</v>
      </c>
      <c r="AO200" s="3">
        <v>0</v>
      </c>
      <c r="AP200" s="3">
        <v>140</v>
      </c>
      <c r="AR200" t="str">
        <f t="shared" si="52"/>
        <v>0000000000000</v>
      </c>
      <c r="AT200" t="str">
        <f>T("9791191765663")</f>
        <v>9791191765663</v>
      </c>
      <c r="AV200" t="str">
        <f>T("웹툰 &gt; 판타지/SF")</f>
        <v>웹툰 &gt; 판타지/SF</v>
      </c>
    </row>
    <row r="201" spans="1:49" x14ac:dyDescent="0.4">
      <c r="A201">
        <v>4421000916</v>
      </c>
      <c r="B201">
        <v>4421000920</v>
      </c>
      <c r="C201" t="str">
        <f>T("별빛 아래 우리 5화")</f>
        <v>별빛 아래 우리 5화</v>
      </c>
      <c r="D201" t="str">
        <f>T("5")</f>
        <v>5</v>
      </c>
      <c r="E201" t="str">
        <f>T("건일")</f>
        <v>건일</v>
      </c>
      <c r="G201" t="str">
        <f>T("건일")</f>
        <v>건일</v>
      </c>
      <c r="H201" t="str">
        <f t="shared" si="51"/>
        <v>스토리위즈</v>
      </c>
      <c r="I201" t="str">
        <f>T("별빛 아래 우리")</f>
        <v>별빛 아래 우리</v>
      </c>
      <c r="J201">
        <v>400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29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 s="3">
        <v>0</v>
      </c>
      <c r="AH201" s="3">
        <v>29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R201" t="str">
        <f t="shared" si="52"/>
        <v>0000000000000</v>
      </c>
      <c r="AT201" t="str">
        <f>T("9791137601413")</f>
        <v>9791137601413</v>
      </c>
      <c r="AV201" t="str">
        <f>T("웹툰 &gt; 해외 순정")</f>
        <v>웹툰 &gt; 해외 순정</v>
      </c>
      <c r="AW201" t="str">
        <f>T("웹툰 &gt; 로맨스")</f>
        <v>웹툰 &gt; 로맨스</v>
      </c>
    </row>
    <row r="202" spans="1:49" x14ac:dyDescent="0.4">
      <c r="A202">
        <v>4421001340</v>
      </c>
      <c r="B202">
        <v>4421001357</v>
      </c>
      <c r="C202" t="str">
        <f>T("가출천사 육성계약 18화")</f>
        <v>가출천사 육성계약 18화</v>
      </c>
      <c r="D202" t="str">
        <f>T("18")</f>
        <v>18</v>
      </c>
      <c r="E202" t="str">
        <f>T("Bae.C, IIAKI, 박제후")</f>
        <v>Bae.C, IIAKI, 박제후</v>
      </c>
      <c r="G202" t="str">
        <f>T("Bae.C, 조우")</f>
        <v>Bae.C, 조우</v>
      </c>
      <c r="H202" t="str">
        <f t="shared" si="51"/>
        <v>스토리위즈</v>
      </c>
      <c r="I202" t="str">
        <f>T("가출천사 육성계약")</f>
        <v>가출천사 육성계약</v>
      </c>
      <c r="J202">
        <v>400</v>
      </c>
      <c r="K202">
        <v>0</v>
      </c>
      <c r="L202">
        <v>0</v>
      </c>
      <c r="M202">
        <v>0</v>
      </c>
      <c r="N202">
        <v>200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 s="3">
        <v>200</v>
      </c>
      <c r="AH202" s="3">
        <v>1</v>
      </c>
      <c r="AI202" s="3">
        <v>0</v>
      </c>
      <c r="AJ202" s="3">
        <v>0</v>
      </c>
      <c r="AK202" s="3">
        <v>200</v>
      </c>
      <c r="AL202" s="3">
        <v>0</v>
      </c>
      <c r="AM202" s="3">
        <v>0</v>
      </c>
      <c r="AN202" s="3">
        <v>0</v>
      </c>
      <c r="AO202" s="3">
        <v>0</v>
      </c>
      <c r="AP202" s="3">
        <v>140</v>
      </c>
      <c r="AR202" t="str">
        <f t="shared" si="52"/>
        <v>0000000000000</v>
      </c>
      <c r="AT202" t="str">
        <f>T("9791191765663")</f>
        <v>9791191765663</v>
      </c>
      <c r="AV202" t="str">
        <f>T("웹툰 &gt; 판타지/SF")</f>
        <v>웹툰 &gt; 판타지/SF</v>
      </c>
    </row>
    <row r="203" spans="1:49" x14ac:dyDescent="0.4">
      <c r="A203">
        <v>4421000337</v>
      </c>
      <c r="B203">
        <v>4421000417</v>
      </c>
      <c r="C203" t="str">
        <f>T("계약연애, 오늘부터 1일 81화")</f>
        <v>계약연애, 오늘부터 1일 81화</v>
      </c>
      <c r="D203" t="str">
        <f>T("81")</f>
        <v>81</v>
      </c>
      <c r="E203" t="str">
        <f>T("원기공장")</f>
        <v>원기공장</v>
      </c>
      <c r="H203" t="str">
        <f t="shared" si="51"/>
        <v>스토리위즈</v>
      </c>
      <c r="I203" t="str">
        <f>T("계약연애, 오늘부터 1일")</f>
        <v>계약연애, 오늘부터 1일</v>
      </c>
      <c r="J203">
        <v>200</v>
      </c>
      <c r="K203">
        <v>0</v>
      </c>
      <c r="L203">
        <v>0</v>
      </c>
      <c r="M203">
        <v>0</v>
      </c>
      <c r="N203">
        <v>100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 s="3">
        <v>100</v>
      </c>
      <c r="AH203" s="3">
        <v>1</v>
      </c>
      <c r="AI203" s="3">
        <v>0</v>
      </c>
      <c r="AJ203" s="3">
        <v>0</v>
      </c>
      <c r="AK203" s="3">
        <v>100</v>
      </c>
      <c r="AL203" s="3">
        <v>0</v>
      </c>
      <c r="AM203" s="3">
        <v>0</v>
      </c>
      <c r="AN203" s="3">
        <v>0</v>
      </c>
      <c r="AO203" s="3">
        <v>0</v>
      </c>
      <c r="AP203" s="3">
        <v>70</v>
      </c>
      <c r="AR203" t="str">
        <f t="shared" si="52"/>
        <v>0000000000000</v>
      </c>
      <c r="AT203" t="str">
        <f>T("9791166068027")</f>
        <v>9791166068027</v>
      </c>
      <c r="AV203" t="str">
        <f>T("웹툰 &gt; 해외 순정")</f>
        <v>웹툰 &gt; 해외 순정</v>
      </c>
      <c r="AW203" t="str">
        <f>T("웹툰 &gt; 로맨스")</f>
        <v>웹툰 &gt; 로맨스</v>
      </c>
    </row>
    <row r="204" spans="1:49" x14ac:dyDescent="0.4">
      <c r="A204">
        <v>4421001568</v>
      </c>
      <c r="B204">
        <v>4421001583</v>
      </c>
      <c r="C204" t="str">
        <f>T("구름의 연인 16화 (완결)")</f>
        <v>구름의 연인 16화 (완결)</v>
      </c>
      <c r="D204" t="str">
        <f>T("16")</f>
        <v>16</v>
      </c>
      <c r="E204" t="str">
        <f>T("웹티")</f>
        <v>웹티</v>
      </c>
      <c r="H204" t="str">
        <f t="shared" si="51"/>
        <v>스토리위즈</v>
      </c>
      <c r="I204" t="str">
        <f>T("구름의 연인")</f>
        <v>구름의 연인</v>
      </c>
      <c r="J204">
        <v>500</v>
      </c>
      <c r="K204">
        <v>0</v>
      </c>
      <c r="L204">
        <v>0</v>
      </c>
      <c r="M204">
        <v>0</v>
      </c>
      <c r="N204">
        <v>200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 s="3">
        <v>200</v>
      </c>
      <c r="AH204" s="3">
        <v>1</v>
      </c>
      <c r="AI204" s="3">
        <v>0</v>
      </c>
      <c r="AJ204" s="3">
        <v>0</v>
      </c>
      <c r="AK204" s="3">
        <v>200</v>
      </c>
      <c r="AL204" s="3">
        <v>0</v>
      </c>
      <c r="AM204" s="3">
        <v>0</v>
      </c>
      <c r="AN204" s="3">
        <v>0</v>
      </c>
      <c r="AO204" s="3">
        <v>0</v>
      </c>
      <c r="AP204" s="3">
        <v>140</v>
      </c>
      <c r="AR204" t="str">
        <f t="shared" si="52"/>
        <v>0000000000000</v>
      </c>
      <c r="AT204" t="str">
        <f>T("9791196402730")</f>
        <v>9791196402730</v>
      </c>
      <c r="AV204" t="str">
        <f>T("웹툰 &gt; 로맨스")</f>
        <v>웹툰 &gt; 로맨스</v>
      </c>
    </row>
    <row r="205" spans="1:49" x14ac:dyDescent="0.4">
      <c r="A205">
        <v>4421000337</v>
      </c>
      <c r="B205">
        <v>4421000377</v>
      </c>
      <c r="C205" t="str">
        <f>T("계약연애, 오늘부터 1일 41화")</f>
        <v>계약연애, 오늘부터 1일 41화</v>
      </c>
      <c r="D205" t="str">
        <f>T("41")</f>
        <v>41</v>
      </c>
      <c r="E205" t="str">
        <f>T("원기공장")</f>
        <v>원기공장</v>
      </c>
      <c r="H205" t="str">
        <f t="shared" si="51"/>
        <v>스토리위즈</v>
      </c>
      <c r="I205" t="str">
        <f>T("계약연애, 오늘부터 1일")</f>
        <v>계약연애, 오늘부터 1일</v>
      </c>
      <c r="J205">
        <v>200</v>
      </c>
      <c r="K205">
        <v>0</v>
      </c>
      <c r="L205">
        <v>0</v>
      </c>
      <c r="M205">
        <v>0</v>
      </c>
      <c r="N205">
        <v>100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 s="3">
        <v>100</v>
      </c>
      <c r="AH205" s="3">
        <v>1</v>
      </c>
      <c r="AI205" s="3">
        <v>0</v>
      </c>
      <c r="AJ205" s="3">
        <v>0</v>
      </c>
      <c r="AK205" s="3">
        <v>100</v>
      </c>
      <c r="AL205" s="3">
        <v>0</v>
      </c>
      <c r="AM205" s="3">
        <v>0</v>
      </c>
      <c r="AN205" s="3">
        <v>0</v>
      </c>
      <c r="AO205" s="3">
        <v>0</v>
      </c>
      <c r="AP205" s="3">
        <v>70</v>
      </c>
      <c r="AR205" t="str">
        <f t="shared" si="52"/>
        <v>0000000000000</v>
      </c>
      <c r="AT205" t="str">
        <f>T("9791166068027")</f>
        <v>9791166068027</v>
      </c>
      <c r="AV205" t="str">
        <f t="shared" ref="AV205:AV211" si="53">T("웹툰 &gt; 해외 순정")</f>
        <v>웹툰 &gt; 해외 순정</v>
      </c>
      <c r="AW205" t="str">
        <f>T("웹툰 &gt; 로맨스")</f>
        <v>웹툰 &gt; 로맨스</v>
      </c>
    </row>
    <row r="206" spans="1:49" x14ac:dyDescent="0.4">
      <c r="A206">
        <v>4421000866</v>
      </c>
      <c r="B206">
        <v>4421001277</v>
      </c>
      <c r="C206" t="str">
        <f>T("최애에게 들켜버렸다 63화")</f>
        <v>최애에게 들켜버렸다 63화</v>
      </c>
      <c r="D206" t="str">
        <f>T("66")</f>
        <v>66</v>
      </c>
      <c r="E206" t="str">
        <f>T("Lv")</f>
        <v>Lv</v>
      </c>
      <c r="G206" t="str">
        <f>T("Lv")</f>
        <v>Lv</v>
      </c>
      <c r="H206" t="str">
        <f t="shared" si="51"/>
        <v>스토리위즈</v>
      </c>
      <c r="I206" t="str">
        <f>T("최애에게 들켜버렸다")</f>
        <v>최애에게 들켜버렸다</v>
      </c>
      <c r="J206">
        <v>400</v>
      </c>
      <c r="K206">
        <v>0</v>
      </c>
      <c r="L206">
        <v>0</v>
      </c>
      <c r="M206">
        <v>0</v>
      </c>
      <c r="N206">
        <v>600</v>
      </c>
      <c r="O206">
        <v>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 s="3">
        <v>600</v>
      </c>
      <c r="AH206" s="3">
        <v>3</v>
      </c>
      <c r="AI206" s="3">
        <v>0</v>
      </c>
      <c r="AJ206" s="3">
        <v>0</v>
      </c>
      <c r="AK206" s="3">
        <v>424</v>
      </c>
      <c r="AL206" s="3">
        <v>0</v>
      </c>
      <c r="AM206" s="3">
        <v>211.38</v>
      </c>
      <c r="AN206" s="3">
        <v>-63.41</v>
      </c>
      <c r="AO206" s="3">
        <v>0</v>
      </c>
      <c r="AP206" s="3">
        <v>400.38</v>
      </c>
      <c r="AR206" t="str">
        <f t="shared" si="52"/>
        <v>0000000000000</v>
      </c>
      <c r="AT206" t="str">
        <f>T("9791137601253")</f>
        <v>9791137601253</v>
      </c>
      <c r="AV206" t="str">
        <f t="shared" si="53"/>
        <v>웹툰 &gt; 해외 순정</v>
      </c>
      <c r="AW206" t="str">
        <f>T("웹툰 &gt; 로맨스")</f>
        <v>웹툰 &gt; 로맨스</v>
      </c>
    </row>
    <row r="207" spans="1:49" x14ac:dyDescent="0.4">
      <c r="A207">
        <v>4421000866</v>
      </c>
      <c r="B207">
        <v>4421001559</v>
      </c>
      <c r="C207" t="str">
        <f>T("최애에게 들켜버렸다 81화")</f>
        <v>최애에게 들켜버렸다 81화</v>
      </c>
      <c r="D207" t="str">
        <f>T("84")</f>
        <v>84</v>
      </c>
      <c r="E207" t="str">
        <f>T("Lv")</f>
        <v>Lv</v>
      </c>
      <c r="G207" t="str">
        <f>T("Lv")</f>
        <v>Lv</v>
      </c>
      <c r="H207" t="str">
        <f t="shared" si="51"/>
        <v>스토리위즈</v>
      </c>
      <c r="I207" t="str">
        <f>T("최애에게 들켜버렸다")</f>
        <v>최애에게 들켜버렸다</v>
      </c>
      <c r="J207">
        <v>400</v>
      </c>
      <c r="K207">
        <v>0</v>
      </c>
      <c r="L207">
        <v>0</v>
      </c>
      <c r="M207">
        <v>0</v>
      </c>
      <c r="N207">
        <v>1000</v>
      </c>
      <c r="O207">
        <v>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 s="3">
        <v>1000</v>
      </c>
      <c r="AH207" s="3">
        <v>5</v>
      </c>
      <c r="AI207" s="3">
        <v>0</v>
      </c>
      <c r="AJ207" s="3">
        <v>0</v>
      </c>
      <c r="AK207" s="3">
        <v>825</v>
      </c>
      <c r="AL207" s="3">
        <v>0</v>
      </c>
      <c r="AM207" s="3">
        <v>210.18</v>
      </c>
      <c r="AN207" s="3">
        <v>-63.05</v>
      </c>
      <c r="AO207" s="3">
        <v>0</v>
      </c>
      <c r="AP207" s="3">
        <v>680.49</v>
      </c>
      <c r="AR207" t="str">
        <f t="shared" si="52"/>
        <v>0000000000000</v>
      </c>
      <c r="AT207" t="str">
        <f>T("9791137601253")</f>
        <v>9791137601253</v>
      </c>
      <c r="AV207" t="str">
        <f t="shared" si="53"/>
        <v>웹툰 &gt; 해외 순정</v>
      </c>
      <c r="AW207" t="str">
        <f>T("웹툰 &gt; 로맨스")</f>
        <v>웹툰 &gt; 로맨스</v>
      </c>
    </row>
    <row r="208" spans="1:49" x14ac:dyDescent="0.4">
      <c r="A208">
        <v>4421000198</v>
      </c>
      <c r="B208">
        <v>4421000224</v>
      </c>
      <c r="C208" t="str">
        <f>T("공주전쟁 27화")</f>
        <v>공주전쟁 27화</v>
      </c>
      <c r="D208" t="str">
        <f>T("27")</f>
        <v>27</v>
      </c>
      <c r="E208" t="str">
        <f>T("Hujing")</f>
        <v>Hujing</v>
      </c>
      <c r="G208" t="str">
        <f>T("Luojie")</f>
        <v>Luojie</v>
      </c>
      <c r="H208" t="str">
        <f t="shared" si="51"/>
        <v>스토리위즈</v>
      </c>
      <c r="I208" t="str">
        <f>T("공주전쟁")</f>
        <v>공주전쟁</v>
      </c>
      <c r="J208">
        <v>400</v>
      </c>
      <c r="K208">
        <v>0</v>
      </c>
      <c r="L208">
        <v>0</v>
      </c>
      <c r="M208">
        <v>0</v>
      </c>
      <c r="N208">
        <v>600</v>
      </c>
      <c r="O208">
        <v>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 s="3">
        <v>600</v>
      </c>
      <c r="AH208" s="3">
        <v>3</v>
      </c>
      <c r="AI208" s="3">
        <v>0</v>
      </c>
      <c r="AJ208" s="3">
        <v>0</v>
      </c>
      <c r="AK208" s="3">
        <v>400</v>
      </c>
      <c r="AL208" s="3">
        <v>0</v>
      </c>
      <c r="AM208" s="3">
        <v>240</v>
      </c>
      <c r="AN208" s="3">
        <v>-72</v>
      </c>
      <c r="AO208" s="3">
        <v>0</v>
      </c>
      <c r="AP208" s="3">
        <v>397.6</v>
      </c>
      <c r="AR208" t="str">
        <f t="shared" si="52"/>
        <v>0000000000000</v>
      </c>
      <c r="AT208" t="str">
        <f>T("9791166069666")</f>
        <v>9791166069666</v>
      </c>
      <c r="AV208" t="str">
        <f t="shared" si="53"/>
        <v>웹툰 &gt; 해외 순정</v>
      </c>
      <c r="AW208" t="str">
        <f>T("웹툰 &gt; 로판")</f>
        <v>웹툰 &gt; 로판</v>
      </c>
    </row>
    <row r="209" spans="1:49" x14ac:dyDescent="0.4">
      <c r="A209">
        <v>4421000866</v>
      </c>
      <c r="B209">
        <v>4421001173</v>
      </c>
      <c r="C209" t="str">
        <f>T("최애에게 들켜버렸다 44화")</f>
        <v>최애에게 들켜버렸다 44화</v>
      </c>
      <c r="D209" t="str">
        <f>T("45")</f>
        <v>45</v>
      </c>
      <c r="E209" t="str">
        <f>T("Lv")</f>
        <v>Lv</v>
      </c>
      <c r="G209" t="str">
        <f>T("Lv")</f>
        <v>Lv</v>
      </c>
      <c r="H209" t="str">
        <f t="shared" si="51"/>
        <v>스토리위즈</v>
      </c>
      <c r="I209" t="str">
        <f>T("최애에게 들켜버렸다")</f>
        <v>최애에게 들켜버렸다</v>
      </c>
      <c r="J209">
        <v>400</v>
      </c>
      <c r="K209">
        <v>0</v>
      </c>
      <c r="L209">
        <v>0</v>
      </c>
      <c r="M209">
        <v>0</v>
      </c>
      <c r="N209">
        <v>600</v>
      </c>
      <c r="O209">
        <v>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 s="3">
        <v>600</v>
      </c>
      <c r="AH209" s="3">
        <v>3</v>
      </c>
      <c r="AI209" s="3">
        <v>0</v>
      </c>
      <c r="AJ209" s="3">
        <v>0</v>
      </c>
      <c r="AK209" s="3">
        <v>424</v>
      </c>
      <c r="AL209" s="3">
        <v>0</v>
      </c>
      <c r="AM209" s="3">
        <v>211.38</v>
      </c>
      <c r="AN209" s="3">
        <v>-63.41</v>
      </c>
      <c r="AO209" s="3">
        <v>0</v>
      </c>
      <c r="AP209" s="3">
        <v>400.38</v>
      </c>
      <c r="AR209" t="str">
        <f t="shared" si="52"/>
        <v>0000000000000</v>
      </c>
      <c r="AT209" t="str">
        <f>T("9791137601253")</f>
        <v>9791137601253</v>
      </c>
      <c r="AV209" t="str">
        <f t="shared" si="53"/>
        <v>웹툰 &gt; 해외 순정</v>
      </c>
      <c r="AW209" t="str">
        <f>T("웹툰 &gt; 로맨스")</f>
        <v>웹툰 &gt; 로맨스</v>
      </c>
    </row>
    <row r="210" spans="1:49" x14ac:dyDescent="0.4">
      <c r="A210">
        <v>4421000337</v>
      </c>
      <c r="B210">
        <v>4421000449</v>
      </c>
      <c r="C210" t="str">
        <f>T("계약연애, 오늘부터 1일 113화 (완결)")</f>
        <v>계약연애, 오늘부터 1일 113화 (완결)</v>
      </c>
      <c r="D210" t="str">
        <f>T("113")</f>
        <v>113</v>
      </c>
      <c r="E210" t="str">
        <f>T("원기공장")</f>
        <v>원기공장</v>
      </c>
      <c r="H210" t="str">
        <f t="shared" si="51"/>
        <v>스토리위즈</v>
      </c>
      <c r="I210" t="str">
        <f>T("계약연애, 오늘부터 1일")</f>
        <v>계약연애, 오늘부터 1일</v>
      </c>
      <c r="J210">
        <v>200</v>
      </c>
      <c r="K210">
        <v>0</v>
      </c>
      <c r="L210">
        <v>0</v>
      </c>
      <c r="M210">
        <v>0</v>
      </c>
      <c r="N210">
        <v>100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 s="3">
        <v>100</v>
      </c>
      <c r="AH210" s="3">
        <v>1</v>
      </c>
      <c r="AI210" s="3">
        <v>0</v>
      </c>
      <c r="AJ210" s="3">
        <v>0</v>
      </c>
      <c r="AK210" s="3">
        <v>100</v>
      </c>
      <c r="AL210" s="3">
        <v>0</v>
      </c>
      <c r="AM210" s="3">
        <v>0</v>
      </c>
      <c r="AN210" s="3">
        <v>0</v>
      </c>
      <c r="AO210" s="3">
        <v>0</v>
      </c>
      <c r="AP210" s="3">
        <v>70</v>
      </c>
      <c r="AR210" t="str">
        <f t="shared" si="52"/>
        <v>0000000000000</v>
      </c>
      <c r="AT210" t="str">
        <f>T("9791166068027")</f>
        <v>9791166068027</v>
      </c>
      <c r="AV210" t="str">
        <f t="shared" si="53"/>
        <v>웹툰 &gt; 해외 순정</v>
      </c>
      <c r="AW210" t="str">
        <f>T("웹툰 &gt; 로맨스")</f>
        <v>웹툰 &gt; 로맨스</v>
      </c>
    </row>
    <row r="211" spans="1:49" x14ac:dyDescent="0.4">
      <c r="A211">
        <v>4421000866</v>
      </c>
      <c r="B211">
        <v>4421000959</v>
      </c>
      <c r="C211" t="str">
        <f>T("최애에게 들켜버렸다 25화")</f>
        <v>최애에게 들켜버렸다 25화</v>
      </c>
      <c r="D211" t="str">
        <f>T("26")</f>
        <v>26</v>
      </c>
      <c r="E211" t="str">
        <f>T("Lv")</f>
        <v>Lv</v>
      </c>
      <c r="G211" t="str">
        <f>T("Lv")</f>
        <v>Lv</v>
      </c>
      <c r="H211" t="str">
        <f t="shared" si="51"/>
        <v>스토리위즈</v>
      </c>
      <c r="I211" t="str">
        <f>T("최애에게 들켜버렸다")</f>
        <v>최애에게 들켜버렸다</v>
      </c>
      <c r="J211">
        <v>400</v>
      </c>
      <c r="K211">
        <v>0</v>
      </c>
      <c r="L211">
        <v>0</v>
      </c>
      <c r="M211">
        <v>0</v>
      </c>
      <c r="N211">
        <v>800</v>
      </c>
      <c r="O211">
        <v>4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 s="3">
        <v>800</v>
      </c>
      <c r="AH211" s="3">
        <v>4</v>
      </c>
      <c r="AI211" s="3">
        <v>0</v>
      </c>
      <c r="AJ211" s="3">
        <v>0</v>
      </c>
      <c r="AK211" s="3">
        <v>624</v>
      </c>
      <c r="AL211" s="3">
        <v>0</v>
      </c>
      <c r="AM211" s="3">
        <v>211.38</v>
      </c>
      <c r="AN211" s="3">
        <v>-63.41</v>
      </c>
      <c r="AO211" s="3">
        <v>0</v>
      </c>
      <c r="AP211" s="3">
        <v>540.38</v>
      </c>
      <c r="AR211" t="str">
        <f t="shared" si="52"/>
        <v>0000000000000</v>
      </c>
      <c r="AT211" t="str">
        <f>T("9791137601253")</f>
        <v>9791137601253</v>
      </c>
      <c r="AV211" t="str">
        <f t="shared" si="53"/>
        <v>웹툰 &gt; 해외 순정</v>
      </c>
      <c r="AW211" t="str">
        <f>T("웹툰 &gt; 로맨스")</f>
        <v>웹툰 &gt; 로맨스</v>
      </c>
    </row>
    <row r="212" spans="1:49" x14ac:dyDescent="0.4">
      <c r="A212">
        <v>4421001764</v>
      </c>
      <c r="B212">
        <v>4421001783</v>
      </c>
      <c r="C212" t="str">
        <f>T("예쁜 남자 잘생긴 여자 20화")</f>
        <v>예쁜 남자 잘생긴 여자 20화</v>
      </c>
      <c r="D212" t="str">
        <f>T("20")</f>
        <v>20</v>
      </c>
      <c r="E212" t="str">
        <f>T("웹티")</f>
        <v>웹티</v>
      </c>
      <c r="H212" t="str">
        <f t="shared" si="51"/>
        <v>스토리위즈</v>
      </c>
      <c r="I212" t="str">
        <f>T("예쁜 남자 잘생긴 여자")</f>
        <v>예쁜 남자 잘생긴 여자</v>
      </c>
      <c r="J212">
        <v>500</v>
      </c>
      <c r="K212">
        <v>0</v>
      </c>
      <c r="L212">
        <v>0</v>
      </c>
      <c r="M212">
        <v>0</v>
      </c>
      <c r="N212">
        <v>200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 s="3">
        <v>200</v>
      </c>
      <c r="AH212" s="3">
        <v>1</v>
      </c>
      <c r="AI212" s="3">
        <v>0</v>
      </c>
      <c r="AJ212" s="3">
        <v>0</v>
      </c>
      <c r="AK212" s="3">
        <v>0</v>
      </c>
      <c r="AL212" s="3">
        <v>0</v>
      </c>
      <c r="AM212" s="3">
        <v>240.82</v>
      </c>
      <c r="AN212" s="3">
        <v>-72.25</v>
      </c>
      <c r="AO212" s="3">
        <v>0</v>
      </c>
      <c r="AP212" s="3">
        <v>118</v>
      </c>
      <c r="AR212" t="str">
        <f t="shared" si="52"/>
        <v>0000000000000</v>
      </c>
      <c r="AT212" t="str">
        <f>T("9791190702164")</f>
        <v>9791190702164</v>
      </c>
      <c r="AV212" t="str">
        <f>T("웹툰 &gt; 로맨스")</f>
        <v>웹툰 &gt; 로맨스</v>
      </c>
    </row>
    <row r="213" spans="1:49" x14ac:dyDescent="0.4">
      <c r="A213">
        <v>4421000337</v>
      </c>
      <c r="B213">
        <v>4421000409</v>
      </c>
      <c r="C213" t="str">
        <f>T("계약연애, 오늘부터 1일 73화")</f>
        <v>계약연애, 오늘부터 1일 73화</v>
      </c>
      <c r="D213" t="str">
        <f>T("73")</f>
        <v>73</v>
      </c>
      <c r="E213" t="str">
        <f>T("원기공장")</f>
        <v>원기공장</v>
      </c>
      <c r="H213" t="str">
        <f t="shared" si="51"/>
        <v>스토리위즈</v>
      </c>
      <c r="I213" t="str">
        <f>T("계약연애, 오늘부터 1일")</f>
        <v>계약연애, 오늘부터 1일</v>
      </c>
      <c r="J213">
        <v>200</v>
      </c>
      <c r="K213">
        <v>0</v>
      </c>
      <c r="L213">
        <v>0</v>
      </c>
      <c r="M213">
        <v>0</v>
      </c>
      <c r="N213">
        <v>100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 s="3">
        <v>100</v>
      </c>
      <c r="AH213" s="3">
        <v>1</v>
      </c>
      <c r="AI213" s="3">
        <v>0</v>
      </c>
      <c r="AJ213" s="3">
        <v>0</v>
      </c>
      <c r="AK213" s="3">
        <v>100</v>
      </c>
      <c r="AL213" s="3">
        <v>0</v>
      </c>
      <c r="AM213" s="3">
        <v>0</v>
      </c>
      <c r="AN213" s="3">
        <v>0</v>
      </c>
      <c r="AO213" s="3">
        <v>0</v>
      </c>
      <c r="AP213" s="3">
        <v>70</v>
      </c>
      <c r="AR213" t="str">
        <f t="shared" si="52"/>
        <v>0000000000000</v>
      </c>
      <c r="AT213" t="str">
        <f>T("9791166068027")</f>
        <v>9791166068027</v>
      </c>
      <c r="AV213" t="str">
        <f>T("웹툰 &gt; 해외 순정")</f>
        <v>웹툰 &gt; 해외 순정</v>
      </c>
      <c r="AW213" t="str">
        <f>T("웹툰 &gt; 로맨스")</f>
        <v>웹툰 &gt; 로맨스</v>
      </c>
    </row>
    <row r="214" spans="1:49" x14ac:dyDescent="0.4">
      <c r="A214">
        <v>4421000518</v>
      </c>
      <c r="B214">
        <v>4421000529</v>
      </c>
      <c r="C214" t="str">
        <f>T("백스테이지 키스신 11화")</f>
        <v>백스테이지 키스신 11화</v>
      </c>
      <c r="D214" t="str">
        <f>T("11")</f>
        <v>11</v>
      </c>
      <c r="E214" t="str">
        <f>T("최도비")</f>
        <v>최도비</v>
      </c>
      <c r="G214" t="str">
        <f>T("수정과")</f>
        <v>수정과</v>
      </c>
      <c r="H214" t="str">
        <f t="shared" si="51"/>
        <v>스토리위즈</v>
      </c>
      <c r="I214" t="str">
        <f>T("백스테이지 키스신")</f>
        <v>백스테이지 키스신</v>
      </c>
      <c r="J214">
        <v>400</v>
      </c>
      <c r="K214">
        <v>0</v>
      </c>
      <c r="L214">
        <v>0</v>
      </c>
      <c r="M214">
        <v>0</v>
      </c>
      <c r="N214">
        <v>200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 s="3">
        <v>200</v>
      </c>
      <c r="AH214" s="3">
        <v>1</v>
      </c>
      <c r="AI214" s="3">
        <v>0</v>
      </c>
      <c r="AJ214" s="3">
        <v>0</v>
      </c>
      <c r="AK214" s="3">
        <v>200</v>
      </c>
      <c r="AL214" s="3">
        <v>0</v>
      </c>
      <c r="AM214" s="3">
        <v>0</v>
      </c>
      <c r="AN214" s="3">
        <v>0</v>
      </c>
      <c r="AO214" s="3">
        <v>0</v>
      </c>
      <c r="AP214" s="3">
        <v>140</v>
      </c>
      <c r="AR214" t="str">
        <f t="shared" si="52"/>
        <v>0000000000000</v>
      </c>
      <c r="AT214" t="str">
        <f>T("9791166067990")</f>
        <v>9791166067990</v>
      </c>
      <c r="AV214" t="str">
        <f>T("웹툰 &gt; 로맨스")</f>
        <v>웹툰 &gt; 로맨스</v>
      </c>
    </row>
    <row r="215" spans="1:49" x14ac:dyDescent="0.4">
      <c r="A215">
        <v>4421000198</v>
      </c>
      <c r="B215">
        <v>4421001206</v>
      </c>
      <c r="C215" t="str">
        <f>T("공주전쟁 71화")</f>
        <v>공주전쟁 71화</v>
      </c>
      <c r="D215" t="str">
        <f>T("71")</f>
        <v>71</v>
      </c>
      <c r="E215" t="str">
        <f>T("Hujing")</f>
        <v>Hujing</v>
      </c>
      <c r="G215" t="str">
        <f>T("Luojie")</f>
        <v>Luojie</v>
      </c>
      <c r="H215" t="str">
        <f t="shared" si="51"/>
        <v>스토리위즈</v>
      </c>
      <c r="I215" t="str">
        <f>T("공주전쟁")</f>
        <v>공주전쟁</v>
      </c>
      <c r="J215">
        <v>400</v>
      </c>
      <c r="K215">
        <v>0</v>
      </c>
      <c r="L215">
        <v>0</v>
      </c>
      <c r="M215">
        <v>0</v>
      </c>
      <c r="N215">
        <v>400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 s="3">
        <v>400</v>
      </c>
      <c r="AH215" s="3">
        <v>2</v>
      </c>
      <c r="AI215" s="3">
        <v>0</v>
      </c>
      <c r="AJ215" s="3">
        <v>0</v>
      </c>
      <c r="AK215" s="3">
        <v>200</v>
      </c>
      <c r="AL215" s="3">
        <v>0</v>
      </c>
      <c r="AM215" s="3">
        <v>240</v>
      </c>
      <c r="AN215" s="3">
        <v>-72</v>
      </c>
      <c r="AO215" s="3">
        <v>0</v>
      </c>
      <c r="AP215" s="3">
        <v>257.60000000000002</v>
      </c>
      <c r="AR215" t="str">
        <f t="shared" si="52"/>
        <v>0000000000000</v>
      </c>
      <c r="AT215" t="str">
        <f>T("9791166069666")</f>
        <v>9791166069666</v>
      </c>
      <c r="AV215" t="str">
        <f>T("웹툰 &gt; 해외 순정")</f>
        <v>웹툰 &gt; 해외 순정</v>
      </c>
      <c r="AW215" t="str">
        <f>T("웹툰 &gt; 로판")</f>
        <v>웹툰 &gt; 로판</v>
      </c>
    </row>
    <row r="216" spans="1:49" x14ac:dyDescent="0.4">
      <c r="A216">
        <v>4421000450</v>
      </c>
      <c r="B216">
        <v>4421000489</v>
      </c>
      <c r="C216" t="str">
        <f>T("내 남편의 스토커 39화")</f>
        <v>내 남편의 스토커 39화</v>
      </c>
      <c r="D216" t="str">
        <f>T("39")</f>
        <v>39</v>
      </c>
      <c r="E216" t="str">
        <f>T("혜원")</f>
        <v>혜원</v>
      </c>
      <c r="G216" t="str">
        <f>T("혜원")</f>
        <v>혜원</v>
      </c>
      <c r="H216" t="str">
        <f t="shared" si="51"/>
        <v>스토리위즈</v>
      </c>
      <c r="I216" t="str">
        <f>T("내 남편의 스토커")</f>
        <v>내 남편의 스토커</v>
      </c>
      <c r="J216">
        <v>400</v>
      </c>
      <c r="K216">
        <v>0</v>
      </c>
      <c r="L216">
        <v>0</v>
      </c>
      <c r="M216">
        <v>0</v>
      </c>
      <c r="N216">
        <v>200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 s="3">
        <v>200</v>
      </c>
      <c r="AH216" s="3">
        <v>1</v>
      </c>
      <c r="AI216" s="3">
        <v>0</v>
      </c>
      <c r="AJ216" s="3">
        <v>0</v>
      </c>
      <c r="AK216" s="3">
        <v>200</v>
      </c>
      <c r="AL216" s="3">
        <v>0</v>
      </c>
      <c r="AM216" s="3">
        <v>0</v>
      </c>
      <c r="AN216" s="3">
        <v>0</v>
      </c>
      <c r="AO216" s="3">
        <v>0</v>
      </c>
      <c r="AP216" s="3">
        <v>140</v>
      </c>
      <c r="AR216" t="str">
        <f t="shared" si="52"/>
        <v>0000000000000</v>
      </c>
      <c r="AT216" t="str">
        <f>T("9791166068034")</f>
        <v>9791166068034</v>
      </c>
      <c r="AV216" t="str">
        <f>T("웹툰 &gt; 로맨스")</f>
        <v>웹툰 &gt; 로맨스</v>
      </c>
    </row>
    <row r="217" spans="1:49" x14ac:dyDescent="0.4">
      <c r="A217">
        <v>4421000887</v>
      </c>
      <c r="B217">
        <v>4421000888</v>
      </c>
      <c r="C217" t="str">
        <f>T("폭군의 눈물 2화")</f>
        <v>폭군의 눈물 2화</v>
      </c>
      <c r="D217" t="str">
        <f>T("2")</f>
        <v>2</v>
      </c>
      <c r="E217" t="str">
        <f>T("Ice×FANFAN COMIC")</f>
        <v>Ice×FANFAN COMIC</v>
      </c>
      <c r="G217" t="str">
        <f>T("Ice×FANFAN COMIC")</f>
        <v>Ice×FANFAN COMIC</v>
      </c>
      <c r="H217" t="str">
        <f t="shared" si="51"/>
        <v>스토리위즈</v>
      </c>
      <c r="I217" t="str">
        <f>T("폭군의 눈물")</f>
        <v>폭군의 눈물</v>
      </c>
      <c r="J217">
        <v>400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 s="3">
        <v>0</v>
      </c>
      <c r="AH217" s="3">
        <v>19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R217" t="str">
        <f t="shared" si="52"/>
        <v>0000000000000</v>
      </c>
      <c r="AT217" t="str">
        <f>T("9791137601291")</f>
        <v>9791137601291</v>
      </c>
      <c r="AV217" t="str">
        <f>T("웹툰 &gt; 해외 순정")</f>
        <v>웹툰 &gt; 해외 순정</v>
      </c>
      <c r="AW217" t="str">
        <f>T("웹툰 &gt; 로판")</f>
        <v>웹툰 &gt; 로판</v>
      </c>
    </row>
    <row r="218" spans="1:49" x14ac:dyDescent="0.4">
      <c r="A218">
        <v>4421002155</v>
      </c>
      <c r="B218">
        <v>4421002155</v>
      </c>
      <c r="C218" t="str">
        <f>T("달콤한 결혼 1화")</f>
        <v>달콤한 결혼 1화</v>
      </c>
      <c r="D218" t="str">
        <f>T("1")</f>
        <v>1</v>
      </c>
      <c r="E218" t="str">
        <f>T("웹티")</f>
        <v>웹티</v>
      </c>
      <c r="H218" t="str">
        <f t="shared" si="51"/>
        <v>스토리위즈</v>
      </c>
      <c r="I218" t="str">
        <f>T("달콤한 결혼")</f>
        <v>달콤한 결혼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 s="3">
        <v>0</v>
      </c>
      <c r="AH218" s="3">
        <v>1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T218" t="str">
        <f>T("9791190622028")</f>
        <v>9791190622028</v>
      </c>
      <c r="AV218" t="str">
        <f>T("웹툰 &gt; 로맨스")</f>
        <v>웹툰 &gt; 로맨스</v>
      </c>
    </row>
    <row r="219" spans="1:49" x14ac:dyDescent="0.4">
      <c r="A219">
        <v>4421000001</v>
      </c>
      <c r="B219">
        <v>4421000042</v>
      </c>
      <c r="C219" t="str">
        <f>T("감옥실험 22화")</f>
        <v>감옥실험 22화</v>
      </c>
      <c r="D219" t="str">
        <f>T("22")</f>
        <v>22</v>
      </c>
      <c r="E219" t="str">
        <f>T("Kantetsu")</f>
        <v>Kantetsu</v>
      </c>
      <c r="G219" t="str">
        <f>T("Minase Chiho")</f>
        <v>Minase Chiho</v>
      </c>
      <c r="H219" t="str">
        <f t="shared" si="51"/>
        <v>스토리위즈</v>
      </c>
      <c r="I219" t="str">
        <f>T("감옥실험")</f>
        <v>감옥실험</v>
      </c>
      <c r="J219">
        <v>500</v>
      </c>
      <c r="K219">
        <v>0</v>
      </c>
      <c r="L219">
        <v>0</v>
      </c>
      <c r="M219">
        <v>0</v>
      </c>
      <c r="N219">
        <v>900</v>
      </c>
      <c r="O219">
        <v>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 s="3">
        <v>900</v>
      </c>
      <c r="AH219" s="3">
        <v>3</v>
      </c>
      <c r="AI219" s="3">
        <v>0</v>
      </c>
      <c r="AJ219" s="3">
        <v>0</v>
      </c>
      <c r="AK219" s="3">
        <v>600</v>
      </c>
      <c r="AL219" s="3">
        <v>0</v>
      </c>
      <c r="AM219" s="3">
        <v>360</v>
      </c>
      <c r="AN219" s="3">
        <v>-108</v>
      </c>
      <c r="AO219" s="3">
        <v>0</v>
      </c>
      <c r="AP219" s="3">
        <v>596.4</v>
      </c>
      <c r="AT219" t="str">
        <f>T("9791166069406")</f>
        <v>9791166069406</v>
      </c>
      <c r="AV219" t="str">
        <f>T("웹툰 &gt; 드라마")</f>
        <v>웹툰 &gt; 드라마</v>
      </c>
    </row>
    <row r="220" spans="1:49" x14ac:dyDescent="0.4">
      <c r="A220">
        <v>4421000518</v>
      </c>
      <c r="B220">
        <v>4421000561</v>
      </c>
      <c r="C220" t="str">
        <f>T("백스테이지 키스신 43화")</f>
        <v>백스테이지 키스신 43화</v>
      </c>
      <c r="D220" t="str">
        <f>T("43")</f>
        <v>43</v>
      </c>
      <c r="E220" t="str">
        <f>T("최도비")</f>
        <v>최도비</v>
      </c>
      <c r="G220" t="str">
        <f>T("수정과")</f>
        <v>수정과</v>
      </c>
      <c r="H220" t="str">
        <f t="shared" si="51"/>
        <v>스토리위즈</v>
      </c>
      <c r="I220" t="str">
        <f>T("백스테이지 키스신")</f>
        <v>백스테이지 키스신</v>
      </c>
      <c r="J220">
        <v>400</v>
      </c>
      <c r="K220">
        <v>0</v>
      </c>
      <c r="L220">
        <v>0</v>
      </c>
      <c r="M220">
        <v>0</v>
      </c>
      <c r="N220">
        <v>200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 s="3">
        <v>200</v>
      </c>
      <c r="AH220" s="3">
        <v>1</v>
      </c>
      <c r="AI220" s="3">
        <v>0</v>
      </c>
      <c r="AJ220" s="3">
        <v>0</v>
      </c>
      <c r="AK220" s="3">
        <v>200</v>
      </c>
      <c r="AL220" s="3">
        <v>0</v>
      </c>
      <c r="AM220" s="3">
        <v>0</v>
      </c>
      <c r="AN220" s="3">
        <v>0</v>
      </c>
      <c r="AO220" s="3">
        <v>0</v>
      </c>
      <c r="AP220" s="3">
        <v>140</v>
      </c>
      <c r="AR220" t="str">
        <f t="shared" ref="AR220:AR234" si="54">T("0000000000000")</f>
        <v>0000000000000</v>
      </c>
      <c r="AT220" t="str">
        <f>T("9791166067990")</f>
        <v>9791166067990</v>
      </c>
      <c r="AV220" t="str">
        <f>T("웹툰 &gt; 로맨스")</f>
        <v>웹툰 &gt; 로맨스</v>
      </c>
    </row>
    <row r="221" spans="1:49" x14ac:dyDescent="0.4">
      <c r="A221">
        <v>4421000337</v>
      </c>
      <c r="B221">
        <v>4421000402</v>
      </c>
      <c r="C221" t="str">
        <f>T("계약연애, 오늘부터 1일 66화")</f>
        <v>계약연애, 오늘부터 1일 66화</v>
      </c>
      <c r="D221" t="str">
        <f>T("66")</f>
        <v>66</v>
      </c>
      <c r="E221" t="str">
        <f>T("원기공장")</f>
        <v>원기공장</v>
      </c>
      <c r="H221" t="str">
        <f t="shared" si="51"/>
        <v>스토리위즈</v>
      </c>
      <c r="I221" t="str">
        <f>T("계약연애, 오늘부터 1일")</f>
        <v>계약연애, 오늘부터 1일</v>
      </c>
      <c r="J221">
        <v>200</v>
      </c>
      <c r="K221">
        <v>0</v>
      </c>
      <c r="L221">
        <v>0</v>
      </c>
      <c r="M221">
        <v>0</v>
      </c>
      <c r="N221">
        <v>100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 s="3">
        <v>100</v>
      </c>
      <c r="AH221" s="3">
        <v>1</v>
      </c>
      <c r="AI221" s="3">
        <v>0</v>
      </c>
      <c r="AJ221" s="3">
        <v>0</v>
      </c>
      <c r="AK221" s="3">
        <v>100</v>
      </c>
      <c r="AL221" s="3">
        <v>0</v>
      </c>
      <c r="AM221" s="3">
        <v>0</v>
      </c>
      <c r="AN221" s="3">
        <v>0</v>
      </c>
      <c r="AO221" s="3">
        <v>0</v>
      </c>
      <c r="AP221" s="3">
        <v>70</v>
      </c>
      <c r="AR221" t="str">
        <f t="shared" si="54"/>
        <v>0000000000000</v>
      </c>
      <c r="AT221" t="str">
        <f>T("9791166068027")</f>
        <v>9791166068027</v>
      </c>
      <c r="AV221" t="str">
        <f>T("웹툰 &gt; 해외 순정")</f>
        <v>웹툰 &gt; 해외 순정</v>
      </c>
      <c r="AW221" t="str">
        <f>T("웹툰 &gt; 로맨스")</f>
        <v>웹툰 &gt; 로맨스</v>
      </c>
    </row>
    <row r="222" spans="1:49" x14ac:dyDescent="0.4">
      <c r="A222">
        <v>4421000866</v>
      </c>
      <c r="B222">
        <v>4421001302</v>
      </c>
      <c r="C222" t="str">
        <f>T("최애에게 들켜버렸다 70화")</f>
        <v>최애에게 들켜버렸다 70화</v>
      </c>
      <c r="D222" t="str">
        <f>T("73")</f>
        <v>73</v>
      </c>
      <c r="E222" t="str">
        <f>T("Lv")</f>
        <v>Lv</v>
      </c>
      <c r="G222" t="str">
        <f>T("Lv")</f>
        <v>Lv</v>
      </c>
      <c r="H222" t="str">
        <f t="shared" si="51"/>
        <v>스토리위즈</v>
      </c>
      <c r="I222" t="str">
        <f>T("최애에게 들켜버렸다")</f>
        <v>최애에게 들켜버렸다</v>
      </c>
      <c r="J222">
        <v>400</v>
      </c>
      <c r="K222">
        <v>0</v>
      </c>
      <c r="L222">
        <v>0</v>
      </c>
      <c r="M222">
        <v>0</v>
      </c>
      <c r="N222">
        <v>600</v>
      </c>
      <c r="O222">
        <v>3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 s="3">
        <v>600</v>
      </c>
      <c r="AH222" s="3">
        <v>3</v>
      </c>
      <c r="AI222" s="3">
        <v>0</v>
      </c>
      <c r="AJ222" s="3">
        <v>0</v>
      </c>
      <c r="AK222" s="3">
        <v>424</v>
      </c>
      <c r="AL222" s="3">
        <v>0</v>
      </c>
      <c r="AM222" s="3">
        <v>211.38</v>
      </c>
      <c r="AN222" s="3">
        <v>-63.41</v>
      </c>
      <c r="AO222" s="3">
        <v>0</v>
      </c>
      <c r="AP222" s="3">
        <v>400.38</v>
      </c>
      <c r="AR222" t="str">
        <f t="shared" si="54"/>
        <v>0000000000000</v>
      </c>
      <c r="AT222" t="str">
        <f>T("9791137601253")</f>
        <v>9791137601253</v>
      </c>
      <c r="AV222" t="str">
        <f>T("웹툰 &gt; 해외 순정")</f>
        <v>웹툰 &gt; 해외 순정</v>
      </c>
      <c r="AW222" t="str">
        <f>T("웹툰 &gt; 로맨스")</f>
        <v>웹툰 &gt; 로맨스</v>
      </c>
    </row>
    <row r="223" spans="1:49" x14ac:dyDescent="0.4">
      <c r="A223">
        <v>4421000916</v>
      </c>
      <c r="B223">
        <v>4421001199</v>
      </c>
      <c r="C223" t="str">
        <f>T("별빛 아래 우리 45화")</f>
        <v>별빛 아래 우리 45화</v>
      </c>
      <c r="D223" t="str">
        <f>T("45")</f>
        <v>45</v>
      </c>
      <c r="E223" t="str">
        <f>T("건일")</f>
        <v>건일</v>
      </c>
      <c r="G223" t="str">
        <f>T("건일")</f>
        <v>건일</v>
      </c>
      <c r="H223" t="str">
        <f t="shared" si="51"/>
        <v>스토리위즈</v>
      </c>
      <c r="I223" t="str">
        <f>T("별빛 아래 우리")</f>
        <v>별빛 아래 우리</v>
      </c>
      <c r="J223">
        <v>400</v>
      </c>
      <c r="K223">
        <v>0</v>
      </c>
      <c r="L223">
        <v>0</v>
      </c>
      <c r="M223">
        <v>0</v>
      </c>
      <c r="N223">
        <v>800</v>
      </c>
      <c r="O223">
        <v>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 s="3">
        <v>800</v>
      </c>
      <c r="AH223" s="3">
        <v>4</v>
      </c>
      <c r="AI223" s="3">
        <v>0</v>
      </c>
      <c r="AJ223" s="3">
        <v>0</v>
      </c>
      <c r="AK223" s="3">
        <v>379</v>
      </c>
      <c r="AL223" s="3">
        <v>0</v>
      </c>
      <c r="AM223" s="3">
        <v>505.2</v>
      </c>
      <c r="AN223" s="3">
        <v>-151.56</v>
      </c>
      <c r="AO223" s="3">
        <v>0</v>
      </c>
      <c r="AP223" s="3">
        <v>512.85</v>
      </c>
      <c r="AR223" t="str">
        <f t="shared" si="54"/>
        <v>0000000000000</v>
      </c>
      <c r="AT223" t="str">
        <f>T("9791137601413")</f>
        <v>9791137601413</v>
      </c>
      <c r="AV223" t="str">
        <f>T("웹툰 &gt; 해외 순정")</f>
        <v>웹툰 &gt; 해외 순정</v>
      </c>
      <c r="AW223" t="str">
        <f>T("웹툰 &gt; 로맨스")</f>
        <v>웹툰 &gt; 로맨스</v>
      </c>
    </row>
    <row r="224" spans="1:49" x14ac:dyDescent="0.4">
      <c r="A224">
        <v>4421000450</v>
      </c>
      <c r="B224">
        <v>4421000482</v>
      </c>
      <c r="C224" t="str">
        <f>T("내 남편의 스토커 32화")</f>
        <v>내 남편의 스토커 32화</v>
      </c>
      <c r="D224" t="str">
        <f>T("32")</f>
        <v>32</v>
      </c>
      <c r="E224" t="str">
        <f>T("혜원")</f>
        <v>혜원</v>
      </c>
      <c r="G224" t="str">
        <f>T("혜원")</f>
        <v>혜원</v>
      </c>
      <c r="H224" t="str">
        <f t="shared" si="51"/>
        <v>스토리위즈</v>
      </c>
      <c r="I224" t="str">
        <f>T("내 남편의 스토커")</f>
        <v>내 남편의 스토커</v>
      </c>
      <c r="J224">
        <v>400</v>
      </c>
      <c r="K224">
        <v>0</v>
      </c>
      <c r="L224">
        <v>0</v>
      </c>
      <c r="M224">
        <v>0</v>
      </c>
      <c r="N224">
        <v>200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 s="3">
        <v>200</v>
      </c>
      <c r="AH224" s="3">
        <v>1</v>
      </c>
      <c r="AI224" s="3">
        <v>0</v>
      </c>
      <c r="AJ224" s="3">
        <v>0</v>
      </c>
      <c r="AK224" s="3">
        <v>200</v>
      </c>
      <c r="AL224" s="3">
        <v>0</v>
      </c>
      <c r="AM224" s="3">
        <v>0</v>
      </c>
      <c r="AN224" s="3">
        <v>0</v>
      </c>
      <c r="AO224" s="3">
        <v>0</v>
      </c>
      <c r="AP224" s="3">
        <v>140</v>
      </c>
      <c r="AR224" t="str">
        <f t="shared" si="54"/>
        <v>0000000000000</v>
      </c>
      <c r="AT224" t="str">
        <f>T("9791166068034")</f>
        <v>9791166068034</v>
      </c>
      <c r="AV224" t="str">
        <f>T("웹툰 &gt; 로맨스")</f>
        <v>웹툰 &gt; 로맨스</v>
      </c>
    </row>
    <row r="225" spans="1:49" x14ac:dyDescent="0.4">
      <c r="A225">
        <v>4421000866</v>
      </c>
      <c r="B225">
        <v>4421000999</v>
      </c>
      <c r="C225" t="str">
        <f>T("최애에게 들켜버렸다 40화")</f>
        <v>최애에게 들켜버렸다 40화</v>
      </c>
      <c r="D225" t="str">
        <f>T("41")</f>
        <v>41</v>
      </c>
      <c r="E225" t="str">
        <f>T("Lv")</f>
        <v>Lv</v>
      </c>
      <c r="G225" t="str">
        <f>T("Lv")</f>
        <v>Lv</v>
      </c>
      <c r="H225" t="str">
        <f t="shared" si="51"/>
        <v>스토리위즈</v>
      </c>
      <c r="I225" t="str">
        <f>T("최애에게 들켜버렸다")</f>
        <v>최애에게 들켜버렸다</v>
      </c>
      <c r="J225">
        <v>400</v>
      </c>
      <c r="K225">
        <v>0</v>
      </c>
      <c r="L225">
        <v>0</v>
      </c>
      <c r="M225">
        <v>0</v>
      </c>
      <c r="N225">
        <v>600</v>
      </c>
      <c r="O225">
        <v>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 s="3">
        <v>600</v>
      </c>
      <c r="AH225" s="3">
        <v>3</v>
      </c>
      <c r="AI225" s="3">
        <v>0</v>
      </c>
      <c r="AJ225" s="3">
        <v>0</v>
      </c>
      <c r="AK225" s="3">
        <v>424</v>
      </c>
      <c r="AL225" s="3">
        <v>0</v>
      </c>
      <c r="AM225" s="3">
        <v>211.38</v>
      </c>
      <c r="AN225" s="3">
        <v>-63.41</v>
      </c>
      <c r="AO225" s="3">
        <v>0</v>
      </c>
      <c r="AP225" s="3">
        <v>400.38</v>
      </c>
      <c r="AR225" t="str">
        <f t="shared" si="54"/>
        <v>0000000000000</v>
      </c>
      <c r="AT225" t="str">
        <f>T("9791137601253")</f>
        <v>9791137601253</v>
      </c>
      <c r="AV225" t="str">
        <f>T("웹툰 &gt; 해외 순정")</f>
        <v>웹툰 &gt; 해외 순정</v>
      </c>
      <c r="AW225" t="str">
        <f>T("웹툰 &gt; 로맨스")</f>
        <v>웹툰 &gt; 로맨스</v>
      </c>
    </row>
    <row r="226" spans="1:49" x14ac:dyDescent="0.4">
      <c r="A226">
        <v>4421000866</v>
      </c>
      <c r="B226">
        <v>4421000881</v>
      </c>
      <c r="C226" t="str">
        <f>T("최애에게 들켜버렸다 15화")</f>
        <v>최애에게 들켜버렸다 15화</v>
      </c>
      <c r="D226" t="str">
        <f>T("15")</f>
        <v>15</v>
      </c>
      <c r="E226" t="str">
        <f>T("Lv")</f>
        <v>Lv</v>
      </c>
      <c r="G226" t="str">
        <f>T("Lv")</f>
        <v>Lv</v>
      </c>
      <c r="H226" t="str">
        <f t="shared" si="51"/>
        <v>스토리위즈</v>
      </c>
      <c r="I226" t="str">
        <f>T("최애에게 들켜버렸다")</f>
        <v>최애에게 들켜버렸다</v>
      </c>
      <c r="J226">
        <v>400</v>
      </c>
      <c r="K226">
        <v>0</v>
      </c>
      <c r="L226">
        <v>0</v>
      </c>
      <c r="M226">
        <v>0</v>
      </c>
      <c r="N226">
        <v>1000</v>
      </c>
      <c r="O226">
        <v>5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 s="3">
        <v>1000</v>
      </c>
      <c r="AH226" s="3">
        <v>5</v>
      </c>
      <c r="AI226" s="3">
        <v>0</v>
      </c>
      <c r="AJ226" s="3">
        <v>0</v>
      </c>
      <c r="AK226" s="3">
        <v>824</v>
      </c>
      <c r="AL226" s="3">
        <v>0</v>
      </c>
      <c r="AM226" s="3">
        <v>211.38</v>
      </c>
      <c r="AN226" s="3">
        <v>-63.41</v>
      </c>
      <c r="AO226" s="3">
        <v>0</v>
      </c>
      <c r="AP226" s="3">
        <v>680.38</v>
      </c>
      <c r="AR226" t="str">
        <f t="shared" si="54"/>
        <v>0000000000000</v>
      </c>
      <c r="AT226" t="str">
        <f>T("9791137601253")</f>
        <v>9791137601253</v>
      </c>
      <c r="AV226" t="str">
        <f>T("웹툰 &gt; 해외 순정")</f>
        <v>웹툰 &gt; 해외 순정</v>
      </c>
      <c r="AW226" t="str">
        <f>T("웹툰 &gt; 로맨스")</f>
        <v>웹툰 &gt; 로맨스</v>
      </c>
    </row>
    <row r="227" spans="1:49" x14ac:dyDescent="0.4">
      <c r="A227">
        <v>4421002057</v>
      </c>
      <c r="B227">
        <v>4421002059</v>
      </c>
      <c r="C227" t="str">
        <f>T("달콤한 그와 결혼했습니다 3화")</f>
        <v>달콤한 그와 결혼했습니다 3화</v>
      </c>
      <c r="D227" t="str">
        <f>T("3")</f>
        <v>3</v>
      </c>
      <c r="E227" t="str">
        <f>T("웹티")</f>
        <v>웹티</v>
      </c>
      <c r="H227" t="str">
        <f t="shared" si="51"/>
        <v>스토리위즈</v>
      </c>
      <c r="I227" t="str">
        <f>T("달콤한 그와 결혼했습니다")</f>
        <v>달콤한 그와 결혼했습니다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 s="3">
        <v>0</v>
      </c>
      <c r="AH227" s="3">
        <v>1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R227" t="str">
        <f t="shared" si="54"/>
        <v>0000000000000</v>
      </c>
      <c r="AT227" t="str">
        <f>T("9791196660475")</f>
        <v>9791196660475</v>
      </c>
      <c r="AV227" t="str">
        <f>T("웹툰 &gt; 로맨스")</f>
        <v>웹툰 &gt; 로맨스</v>
      </c>
    </row>
    <row r="228" spans="1:49" x14ac:dyDescent="0.4">
      <c r="A228">
        <v>4421000518</v>
      </c>
      <c r="B228">
        <v>4421000554</v>
      </c>
      <c r="C228" t="str">
        <f>T("백스테이지 키스신 36화")</f>
        <v>백스테이지 키스신 36화</v>
      </c>
      <c r="D228" t="str">
        <f>T("36")</f>
        <v>36</v>
      </c>
      <c r="E228" t="str">
        <f>T("최도비")</f>
        <v>최도비</v>
      </c>
      <c r="G228" t="str">
        <f>T("수정과")</f>
        <v>수정과</v>
      </c>
      <c r="H228" t="str">
        <f t="shared" si="51"/>
        <v>스토리위즈</v>
      </c>
      <c r="I228" t="str">
        <f>T("백스테이지 키스신")</f>
        <v>백스테이지 키스신</v>
      </c>
      <c r="J228">
        <v>400</v>
      </c>
      <c r="K228">
        <v>0</v>
      </c>
      <c r="L228">
        <v>0</v>
      </c>
      <c r="M228">
        <v>0</v>
      </c>
      <c r="N228">
        <v>400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 s="3">
        <v>400</v>
      </c>
      <c r="AH228" s="3">
        <v>2</v>
      </c>
      <c r="AI228" s="3">
        <v>0</v>
      </c>
      <c r="AJ228" s="3">
        <v>0</v>
      </c>
      <c r="AK228" s="3">
        <v>200</v>
      </c>
      <c r="AL228" s="3">
        <v>0</v>
      </c>
      <c r="AM228" s="3">
        <v>240</v>
      </c>
      <c r="AN228" s="3">
        <v>-72</v>
      </c>
      <c r="AO228" s="3">
        <v>0</v>
      </c>
      <c r="AP228" s="3">
        <v>257.60000000000002</v>
      </c>
      <c r="AR228" t="str">
        <f t="shared" si="54"/>
        <v>0000000000000</v>
      </c>
      <c r="AT228" t="str">
        <f>T("9791166067990")</f>
        <v>9791166067990</v>
      </c>
      <c r="AV228" t="str">
        <f>T("웹툰 &gt; 로맨스")</f>
        <v>웹툰 &gt; 로맨스</v>
      </c>
    </row>
    <row r="229" spans="1:49" x14ac:dyDescent="0.4">
      <c r="A229">
        <v>4421001325</v>
      </c>
      <c r="B229">
        <v>4421001334</v>
      </c>
      <c r="C229" t="str">
        <f>T("커피여우 김삼월 10화")</f>
        <v>커피여우 김삼월 10화</v>
      </c>
      <c r="D229" t="str">
        <f>T("10")</f>
        <v>10</v>
      </c>
      <c r="E229" t="str">
        <f>T("Nica")</f>
        <v>Nica</v>
      </c>
      <c r="G229" t="str">
        <f>T("A.Noa, RK Studio")</f>
        <v>A.Noa, RK Studio</v>
      </c>
      <c r="H229" t="str">
        <f t="shared" si="51"/>
        <v>스토리위즈</v>
      </c>
      <c r="I229" t="str">
        <f>T("커피여우 김삼월")</f>
        <v>커피여우 김삼월</v>
      </c>
      <c r="J229">
        <v>500</v>
      </c>
      <c r="K229">
        <v>0</v>
      </c>
      <c r="L229">
        <v>0</v>
      </c>
      <c r="M229">
        <v>0</v>
      </c>
      <c r="N229">
        <v>200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 s="3">
        <v>200</v>
      </c>
      <c r="AH229" s="3">
        <v>1</v>
      </c>
      <c r="AI229" s="3">
        <v>0</v>
      </c>
      <c r="AJ229" s="3">
        <v>0</v>
      </c>
      <c r="AK229" s="3">
        <v>200</v>
      </c>
      <c r="AL229" s="3">
        <v>0</v>
      </c>
      <c r="AM229" s="3">
        <v>0</v>
      </c>
      <c r="AN229" s="3">
        <v>0</v>
      </c>
      <c r="AO229" s="3">
        <v>0</v>
      </c>
      <c r="AP229" s="3">
        <v>140</v>
      </c>
      <c r="AR229" t="str">
        <f t="shared" si="54"/>
        <v>0000000000000</v>
      </c>
      <c r="AT229" t="str">
        <f>T("9791191241792")</f>
        <v>9791191241792</v>
      </c>
      <c r="AV229" t="str">
        <f>T("웹툰 &gt; 로맨스")</f>
        <v>웹툰 &gt; 로맨스</v>
      </c>
    </row>
    <row r="230" spans="1:49" x14ac:dyDescent="0.4">
      <c r="A230">
        <v>4421000450</v>
      </c>
      <c r="B230">
        <v>4421000514</v>
      </c>
      <c r="C230" t="str">
        <f>T("내 남편의 스토커 64화")</f>
        <v>내 남편의 스토커 64화</v>
      </c>
      <c r="D230" t="str">
        <f>T("64")</f>
        <v>64</v>
      </c>
      <c r="E230" t="str">
        <f>T("혜원")</f>
        <v>혜원</v>
      </c>
      <c r="G230" t="str">
        <f>T("혜원")</f>
        <v>혜원</v>
      </c>
      <c r="H230" t="str">
        <f t="shared" si="51"/>
        <v>스토리위즈</v>
      </c>
      <c r="I230" t="str">
        <f>T("내 남편의 스토커")</f>
        <v>내 남편의 스토커</v>
      </c>
      <c r="J230">
        <v>400</v>
      </c>
      <c r="K230">
        <v>0</v>
      </c>
      <c r="L230">
        <v>0</v>
      </c>
      <c r="M230">
        <v>0</v>
      </c>
      <c r="N230">
        <v>200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 s="3">
        <v>200</v>
      </c>
      <c r="AH230" s="3">
        <v>1</v>
      </c>
      <c r="AI230" s="3">
        <v>0</v>
      </c>
      <c r="AJ230" s="3">
        <v>0</v>
      </c>
      <c r="AK230" s="3">
        <v>200</v>
      </c>
      <c r="AL230" s="3">
        <v>0</v>
      </c>
      <c r="AM230" s="3">
        <v>0</v>
      </c>
      <c r="AN230" s="3">
        <v>0</v>
      </c>
      <c r="AO230" s="3">
        <v>0</v>
      </c>
      <c r="AP230" s="3">
        <v>140</v>
      </c>
      <c r="AR230" t="str">
        <f t="shared" si="54"/>
        <v>0000000000000</v>
      </c>
      <c r="AT230" t="str">
        <f>T("9791166068034")</f>
        <v>9791166068034</v>
      </c>
      <c r="AV230" t="str">
        <f>T("웹툰 &gt; 로맨스")</f>
        <v>웹툰 &gt; 로맨스</v>
      </c>
    </row>
    <row r="231" spans="1:49" x14ac:dyDescent="0.4">
      <c r="A231">
        <v>4421000337</v>
      </c>
      <c r="B231">
        <v>4421000354</v>
      </c>
      <c r="C231" t="str">
        <f>T("계약연애, 오늘부터 1일 18화")</f>
        <v>계약연애, 오늘부터 1일 18화</v>
      </c>
      <c r="D231" t="str">
        <f>T("18")</f>
        <v>18</v>
      </c>
      <c r="E231" t="str">
        <f>T("원기공장")</f>
        <v>원기공장</v>
      </c>
      <c r="H231" t="str">
        <f t="shared" si="51"/>
        <v>스토리위즈</v>
      </c>
      <c r="I231" t="str">
        <f>T("계약연애, 오늘부터 1일")</f>
        <v>계약연애, 오늘부터 1일</v>
      </c>
      <c r="J231">
        <v>200</v>
      </c>
      <c r="K231">
        <v>0</v>
      </c>
      <c r="L231">
        <v>0</v>
      </c>
      <c r="M231">
        <v>0</v>
      </c>
      <c r="N231">
        <v>100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 s="3">
        <v>100</v>
      </c>
      <c r="AH231" s="3">
        <v>1</v>
      </c>
      <c r="AI231" s="3">
        <v>0</v>
      </c>
      <c r="AJ231" s="3">
        <v>0</v>
      </c>
      <c r="AK231" s="3">
        <v>100</v>
      </c>
      <c r="AL231" s="3">
        <v>0</v>
      </c>
      <c r="AM231" s="3">
        <v>0</v>
      </c>
      <c r="AN231" s="3">
        <v>0</v>
      </c>
      <c r="AO231" s="3">
        <v>0</v>
      </c>
      <c r="AP231" s="3">
        <v>70</v>
      </c>
      <c r="AR231" t="str">
        <f t="shared" si="54"/>
        <v>0000000000000</v>
      </c>
      <c r="AT231" t="str">
        <f>T("9791166068027")</f>
        <v>9791166068027</v>
      </c>
      <c r="AV231" t="str">
        <f>T("웹툰 &gt; 해외 순정")</f>
        <v>웹툰 &gt; 해외 순정</v>
      </c>
      <c r="AW231" t="str">
        <f>T("웹툰 &gt; 로맨스")</f>
        <v>웹툰 &gt; 로맨스</v>
      </c>
    </row>
    <row r="232" spans="1:49" x14ac:dyDescent="0.4">
      <c r="A232">
        <v>4421000916</v>
      </c>
      <c r="B232">
        <v>4421001233</v>
      </c>
      <c r="C232" t="str">
        <f>T("별빛 아래 우리 55화")</f>
        <v>별빛 아래 우리 55화</v>
      </c>
      <c r="D232" t="str">
        <f>T("55")</f>
        <v>55</v>
      </c>
      <c r="E232" t="str">
        <f>T("건일")</f>
        <v>건일</v>
      </c>
      <c r="G232" t="str">
        <f>T("건일")</f>
        <v>건일</v>
      </c>
      <c r="H232" t="str">
        <f t="shared" si="51"/>
        <v>스토리위즈</v>
      </c>
      <c r="I232" t="str">
        <f>T("별빛 아래 우리")</f>
        <v>별빛 아래 우리</v>
      </c>
      <c r="J232">
        <v>400</v>
      </c>
      <c r="K232">
        <v>0</v>
      </c>
      <c r="L232">
        <v>0</v>
      </c>
      <c r="M232">
        <v>0</v>
      </c>
      <c r="N232">
        <v>1000</v>
      </c>
      <c r="O232">
        <v>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 s="3">
        <v>1000</v>
      </c>
      <c r="AH232" s="3">
        <v>5</v>
      </c>
      <c r="AI232" s="3">
        <v>0</v>
      </c>
      <c r="AJ232" s="3">
        <v>0</v>
      </c>
      <c r="AK232" s="3">
        <v>380</v>
      </c>
      <c r="AL232" s="3">
        <v>0</v>
      </c>
      <c r="AM232" s="3">
        <v>744.01</v>
      </c>
      <c r="AN232" s="3">
        <v>-223.2</v>
      </c>
      <c r="AO232" s="3">
        <v>0</v>
      </c>
      <c r="AP232" s="3">
        <v>630.57000000000005</v>
      </c>
      <c r="AR232" t="str">
        <f t="shared" si="54"/>
        <v>0000000000000</v>
      </c>
      <c r="AT232" t="str">
        <f>T("9791137601413")</f>
        <v>9791137601413</v>
      </c>
      <c r="AV232" t="str">
        <f>T("웹툰 &gt; 해외 순정")</f>
        <v>웹툰 &gt; 해외 순정</v>
      </c>
      <c r="AW232" t="str">
        <f>T("웹툰 &gt; 로맨스")</f>
        <v>웹툰 &gt; 로맨스</v>
      </c>
    </row>
    <row r="233" spans="1:49" x14ac:dyDescent="0.4">
      <c r="A233">
        <v>4421000069</v>
      </c>
      <c r="B233">
        <v>4421000075</v>
      </c>
      <c r="C233" t="str">
        <f>T("너랑 나랑 하면 6화")</f>
        <v>너랑 나랑 하면 6화</v>
      </c>
      <c r="D233" t="str">
        <f>T("6")</f>
        <v>6</v>
      </c>
      <c r="E233" t="str">
        <f>T("NISANSUI")</f>
        <v>NISANSUI</v>
      </c>
      <c r="G233" t="str">
        <f>T("ZIQUAN")</f>
        <v>ZIQUAN</v>
      </c>
      <c r="H233" t="str">
        <f t="shared" si="51"/>
        <v>스토리위즈</v>
      </c>
      <c r="I233" t="str">
        <f>T("너랑 나랑 하면")</f>
        <v>너랑 나랑 하면</v>
      </c>
      <c r="J233">
        <v>400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 s="3">
        <v>0</v>
      </c>
      <c r="AH233" s="3">
        <v>3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R233" t="str">
        <f t="shared" si="54"/>
        <v>0000000000000</v>
      </c>
      <c r="AT233" t="str">
        <f>T("9791166067884")</f>
        <v>9791166067884</v>
      </c>
      <c r="AV233" t="str">
        <f>T("BL 웹툰 &gt; 웹툰")</f>
        <v>BL 웹툰 &gt; 웹툰</v>
      </c>
    </row>
    <row r="234" spans="1:49" x14ac:dyDescent="0.4">
      <c r="A234">
        <v>4421000866</v>
      </c>
      <c r="B234">
        <v>4421000913</v>
      </c>
      <c r="C234" t="str">
        <f>T("최애에게 들켜버렸다 22화")</f>
        <v>최애에게 들켜버렸다 22화</v>
      </c>
      <c r="D234" t="str">
        <f>T("23")</f>
        <v>23</v>
      </c>
      <c r="E234" t="str">
        <f>T("Lv")</f>
        <v>Lv</v>
      </c>
      <c r="G234" t="str">
        <f>T("Lv")</f>
        <v>Lv</v>
      </c>
      <c r="H234" t="str">
        <f t="shared" si="51"/>
        <v>스토리위즈</v>
      </c>
      <c r="I234" t="str">
        <f>T("최애에게 들켜버렸다")</f>
        <v>최애에게 들켜버렸다</v>
      </c>
      <c r="J234">
        <v>400</v>
      </c>
      <c r="K234">
        <v>0</v>
      </c>
      <c r="L234">
        <v>0</v>
      </c>
      <c r="M234">
        <v>0</v>
      </c>
      <c r="N234">
        <v>800</v>
      </c>
      <c r="O234">
        <v>4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s="3">
        <v>800</v>
      </c>
      <c r="AH234" s="3">
        <v>4</v>
      </c>
      <c r="AI234" s="3">
        <v>0</v>
      </c>
      <c r="AJ234" s="3">
        <v>0</v>
      </c>
      <c r="AK234" s="3">
        <v>624</v>
      </c>
      <c r="AL234" s="3">
        <v>0</v>
      </c>
      <c r="AM234" s="3">
        <v>211.38</v>
      </c>
      <c r="AN234" s="3">
        <v>-63.41</v>
      </c>
      <c r="AO234" s="3">
        <v>0</v>
      </c>
      <c r="AP234" s="3">
        <v>540.38</v>
      </c>
      <c r="AR234" t="str">
        <f t="shared" si="54"/>
        <v>0000000000000</v>
      </c>
      <c r="AT234" t="str">
        <f>T("9791137601253")</f>
        <v>9791137601253</v>
      </c>
      <c r="AV234" t="str">
        <f>T("웹툰 &gt; 해외 순정")</f>
        <v>웹툰 &gt; 해외 순정</v>
      </c>
      <c r="AW234" t="str">
        <f>T("웹툰 &gt; 로맨스")</f>
        <v>웹툰 &gt; 로맨스</v>
      </c>
    </row>
    <row r="235" spans="1:49" x14ac:dyDescent="0.4">
      <c r="A235">
        <v>4421000001</v>
      </c>
      <c r="B235">
        <v>4421000173</v>
      </c>
      <c r="C235" t="str">
        <f>T("감옥실험 52화")</f>
        <v>감옥실험 52화</v>
      </c>
      <c r="D235" t="str">
        <f>T("52")</f>
        <v>52</v>
      </c>
      <c r="E235" t="str">
        <f>T("Kantetsu")</f>
        <v>Kantetsu</v>
      </c>
      <c r="G235" t="str">
        <f>T("Minase Chiho")</f>
        <v>Minase Chiho</v>
      </c>
      <c r="H235" t="str">
        <f t="shared" si="51"/>
        <v>스토리위즈</v>
      </c>
      <c r="I235" t="str">
        <f>T("감옥실험")</f>
        <v>감옥실험</v>
      </c>
      <c r="J235">
        <v>500</v>
      </c>
      <c r="K235">
        <v>0</v>
      </c>
      <c r="L235">
        <v>0</v>
      </c>
      <c r="M235">
        <v>0</v>
      </c>
      <c r="N235">
        <v>600</v>
      </c>
      <c r="O235">
        <v>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 s="3">
        <v>600</v>
      </c>
      <c r="AH235" s="3">
        <v>2</v>
      </c>
      <c r="AI235" s="3">
        <v>0</v>
      </c>
      <c r="AJ235" s="3">
        <v>0</v>
      </c>
      <c r="AK235" s="3">
        <v>300</v>
      </c>
      <c r="AL235" s="3">
        <v>0</v>
      </c>
      <c r="AM235" s="3">
        <v>360</v>
      </c>
      <c r="AN235" s="3">
        <v>-108</v>
      </c>
      <c r="AO235" s="3">
        <v>0</v>
      </c>
      <c r="AP235" s="3">
        <v>386.4</v>
      </c>
      <c r="AT235" t="str">
        <f>T("9791166069406")</f>
        <v>9791166069406</v>
      </c>
      <c r="AV235" t="str">
        <f>T("웹툰 &gt; 드라마")</f>
        <v>웹툰 &gt; 드라마</v>
      </c>
    </row>
    <row r="236" spans="1:49" x14ac:dyDescent="0.4">
      <c r="A236">
        <v>4421001340</v>
      </c>
      <c r="B236">
        <v>4421001350</v>
      </c>
      <c r="C236" t="str">
        <f>T("가출천사 육성계약 11화")</f>
        <v>가출천사 육성계약 11화</v>
      </c>
      <c r="D236" t="str">
        <f>T("11")</f>
        <v>11</v>
      </c>
      <c r="E236" t="str">
        <f>T("Bae.C, IIAKI, 박제후")</f>
        <v>Bae.C, IIAKI, 박제후</v>
      </c>
      <c r="G236" t="str">
        <f>T("Bae.C, 조우")</f>
        <v>Bae.C, 조우</v>
      </c>
      <c r="H236" t="str">
        <f t="shared" si="51"/>
        <v>스토리위즈</v>
      </c>
      <c r="I236" t="str">
        <f>T("가출천사 육성계약")</f>
        <v>가출천사 육성계약</v>
      </c>
      <c r="J236">
        <v>400</v>
      </c>
      <c r="K236">
        <v>0</v>
      </c>
      <c r="L236">
        <v>0</v>
      </c>
      <c r="M236">
        <v>0</v>
      </c>
      <c r="N236">
        <v>200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 s="3">
        <v>200</v>
      </c>
      <c r="AH236" s="3">
        <v>1</v>
      </c>
      <c r="AI236" s="3">
        <v>0</v>
      </c>
      <c r="AJ236" s="3">
        <v>0</v>
      </c>
      <c r="AK236" s="3">
        <v>200</v>
      </c>
      <c r="AL236" s="3">
        <v>0</v>
      </c>
      <c r="AM236" s="3">
        <v>0</v>
      </c>
      <c r="AN236" s="3">
        <v>0</v>
      </c>
      <c r="AO236" s="3">
        <v>0</v>
      </c>
      <c r="AP236" s="3">
        <v>140</v>
      </c>
      <c r="AR236" t="str">
        <f>T("0000000000000")</f>
        <v>0000000000000</v>
      </c>
      <c r="AT236" t="str">
        <f>T("9791191765663")</f>
        <v>9791191765663</v>
      </c>
      <c r="AV236" t="str">
        <f>T("웹툰 &gt; 판타지/SF")</f>
        <v>웹툰 &gt; 판타지/SF</v>
      </c>
    </row>
    <row r="237" spans="1:49" x14ac:dyDescent="0.4">
      <c r="A237">
        <v>4421001936</v>
      </c>
      <c r="B237">
        <v>4421002755</v>
      </c>
      <c r="C237" t="str">
        <f>T("보스 오빠, 살살! 96화 (완결)")</f>
        <v>보스 오빠, 살살! 96화 (완결)</v>
      </c>
      <c r="D237" t="str">
        <f>T("96")</f>
        <v>96</v>
      </c>
      <c r="E237" t="str">
        <f>T("웹티")</f>
        <v>웹티</v>
      </c>
      <c r="H237" t="str">
        <f t="shared" si="51"/>
        <v>스토리위즈</v>
      </c>
      <c r="I237" t="str">
        <f>T("보스 오빠, 살살!")</f>
        <v>보스 오빠, 살살!</v>
      </c>
      <c r="J237">
        <v>500</v>
      </c>
      <c r="K237">
        <v>0</v>
      </c>
      <c r="L237">
        <v>0</v>
      </c>
      <c r="M237">
        <v>0</v>
      </c>
      <c r="N237">
        <v>200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 s="3">
        <v>200</v>
      </c>
      <c r="AH237" s="3">
        <v>1</v>
      </c>
      <c r="AI237" s="3">
        <v>0</v>
      </c>
      <c r="AJ237" s="3">
        <v>0</v>
      </c>
      <c r="AK237" s="3">
        <v>0</v>
      </c>
      <c r="AL237" s="3">
        <v>0</v>
      </c>
      <c r="AM237" s="3">
        <v>240</v>
      </c>
      <c r="AN237" s="3">
        <v>-72</v>
      </c>
      <c r="AO237" s="3">
        <v>0</v>
      </c>
      <c r="AP237" s="3">
        <v>117.6</v>
      </c>
      <c r="AT237" t="str">
        <f>T("9791190702331")</f>
        <v>9791190702331</v>
      </c>
      <c r="AV237" t="str">
        <f>T("웹툰 &gt; 로맨스")</f>
        <v>웹툰 &gt; 로맨스</v>
      </c>
    </row>
    <row r="238" spans="1:49" x14ac:dyDescent="0.4">
      <c r="A238">
        <v>4421000337</v>
      </c>
      <c r="B238">
        <v>4421000370</v>
      </c>
      <c r="C238" t="str">
        <f>T("계약연애, 오늘부터 1일 34화")</f>
        <v>계약연애, 오늘부터 1일 34화</v>
      </c>
      <c r="D238" t="str">
        <f>T("34")</f>
        <v>34</v>
      </c>
      <c r="E238" t="str">
        <f>T("원기공장")</f>
        <v>원기공장</v>
      </c>
      <c r="H238" t="str">
        <f t="shared" si="51"/>
        <v>스토리위즈</v>
      </c>
      <c r="I238" t="str">
        <f>T("계약연애, 오늘부터 1일")</f>
        <v>계약연애, 오늘부터 1일</v>
      </c>
      <c r="J238">
        <v>200</v>
      </c>
      <c r="K238">
        <v>0</v>
      </c>
      <c r="L238">
        <v>0</v>
      </c>
      <c r="M238">
        <v>0</v>
      </c>
      <c r="N238">
        <v>100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 s="3">
        <v>100</v>
      </c>
      <c r="AH238" s="3">
        <v>1</v>
      </c>
      <c r="AI238" s="3">
        <v>0</v>
      </c>
      <c r="AJ238" s="3">
        <v>0</v>
      </c>
      <c r="AK238" s="3">
        <v>100</v>
      </c>
      <c r="AL238" s="3">
        <v>0</v>
      </c>
      <c r="AM238" s="3">
        <v>0</v>
      </c>
      <c r="AN238" s="3">
        <v>0</v>
      </c>
      <c r="AO238" s="3">
        <v>0</v>
      </c>
      <c r="AP238" s="3">
        <v>70</v>
      </c>
      <c r="AR238" t="str">
        <f t="shared" ref="AR238:AR249" si="55">T("0000000000000")</f>
        <v>0000000000000</v>
      </c>
      <c r="AT238" t="str">
        <f>T("9791166068027")</f>
        <v>9791166068027</v>
      </c>
      <c r="AV238" t="str">
        <f>T("웹툰 &gt; 해외 순정")</f>
        <v>웹툰 &gt; 해외 순정</v>
      </c>
      <c r="AW238" t="str">
        <f>T("웹툰 &gt; 로맨스")</f>
        <v>웹툰 &gt; 로맨스</v>
      </c>
    </row>
    <row r="239" spans="1:49" x14ac:dyDescent="0.4">
      <c r="A239">
        <v>4421000198</v>
      </c>
      <c r="B239">
        <v>4421001270</v>
      </c>
      <c r="C239" t="str">
        <f>T("공주전쟁 82화")</f>
        <v>공주전쟁 82화</v>
      </c>
      <c r="D239" t="str">
        <f>T("82")</f>
        <v>82</v>
      </c>
      <c r="E239" t="str">
        <f>T("Hujing")</f>
        <v>Hujing</v>
      </c>
      <c r="G239" t="str">
        <f>T("Luojie")</f>
        <v>Luojie</v>
      </c>
      <c r="H239" t="str">
        <f t="shared" si="51"/>
        <v>스토리위즈</v>
      </c>
      <c r="I239" t="str">
        <f>T("공주전쟁")</f>
        <v>공주전쟁</v>
      </c>
      <c r="J239">
        <v>400</v>
      </c>
      <c r="K239">
        <v>0</v>
      </c>
      <c r="L239">
        <v>0</v>
      </c>
      <c r="M239">
        <v>0</v>
      </c>
      <c r="N239">
        <v>200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 s="3">
        <v>200</v>
      </c>
      <c r="AH239" s="3">
        <v>1</v>
      </c>
      <c r="AI239" s="3">
        <v>0</v>
      </c>
      <c r="AJ239" s="3">
        <v>0</v>
      </c>
      <c r="AK239" s="3">
        <v>0</v>
      </c>
      <c r="AL239" s="3">
        <v>0</v>
      </c>
      <c r="AM239" s="3">
        <v>240</v>
      </c>
      <c r="AN239" s="3">
        <v>-72</v>
      </c>
      <c r="AO239" s="3">
        <v>0</v>
      </c>
      <c r="AP239" s="3">
        <v>117.6</v>
      </c>
      <c r="AR239" t="str">
        <f t="shared" si="55"/>
        <v>0000000000000</v>
      </c>
      <c r="AT239" t="str">
        <f>T("9791166069666")</f>
        <v>9791166069666</v>
      </c>
      <c r="AV239" t="str">
        <f>T("웹툰 &gt; 해외 순정")</f>
        <v>웹툰 &gt; 해외 순정</v>
      </c>
      <c r="AW239" t="str">
        <f>T("웹툰 &gt; 로판")</f>
        <v>웹툰 &gt; 로판</v>
      </c>
    </row>
    <row r="240" spans="1:49" x14ac:dyDescent="0.4">
      <c r="A240">
        <v>4421000069</v>
      </c>
      <c r="B240">
        <v>4421000108</v>
      </c>
      <c r="C240" t="str">
        <f>T("너랑 나랑 하면 38화")</f>
        <v>너랑 나랑 하면 38화</v>
      </c>
      <c r="D240" t="str">
        <f>T("38")</f>
        <v>38</v>
      </c>
      <c r="E240" t="str">
        <f>T("NISANSUI")</f>
        <v>NISANSUI</v>
      </c>
      <c r="G240" t="str">
        <f>T("ZIQUAN")</f>
        <v>ZIQUAN</v>
      </c>
      <c r="H240" t="str">
        <f t="shared" si="51"/>
        <v>스토리위즈</v>
      </c>
      <c r="I240" t="str">
        <f>T("너랑 나랑 하면")</f>
        <v>너랑 나랑 하면</v>
      </c>
      <c r="J240">
        <v>400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 s="3">
        <v>0</v>
      </c>
      <c r="AH240" s="3">
        <v>3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R240" t="str">
        <f t="shared" si="55"/>
        <v>0000000000000</v>
      </c>
      <c r="AT240" t="str">
        <f>T("9791166067884")</f>
        <v>9791166067884</v>
      </c>
      <c r="AV240" t="str">
        <f>T("BL 웹툰 &gt; 웹툰")</f>
        <v>BL 웹툰 &gt; 웹툰</v>
      </c>
    </row>
    <row r="241" spans="1:49" x14ac:dyDescent="0.4">
      <c r="A241">
        <v>4421001325</v>
      </c>
      <c r="B241">
        <v>4421001543</v>
      </c>
      <c r="C241" t="str">
        <f>T("커피여우 김삼월 22화")</f>
        <v>커피여우 김삼월 22화</v>
      </c>
      <c r="D241" t="str">
        <f>T("22")</f>
        <v>22</v>
      </c>
      <c r="E241" t="str">
        <f>T("Nica")</f>
        <v>Nica</v>
      </c>
      <c r="G241" t="str">
        <f>T("A.Noa, RK Studio")</f>
        <v>A.Noa, RK Studio</v>
      </c>
      <c r="H241" t="str">
        <f t="shared" si="51"/>
        <v>스토리위즈</v>
      </c>
      <c r="I241" t="str">
        <f>T("커피여우 김삼월")</f>
        <v>커피여우 김삼월</v>
      </c>
      <c r="J241">
        <v>500</v>
      </c>
      <c r="K241">
        <v>0</v>
      </c>
      <c r="L241">
        <v>0</v>
      </c>
      <c r="M241">
        <v>0</v>
      </c>
      <c r="N241">
        <v>200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 s="3">
        <v>200</v>
      </c>
      <c r="AH241" s="3">
        <v>1</v>
      </c>
      <c r="AI241" s="3">
        <v>0</v>
      </c>
      <c r="AJ241" s="3">
        <v>0</v>
      </c>
      <c r="AK241" s="3">
        <v>200</v>
      </c>
      <c r="AL241" s="3">
        <v>0</v>
      </c>
      <c r="AM241" s="3">
        <v>0</v>
      </c>
      <c r="AN241" s="3">
        <v>0</v>
      </c>
      <c r="AO241" s="3">
        <v>0</v>
      </c>
      <c r="AP241" s="3">
        <v>140</v>
      </c>
      <c r="AR241" t="str">
        <f t="shared" si="55"/>
        <v>0000000000000</v>
      </c>
      <c r="AT241" t="str">
        <f>T("9791191241792")</f>
        <v>9791191241792</v>
      </c>
      <c r="AV241" t="str">
        <f>T("웹툰 &gt; 로맨스")</f>
        <v>웹툰 &gt; 로맨스</v>
      </c>
    </row>
    <row r="242" spans="1:49" x14ac:dyDescent="0.4">
      <c r="A242">
        <v>4421000198</v>
      </c>
      <c r="B242">
        <v>4421000217</v>
      </c>
      <c r="C242" t="str">
        <f>T("공주전쟁 20화")</f>
        <v>공주전쟁 20화</v>
      </c>
      <c r="D242" t="str">
        <f>T("20")</f>
        <v>20</v>
      </c>
      <c r="E242" t="str">
        <f>T("Hujing")</f>
        <v>Hujing</v>
      </c>
      <c r="G242" t="str">
        <f>T("Luojie")</f>
        <v>Luojie</v>
      </c>
      <c r="H242" t="str">
        <f t="shared" si="51"/>
        <v>스토리위즈</v>
      </c>
      <c r="I242" t="str">
        <f>T("공주전쟁")</f>
        <v>공주전쟁</v>
      </c>
      <c r="J242">
        <v>400</v>
      </c>
      <c r="K242">
        <v>0</v>
      </c>
      <c r="L242">
        <v>0</v>
      </c>
      <c r="M242">
        <v>0</v>
      </c>
      <c r="N242">
        <v>600</v>
      </c>
      <c r="O242">
        <v>3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 s="3">
        <v>600</v>
      </c>
      <c r="AH242" s="3">
        <v>3</v>
      </c>
      <c r="AI242" s="3">
        <v>0</v>
      </c>
      <c r="AJ242" s="3">
        <v>0</v>
      </c>
      <c r="AK242" s="3">
        <v>400</v>
      </c>
      <c r="AL242" s="3">
        <v>0</v>
      </c>
      <c r="AM242" s="3">
        <v>240</v>
      </c>
      <c r="AN242" s="3">
        <v>-72</v>
      </c>
      <c r="AO242" s="3">
        <v>0</v>
      </c>
      <c r="AP242" s="3">
        <v>397.6</v>
      </c>
      <c r="AR242" t="str">
        <f t="shared" si="55"/>
        <v>0000000000000</v>
      </c>
      <c r="AT242" t="str">
        <f>T("9791166069666")</f>
        <v>9791166069666</v>
      </c>
      <c r="AV242" t="str">
        <f>T("웹툰 &gt; 해외 순정")</f>
        <v>웹툰 &gt; 해외 순정</v>
      </c>
      <c r="AW242" t="str">
        <f>T("웹툰 &gt; 로판")</f>
        <v>웹툰 &gt; 로판</v>
      </c>
    </row>
    <row r="243" spans="1:49" x14ac:dyDescent="0.4">
      <c r="A243">
        <v>4421001397</v>
      </c>
      <c r="B243">
        <v>4421001397</v>
      </c>
      <c r="C243" t="str">
        <f>T("개천고 세계편 1화")</f>
        <v>개천고 세계편 1화</v>
      </c>
      <c r="D243" t="str">
        <f>T("1")</f>
        <v>1</v>
      </c>
      <c r="E243" t="str">
        <f>T("채준")</f>
        <v>채준</v>
      </c>
      <c r="G243" t="str">
        <f>T("채준")</f>
        <v>채준</v>
      </c>
      <c r="H243" t="str">
        <f t="shared" si="51"/>
        <v>스토리위즈</v>
      </c>
      <c r="I243" t="str">
        <f>T("개천고 세계편")</f>
        <v>개천고 세계편</v>
      </c>
      <c r="J243">
        <v>400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 s="3">
        <v>0</v>
      </c>
      <c r="AH243" s="3">
        <v>1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R243" t="str">
        <f t="shared" si="55"/>
        <v>0000000000000</v>
      </c>
      <c r="AT243" t="str">
        <f>T("9791189234737")</f>
        <v>9791189234737</v>
      </c>
      <c r="AV243" t="str">
        <f>T("웹툰 &gt; 코믹")</f>
        <v>웹툰 &gt; 코믹</v>
      </c>
    </row>
    <row r="244" spans="1:49" x14ac:dyDescent="0.4">
      <c r="A244">
        <v>4421000337</v>
      </c>
      <c r="B244">
        <v>4421000442</v>
      </c>
      <c r="C244" t="str">
        <f>T("계약연애, 오늘부터 1일 106화")</f>
        <v>계약연애, 오늘부터 1일 106화</v>
      </c>
      <c r="D244" t="str">
        <f>T("106")</f>
        <v>106</v>
      </c>
      <c r="E244" t="str">
        <f>T("원기공장")</f>
        <v>원기공장</v>
      </c>
      <c r="H244" t="str">
        <f t="shared" si="51"/>
        <v>스토리위즈</v>
      </c>
      <c r="I244" t="str">
        <f>T("계약연애, 오늘부터 1일")</f>
        <v>계약연애, 오늘부터 1일</v>
      </c>
      <c r="J244">
        <v>200</v>
      </c>
      <c r="K244">
        <v>0</v>
      </c>
      <c r="L244">
        <v>0</v>
      </c>
      <c r="M244">
        <v>0</v>
      </c>
      <c r="N244">
        <v>100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 s="3">
        <v>100</v>
      </c>
      <c r="AH244" s="3">
        <v>1</v>
      </c>
      <c r="AI244" s="3">
        <v>0</v>
      </c>
      <c r="AJ244" s="3">
        <v>0</v>
      </c>
      <c r="AK244" s="3">
        <v>100</v>
      </c>
      <c r="AL244" s="3">
        <v>0</v>
      </c>
      <c r="AM244" s="3">
        <v>0</v>
      </c>
      <c r="AN244" s="3">
        <v>0</v>
      </c>
      <c r="AO244" s="3">
        <v>0</v>
      </c>
      <c r="AP244" s="3">
        <v>70</v>
      </c>
      <c r="AR244" t="str">
        <f t="shared" si="55"/>
        <v>0000000000000</v>
      </c>
      <c r="AT244" t="str">
        <f>T("9791166068027")</f>
        <v>9791166068027</v>
      </c>
      <c r="AV244" t="str">
        <f>T("웹툰 &gt; 해외 순정")</f>
        <v>웹툰 &gt; 해외 순정</v>
      </c>
      <c r="AW244" t="str">
        <f>T("웹툰 &gt; 로맨스")</f>
        <v>웹툰 &gt; 로맨스</v>
      </c>
    </row>
    <row r="245" spans="1:49" x14ac:dyDescent="0.4">
      <c r="A245">
        <v>4421000198</v>
      </c>
      <c r="B245">
        <v>4421000952</v>
      </c>
      <c r="C245" t="str">
        <f>T("공주전쟁 64화")</f>
        <v>공주전쟁 64화</v>
      </c>
      <c r="D245" t="str">
        <f>T("64")</f>
        <v>64</v>
      </c>
      <c r="E245" t="str">
        <f>T("Hujing")</f>
        <v>Hujing</v>
      </c>
      <c r="G245" t="str">
        <f>T("Luojie")</f>
        <v>Luojie</v>
      </c>
      <c r="H245" t="str">
        <f t="shared" si="51"/>
        <v>스토리위즈</v>
      </c>
      <c r="I245" t="str">
        <f>T("공주전쟁")</f>
        <v>공주전쟁</v>
      </c>
      <c r="J245">
        <v>400</v>
      </c>
      <c r="K245">
        <v>0</v>
      </c>
      <c r="L245">
        <v>0</v>
      </c>
      <c r="M245">
        <v>0</v>
      </c>
      <c r="N245">
        <v>400</v>
      </c>
      <c r="O245">
        <v>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 s="3">
        <v>400</v>
      </c>
      <c r="AH245" s="3">
        <v>2</v>
      </c>
      <c r="AI245" s="3">
        <v>0</v>
      </c>
      <c r="AJ245" s="3">
        <v>0</v>
      </c>
      <c r="AK245" s="3">
        <v>200</v>
      </c>
      <c r="AL245" s="3">
        <v>0</v>
      </c>
      <c r="AM245" s="3">
        <v>240</v>
      </c>
      <c r="AN245" s="3">
        <v>-72</v>
      </c>
      <c r="AO245" s="3">
        <v>0</v>
      </c>
      <c r="AP245" s="3">
        <v>257.60000000000002</v>
      </c>
      <c r="AR245" t="str">
        <f t="shared" si="55"/>
        <v>0000000000000</v>
      </c>
      <c r="AT245" t="str">
        <f>T("9791166069666")</f>
        <v>9791166069666</v>
      </c>
      <c r="AV245" t="str">
        <f>T("웹툰 &gt; 해외 순정")</f>
        <v>웹툰 &gt; 해외 순정</v>
      </c>
      <c r="AW245" t="str">
        <f>T("웹툰 &gt; 로판")</f>
        <v>웹툰 &gt; 로판</v>
      </c>
    </row>
    <row r="246" spans="1:49" x14ac:dyDescent="0.4">
      <c r="A246">
        <v>4421001764</v>
      </c>
      <c r="B246">
        <v>4421001776</v>
      </c>
      <c r="C246" t="str">
        <f>T("예쁜 남자 잘생긴 여자 13화")</f>
        <v>예쁜 남자 잘생긴 여자 13화</v>
      </c>
      <c r="D246" t="str">
        <f>T("13")</f>
        <v>13</v>
      </c>
      <c r="E246" t="str">
        <f>T("웹티")</f>
        <v>웹티</v>
      </c>
      <c r="H246" t="str">
        <f t="shared" si="51"/>
        <v>스토리위즈</v>
      </c>
      <c r="I246" t="str">
        <f>T("예쁜 남자 잘생긴 여자")</f>
        <v>예쁜 남자 잘생긴 여자</v>
      </c>
      <c r="J246">
        <v>500</v>
      </c>
      <c r="K246">
        <v>0</v>
      </c>
      <c r="L246">
        <v>0</v>
      </c>
      <c r="M246">
        <v>0</v>
      </c>
      <c r="N246">
        <v>200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 s="3">
        <v>200</v>
      </c>
      <c r="AH246" s="3">
        <v>1</v>
      </c>
      <c r="AI246" s="3">
        <v>0</v>
      </c>
      <c r="AJ246" s="3">
        <v>0</v>
      </c>
      <c r="AK246" s="3">
        <v>0</v>
      </c>
      <c r="AL246" s="3">
        <v>0</v>
      </c>
      <c r="AM246" s="3">
        <v>240.82</v>
      </c>
      <c r="AN246" s="3">
        <v>-72.25</v>
      </c>
      <c r="AO246" s="3">
        <v>0</v>
      </c>
      <c r="AP246" s="3">
        <v>118</v>
      </c>
      <c r="AR246" t="str">
        <f t="shared" si="55"/>
        <v>0000000000000</v>
      </c>
      <c r="AT246" t="str">
        <f>T("9791190702164")</f>
        <v>9791190702164</v>
      </c>
      <c r="AV246" t="str">
        <f>T("웹툰 &gt; 로맨스")</f>
        <v>웹툰 &gt; 로맨스</v>
      </c>
    </row>
    <row r="247" spans="1:49" x14ac:dyDescent="0.4">
      <c r="A247">
        <v>4421000450</v>
      </c>
      <c r="B247">
        <v>4421000507</v>
      </c>
      <c r="C247" t="str">
        <f>T("내 남편의 스토커 57화")</f>
        <v>내 남편의 스토커 57화</v>
      </c>
      <c r="D247" t="str">
        <f>T("57")</f>
        <v>57</v>
      </c>
      <c r="E247" t="str">
        <f>T("혜원")</f>
        <v>혜원</v>
      </c>
      <c r="G247" t="str">
        <f>T("혜원")</f>
        <v>혜원</v>
      </c>
      <c r="H247" t="str">
        <f t="shared" si="51"/>
        <v>스토리위즈</v>
      </c>
      <c r="I247" t="str">
        <f>T("내 남편의 스토커")</f>
        <v>내 남편의 스토커</v>
      </c>
      <c r="J247">
        <v>400</v>
      </c>
      <c r="K247">
        <v>0</v>
      </c>
      <c r="L247">
        <v>0</v>
      </c>
      <c r="M247">
        <v>0</v>
      </c>
      <c r="N247">
        <v>200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 s="3">
        <v>200</v>
      </c>
      <c r="AH247" s="3">
        <v>1</v>
      </c>
      <c r="AI247" s="3">
        <v>0</v>
      </c>
      <c r="AJ247" s="3">
        <v>0</v>
      </c>
      <c r="AK247" s="3">
        <v>200</v>
      </c>
      <c r="AL247" s="3">
        <v>0</v>
      </c>
      <c r="AM247" s="3">
        <v>0</v>
      </c>
      <c r="AN247" s="3">
        <v>0</v>
      </c>
      <c r="AO247" s="3">
        <v>0</v>
      </c>
      <c r="AP247" s="3">
        <v>140</v>
      </c>
      <c r="AR247" t="str">
        <f t="shared" si="55"/>
        <v>0000000000000</v>
      </c>
      <c r="AT247" t="str">
        <f>T("9791166068034")</f>
        <v>9791166068034</v>
      </c>
      <c r="AV247" t="str">
        <f>T("웹툰 &gt; 로맨스")</f>
        <v>웹툰 &gt; 로맨스</v>
      </c>
    </row>
    <row r="248" spans="1:49" x14ac:dyDescent="0.4">
      <c r="A248">
        <v>4421000337</v>
      </c>
      <c r="B248">
        <v>4421000347</v>
      </c>
      <c r="C248" t="str">
        <f>T("계약연애, 오늘부터 1일 11화")</f>
        <v>계약연애, 오늘부터 1일 11화</v>
      </c>
      <c r="D248" t="str">
        <f>T("11")</f>
        <v>11</v>
      </c>
      <c r="E248" t="str">
        <f>T("원기공장")</f>
        <v>원기공장</v>
      </c>
      <c r="H248" t="str">
        <f t="shared" si="51"/>
        <v>스토리위즈</v>
      </c>
      <c r="I248" t="str">
        <f>T("계약연애, 오늘부터 1일")</f>
        <v>계약연애, 오늘부터 1일</v>
      </c>
      <c r="J248">
        <v>200</v>
      </c>
      <c r="K248">
        <v>0</v>
      </c>
      <c r="L248">
        <v>0</v>
      </c>
      <c r="M248">
        <v>0</v>
      </c>
      <c r="N248">
        <v>100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 s="3">
        <v>100</v>
      </c>
      <c r="AH248" s="3">
        <v>1</v>
      </c>
      <c r="AI248" s="3">
        <v>0</v>
      </c>
      <c r="AJ248" s="3">
        <v>0</v>
      </c>
      <c r="AK248" s="3">
        <v>100</v>
      </c>
      <c r="AL248" s="3">
        <v>0</v>
      </c>
      <c r="AM248" s="3">
        <v>0</v>
      </c>
      <c r="AN248" s="3">
        <v>0</v>
      </c>
      <c r="AO248" s="3">
        <v>0</v>
      </c>
      <c r="AP248" s="3">
        <v>70</v>
      </c>
      <c r="AR248" t="str">
        <f t="shared" si="55"/>
        <v>0000000000000</v>
      </c>
      <c r="AT248" t="str">
        <f>T("9791166068027")</f>
        <v>9791166068027</v>
      </c>
      <c r="AV248" t="str">
        <f>T("웹툰 &gt; 해외 순정")</f>
        <v>웹툰 &gt; 해외 순정</v>
      </c>
      <c r="AW248" t="str">
        <f>T("웹툰 &gt; 로맨스")</f>
        <v>웹툰 &gt; 로맨스</v>
      </c>
    </row>
    <row r="249" spans="1:49" x14ac:dyDescent="0.4">
      <c r="A249">
        <v>4421000198</v>
      </c>
      <c r="B249">
        <v>4421001226</v>
      </c>
      <c r="C249" t="str">
        <f>T("공주전쟁 74화")</f>
        <v>공주전쟁 74화</v>
      </c>
      <c r="D249" t="str">
        <f>T("74")</f>
        <v>74</v>
      </c>
      <c r="E249" t="str">
        <f>T("Hujing")</f>
        <v>Hujing</v>
      </c>
      <c r="G249" t="str">
        <f>T("Luojie")</f>
        <v>Luojie</v>
      </c>
      <c r="H249" t="str">
        <f t="shared" si="51"/>
        <v>스토리위즈</v>
      </c>
      <c r="I249" t="str">
        <f>T("공주전쟁")</f>
        <v>공주전쟁</v>
      </c>
      <c r="J249">
        <v>400</v>
      </c>
      <c r="K249">
        <v>0</v>
      </c>
      <c r="L249">
        <v>0</v>
      </c>
      <c r="M249">
        <v>0</v>
      </c>
      <c r="N249">
        <v>400</v>
      </c>
      <c r="O249">
        <v>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s="3">
        <v>400</v>
      </c>
      <c r="AH249" s="3">
        <v>2</v>
      </c>
      <c r="AI249" s="3">
        <v>0</v>
      </c>
      <c r="AJ249" s="3">
        <v>0</v>
      </c>
      <c r="AK249" s="3">
        <v>200</v>
      </c>
      <c r="AL249" s="3">
        <v>0</v>
      </c>
      <c r="AM249" s="3">
        <v>240</v>
      </c>
      <c r="AN249" s="3">
        <v>-72</v>
      </c>
      <c r="AO249" s="3">
        <v>0</v>
      </c>
      <c r="AP249" s="3">
        <v>257.60000000000002</v>
      </c>
      <c r="AR249" t="str">
        <f t="shared" si="55"/>
        <v>0000000000000</v>
      </c>
      <c r="AT249" t="str">
        <f>T("9791166069666")</f>
        <v>9791166069666</v>
      </c>
      <c r="AV249" t="str">
        <f>T("웹툰 &gt; 해외 순정")</f>
        <v>웹툰 &gt; 해외 순정</v>
      </c>
      <c r="AW249" t="str">
        <f>T("웹툰 &gt; 로판")</f>
        <v>웹툰 &gt; 로판</v>
      </c>
    </row>
    <row r="250" spans="1:49" x14ac:dyDescent="0.4">
      <c r="A250">
        <v>4421000001</v>
      </c>
      <c r="B250">
        <v>4421000068</v>
      </c>
      <c r="C250" t="str">
        <f>T("감옥실험 48화")</f>
        <v>감옥실험 48화</v>
      </c>
      <c r="D250" t="str">
        <f>T("48")</f>
        <v>48</v>
      </c>
      <c r="E250" t="str">
        <f>T("Kantetsu")</f>
        <v>Kantetsu</v>
      </c>
      <c r="G250" t="str">
        <f>T("Minase Chiho")</f>
        <v>Minase Chiho</v>
      </c>
      <c r="H250" t="str">
        <f t="shared" si="51"/>
        <v>스토리위즈</v>
      </c>
      <c r="I250" t="str">
        <f>T("감옥실험")</f>
        <v>감옥실험</v>
      </c>
      <c r="J250">
        <v>500</v>
      </c>
      <c r="K250">
        <v>0</v>
      </c>
      <c r="L250">
        <v>0</v>
      </c>
      <c r="M250">
        <v>0</v>
      </c>
      <c r="N250">
        <v>600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 s="3">
        <v>600</v>
      </c>
      <c r="AH250" s="3">
        <v>2</v>
      </c>
      <c r="AI250" s="3">
        <v>0</v>
      </c>
      <c r="AJ250" s="3">
        <v>0</v>
      </c>
      <c r="AK250" s="3">
        <v>300</v>
      </c>
      <c r="AL250" s="3">
        <v>0</v>
      </c>
      <c r="AM250" s="3">
        <v>360</v>
      </c>
      <c r="AN250" s="3">
        <v>-108</v>
      </c>
      <c r="AO250" s="3">
        <v>0</v>
      </c>
      <c r="AP250" s="3">
        <v>386.4</v>
      </c>
      <c r="AT250" t="str">
        <f>T("9791166069406")</f>
        <v>9791166069406</v>
      </c>
      <c r="AV250" t="str">
        <f>T("웹툰 &gt; 드라마")</f>
        <v>웹툰 &gt; 드라마</v>
      </c>
    </row>
    <row r="251" spans="1:49" x14ac:dyDescent="0.4">
      <c r="A251">
        <v>4421000887</v>
      </c>
      <c r="B251">
        <v>4421000906</v>
      </c>
      <c r="C251" t="str">
        <f>T("폭군의 눈물 20화")</f>
        <v>폭군의 눈물 20화</v>
      </c>
      <c r="D251" t="str">
        <f>T("20")</f>
        <v>20</v>
      </c>
      <c r="E251" t="str">
        <f>T("Ice×FANFAN COMIC")</f>
        <v>Ice×FANFAN COMIC</v>
      </c>
      <c r="G251" t="str">
        <f>T("Ice×FANFAN COMIC")</f>
        <v>Ice×FANFAN COMIC</v>
      </c>
      <c r="H251" t="str">
        <f t="shared" si="51"/>
        <v>스토리위즈</v>
      </c>
      <c r="I251" t="str">
        <f>T("폭군의 눈물")</f>
        <v>폭군의 눈물</v>
      </c>
      <c r="J251">
        <v>400</v>
      </c>
      <c r="K251">
        <v>0</v>
      </c>
      <c r="L251">
        <v>0</v>
      </c>
      <c r="M251">
        <v>0</v>
      </c>
      <c r="N251">
        <v>600</v>
      </c>
      <c r="O251">
        <v>3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s="3">
        <v>600</v>
      </c>
      <c r="AH251" s="3">
        <v>3</v>
      </c>
      <c r="AI251" s="3">
        <v>0</v>
      </c>
      <c r="AJ251" s="3">
        <v>0</v>
      </c>
      <c r="AK251" s="3">
        <v>400</v>
      </c>
      <c r="AL251" s="3">
        <v>0</v>
      </c>
      <c r="AM251" s="3">
        <v>240</v>
      </c>
      <c r="AN251" s="3">
        <v>-72</v>
      </c>
      <c r="AO251" s="3">
        <v>0</v>
      </c>
      <c r="AP251" s="3">
        <v>397.6</v>
      </c>
      <c r="AR251" t="str">
        <f>T("0000000000000")</f>
        <v>0000000000000</v>
      </c>
      <c r="AT251" t="str">
        <f>T("9791137601291")</f>
        <v>9791137601291</v>
      </c>
      <c r="AV251" t="str">
        <f>T("웹툰 &gt; 해외 순정")</f>
        <v>웹툰 &gt; 해외 순정</v>
      </c>
      <c r="AW251" t="str">
        <f>T("웹툰 &gt; 로판")</f>
        <v>웹툰 &gt; 로판</v>
      </c>
    </row>
    <row r="252" spans="1:49" x14ac:dyDescent="0.4">
      <c r="A252">
        <v>4421000069</v>
      </c>
      <c r="B252">
        <v>4421000117</v>
      </c>
      <c r="C252" t="str">
        <f>T("너랑 나랑 하면 47화")</f>
        <v>너랑 나랑 하면 47화</v>
      </c>
      <c r="D252" t="str">
        <f>T("47")</f>
        <v>47</v>
      </c>
      <c r="E252" t="str">
        <f>T("NISANSUI")</f>
        <v>NISANSUI</v>
      </c>
      <c r="G252" t="str">
        <f>T("ZIQUAN")</f>
        <v>ZIQUAN</v>
      </c>
      <c r="H252" t="str">
        <f t="shared" si="51"/>
        <v>스토리위즈</v>
      </c>
      <c r="I252" t="str">
        <f>T("너랑 나랑 하면")</f>
        <v>너랑 나랑 하면</v>
      </c>
      <c r="J252">
        <v>400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 s="3">
        <v>0</v>
      </c>
      <c r="AH252" s="3">
        <v>3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R252" t="str">
        <f>T("0000000000000")</f>
        <v>0000000000000</v>
      </c>
      <c r="AT252" t="str">
        <f>T("9791166067884")</f>
        <v>9791166067884</v>
      </c>
      <c r="AV252" t="str">
        <f>T("BL 웹툰 &gt; 웹툰")</f>
        <v>BL 웹툰 &gt; 웹툰</v>
      </c>
    </row>
    <row r="253" spans="1:49" x14ac:dyDescent="0.4">
      <c r="A253">
        <v>4421001340</v>
      </c>
      <c r="B253">
        <v>4421001343</v>
      </c>
      <c r="C253" t="str">
        <f>T("가출천사 육성계약 4화")</f>
        <v>가출천사 육성계약 4화</v>
      </c>
      <c r="D253" t="str">
        <f>T("4")</f>
        <v>4</v>
      </c>
      <c r="E253" t="str">
        <f>T("Bae.C, IIAKI, 박제후")</f>
        <v>Bae.C, IIAKI, 박제후</v>
      </c>
      <c r="G253" t="str">
        <f>T("Bae.C, 조우")</f>
        <v>Bae.C, 조우</v>
      </c>
      <c r="H253" t="str">
        <f t="shared" si="51"/>
        <v>스토리위즈</v>
      </c>
      <c r="I253" t="str">
        <f>T("가출천사 육성계약")</f>
        <v>가출천사 육성계약</v>
      </c>
      <c r="J253">
        <v>400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 s="3">
        <v>0</v>
      </c>
      <c r="AH253" s="3">
        <v>2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R253" t="str">
        <f>T("0000000000000")</f>
        <v>0000000000000</v>
      </c>
      <c r="AT253" t="str">
        <f>T("9791191765663")</f>
        <v>9791191765663</v>
      </c>
      <c r="AV253" t="str">
        <f>T("웹툰 &gt; 판타지/SF")</f>
        <v>웹툰 &gt; 판타지/SF</v>
      </c>
    </row>
    <row r="254" spans="1:49" x14ac:dyDescent="0.4">
      <c r="A254">
        <v>4421001936</v>
      </c>
      <c r="B254">
        <v>4421002716</v>
      </c>
      <c r="C254" t="str">
        <f>T("보스 오빠, 살살! 57화")</f>
        <v>보스 오빠, 살살! 57화</v>
      </c>
      <c r="D254" t="str">
        <f>T("57")</f>
        <v>57</v>
      </c>
      <c r="E254" t="str">
        <f>T("웹티")</f>
        <v>웹티</v>
      </c>
      <c r="H254" t="str">
        <f t="shared" si="51"/>
        <v>스토리위즈</v>
      </c>
      <c r="I254" t="str">
        <f>T("보스 오빠, 살살!")</f>
        <v>보스 오빠, 살살!</v>
      </c>
      <c r="J254">
        <v>500</v>
      </c>
      <c r="K254">
        <v>0</v>
      </c>
      <c r="L254">
        <v>0</v>
      </c>
      <c r="M254">
        <v>0</v>
      </c>
      <c r="N254">
        <v>200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s="3">
        <v>200</v>
      </c>
      <c r="AH254" s="3">
        <v>1</v>
      </c>
      <c r="AI254" s="3">
        <v>0</v>
      </c>
      <c r="AJ254" s="3">
        <v>0</v>
      </c>
      <c r="AK254" s="3">
        <v>0</v>
      </c>
      <c r="AL254" s="3">
        <v>0</v>
      </c>
      <c r="AM254" s="3">
        <v>240</v>
      </c>
      <c r="AN254" s="3">
        <v>-72</v>
      </c>
      <c r="AO254" s="3">
        <v>0</v>
      </c>
      <c r="AP254" s="3">
        <v>117.6</v>
      </c>
      <c r="AT254" t="str">
        <f>T("9791190702331")</f>
        <v>9791190702331</v>
      </c>
      <c r="AV254" t="str">
        <f>T("웹툰 &gt; 로맨스")</f>
        <v>웹툰 &gt; 로맨스</v>
      </c>
    </row>
    <row r="255" spans="1:49" x14ac:dyDescent="0.4">
      <c r="A255">
        <v>4421000866</v>
      </c>
      <c r="B255">
        <v>4421000866</v>
      </c>
      <c r="C255" t="str">
        <f>T("최애에게 들켜버렸다 예고편")</f>
        <v>최애에게 들켜버렸다 예고편</v>
      </c>
      <c r="E255" t="str">
        <f>T("Lv")</f>
        <v>Lv</v>
      </c>
      <c r="G255" t="str">
        <f>T("Lv")</f>
        <v>Lv</v>
      </c>
      <c r="H255" t="str">
        <f t="shared" si="51"/>
        <v>스토리위즈</v>
      </c>
      <c r="I255" t="str">
        <f>T("최애에게 들켜버렸다")</f>
        <v>최애에게 들켜버렸다</v>
      </c>
      <c r="J255">
        <v>0</v>
      </c>
      <c r="K255">
        <v>0</v>
      </c>
      <c r="L255">
        <v>0</v>
      </c>
      <c r="M255">
        <v>45</v>
      </c>
      <c r="N255">
        <v>0</v>
      </c>
      <c r="O255">
        <v>0</v>
      </c>
      <c r="P255">
        <v>110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 s="3">
        <v>0</v>
      </c>
      <c r="AH255" s="3">
        <v>155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R255" t="str">
        <f t="shared" ref="AR255:AR271" si="56">T("0000000000000")</f>
        <v>0000000000000</v>
      </c>
      <c r="AT255" t="str">
        <f>T("9791137601253")</f>
        <v>9791137601253</v>
      </c>
      <c r="AV255" t="str">
        <f>T("웹툰 &gt; 해외 순정")</f>
        <v>웹툰 &gt; 해외 순정</v>
      </c>
      <c r="AW255" t="str">
        <f>T("웹툰 &gt; 로맨스")</f>
        <v>웹툰 &gt; 로맨스</v>
      </c>
    </row>
    <row r="256" spans="1:49" x14ac:dyDescent="0.4">
      <c r="A256">
        <v>4421000337</v>
      </c>
      <c r="B256">
        <v>4421000363</v>
      </c>
      <c r="C256" t="str">
        <f>T("계약연애, 오늘부터 1일 27화")</f>
        <v>계약연애, 오늘부터 1일 27화</v>
      </c>
      <c r="D256" t="str">
        <f>T("27")</f>
        <v>27</v>
      </c>
      <c r="E256" t="str">
        <f>T("원기공장")</f>
        <v>원기공장</v>
      </c>
      <c r="H256" t="str">
        <f t="shared" si="51"/>
        <v>스토리위즈</v>
      </c>
      <c r="I256" t="str">
        <f>T("계약연애, 오늘부터 1일")</f>
        <v>계약연애, 오늘부터 1일</v>
      </c>
      <c r="J256">
        <v>200</v>
      </c>
      <c r="K256">
        <v>0</v>
      </c>
      <c r="L256">
        <v>0</v>
      </c>
      <c r="M256">
        <v>0</v>
      </c>
      <c r="N256">
        <v>100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 s="3">
        <v>100</v>
      </c>
      <c r="AH256" s="3">
        <v>1</v>
      </c>
      <c r="AI256" s="3">
        <v>0</v>
      </c>
      <c r="AJ256" s="3">
        <v>0</v>
      </c>
      <c r="AK256" s="3">
        <v>100</v>
      </c>
      <c r="AL256" s="3">
        <v>0</v>
      </c>
      <c r="AM256" s="3">
        <v>0</v>
      </c>
      <c r="AN256" s="3">
        <v>0</v>
      </c>
      <c r="AO256" s="3">
        <v>0</v>
      </c>
      <c r="AP256" s="3">
        <v>70</v>
      </c>
      <c r="AR256" t="str">
        <f t="shared" si="56"/>
        <v>0000000000000</v>
      </c>
      <c r="AT256" t="str">
        <f>T("9791166068027")</f>
        <v>9791166068027</v>
      </c>
      <c r="AV256" t="str">
        <f>T("웹툰 &gt; 해외 순정")</f>
        <v>웹툰 &gt; 해외 순정</v>
      </c>
      <c r="AW256" t="str">
        <f>T("웹툰 &gt; 로맨스")</f>
        <v>웹툰 &gt; 로맨스</v>
      </c>
    </row>
    <row r="257" spans="1:49" x14ac:dyDescent="0.4">
      <c r="A257">
        <v>4421000069</v>
      </c>
      <c r="B257">
        <v>4421001261</v>
      </c>
      <c r="C257" t="str">
        <f>T("너랑 나랑 하면 157화")</f>
        <v>너랑 나랑 하면 157화</v>
      </c>
      <c r="D257" t="str">
        <f>T("157")</f>
        <v>157</v>
      </c>
      <c r="E257" t="str">
        <f>T("NISANSUI")</f>
        <v>NISANSUI</v>
      </c>
      <c r="G257" t="str">
        <f>T("ZIQUAN")</f>
        <v>ZIQUAN</v>
      </c>
      <c r="H257" t="str">
        <f t="shared" si="51"/>
        <v>스토리위즈</v>
      </c>
      <c r="I257" t="str">
        <f>T("너랑 나랑 하면")</f>
        <v>너랑 나랑 하면</v>
      </c>
      <c r="J257">
        <v>400</v>
      </c>
      <c r="K257">
        <v>0</v>
      </c>
      <c r="L257">
        <v>0</v>
      </c>
      <c r="M257">
        <v>0</v>
      </c>
      <c r="N257">
        <v>200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 s="3">
        <v>200</v>
      </c>
      <c r="AH257" s="3">
        <v>1</v>
      </c>
      <c r="AI257" s="3">
        <v>0</v>
      </c>
      <c r="AJ257" s="3">
        <v>0</v>
      </c>
      <c r="AK257" s="3">
        <v>200</v>
      </c>
      <c r="AL257" s="3">
        <v>0</v>
      </c>
      <c r="AM257" s="3">
        <v>0</v>
      </c>
      <c r="AN257" s="3">
        <v>0</v>
      </c>
      <c r="AO257" s="3">
        <v>0</v>
      </c>
      <c r="AP257" s="3">
        <v>140</v>
      </c>
      <c r="AR257" t="str">
        <f t="shared" si="56"/>
        <v>0000000000000</v>
      </c>
      <c r="AT257" t="str">
        <f>T("9791166067884")</f>
        <v>9791166067884</v>
      </c>
      <c r="AV257" t="str">
        <f>T("BL 웹툰 &gt; 웹툰")</f>
        <v>BL 웹툰 &gt; 웹툰</v>
      </c>
    </row>
    <row r="258" spans="1:49" x14ac:dyDescent="0.4">
      <c r="A258">
        <v>4421000069</v>
      </c>
      <c r="B258">
        <v>4421000100</v>
      </c>
      <c r="C258" t="str">
        <f>T("너랑 나랑 하면 31화")</f>
        <v>너랑 나랑 하면 31화</v>
      </c>
      <c r="D258" t="str">
        <f>T("31")</f>
        <v>31</v>
      </c>
      <c r="E258" t="str">
        <f>T("NISANSUI")</f>
        <v>NISANSUI</v>
      </c>
      <c r="G258" t="str">
        <f>T("ZIQUAN")</f>
        <v>ZIQUAN</v>
      </c>
      <c r="H258" t="str">
        <f t="shared" ref="H258:H321" si="57">T("스토리위즈")</f>
        <v>스토리위즈</v>
      </c>
      <c r="I258" t="str">
        <f>T("너랑 나랑 하면")</f>
        <v>너랑 나랑 하면</v>
      </c>
      <c r="J258">
        <v>400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s="3">
        <v>0</v>
      </c>
      <c r="AH258" s="3">
        <v>3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R258" t="str">
        <f t="shared" si="56"/>
        <v>0000000000000</v>
      </c>
      <c r="AT258" t="str">
        <f>T("9791166067884")</f>
        <v>9791166067884</v>
      </c>
      <c r="AV258" t="str">
        <f>T("BL 웹툰 &gt; 웹툰")</f>
        <v>BL 웹툰 &gt; 웹툰</v>
      </c>
    </row>
    <row r="259" spans="1:49" x14ac:dyDescent="0.4">
      <c r="A259">
        <v>4421000866</v>
      </c>
      <c r="B259">
        <v>4421001535</v>
      </c>
      <c r="C259" t="str">
        <f>T("최애에게 들켜버렸다 80화")</f>
        <v>최애에게 들켜버렸다 80화</v>
      </c>
      <c r="D259" t="str">
        <f>T("83")</f>
        <v>83</v>
      </c>
      <c r="E259" t="str">
        <f>T("Lv")</f>
        <v>Lv</v>
      </c>
      <c r="G259" t="str">
        <f>T("Lv")</f>
        <v>Lv</v>
      </c>
      <c r="H259" t="str">
        <f t="shared" si="57"/>
        <v>스토리위즈</v>
      </c>
      <c r="I259" t="str">
        <f>T("최애에게 들켜버렸다")</f>
        <v>최애에게 들켜버렸다</v>
      </c>
      <c r="J259">
        <v>400</v>
      </c>
      <c r="K259">
        <v>0</v>
      </c>
      <c r="L259">
        <v>0</v>
      </c>
      <c r="M259">
        <v>0</v>
      </c>
      <c r="N259">
        <v>600</v>
      </c>
      <c r="O259">
        <v>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 s="3">
        <v>600</v>
      </c>
      <c r="AH259" s="3">
        <v>3</v>
      </c>
      <c r="AI259" s="3">
        <v>0</v>
      </c>
      <c r="AJ259" s="3">
        <v>0</v>
      </c>
      <c r="AK259" s="3">
        <v>425</v>
      </c>
      <c r="AL259" s="3">
        <v>0</v>
      </c>
      <c r="AM259" s="3">
        <v>210.18</v>
      </c>
      <c r="AN259" s="3">
        <v>-63.05</v>
      </c>
      <c r="AO259" s="3">
        <v>0</v>
      </c>
      <c r="AP259" s="3">
        <v>400.49</v>
      </c>
      <c r="AR259" t="str">
        <f t="shared" si="56"/>
        <v>0000000000000</v>
      </c>
      <c r="AT259" t="str">
        <f>T("9791137601253")</f>
        <v>9791137601253</v>
      </c>
      <c r="AV259" t="str">
        <f>T("웹툰 &gt; 해외 순정")</f>
        <v>웹툰 &gt; 해외 순정</v>
      </c>
      <c r="AW259" t="str">
        <f>T("웹툰 &gt; 로맨스")</f>
        <v>웹툰 &gt; 로맨스</v>
      </c>
    </row>
    <row r="260" spans="1:49" x14ac:dyDescent="0.4">
      <c r="A260">
        <v>4421000198</v>
      </c>
      <c r="B260">
        <v>4421000210</v>
      </c>
      <c r="C260" t="str">
        <f>T("공주전쟁 13화")</f>
        <v>공주전쟁 13화</v>
      </c>
      <c r="D260" t="str">
        <f>T("13")</f>
        <v>13</v>
      </c>
      <c r="E260" t="str">
        <f>T("Hujing")</f>
        <v>Hujing</v>
      </c>
      <c r="G260" t="str">
        <f>T("Luojie")</f>
        <v>Luojie</v>
      </c>
      <c r="H260" t="str">
        <f t="shared" si="57"/>
        <v>스토리위즈</v>
      </c>
      <c r="I260" t="str">
        <f>T("공주전쟁")</f>
        <v>공주전쟁</v>
      </c>
      <c r="J260">
        <v>400</v>
      </c>
      <c r="K260">
        <v>0</v>
      </c>
      <c r="L260">
        <v>0</v>
      </c>
      <c r="M260">
        <v>0</v>
      </c>
      <c r="N260">
        <v>600</v>
      </c>
      <c r="O260">
        <v>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s="3">
        <v>600</v>
      </c>
      <c r="AH260" s="3">
        <v>3</v>
      </c>
      <c r="AI260" s="3">
        <v>0</v>
      </c>
      <c r="AJ260" s="3">
        <v>0</v>
      </c>
      <c r="AK260" s="3">
        <v>400</v>
      </c>
      <c r="AL260" s="3">
        <v>0</v>
      </c>
      <c r="AM260" s="3">
        <v>240</v>
      </c>
      <c r="AN260" s="3">
        <v>-72</v>
      </c>
      <c r="AO260" s="3">
        <v>0</v>
      </c>
      <c r="AP260" s="3">
        <v>397.6</v>
      </c>
      <c r="AR260" t="str">
        <f t="shared" si="56"/>
        <v>0000000000000</v>
      </c>
      <c r="AT260" t="str">
        <f>T("9791166069666")</f>
        <v>9791166069666</v>
      </c>
      <c r="AV260" t="str">
        <f>T("웹툰 &gt; 해외 순정")</f>
        <v>웹툰 &gt; 해외 순정</v>
      </c>
      <c r="AW260" t="str">
        <f>T("웹툰 &gt; 로판")</f>
        <v>웹툰 &gt; 로판</v>
      </c>
    </row>
    <row r="261" spans="1:49" x14ac:dyDescent="0.4">
      <c r="A261">
        <v>4421000916</v>
      </c>
      <c r="B261">
        <v>4421001375</v>
      </c>
      <c r="C261" t="str">
        <f>T("별빛 아래 우리 69화")</f>
        <v>별빛 아래 우리 69화</v>
      </c>
      <c r="D261" t="str">
        <f>T("69")</f>
        <v>69</v>
      </c>
      <c r="E261" t="str">
        <f>T("건일")</f>
        <v>건일</v>
      </c>
      <c r="G261" t="str">
        <f>T("건일")</f>
        <v>건일</v>
      </c>
      <c r="H261" t="str">
        <f t="shared" si="57"/>
        <v>스토리위즈</v>
      </c>
      <c r="I261" t="str">
        <f>T("별빛 아래 우리")</f>
        <v>별빛 아래 우리</v>
      </c>
      <c r="J261">
        <v>400</v>
      </c>
      <c r="K261">
        <v>0</v>
      </c>
      <c r="L261">
        <v>0</v>
      </c>
      <c r="M261">
        <v>0</v>
      </c>
      <c r="N261">
        <v>1000</v>
      </c>
      <c r="O261">
        <v>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s="3">
        <v>1000</v>
      </c>
      <c r="AH261" s="3">
        <v>5</v>
      </c>
      <c r="AI261" s="3">
        <v>0</v>
      </c>
      <c r="AJ261" s="3">
        <v>0</v>
      </c>
      <c r="AK261" s="3">
        <v>580</v>
      </c>
      <c r="AL261" s="3">
        <v>0</v>
      </c>
      <c r="AM261" s="3">
        <v>504.01</v>
      </c>
      <c r="AN261" s="3">
        <v>-151.19999999999999</v>
      </c>
      <c r="AO261" s="3">
        <v>0</v>
      </c>
      <c r="AP261" s="3">
        <v>652.97</v>
      </c>
      <c r="AR261" t="str">
        <f t="shared" si="56"/>
        <v>0000000000000</v>
      </c>
      <c r="AT261" t="str">
        <f>T("9791137601413")</f>
        <v>9791137601413</v>
      </c>
      <c r="AV261" t="str">
        <f>T("웹툰 &gt; 해외 순정")</f>
        <v>웹툰 &gt; 해외 순정</v>
      </c>
      <c r="AW261" t="str">
        <f>T("웹툰 &gt; 로맨스")</f>
        <v>웹툰 &gt; 로맨스</v>
      </c>
    </row>
    <row r="262" spans="1:49" x14ac:dyDescent="0.4">
      <c r="A262">
        <v>4421000337</v>
      </c>
      <c r="B262">
        <v>4421000435</v>
      </c>
      <c r="C262" t="str">
        <f>T("계약연애, 오늘부터 1일 99화")</f>
        <v>계약연애, 오늘부터 1일 99화</v>
      </c>
      <c r="D262" t="str">
        <f>T("99")</f>
        <v>99</v>
      </c>
      <c r="E262" t="str">
        <f>T("원기공장")</f>
        <v>원기공장</v>
      </c>
      <c r="H262" t="str">
        <f t="shared" si="57"/>
        <v>스토리위즈</v>
      </c>
      <c r="I262" t="str">
        <f>T("계약연애, 오늘부터 1일")</f>
        <v>계약연애, 오늘부터 1일</v>
      </c>
      <c r="J262">
        <v>200</v>
      </c>
      <c r="K262">
        <v>0</v>
      </c>
      <c r="L262">
        <v>0</v>
      </c>
      <c r="M262">
        <v>0</v>
      </c>
      <c r="N262">
        <v>100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s="3">
        <v>100</v>
      </c>
      <c r="AH262" s="3">
        <v>1</v>
      </c>
      <c r="AI262" s="3">
        <v>0</v>
      </c>
      <c r="AJ262" s="3">
        <v>0</v>
      </c>
      <c r="AK262" s="3">
        <v>100</v>
      </c>
      <c r="AL262" s="3">
        <v>0</v>
      </c>
      <c r="AM262" s="3">
        <v>0</v>
      </c>
      <c r="AN262" s="3">
        <v>0</v>
      </c>
      <c r="AO262" s="3">
        <v>0</v>
      </c>
      <c r="AP262" s="3">
        <v>70</v>
      </c>
      <c r="AR262" t="str">
        <f t="shared" si="56"/>
        <v>0000000000000</v>
      </c>
      <c r="AT262" t="str">
        <f>T("9791166068027")</f>
        <v>9791166068027</v>
      </c>
      <c r="AV262" t="str">
        <f>T("웹툰 &gt; 해외 순정")</f>
        <v>웹툰 &gt; 해외 순정</v>
      </c>
      <c r="AW262" t="str">
        <f>T("웹툰 &gt; 로맨스")</f>
        <v>웹툰 &gt; 로맨스</v>
      </c>
    </row>
    <row r="263" spans="1:49" x14ac:dyDescent="0.4">
      <c r="A263">
        <v>4421000916</v>
      </c>
      <c r="B263">
        <v>4421000938</v>
      </c>
      <c r="C263" t="str">
        <f>T("별빛 아래 우리 23화")</f>
        <v>별빛 아래 우리 23화</v>
      </c>
      <c r="D263" t="str">
        <f>T("23")</f>
        <v>23</v>
      </c>
      <c r="E263" t="str">
        <f>T("건일")</f>
        <v>건일</v>
      </c>
      <c r="G263" t="str">
        <f>T("건일")</f>
        <v>건일</v>
      </c>
      <c r="H263" t="str">
        <f t="shared" si="57"/>
        <v>스토리위즈</v>
      </c>
      <c r="I263" t="str">
        <f>T("별빛 아래 우리")</f>
        <v>별빛 아래 우리</v>
      </c>
      <c r="J263">
        <v>400</v>
      </c>
      <c r="K263">
        <v>0</v>
      </c>
      <c r="L263">
        <v>0</v>
      </c>
      <c r="M263">
        <v>0</v>
      </c>
      <c r="N263">
        <v>1200</v>
      </c>
      <c r="O263">
        <v>6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s="3">
        <v>1200</v>
      </c>
      <c r="AH263" s="3">
        <v>6</v>
      </c>
      <c r="AI263" s="3">
        <v>0</v>
      </c>
      <c r="AJ263" s="3">
        <v>0</v>
      </c>
      <c r="AK263" s="3">
        <v>400</v>
      </c>
      <c r="AL263" s="3">
        <v>0</v>
      </c>
      <c r="AM263" s="3">
        <v>958.3</v>
      </c>
      <c r="AN263" s="3">
        <v>-287.49</v>
      </c>
      <c r="AO263" s="3">
        <v>0</v>
      </c>
      <c r="AP263" s="3">
        <v>749.57</v>
      </c>
      <c r="AR263" t="str">
        <f t="shared" si="56"/>
        <v>0000000000000</v>
      </c>
      <c r="AT263" t="str">
        <f>T("9791137601413")</f>
        <v>9791137601413</v>
      </c>
      <c r="AV263" t="str">
        <f>T("웹툰 &gt; 해외 순정")</f>
        <v>웹툰 &gt; 해외 순정</v>
      </c>
      <c r="AW263" t="str">
        <f>T("웹툰 &gt; 로맨스")</f>
        <v>웹툰 &gt; 로맨스</v>
      </c>
    </row>
    <row r="264" spans="1:49" x14ac:dyDescent="0.4">
      <c r="A264">
        <v>4421001764</v>
      </c>
      <c r="B264">
        <v>4421001769</v>
      </c>
      <c r="C264" t="str">
        <f>T("예쁜 남자 잘생긴 여자 6화")</f>
        <v>예쁜 남자 잘생긴 여자 6화</v>
      </c>
      <c r="D264" t="str">
        <f>T("6")</f>
        <v>6</v>
      </c>
      <c r="E264" t="str">
        <f>T("웹티")</f>
        <v>웹티</v>
      </c>
      <c r="H264" t="str">
        <f t="shared" si="57"/>
        <v>스토리위즈</v>
      </c>
      <c r="I264" t="str">
        <f>T("예쁜 남자 잘생긴 여자")</f>
        <v>예쁜 남자 잘생긴 여자</v>
      </c>
      <c r="J264">
        <v>500</v>
      </c>
      <c r="K264">
        <v>0</v>
      </c>
      <c r="L264">
        <v>0</v>
      </c>
      <c r="M264">
        <v>0</v>
      </c>
      <c r="N264">
        <v>200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 s="3">
        <v>200</v>
      </c>
      <c r="AH264" s="3">
        <v>1</v>
      </c>
      <c r="AI264" s="3">
        <v>0</v>
      </c>
      <c r="AJ264" s="3">
        <v>0</v>
      </c>
      <c r="AK264" s="3">
        <v>0</v>
      </c>
      <c r="AL264" s="3">
        <v>0</v>
      </c>
      <c r="AM264" s="3">
        <v>240.82</v>
      </c>
      <c r="AN264" s="3">
        <v>-72.25</v>
      </c>
      <c r="AO264" s="3">
        <v>0</v>
      </c>
      <c r="AP264" s="3">
        <v>118</v>
      </c>
      <c r="AR264" t="str">
        <f t="shared" si="56"/>
        <v>0000000000000</v>
      </c>
      <c r="AT264" t="str">
        <f>T("9791190702164")</f>
        <v>9791190702164</v>
      </c>
      <c r="AV264" t="str">
        <f>T("웹툰 &gt; 로맨스")</f>
        <v>웹툰 &gt; 로맨스</v>
      </c>
    </row>
    <row r="265" spans="1:49" x14ac:dyDescent="0.4">
      <c r="A265">
        <v>4421000337</v>
      </c>
      <c r="B265">
        <v>4421000395</v>
      </c>
      <c r="C265" t="str">
        <f>T("계약연애, 오늘부터 1일 59화")</f>
        <v>계약연애, 오늘부터 1일 59화</v>
      </c>
      <c r="D265" t="str">
        <f>T("59")</f>
        <v>59</v>
      </c>
      <c r="E265" t="str">
        <f>T("원기공장")</f>
        <v>원기공장</v>
      </c>
      <c r="H265" t="str">
        <f t="shared" si="57"/>
        <v>스토리위즈</v>
      </c>
      <c r="I265" t="str">
        <f>T("계약연애, 오늘부터 1일")</f>
        <v>계약연애, 오늘부터 1일</v>
      </c>
      <c r="J265">
        <v>200</v>
      </c>
      <c r="K265">
        <v>0</v>
      </c>
      <c r="L265">
        <v>0</v>
      </c>
      <c r="M265">
        <v>0</v>
      </c>
      <c r="N265">
        <v>100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 s="3">
        <v>100</v>
      </c>
      <c r="AH265" s="3">
        <v>1</v>
      </c>
      <c r="AI265" s="3">
        <v>0</v>
      </c>
      <c r="AJ265" s="3">
        <v>0</v>
      </c>
      <c r="AK265" s="3">
        <v>100</v>
      </c>
      <c r="AL265" s="3">
        <v>0</v>
      </c>
      <c r="AM265" s="3">
        <v>0</v>
      </c>
      <c r="AN265" s="3">
        <v>0</v>
      </c>
      <c r="AO265" s="3">
        <v>0</v>
      </c>
      <c r="AP265" s="3">
        <v>70</v>
      </c>
      <c r="AR265" t="str">
        <f t="shared" si="56"/>
        <v>0000000000000</v>
      </c>
      <c r="AT265" t="str">
        <f>T("9791166068027")</f>
        <v>9791166068027</v>
      </c>
      <c r="AV265" t="str">
        <f>T("웹툰 &gt; 해외 순정")</f>
        <v>웹툰 &gt; 해외 순정</v>
      </c>
      <c r="AW265" t="str">
        <f>T("웹툰 &gt; 로맨스")</f>
        <v>웹툰 &gt; 로맨스</v>
      </c>
    </row>
    <row r="266" spans="1:49" x14ac:dyDescent="0.4">
      <c r="A266">
        <v>4421000916</v>
      </c>
      <c r="B266">
        <v>4421001295</v>
      </c>
      <c r="C266" t="str">
        <f>T("별빛 아래 우리 65화")</f>
        <v>별빛 아래 우리 65화</v>
      </c>
      <c r="D266" t="str">
        <f>T("65")</f>
        <v>65</v>
      </c>
      <c r="E266" t="str">
        <f>T("건일")</f>
        <v>건일</v>
      </c>
      <c r="G266" t="str">
        <f>T("건일")</f>
        <v>건일</v>
      </c>
      <c r="H266" t="str">
        <f t="shared" si="57"/>
        <v>스토리위즈</v>
      </c>
      <c r="I266" t="str">
        <f>T("별빛 아래 우리")</f>
        <v>별빛 아래 우리</v>
      </c>
      <c r="J266">
        <v>400</v>
      </c>
      <c r="K266">
        <v>0</v>
      </c>
      <c r="L266">
        <v>0</v>
      </c>
      <c r="M266">
        <v>0</v>
      </c>
      <c r="N266">
        <v>1000</v>
      </c>
      <c r="O266">
        <v>5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 s="3">
        <v>1000</v>
      </c>
      <c r="AH266" s="3">
        <v>5</v>
      </c>
      <c r="AI266" s="3">
        <v>0</v>
      </c>
      <c r="AJ266" s="3">
        <v>0</v>
      </c>
      <c r="AK266" s="3">
        <v>580</v>
      </c>
      <c r="AL266" s="3">
        <v>0</v>
      </c>
      <c r="AM266" s="3">
        <v>504.01</v>
      </c>
      <c r="AN266" s="3">
        <v>-151.19999999999999</v>
      </c>
      <c r="AO266" s="3">
        <v>0</v>
      </c>
      <c r="AP266" s="3">
        <v>652.97</v>
      </c>
      <c r="AR266" t="str">
        <f t="shared" si="56"/>
        <v>0000000000000</v>
      </c>
      <c r="AT266" t="str">
        <f>T("9791137601413")</f>
        <v>9791137601413</v>
      </c>
      <c r="AV266" t="str">
        <f>T("웹툰 &gt; 해외 순정")</f>
        <v>웹툰 &gt; 해외 순정</v>
      </c>
      <c r="AW266" t="str">
        <f>T("웹툰 &gt; 로맨스")</f>
        <v>웹툰 &gt; 로맨스</v>
      </c>
    </row>
    <row r="267" spans="1:49" x14ac:dyDescent="0.4">
      <c r="A267">
        <v>4421000866</v>
      </c>
      <c r="B267">
        <v>4421001192</v>
      </c>
      <c r="C267" t="str">
        <f>T("최애에게 들켜버렸다 46화")</f>
        <v>최애에게 들켜버렸다 46화</v>
      </c>
      <c r="D267" t="str">
        <f>T("49")</f>
        <v>49</v>
      </c>
      <c r="E267" t="str">
        <f>T("Lv")</f>
        <v>Lv</v>
      </c>
      <c r="G267" t="str">
        <f>T("Lv")</f>
        <v>Lv</v>
      </c>
      <c r="H267" t="str">
        <f t="shared" si="57"/>
        <v>스토리위즈</v>
      </c>
      <c r="I267" t="str">
        <f>T("최애에게 들켜버렸다")</f>
        <v>최애에게 들켜버렸다</v>
      </c>
      <c r="J267">
        <v>400</v>
      </c>
      <c r="K267">
        <v>0</v>
      </c>
      <c r="L267">
        <v>0</v>
      </c>
      <c r="M267">
        <v>0</v>
      </c>
      <c r="N267">
        <v>600</v>
      </c>
      <c r="O267">
        <v>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 s="3">
        <v>600</v>
      </c>
      <c r="AH267" s="3">
        <v>3</v>
      </c>
      <c r="AI267" s="3">
        <v>0</v>
      </c>
      <c r="AJ267" s="3">
        <v>0</v>
      </c>
      <c r="AK267" s="3">
        <v>424</v>
      </c>
      <c r="AL267" s="3">
        <v>0</v>
      </c>
      <c r="AM267" s="3">
        <v>211.38</v>
      </c>
      <c r="AN267" s="3">
        <v>-63.41</v>
      </c>
      <c r="AO267" s="3">
        <v>0</v>
      </c>
      <c r="AP267" s="3">
        <v>400.38</v>
      </c>
      <c r="AR267" t="str">
        <f t="shared" si="56"/>
        <v>0000000000000</v>
      </c>
      <c r="AT267" t="str">
        <f>T("9791137601253")</f>
        <v>9791137601253</v>
      </c>
      <c r="AV267" t="str">
        <f>T("웹툰 &gt; 해외 순정")</f>
        <v>웹툰 &gt; 해외 순정</v>
      </c>
      <c r="AW267" t="str">
        <f>T("웹툰 &gt; 로맨스")</f>
        <v>웹툰 &gt; 로맨스</v>
      </c>
    </row>
    <row r="268" spans="1:49" x14ac:dyDescent="0.4">
      <c r="A268">
        <v>4421000450</v>
      </c>
      <c r="B268">
        <v>4421000467</v>
      </c>
      <c r="C268" t="str">
        <f>T("내 남편의 스토커 17화")</f>
        <v>내 남편의 스토커 17화</v>
      </c>
      <c r="D268" t="str">
        <f>T("17")</f>
        <v>17</v>
      </c>
      <c r="E268" t="str">
        <f>T("혜원")</f>
        <v>혜원</v>
      </c>
      <c r="G268" t="str">
        <f>T("혜원")</f>
        <v>혜원</v>
      </c>
      <c r="H268" t="str">
        <f t="shared" si="57"/>
        <v>스토리위즈</v>
      </c>
      <c r="I268" t="str">
        <f>T("내 남편의 스토커")</f>
        <v>내 남편의 스토커</v>
      </c>
      <c r="J268">
        <v>400</v>
      </c>
      <c r="K268">
        <v>0</v>
      </c>
      <c r="L268">
        <v>0</v>
      </c>
      <c r="M268">
        <v>0</v>
      </c>
      <c r="N268">
        <v>200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 s="3">
        <v>200</v>
      </c>
      <c r="AH268" s="3">
        <v>1</v>
      </c>
      <c r="AI268" s="3">
        <v>0</v>
      </c>
      <c r="AJ268" s="3">
        <v>0</v>
      </c>
      <c r="AK268" s="3">
        <v>200</v>
      </c>
      <c r="AL268" s="3">
        <v>0</v>
      </c>
      <c r="AM268" s="3">
        <v>0</v>
      </c>
      <c r="AN268" s="3">
        <v>0</v>
      </c>
      <c r="AO268" s="3">
        <v>0</v>
      </c>
      <c r="AP268" s="3">
        <v>140</v>
      </c>
      <c r="AR268" t="str">
        <f t="shared" si="56"/>
        <v>0000000000000</v>
      </c>
      <c r="AT268" t="str">
        <f>T("9791166068034")</f>
        <v>9791166068034</v>
      </c>
      <c r="AV268" t="str">
        <f>T("웹툰 &gt; 로맨스")</f>
        <v>웹툰 &gt; 로맨스</v>
      </c>
    </row>
    <row r="269" spans="1:49" x14ac:dyDescent="0.4">
      <c r="A269">
        <v>4421000450</v>
      </c>
      <c r="B269">
        <v>4421000475</v>
      </c>
      <c r="C269" t="str">
        <f>T("내 남편의 스토커 25화")</f>
        <v>내 남편의 스토커 25화</v>
      </c>
      <c r="D269" t="str">
        <f>T("25")</f>
        <v>25</v>
      </c>
      <c r="E269" t="str">
        <f>T("혜원")</f>
        <v>혜원</v>
      </c>
      <c r="G269" t="str">
        <f>T("혜원")</f>
        <v>혜원</v>
      </c>
      <c r="H269" t="str">
        <f t="shared" si="57"/>
        <v>스토리위즈</v>
      </c>
      <c r="I269" t="str">
        <f>T("내 남편의 스토커")</f>
        <v>내 남편의 스토커</v>
      </c>
      <c r="J269">
        <v>400</v>
      </c>
      <c r="K269">
        <v>0</v>
      </c>
      <c r="L269">
        <v>0</v>
      </c>
      <c r="M269">
        <v>0</v>
      </c>
      <c r="N269">
        <v>200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 s="3">
        <v>200</v>
      </c>
      <c r="AH269" s="3">
        <v>1</v>
      </c>
      <c r="AI269" s="3">
        <v>0</v>
      </c>
      <c r="AJ269" s="3">
        <v>0</v>
      </c>
      <c r="AK269" s="3">
        <v>200</v>
      </c>
      <c r="AL269" s="3">
        <v>0</v>
      </c>
      <c r="AM269" s="3">
        <v>0</v>
      </c>
      <c r="AN269" s="3">
        <v>0</v>
      </c>
      <c r="AO269" s="3">
        <v>0</v>
      </c>
      <c r="AP269" s="3">
        <v>140</v>
      </c>
      <c r="AR269" t="str">
        <f t="shared" si="56"/>
        <v>0000000000000</v>
      </c>
      <c r="AT269" t="str">
        <f>T("9791166068034")</f>
        <v>9791166068034</v>
      </c>
      <c r="AV269" t="str">
        <f>T("웹툰 &gt; 로맨스")</f>
        <v>웹툰 &gt; 로맨스</v>
      </c>
    </row>
    <row r="270" spans="1:49" x14ac:dyDescent="0.4">
      <c r="A270">
        <v>4421000198</v>
      </c>
      <c r="B270">
        <v>4421000242</v>
      </c>
      <c r="C270" t="str">
        <f>T("공주전쟁 45화")</f>
        <v>공주전쟁 45화</v>
      </c>
      <c r="D270" t="str">
        <f>T("45")</f>
        <v>45</v>
      </c>
      <c r="E270" t="str">
        <f>T("Hujing")</f>
        <v>Hujing</v>
      </c>
      <c r="G270" t="str">
        <f>T("Luojie")</f>
        <v>Luojie</v>
      </c>
      <c r="H270" t="str">
        <f t="shared" si="57"/>
        <v>스토리위즈</v>
      </c>
      <c r="I270" t="str">
        <f>T("공주전쟁")</f>
        <v>공주전쟁</v>
      </c>
      <c r="J270">
        <v>400</v>
      </c>
      <c r="K270">
        <v>0</v>
      </c>
      <c r="L270">
        <v>0</v>
      </c>
      <c r="M270">
        <v>0</v>
      </c>
      <c r="N270">
        <v>400</v>
      </c>
      <c r="O270">
        <v>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 s="3">
        <v>400</v>
      </c>
      <c r="AH270" s="3">
        <v>2</v>
      </c>
      <c r="AI270" s="3">
        <v>0</v>
      </c>
      <c r="AJ270" s="3">
        <v>0</v>
      </c>
      <c r="AK270" s="3">
        <v>200</v>
      </c>
      <c r="AL270" s="3">
        <v>0</v>
      </c>
      <c r="AM270" s="3">
        <v>240</v>
      </c>
      <c r="AN270" s="3">
        <v>-72</v>
      </c>
      <c r="AO270" s="3">
        <v>0</v>
      </c>
      <c r="AP270" s="3">
        <v>257.60000000000002</v>
      </c>
      <c r="AR270" t="str">
        <f t="shared" si="56"/>
        <v>0000000000000</v>
      </c>
      <c r="AT270" t="str">
        <f>T("9791166069666")</f>
        <v>9791166069666</v>
      </c>
      <c r="AV270" t="str">
        <f>T("웹툰 &gt; 해외 순정")</f>
        <v>웹툰 &gt; 해외 순정</v>
      </c>
      <c r="AW270" t="str">
        <f>T("웹툰 &gt; 로판")</f>
        <v>웹툰 &gt; 로판</v>
      </c>
    </row>
    <row r="271" spans="1:49" x14ac:dyDescent="0.4">
      <c r="A271">
        <v>4421000887</v>
      </c>
      <c r="B271">
        <v>4421000985</v>
      </c>
      <c r="C271" t="str">
        <f>T("폭군의 눈물 33화")</f>
        <v>폭군의 눈물 33화</v>
      </c>
      <c r="D271" t="str">
        <f>T("33")</f>
        <v>33</v>
      </c>
      <c r="E271" t="str">
        <f>T("Ice×FANFAN COMIC")</f>
        <v>Ice×FANFAN COMIC</v>
      </c>
      <c r="G271" t="str">
        <f>T("Ice×FANFAN COMIC")</f>
        <v>Ice×FANFAN COMIC</v>
      </c>
      <c r="H271" t="str">
        <f t="shared" si="57"/>
        <v>스토리위즈</v>
      </c>
      <c r="I271" t="str">
        <f>T("폭군의 눈물")</f>
        <v>폭군의 눈물</v>
      </c>
      <c r="J271">
        <v>400</v>
      </c>
      <c r="K271">
        <v>0</v>
      </c>
      <c r="L271">
        <v>0</v>
      </c>
      <c r="M271">
        <v>0</v>
      </c>
      <c r="N271">
        <v>600</v>
      </c>
      <c r="O271">
        <v>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 s="3">
        <v>600</v>
      </c>
      <c r="AH271" s="3">
        <v>3</v>
      </c>
      <c r="AI271" s="3">
        <v>0</v>
      </c>
      <c r="AJ271" s="3">
        <v>0</v>
      </c>
      <c r="AK271" s="3">
        <v>400</v>
      </c>
      <c r="AL271" s="3">
        <v>0</v>
      </c>
      <c r="AM271" s="3">
        <v>240</v>
      </c>
      <c r="AN271" s="3">
        <v>-72</v>
      </c>
      <c r="AO271" s="3">
        <v>0</v>
      </c>
      <c r="AP271" s="3">
        <v>397.6</v>
      </c>
      <c r="AR271" t="str">
        <f t="shared" si="56"/>
        <v>0000000000000</v>
      </c>
      <c r="AT271" t="str">
        <f>T("9791137601291")</f>
        <v>9791137601291</v>
      </c>
      <c r="AV271" t="str">
        <f>T("웹툰 &gt; 해외 순정")</f>
        <v>웹툰 &gt; 해외 순정</v>
      </c>
      <c r="AW271" t="str">
        <f>T("웹툰 &gt; 로판")</f>
        <v>웹툰 &gt; 로판</v>
      </c>
    </row>
    <row r="272" spans="1:49" x14ac:dyDescent="0.4">
      <c r="A272">
        <v>4421001936</v>
      </c>
      <c r="B272">
        <v>4421001942</v>
      </c>
      <c r="C272" t="str">
        <f>T("보스 오빠, 살살! 7화")</f>
        <v>보스 오빠, 살살! 7화</v>
      </c>
      <c r="D272" t="str">
        <f>T("7")</f>
        <v>7</v>
      </c>
      <c r="E272" t="str">
        <f>T("웹티")</f>
        <v>웹티</v>
      </c>
      <c r="H272" t="str">
        <f t="shared" si="57"/>
        <v>스토리위즈</v>
      </c>
      <c r="I272" t="str">
        <f>T("보스 오빠, 살살!")</f>
        <v>보스 오빠, 살살!</v>
      </c>
      <c r="J272">
        <v>500</v>
      </c>
      <c r="K272">
        <v>0</v>
      </c>
      <c r="L272">
        <v>0</v>
      </c>
      <c r="M272">
        <v>0</v>
      </c>
      <c r="N272">
        <v>200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 s="3">
        <v>200</v>
      </c>
      <c r="AH272" s="3">
        <v>1</v>
      </c>
      <c r="AI272" s="3">
        <v>0</v>
      </c>
      <c r="AJ272" s="3">
        <v>0</v>
      </c>
      <c r="AK272" s="3">
        <v>0</v>
      </c>
      <c r="AL272" s="3">
        <v>0</v>
      </c>
      <c r="AM272" s="3">
        <v>240</v>
      </c>
      <c r="AN272" s="3">
        <v>-72</v>
      </c>
      <c r="AO272" s="3">
        <v>0</v>
      </c>
      <c r="AP272" s="3">
        <v>117.6</v>
      </c>
      <c r="AT272" t="str">
        <f>T("9791190702331")</f>
        <v>9791190702331</v>
      </c>
      <c r="AV272" t="str">
        <f>T("웹툰 &gt; 로맨스")</f>
        <v>웹툰 &gt; 로맨스</v>
      </c>
    </row>
    <row r="273" spans="1:49" x14ac:dyDescent="0.4">
      <c r="A273">
        <v>4421000866</v>
      </c>
      <c r="B273">
        <v>4421000874</v>
      </c>
      <c r="C273" t="str">
        <f>T("최애에게 들켜버렸다 8화")</f>
        <v>최애에게 들켜버렸다 8화</v>
      </c>
      <c r="D273" t="str">
        <f>T("8")</f>
        <v>8</v>
      </c>
      <c r="E273" t="str">
        <f>T("Lv")</f>
        <v>Lv</v>
      </c>
      <c r="G273" t="str">
        <f>T("Lv")</f>
        <v>Lv</v>
      </c>
      <c r="H273" t="str">
        <f t="shared" si="57"/>
        <v>스토리위즈</v>
      </c>
      <c r="I273" t="str">
        <f>T("최애에게 들켜버렸다")</f>
        <v>최애에게 들켜버렸다</v>
      </c>
      <c r="J273">
        <v>400</v>
      </c>
      <c r="K273">
        <v>0</v>
      </c>
      <c r="L273">
        <v>0</v>
      </c>
      <c r="M273">
        <v>0</v>
      </c>
      <c r="N273">
        <v>1000</v>
      </c>
      <c r="O273">
        <v>5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 s="3">
        <v>1000</v>
      </c>
      <c r="AH273" s="3">
        <v>5</v>
      </c>
      <c r="AI273" s="3">
        <v>0</v>
      </c>
      <c r="AJ273" s="3">
        <v>0</v>
      </c>
      <c r="AK273" s="3">
        <v>624</v>
      </c>
      <c r="AL273" s="3">
        <v>0</v>
      </c>
      <c r="AM273" s="3">
        <v>451.38</v>
      </c>
      <c r="AN273" s="3">
        <v>-135.41</v>
      </c>
      <c r="AO273" s="3">
        <v>0</v>
      </c>
      <c r="AP273" s="3">
        <v>657.98</v>
      </c>
      <c r="AR273" t="str">
        <f>T("0000000000000")</f>
        <v>0000000000000</v>
      </c>
      <c r="AT273" t="str">
        <f>T("9791137601253")</f>
        <v>9791137601253</v>
      </c>
      <c r="AV273" t="str">
        <f>T("웹툰 &gt; 해외 순정")</f>
        <v>웹툰 &gt; 해외 순정</v>
      </c>
      <c r="AW273" t="str">
        <f>T("웹툰 &gt; 로맨스")</f>
        <v>웹툰 &gt; 로맨스</v>
      </c>
    </row>
    <row r="274" spans="1:49" x14ac:dyDescent="0.4">
      <c r="A274">
        <v>4421001936</v>
      </c>
      <c r="B274">
        <v>4421001973</v>
      </c>
      <c r="C274" t="str">
        <f>T("보스 오빠, 살살! 38화")</f>
        <v>보스 오빠, 살살! 38화</v>
      </c>
      <c r="D274" t="str">
        <f>T("38")</f>
        <v>38</v>
      </c>
      <c r="E274" t="str">
        <f>T("웹티")</f>
        <v>웹티</v>
      </c>
      <c r="H274" t="str">
        <f t="shared" si="57"/>
        <v>스토리위즈</v>
      </c>
      <c r="I274" t="str">
        <f>T("보스 오빠, 살살!")</f>
        <v>보스 오빠, 살살!</v>
      </c>
      <c r="J274">
        <v>500</v>
      </c>
      <c r="K274">
        <v>0</v>
      </c>
      <c r="L274">
        <v>0</v>
      </c>
      <c r="M274">
        <v>0</v>
      </c>
      <c r="N274">
        <v>200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s="3">
        <v>200</v>
      </c>
      <c r="AH274" s="3">
        <v>1</v>
      </c>
      <c r="AI274" s="3">
        <v>0</v>
      </c>
      <c r="AJ274" s="3">
        <v>0</v>
      </c>
      <c r="AK274" s="3">
        <v>0</v>
      </c>
      <c r="AL274" s="3">
        <v>0</v>
      </c>
      <c r="AM274" s="3">
        <v>240</v>
      </c>
      <c r="AN274" s="3">
        <v>-72</v>
      </c>
      <c r="AO274" s="3">
        <v>0</v>
      </c>
      <c r="AP274" s="3">
        <v>117.6</v>
      </c>
      <c r="AT274" t="str">
        <f>T("9791190702331")</f>
        <v>9791190702331</v>
      </c>
      <c r="AV274" t="str">
        <f>T("웹툰 &gt; 로맨스")</f>
        <v>웹툰 &gt; 로맨스</v>
      </c>
    </row>
    <row r="275" spans="1:49" x14ac:dyDescent="0.4">
      <c r="A275">
        <v>4421000001</v>
      </c>
      <c r="B275">
        <v>4421000028</v>
      </c>
      <c r="C275" t="str">
        <f>T("감옥실험 18화")</f>
        <v>감옥실험 18화</v>
      </c>
      <c r="D275" t="str">
        <f>T("18")</f>
        <v>18</v>
      </c>
      <c r="E275" t="str">
        <f>T("Kantetsu")</f>
        <v>Kantetsu</v>
      </c>
      <c r="G275" t="str">
        <f>T("Minase Chiho")</f>
        <v>Minase Chiho</v>
      </c>
      <c r="H275" t="str">
        <f t="shared" si="57"/>
        <v>스토리위즈</v>
      </c>
      <c r="I275" t="str">
        <f>T("감옥실험")</f>
        <v>감옥실험</v>
      </c>
      <c r="J275">
        <v>500</v>
      </c>
      <c r="K275">
        <v>0</v>
      </c>
      <c r="L275">
        <v>0</v>
      </c>
      <c r="M275">
        <v>0</v>
      </c>
      <c r="N275">
        <v>1200</v>
      </c>
      <c r="O275">
        <v>4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s="3">
        <v>1200</v>
      </c>
      <c r="AH275" s="3">
        <v>4</v>
      </c>
      <c r="AI275" s="3">
        <v>0</v>
      </c>
      <c r="AJ275" s="3">
        <v>0</v>
      </c>
      <c r="AK275" s="3">
        <v>900</v>
      </c>
      <c r="AL275" s="3">
        <v>0</v>
      </c>
      <c r="AM275" s="3">
        <v>360</v>
      </c>
      <c r="AN275" s="3">
        <v>-108</v>
      </c>
      <c r="AO275" s="3">
        <v>0</v>
      </c>
      <c r="AP275" s="3">
        <v>806.4</v>
      </c>
      <c r="AT275" t="str">
        <f>T("9791166069406")</f>
        <v>9791166069406</v>
      </c>
      <c r="AV275" t="str">
        <f>T("웹툰 &gt; 드라마")</f>
        <v>웹툰 &gt; 드라마</v>
      </c>
    </row>
    <row r="276" spans="1:49" x14ac:dyDescent="0.4">
      <c r="A276">
        <v>4421000518</v>
      </c>
      <c r="B276">
        <v>4421000547</v>
      </c>
      <c r="C276" t="str">
        <f>T("백스테이지 키스신 29화")</f>
        <v>백스테이지 키스신 29화</v>
      </c>
      <c r="D276" t="str">
        <f>T("29")</f>
        <v>29</v>
      </c>
      <c r="E276" t="str">
        <f>T("최도비")</f>
        <v>최도비</v>
      </c>
      <c r="G276" t="str">
        <f>T("수정과")</f>
        <v>수정과</v>
      </c>
      <c r="H276" t="str">
        <f t="shared" si="57"/>
        <v>스토리위즈</v>
      </c>
      <c r="I276" t="str">
        <f>T("백스테이지 키스신")</f>
        <v>백스테이지 키스신</v>
      </c>
      <c r="J276">
        <v>400</v>
      </c>
      <c r="K276">
        <v>0</v>
      </c>
      <c r="L276">
        <v>0</v>
      </c>
      <c r="M276">
        <v>0</v>
      </c>
      <c r="N276">
        <v>200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 s="3">
        <v>200</v>
      </c>
      <c r="AH276" s="3">
        <v>1</v>
      </c>
      <c r="AI276" s="3">
        <v>0</v>
      </c>
      <c r="AJ276" s="3">
        <v>0</v>
      </c>
      <c r="AK276" s="3">
        <v>200</v>
      </c>
      <c r="AL276" s="3">
        <v>0</v>
      </c>
      <c r="AM276" s="3">
        <v>0</v>
      </c>
      <c r="AN276" s="3">
        <v>0</v>
      </c>
      <c r="AO276" s="3">
        <v>0</v>
      </c>
      <c r="AP276" s="3">
        <v>140</v>
      </c>
      <c r="AR276" t="str">
        <f t="shared" ref="AR276:AR283" si="58">T("0000000000000")</f>
        <v>0000000000000</v>
      </c>
      <c r="AT276" t="str">
        <f>T("9791166067990")</f>
        <v>9791166067990</v>
      </c>
      <c r="AV276" t="str">
        <f>T("웹툰 &gt; 로맨스")</f>
        <v>웹툰 &gt; 로맨스</v>
      </c>
    </row>
    <row r="277" spans="1:49" x14ac:dyDescent="0.4">
      <c r="A277">
        <v>4421001325</v>
      </c>
      <c r="B277">
        <v>4421001327</v>
      </c>
      <c r="C277" t="str">
        <f>T("커피여우 김삼월 3화")</f>
        <v>커피여우 김삼월 3화</v>
      </c>
      <c r="D277" t="str">
        <f>T("3")</f>
        <v>3</v>
      </c>
      <c r="E277" t="str">
        <f>T("Nica")</f>
        <v>Nica</v>
      </c>
      <c r="G277" t="str">
        <f>T("A.Noa, RK Studio")</f>
        <v>A.Noa, RK Studio</v>
      </c>
      <c r="H277" t="str">
        <f t="shared" si="57"/>
        <v>스토리위즈</v>
      </c>
      <c r="I277" t="str">
        <f>T("커피여우 김삼월")</f>
        <v>커피여우 김삼월</v>
      </c>
      <c r="J277">
        <v>500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 s="3">
        <v>0</v>
      </c>
      <c r="AH277" s="3">
        <v>5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R277" t="str">
        <f t="shared" si="58"/>
        <v>0000000000000</v>
      </c>
      <c r="AT277" t="str">
        <f>T("9791191241792")</f>
        <v>9791191241792</v>
      </c>
      <c r="AV277" t="str">
        <f>T("웹툰 &gt; 로맨스")</f>
        <v>웹툰 &gt; 로맨스</v>
      </c>
    </row>
    <row r="278" spans="1:49" x14ac:dyDescent="0.4">
      <c r="A278">
        <v>4421000337</v>
      </c>
      <c r="B278">
        <v>4421000388</v>
      </c>
      <c r="C278" t="str">
        <f>T("계약연애, 오늘부터 1일 52화")</f>
        <v>계약연애, 오늘부터 1일 52화</v>
      </c>
      <c r="D278" t="str">
        <f>T("52")</f>
        <v>52</v>
      </c>
      <c r="E278" t="str">
        <f>T("원기공장")</f>
        <v>원기공장</v>
      </c>
      <c r="H278" t="str">
        <f t="shared" si="57"/>
        <v>스토리위즈</v>
      </c>
      <c r="I278" t="str">
        <f>T("계약연애, 오늘부터 1일")</f>
        <v>계약연애, 오늘부터 1일</v>
      </c>
      <c r="J278">
        <v>200</v>
      </c>
      <c r="K278">
        <v>0</v>
      </c>
      <c r="L278">
        <v>0</v>
      </c>
      <c r="M278">
        <v>0</v>
      </c>
      <c r="N278">
        <v>100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 s="3">
        <v>100</v>
      </c>
      <c r="AH278" s="3">
        <v>1</v>
      </c>
      <c r="AI278" s="3">
        <v>0</v>
      </c>
      <c r="AJ278" s="3">
        <v>0</v>
      </c>
      <c r="AK278" s="3">
        <v>100</v>
      </c>
      <c r="AL278" s="3">
        <v>0</v>
      </c>
      <c r="AM278" s="3">
        <v>0</v>
      </c>
      <c r="AN278" s="3">
        <v>0</v>
      </c>
      <c r="AO278" s="3">
        <v>0</v>
      </c>
      <c r="AP278" s="3">
        <v>70</v>
      </c>
      <c r="AR278" t="str">
        <f t="shared" si="58"/>
        <v>0000000000000</v>
      </c>
      <c r="AT278" t="str">
        <f>T("9791166068027")</f>
        <v>9791166068027</v>
      </c>
      <c r="AV278" t="str">
        <f>T("웹툰 &gt; 해외 순정")</f>
        <v>웹툰 &gt; 해외 순정</v>
      </c>
      <c r="AW278" t="str">
        <f>T("웹툰 &gt; 로맨스")</f>
        <v>웹툰 &gt; 로맨스</v>
      </c>
    </row>
    <row r="279" spans="1:49" x14ac:dyDescent="0.4">
      <c r="A279">
        <v>4421001568</v>
      </c>
      <c r="B279">
        <v>4421001570</v>
      </c>
      <c r="C279" t="str">
        <f>T("구름의 연인 3화")</f>
        <v>구름의 연인 3화</v>
      </c>
      <c r="D279" t="str">
        <f>T("3")</f>
        <v>3</v>
      </c>
      <c r="E279" t="str">
        <f>T("웹티")</f>
        <v>웹티</v>
      </c>
      <c r="H279" t="str">
        <f t="shared" si="57"/>
        <v>스토리위즈</v>
      </c>
      <c r="I279" t="str">
        <f>T("구름의 연인")</f>
        <v>구름의 연인</v>
      </c>
      <c r="J279">
        <v>0</v>
      </c>
      <c r="K279">
        <v>0</v>
      </c>
      <c r="L279">
        <v>0</v>
      </c>
      <c r="M279">
        <v>2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 s="3">
        <v>0</v>
      </c>
      <c r="AH279" s="3">
        <v>2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R279" t="str">
        <f t="shared" si="58"/>
        <v>0000000000000</v>
      </c>
      <c r="AT279" t="str">
        <f>T("9791196402730")</f>
        <v>9791196402730</v>
      </c>
      <c r="AV279" t="str">
        <f>T("웹툰 &gt; 로맨스")</f>
        <v>웹툰 &gt; 로맨스</v>
      </c>
    </row>
    <row r="280" spans="1:49" x14ac:dyDescent="0.4">
      <c r="A280">
        <v>4421000916</v>
      </c>
      <c r="B280">
        <v>4421001288</v>
      </c>
      <c r="C280" t="str">
        <f>T("별빛 아래 우리 64화")</f>
        <v>별빛 아래 우리 64화</v>
      </c>
      <c r="D280" t="str">
        <f>T("64")</f>
        <v>64</v>
      </c>
      <c r="E280" t="str">
        <f>T("건일")</f>
        <v>건일</v>
      </c>
      <c r="G280" t="str">
        <f>T("건일")</f>
        <v>건일</v>
      </c>
      <c r="H280" t="str">
        <f t="shared" si="57"/>
        <v>스토리위즈</v>
      </c>
      <c r="I280" t="str">
        <f>T("별빛 아래 우리")</f>
        <v>별빛 아래 우리</v>
      </c>
      <c r="J280">
        <v>400</v>
      </c>
      <c r="K280">
        <v>0</v>
      </c>
      <c r="L280">
        <v>0</v>
      </c>
      <c r="M280">
        <v>0</v>
      </c>
      <c r="N280">
        <v>1400</v>
      </c>
      <c r="O280">
        <v>7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s="3">
        <v>1400</v>
      </c>
      <c r="AH280" s="3">
        <v>7</v>
      </c>
      <c r="AI280" s="3">
        <v>0</v>
      </c>
      <c r="AJ280" s="3">
        <v>0</v>
      </c>
      <c r="AK280" s="3">
        <v>580</v>
      </c>
      <c r="AL280" s="3">
        <v>0</v>
      </c>
      <c r="AM280" s="3">
        <v>984.01</v>
      </c>
      <c r="AN280" s="3">
        <v>-295.2</v>
      </c>
      <c r="AO280" s="3">
        <v>0</v>
      </c>
      <c r="AP280" s="3">
        <v>888.17</v>
      </c>
      <c r="AR280" t="str">
        <f t="shared" si="58"/>
        <v>0000000000000</v>
      </c>
      <c r="AT280" t="str">
        <f>T("9791137601413")</f>
        <v>9791137601413</v>
      </c>
      <c r="AV280" t="str">
        <f>T("웹툰 &gt; 해외 순정")</f>
        <v>웹툰 &gt; 해외 순정</v>
      </c>
      <c r="AW280" t="str">
        <f>T("웹툰 &gt; 로맨스")</f>
        <v>웹툰 &gt; 로맨스</v>
      </c>
    </row>
    <row r="281" spans="1:49" x14ac:dyDescent="0.4">
      <c r="A281">
        <v>4421000198</v>
      </c>
      <c r="B281">
        <v>4421001184</v>
      </c>
      <c r="C281" t="str">
        <f>T("공주전쟁 69화")</f>
        <v>공주전쟁 69화</v>
      </c>
      <c r="D281" t="str">
        <f>T("69")</f>
        <v>69</v>
      </c>
      <c r="E281" t="str">
        <f>T("Hujing")</f>
        <v>Hujing</v>
      </c>
      <c r="G281" t="str">
        <f>T("Luojie")</f>
        <v>Luojie</v>
      </c>
      <c r="H281" t="str">
        <f t="shared" si="57"/>
        <v>스토리위즈</v>
      </c>
      <c r="I281" t="str">
        <f>T("공주전쟁")</f>
        <v>공주전쟁</v>
      </c>
      <c r="J281">
        <v>400</v>
      </c>
      <c r="K281">
        <v>0</v>
      </c>
      <c r="L281">
        <v>0</v>
      </c>
      <c r="M281">
        <v>0</v>
      </c>
      <c r="N281">
        <v>400</v>
      </c>
      <c r="O281">
        <v>2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 s="3">
        <v>400</v>
      </c>
      <c r="AH281" s="3">
        <v>2</v>
      </c>
      <c r="AI281" s="3">
        <v>0</v>
      </c>
      <c r="AJ281" s="3">
        <v>0</v>
      </c>
      <c r="AK281" s="3">
        <v>200</v>
      </c>
      <c r="AL281" s="3">
        <v>0</v>
      </c>
      <c r="AM281" s="3">
        <v>240</v>
      </c>
      <c r="AN281" s="3">
        <v>-72</v>
      </c>
      <c r="AO281" s="3">
        <v>0</v>
      </c>
      <c r="AP281" s="3">
        <v>257.60000000000002</v>
      </c>
      <c r="AR281" t="str">
        <f t="shared" si="58"/>
        <v>0000000000000</v>
      </c>
      <c r="AT281" t="str">
        <f>T("9791166069666")</f>
        <v>9791166069666</v>
      </c>
      <c r="AV281" t="str">
        <f>T("웹툰 &gt; 해외 순정")</f>
        <v>웹툰 &gt; 해외 순정</v>
      </c>
      <c r="AW281" t="str">
        <f>T("웹툰 &gt; 로판")</f>
        <v>웹툰 &gt; 로판</v>
      </c>
    </row>
    <row r="282" spans="1:49" x14ac:dyDescent="0.4">
      <c r="A282">
        <v>4421000450</v>
      </c>
      <c r="B282">
        <v>4421000460</v>
      </c>
      <c r="C282" t="str">
        <f>T("내 남편의 스토커 10화")</f>
        <v>내 남편의 스토커 10화</v>
      </c>
      <c r="D282" t="str">
        <f>T("10")</f>
        <v>10</v>
      </c>
      <c r="E282" t="str">
        <f>T("혜원")</f>
        <v>혜원</v>
      </c>
      <c r="G282" t="str">
        <f>T("혜원")</f>
        <v>혜원</v>
      </c>
      <c r="H282" t="str">
        <f t="shared" si="57"/>
        <v>스토리위즈</v>
      </c>
      <c r="I282" t="str">
        <f>T("내 남편의 스토커")</f>
        <v>내 남편의 스토커</v>
      </c>
      <c r="J282">
        <v>400</v>
      </c>
      <c r="K282">
        <v>0</v>
      </c>
      <c r="L282">
        <v>0</v>
      </c>
      <c r="M282">
        <v>0</v>
      </c>
      <c r="N282">
        <v>200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 s="3">
        <v>200</v>
      </c>
      <c r="AH282" s="3">
        <v>1</v>
      </c>
      <c r="AI282" s="3">
        <v>0</v>
      </c>
      <c r="AJ282" s="3">
        <v>0</v>
      </c>
      <c r="AK282" s="3">
        <v>200</v>
      </c>
      <c r="AL282" s="3">
        <v>0</v>
      </c>
      <c r="AM282" s="3">
        <v>0</v>
      </c>
      <c r="AN282" s="3">
        <v>0</v>
      </c>
      <c r="AO282" s="3">
        <v>0</v>
      </c>
      <c r="AP282" s="3">
        <v>140</v>
      </c>
      <c r="AR282" t="str">
        <f t="shared" si="58"/>
        <v>0000000000000</v>
      </c>
      <c r="AT282" t="str">
        <f>T("9791166068034")</f>
        <v>9791166068034</v>
      </c>
      <c r="AV282" t="str">
        <f>T("웹툰 &gt; 로맨스")</f>
        <v>웹툰 &gt; 로맨스</v>
      </c>
    </row>
    <row r="283" spans="1:49" x14ac:dyDescent="0.4">
      <c r="A283">
        <v>4421000198</v>
      </c>
      <c r="B283">
        <v>4421000235</v>
      </c>
      <c r="C283" t="str">
        <f>T("공주전쟁 38화")</f>
        <v>공주전쟁 38화</v>
      </c>
      <c r="D283" t="str">
        <f>T("38")</f>
        <v>38</v>
      </c>
      <c r="E283" t="str">
        <f>T("Hujing")</f>
        <v>Hujing</v>
      </c>
      <c r="G283" t="str">
        <f>T("Luojie")</f>
        <v>Luojie</v>
      </c>
      <c r="H283" t="str">
        <f t="shared" si="57"/>
        <v>스토리위즈</v>
      </c>
      <c r="I283" t="str">
        <f>T("공주전쟁")</f>
        <v>공주전쟁</v>
      </c>
      <c r="J283">
        <v>400</v>
      </c>
      <c r="K283">
        <v>0</v>
      </c>
      <c r="L283">
        <v>0</v>
      </c>
      <c r="M283">
        <v>0</v>
      </c>
      <c r="N283">
        <v>600</v>
      </c>
      <c r="O283">
        <v>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 s="3">
        <v>600</v>
      </c>
      <c r="AH283" s="3">
        <v>3</v>
      </c>
      <c r="AI283" s="3">
        <v>0</v>
      </c>
      <c r="AJ283" s="3">
        <v>0</v>
      </c>
      <c r="AK283" s="3">
        <v>400</v>
      </c>
      <c r="AL283" s="3">
        <v>0</v>
      </c>
      <c r="AM283" s="3">
        <v>240</v>
      </c>
      <c r="AN283" s="3">
        <v>-72</v>
      </c>
      <c r="AO283" s="3">
        <v>0</v>
      </c>
      <c r="AP283" s="3">
        <v>397.6</v>
      </c>
      <c r="AR283" t="str">
        <f t="shared" si="58"/>
        <v>0000000000000</v>
      </c>
      <c r="AT283" t="str">
        <f>T("9791166069666")</f>
        <v>9791166069666</v>
      </c>
      <c r="AV283" t="str">
        <f>T("웹툰 &gt; 해외 순정")</f>
        <v>웹툰 &gt; 해외 순정</v>
      </c>
      <c r="AW283" t="str">
        <f>T("웹툰 &gt; 로판")</f>
        <v>웹툰 &gt; 로판</v>
      </c>
    </row>
    <row r="284" spans="1:49" x14ac:dyDescent="0.4">
      <c r="A284">
        <v>4421001886</v>
      </c>
      <c r="B284">
        <v>4421001888</v>
      </c>
      <c r="C284" t="str">
        <f>T("바람의 전설 3화")</f>
        <v>바람의 전설 3화</v>
      </c>
      <c r="D284" t="str">
        <f>T("3")</f>
        <v>3</v>
      </c>
      <c r="E284" t="str">
        <f>T("웹티")</f>
        <v>웹티</v>
      </c>
      <c r="H284" t="str">
        <f t="shared" si="57"/>
        <v>스토리위즈</v>
      </c>
      <c r="I284" t="str">
        <f>T("바람의 전설")</f>
        <v>바람의 전설</v>
      </c>
      <c r="J284">
        <v>0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 s="3">
        <v>0</v>
      </c>
      <c r="AH284" s="3">
        <v>1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T284" t="str">
        <f>T("9791190622042")</f>
        <v>9791190622042</v>
      </c>
      <c r="AV284" t="str">
        <f>T("웹툰 &gt; 액션/무협")</f>
        <v>웹툰 &gt; 액션/무협</v>
      </c>
    </row>
    <row r="285" spans="1:49" x14ac:dyDescent="0.4">
      <c r="A285">
        <v>4421001936</v>
      </c>
      <c r="B285">
        <v>4421001951</v>
      </c>
      <c r="C285" t="str">
        <f>T("보스 오빠, 살살! 16화")</f>
        <v>보스 오빠, 살살! 16화</v>
      </c>
      <c r="D285" t="str">
        <f>T("16")</f>
        <v>16</v>
      </c>
      <c r="E285" t="str">
        <f>T("웹티")</f>
        <v>웹티</v>
      </c>
      <c r="H285" t="str">
        <f t="shared" si="57"/>
        <v>스토리위즈</v>
      </c>
      <c r="I285" t="str">
        <f>T("보스 오빠, 살살!")</f>
        <v>보스 오빠, 살살!</v>
      </c>
      <c r="J285">
        <v>500</v>
      </c>
      <c r="K285">
        <v>0</v>
      </c>
      <c r="L285">
        <v>0</v>
      </c>
      <c r="M285">
        <v>0</v>
      </c>
      <c r="N285">
        <v>200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 s="3">
        <v>200</v>
      </c>
      <c r="AH285" s="3">
        <v>1</v>
      </c>
      <c r="AI285" s="3">
        <v>0</v>
      </c>
      <c r="AJ285" s="3">
        <v>0</v>
      </c>
      <c r="AK285" s="3">
        <v>0</v>
      </c>
      <c r="AL285" s="3">
        <v>0</v>
      </c>
      <c r="AM285" s="3">
        <v>240</v>
      </c>
      <c r="AN285" s="3">
        <v>-72</v>
      </c>
      <c r="AO285" s="3">
        <v>0</v>
      </c>
      <c r="AP285" s="3">
        <v>117.6</v>
      </c>
      <c r="AT285" t="str">
        <f>T("9791190702331")</f>
        <v>9791190702331</v>
      </c>
      <c r="AV285" t="str">
        <f>T("웹툰 &gt; 로맨스")</f>
        <v>웹툰 &gt; 로맨스</v>
      </c>
    </row>
    <row r="286" spans="1:49" x14ac:dyDescent="0.4">
      <c r="A286">
        <v>4421000001</v>
      </c>
      <c r="B286">
        <v>4421000021</v>
      </c>
      <c r="C286" t="str">
        <f>T("감옥실험 11화")</f>
        <v>감옥실험 11화</v>
      </c>
      <c r="D286" t="str">
        <f>T("11")</f>
        <v>11</v>
      </c>
      <c r="E286" t="str">
        <f>T("Kantetsu")</f>
        <v>Kantetsu</v>
      </c>
      <c r="G286" t="str">
        <f>T("Minase Chiho")</f>
        <v>Minase Chiho</v>
      </c>
      <c r="H286" t="str">
        <f t="shared" si="57"/>
        <v>스토리위즈</v>
      </c>
      <c r="I286" t="str">
        <f>T("감옥실험")</f>
        <v>감옥실험</v>
      </c>
      <c r="J286">
        <v>500</v>
      </c>
      <c r="K286">
        <v>0</v>
      </c>
      <c r="L286">
        <v>0</v>
      </c>
      <c r="M286">
        <v>0</v>
      </c>
      <c r="N286">
        <v>1200</v>
      </c>
      <c r="O286">
        <v>4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 s="3">
        <v>1200</v>
      </c>
      <c r="AH286" s="3">
        <v>4</v>
      </c>
      <c r="AI286" s="3">
        <v>0</v>
      </c>
      <c r="AJ286" s="3">
        <v>0</v>
      </c>
      <c r="AK286" s="3">
        <v>1200</v>
      </c>
      <c r="AL286" s="3">
        <v>0</v>
      </c>
      <c r="AM286" s="3">
        <v>0</v>
      </c>
      <c r="AN286" s="3">
        <v>0</v>
      </c>
      <c r="AO286" s="3">
        <v>0</v>
      </c>
      <c r="AP286" s="3">
        <v>840</v>
      </c>
      <c r="AT286" t="str">
        <f>T("9791166069406")</f>
        <v>9791166069406</v>
      </c>
      <c r="AV286" t="str">
        <f>T("웹툰 &gt; 드라마")</f>
        <v>웹툰 &gt; 드라마</v>
      </c>
    </row>
    <row r="287" spans="1:49" x14ac:dyDescent="0.4">
      <c r="A287">
        <v>4421000518</v>
      </c>
      <c r="B287">
        <v>4421000540</v>
      </c>
      <c r="C287" t="str">
        <f>T("백스테이지 키스신 22화")</f>
        <v>백스테이지 키스신 22화</v>
      </c>
      <c r="D287" t="str">
        <f>T("22")</f>
        <v>22</v>
      </c>
      <c r="E287" t="str">
        <f>T("최도비")</f>
        <v>최도비</v>
      </c>
      <c r="G287" t="str">
        <f>T("수정과")</f>
        <v>수정과</v>
      </c>
      <c r="H287" t="str">
        <f t="shared" si="57"/>
        <v>스토리위즈</v>
      </c>
      <c r="I287" t="str">
        <f>T("백스테이지 키스신")</f>
        <v>백스테이지 키스신</v>
      </c>
      <c r="J287">
        <v>400</v>
      </c>
      <c r="K287">
        <v>0</v>
      </c>
      <c r="L287">
        <v>0</v>
      </c>
      <c r="M287">
        <v>0</v>
      </c>
      <c r="N287">
        <v>200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 s="3">
        <v>200</v>
      </c>
      <c r="AH287" s="3">
        <v>1</v>
      </c>
      <c r="AI287" s="3">
        <v>0</v>
      </c>
      <c r="AJ287" s="3">
        <v>0</v>
      </c>
      <c r="AK287" s="3">
        <v>200</v>
      </c>
      <c r="AL287" s="3">
        <v>0</v>
      </c>
      <c r="AM287" s="3">
        <v>0</v>
      </c>
      <c r="AN287" s="3">
        <v>0</v>
      </c>
      <c r="AO287" s="3">
        <v>0</v>
      </c>
      <c r="AP287" s="3">
        <v>140</v>
      </c>
      <c r="AR287" t="str">
        <f t="shared" ref="AR287:AR292" si="59">T("0000000000000")</f>
        <v>0000000000000</v>
      </c>
      <c r="AT287" t="str">
        <f>T("9791166067990")</f>
        <v>9791166067990</v>
      </c>
      <c r="AV287" t="str">
        <f>T("웹툰 &gt; 로맨스")</f>
        <v>웹툰 &gt; 로맨스</v>
      </c>
    </row>
    <row r="288" spans="1:49" x14ac:dyDescent="0.4">
      <c r="A288">
        <v>4421000866</v>
      </c>
      <c r="B288">
        <v>4421001217</v>
      </c>
      <c r="C288" t="str">
        <f>T("최애에게 들켜버렸다 51화")</f>
        <v>최애에게 들켜버렸다 51화</v>
      </c>
      <c r="D288" t="str">
        <f>T("54")</f>
        <v>54</v>
      </c>
      <c r="E288" t="str">
        <f>T("Lv")</f>
        <v>Lv</v>
      </c>
      <c r="G288" t="str">
        <f>T("Lv")</f>
        <v>Lv</v>
      </c>
      <c r="H288" t="str">
        <f t="shared" si="57"/>
        <v>스토리위즈</v>
      </c>
      <c r="I288" t="str">
        <f>T("최애에게 들켜버렸다")</f>
        <v>최애에게 들켜버렸다</v>
      </c>
      <c r="J288">
        <v>400</v>
      </c>
      <c r="K288">
        <v>0</v>
      </c>
      <c r="L288">
        <v>0</v>
      </c>
      <c r="M288">
        <v>0</v>
      </c>
      <c r="N288">
        <v>600</v>
      </c>
      <c r="O288">
        <v>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 s="3">
        <v>600</v>
      </c>
      <c r="AH288" s="3">
        <v>3</v>
      </c>
      <c r="AI288" s="3">
        <v>0</v>
      </c>
      <c r="AJ288" s="3">
        <v>0</v>
      </c>
      <c r="AK288" s="3">
        <v>424</v>
      </c>
      <c r="AL288" s="3">
        <v>0</v>
      </c>
      <c r="AM288" s="3">
        <v>211.38</v>
      </c>
      <c r="AN288" s="3">
        <v>-63.41</v>
      </c>
      <c r="AO288" s="3">
        <v>0</v>
      </c>
      <c r="AP288" s="3">
        <v>400.38</v>
      </c>
      <c r="AR288" t="str">
        <f t="shared" si="59"/>
        <v>0000000000000</v>
      </c>
      <c r="AT288" t="str">
        <f>T("9791137601253")</f>
        <v>9791137601253</v>
      </c>
      <c r="AV288" t="str">
        <f>T("웹툰 &gt; 해외 순정")</f>
        <v>웹툰 &gt; 해외 순정</v>
      </c>
      <c r="AW288" t="str">
        <f>T("웹툰 &gt; 로맨스")</f>
        <v>웹툰 &gt; 로맨스</v>
      </c>
    </row>
    <row r="289" spans="1:49" x14ac:dyDescent="0.4">
      <c r="A289">
        <v>4421000450</v>
      </c>
      <c r="B289">
        <v>4421000500</v>
      </c>
      <c r="C289" t="str">
        <f>T("내 남편의 스토커 50화")</f>
        <v>내 남편의 스토커 50화</v>
      </c>
      <c r="D289" t="str">
        <f>T("50")</f>
        <v>50</v>
      </c>
      <c r="E289" t="str">
        <f>T("혜원")</f>
        <v>혜원</v>
      </c>
      <c r="G289" t="str">
        <f>T("혜원")</f>
        <v>혜원</v>
      </c>
      <c r="H289" t="str">
        <f t="shared" si="57"/>
        <v>스토리위즈</v>
      </c>
      <c r="I289" t="str">
        <f>T("내 남편의 스토커")</f>
        <v>내 남편의 스토커</v>
      </c>
      <c r="J289">
        <v>400</v>
      </c>
      <c r="K289">
        <v>0</v>
      </c>
      <c r="L289">
        <v>0</v>
      </c>
      <c r="M289">
        <v>0</v>
      </c>
      <c r="N289">
        <v>200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 s="3">
        <v>200</v>
      </c>
      <c r="AH289" s="3">
        <v>1</v>
      </c>
      <c r="AI289" s="3">
        <v>0</v>
      </c>
      <c r="AJ289" s="3">
        <v>0</v>
      </c>
      <c r="AK289" s="3">
        <v>200</v>
      </c>
      <c r="AL289" s="3">
        <v>0</v>
      </c>
      <c r="AM289" s="3">
        <v>0</v>
      </c>
      <c r="AN289" s="3">
        <v>0</v>
      </c>
      <c r="AO289" s="3">
        <v>0</v>
      </c>
      <c r="AP289" s="3">
        <v>140</v>
      </c>
      <c r="AR289" t="str">
        <f t="shared" si="59"/>
        <v>0000000000000</v>
      </c>
      <c r="AT289" t="str">
        <f>T("9791166068034")</f>
        <v>9791166068034</v>
      </c>
      <c r="AV289" t="str">
        <f>T("웹툰 &gt; 로맨스")</f>
        <v>웹툰 &gt; 로맨스</v>
      </c>
    </row>
    <row r="290" spans="1:49" x14ac:dyDescent="0.4">
      <c r="A290">
        <v>4421000337</v>
      </c>
      <c r="B290">
        <v>4421000340</v>
      </c>
      <c r="C290" t="str">
        <f>T("계약연애, 오늘부터 1일 4화")</f>
        <v>계약연애, 오늘부터 1일 4화</v>
      </c>
      <c r="D290" t="str">
        <f>T("4")</f>
        <v>4</v>
      </c>
      <c r="E290" t="str">
        <f>T("원기공장")</f>
        <v>원기공장</v>
      </c>
      <c r="H290" t="str">
        <f t="shared" si="57"/>
        <v>스토리위즈</v>
      </c>
      <c r="I290" t="str">
        <f>T("계약연애, 오늘부터 1일")</f>
        <v>계약연애, 오늘부터 1일</v>
      </c>
      <c r="J290">
        <v>200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 s="3">
        <v>0</v>
      </c>
      <c r="AH290" s="3">
        <v>8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R290" t="str">
        <f t="shared" si="59"/>
        <v>0000000000000</v>
      </c>
      <c r="AT290" t="str">
        <f>T("9791166068027")</f>
        <v>9791166068027</v>
      </c>
      <c r="AV290" t="str">
        <f>T("웹툰 &gt; 해외 순정")</f>
        <v>웹툰 &gt; 해외 순정</v>
      </c>
      <c r="AW290" t="str">
        <f>T("웹툰 &gt; 로맨스")</f>
        <v>웹툰 &gt; 로맨스</v>
      </c>
    </row>
    <row r="291" spans="1:49" x14ac:dyDescent="0.4">
      <c r="A291">
        <v>4421000887</v>
      </c>
      <c r="B291">
        <v>4421000899</v>
      </c>
      <c r="C291" t="str">
        <f>T("폭군의 눈물 13화")</f>
        <v>폭군의 눈물 13화</v>
      </c>
      <c r="D291" t="str">
        <f>T("13")</f>
        <v>13</v>
      </c>
      <c r="E291" t="str">
        <f>T("Ice×FANFAN COMIC")</f>
        <v>Ice×FANFAN COMIC</v>
      </c>
      <c r="G291" t="str">
        <f>T("Ice×FANFAN COMIC")</f>
        <v>Ice×FANFAN COMIC</v>
      </c>
      <c r="H291" t="str">
        <f t="shared" si="57"/>
        <v>스토리위즈</v>
      </c>
      <c r="I291" t="str">
        <f>T("폭군의 눈물")</f>
        <v>폭군의 눈물</v>
      </c>
      <c r="J291">
        <v>400</v>
      </c>
      <c r="K291">
        <v>0</v>
      </c>
      <c r="L291">
        <v>0</v>
      </c>
      <c r="M291">
        <v>0</v>
      </c>
      <c r="N291">
        <v>600</v>
      </c>
      <c r="O291">
        <v>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 s="3">
        <v>600</v>
      </c>
      <c r="AH291" s="3">
        <v>3</v>
      </c>
      <c r="AI291" s="3">
        <v>0</v>
      </c>
      <c r="AJ291" s="3">
        <v>0</v>
      </c>
      <c r="AK291" s="3">
        <v>400</v>
      </c>
      <c r="AL291" s="3">
        <v>0</v>
      </c>
      <c r="AM291" s="3">
        <v>240</v>
      </c>
      <c r="AN291" s="3">
        <v>-72</v>
      </c>
      <c r="AO291" s="3">
        <v>0</v>
      </c>
      <c r="AP291" s="3">
        <v>397.6</v>
      </c>
      <c r="AR291" t="str">
        <f t="shared" si="59"/>
        <v>0000000000000</v>
      </c>
      <c r="AT291" t="str">
        <f>T("9791137601291")</f>
        <v>9791137601291</v>
      </c>
      <c r="AV291" t="str">
        <f>T("웹툰 &gt; 해외 순정")</f>
        <v>웹툰 &gt; 해외 순정</v>
      </c>
      <c r="AW291" t="str">
        <f>T("웹툰 &gt; 로판")</f>
        <v>웹툰 &gt; 로판</v>
      </c>
    </row>
    <row r="292" spans="1:49" x14ac:dyDescent="0.4">
      <c r="A292">
        <v>4421002305</v>
      </c>
      <c r="B292">
        <v>4421002307</v>
      </c>
      <c r="C292" t="str">
        <f>T("천년의 사랑 2화")</f>
        <v>천년의 사랑 2화</v>
      </c>
      <c r="D292" t="str">
        <f>T("2")</f>
        <v>2</v>
      </c>
      <c r="E292" t="str">
        <f>T("웹티")</f>
        <v>웹티</v>
      </c>
      <c r="H292" t="str">
        <f t="shared" si="57"/>
        <v>스토리위즈</v>
      </c>
      <c r="I292" t="str">
        <f>T("천년의 사랑")</f>
        <v>천년의 사랑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 s="3">
        <v>0</v>
      </c>
      <c r="AH292" s="3">
        <v>1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R292" t="str">
        <f t="shared" si="59"/>
        <v>0000000000000</v>
      </c>
      <c r="AT292" t="str">
        <f>T("9791190622011")</f>
        <v>9791190622011</v>
      </c>
      <c r="AV292" t="str">
        <f>T("웹툰 &gt; 로맨스")</f>
        <v>웹툰 &gt; 로맨스</v>
      </c>
    </row>
    <row r="293" spans="1:49" x14ac:dyDescent="0.4">
      <c r="A293">
        <v>4421000001</v>
      </c>
      <c r="B293">
        <v>4421000053</v>
      </c>
      <c r="C293" t="str">
        <f>T("감옥실험 33화")</f>
        <v>감옥실험 33화</v>
      </c>
      <c r="D293" t="str">
        <f>T("33")</f>
        <v>33</v>
      </c>
      <c r="E293" t="str">
        <f>T("Kantetsu")</f>
        <v>Kantetsu</v>
      </c>
      <c r="G293" t="str">
        <f>T("Minase Chiho")</f>
        <v>Minase Chiho</v>
      </c>
      <c r="H293" t="str">
        <f t="shared" si="57"/>
        <v>스토리위즈</v>
      </c>
      <c r="I293" t="str">
        <f>T("감옥실험")</f>
        <v>감옥실험</v>
      </c>
      <c r="J293">
        <v>500</v>
      </c>
      <c r="K293">
        <v>0</v>
      </c>
      <c r="L293">
        <v>0</v>
      </c>
      <c r="M293">
        <v>0</v>
      </c>
      <c r="N293">
        <v>900</v>
      </c>
      <c r="O293">
        <v>3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 s="3">
        <v>900</v>
      </c>
      <c r="AH293" s="3">
        <v>3</v>
      </c>
      <c r="AI293" s="3">
        <v>0</v>
      </c>
      <c r="AJ293" s="3">
        <v>0</v>
      </c>
      <c r="AK293" s="3">
        <v>606</v>
      </c>
      <c r="AL293" s="3">
        <v>0</v>
      </c>
      <c r="AM293" s="3">
        <v>352.8</v>
      </c>
      <c r="AN293" s="3">
        <v>-105.84</v>
      </c>
      <c r="AO293" s="3">
        <v>0</v>
      </c>
      <c r="AP293" s="3">
        <v>597.07000000000005</v>
      </c>
      <c r="AT293" t="str">
        <f>T("9791166069406")</f>
        <v>9791166069406</v>
      </c>
      <c r="AV293" t="str">
        <f>T("웹툰 &gt; 드라마")</f>
        <v>웹툰 &gt; 드라마</v>
      </c>
    </row>
    <row r="294" spans="1:49" x14ac:dyDescent="0.4">
      <c r="A294">
        <v>4421000742</v>
      </c>
      <c r="B294">
        <v>4421000743</v>
      </c>
      <c r="C294" t="str">
        <f>T("연애 2분의 1 2화")</f>
        <v>연애 2분의 1 2화</v>
      </c>
      <c r="D294" t="str">
        <f>T("2")</f>
        <v>2</v>
      </c>
      <c r="E294" t="str">
        <f>T("Zhupi&amp;Yangxuetu")</f>
        <v>Zhupi&amp;Yangxuetu</v>
      </c>
      <c r="H294" t="str">
        <f t="shared" si="57"/>
        <v>스토리위즈</v>
      </c>
      <c r="I294" t="str">
        <f>T("연애 2분의 1")</f>
        <v>연애 2분의 1</v>
      </c>
      <c r="J294">
        <v>200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 s="3">
        <v>0</v>
      </c>
      <c r="AH294" s="3">
        <v>1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R294" t="str">
        <f t="shared" ref="AR294:AR305" si="60">T("0000000000000")</f>
        <v>0000000000000</v>
      </c>
      <c r="AT294" t="str">
        <f>T("9791166067891")</f>
        <v>9791166067891</v>
      </c>
      <c r="AV294" t="str">
        <f>T("웹툰 &gt; 해외 순정")</f>
        <v>웹툰 &gt; 해외 순정</v>
      </c>
      <c r="AW294" t="str">
        <f>T("웹툰 &gt; 로맨스")</f>
        <v>웹툰 &gt; 로맨스</v>
      </c>
    </row>
    <row r="295" spans="1:49" x14ac:dyDescent="0.4">
      <c r="A295">
        <v>4421000198</v>
      </c>
      <c r="B295">
        <v>4421001251</v>
      </c>
      <c r="C295" t="str">
        <f>T("공주전쟁 80화")</f>
        <v>공주전쟁 80화</v>
      </c>
      <c r="D295" t="str">
        <f>T("80")</f>
        <v>80</v>
      </c>
      <c r="E295" t="str">
        <f>T("Hujing")</f>
        <v>Hujing</v>
      </c>
      <c r="G295" t="str">
        <f>T("Luojie")</f>
        <v>Luojie</v>
      </c>
      <c r="H295" t="str">
        <f t="shared" si="57"/>
        <v>스토리위즈</v>
      </c>
      <c r="I295" t="str">
        <f>T("공주전쟁")</f>
        <v>공주전쟁</v>
      </c>
      <c r="J295">
        <v>400</v>
      </c>
      <c r="K295">
        <v>0</v>
      </c>
      <c r="L295">
        <v>0</v>
      </c>
      <c r="M295">
        <v>0</v>
      </c>
      <c r="N295">
        <v>200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 s="3">
        <v>200</v>
      </c>
      <c r="AH295" s="3">
        <v>1</v>
      </c>
      <c r="AI295" s="3">
        <v>0</v>
      </c>
      <c r="AJ295" s="3">
        <v>0</v>
      </c>
      <c r="AK295" s="3">
        <v>0</v>
      </c>
      <c r="AL295" s="3">
        <v>0</v>
      </c>
      <c r="AM295" s="3">
        <v>240</v>
      </c>
      <c r="AN295" s="3">
        <v>-72</v>
      </c>
      <c r="AO295" s="3">
        <v>0</v>
      </c>
      <c r="AP295" s="3">
        <v>117.6</v>
      </c>
      <c r="AR295" t="str">
        <f t="shared" si="60"/>
        <v>0000000000000</v>
      </c>
      <c r="AT295" t="str">
        <f>T("9791166069666")</f>
        <v>9791166069666</v>
      </c>
      <c r="AV295" t="str">
        <f>T("웹툰 &gt; 해외 순정")</f>
        <v>웹툰 &gt; 해외 순정</v>
      </c>
      <c r="AW295" t="str">
        <f>T("웹툰 &gt; 로판")</f>
        <v>웹툰 &gt; 로판</v>
      </c>
    </row>
    <row r="296" spans="1:49" x14ac:dyDescent="0.4">
      <c r="A296">
        <v>4421000069</v>
      </c>
      <c r="B296">
        <v>4421000093</v>
      </c>
      <c r="C296" t="str">
        <f>T("너랑 나랑 하면 24화")</f>
        <v>너랑 나랑 하면 24화</v>
      </c>
      <c r="D296" t="str">
        <f>T("24")</f>
        <v>24</v>
      </c>
      <c r="E296" t="str">
        <f>T("NISANSUI")</f>
        <v>NISANSUI</v>
      </c>
      <c r="G296" t="str">
        <f>T("ZIQUAN")</f>
        <v>ZIQUAN</v>
      </c>
      <c r="H296" t="str">
        <f t="shared" si="57"/>
        <v>스토리위즈</v>
      </c>
      <c r="I296" t="str">
        <f>T("너랑 나랑 하면")</f>
        <v>너랑 나랑 하면</v>
      </c>
      <c r="J296">
        <v>400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 s="3">
        <v>0</v>
      </c>
      <c r="AH296" s="3">
        <v>3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R296" t="str">
        <f t="shared" si="60"/>
        <v>0000000000000</v>
      </c>
      <c r="AT296" t="str">
        <f>T("9791166067884")</f>
        <v>9791166067884</v>
      </c>
      <c r="AV296" t="str">
        <f>T("BL 웹툰 &gt; 웹툰")</f>
        <v>BL 웹툰 &gt; 웹툰</v>
      </c>
    </row>
    <row r="297" spans="1:49" x14ac:dyDescent="0.4">
      <c r="A297">
        <v>4421001340</v>
      </c>
      <c r="B297">
        <v>4421001528</v>
      </c>
      <c r="C297" t="str">
        <f>T("가출천사 육성계약 38화")</f>
        <v>가출천사 육성계약 38화</v>
      </c>
      <c r="D297" t="str">
        <f>T("38")</f>
        <v>38</v>
      </c>
      <c r="E297" t="str">
        <f>T("Bae.C, IIAKI, 박제후")</f>
        <v>Bae.C, IIAKI, 박제후</v>
      </c>
      <c r="G297" t="str">
        <f>T("Bae.C, 조우")</f>
        <v>Bae.C, 조우</v>
      </c>
      <c r="H297" t="str">
        <f t="shared" si="57"/>
        <v>스토리위즈</v>
      </c>
      <c r="I297" t="str">
        <f>T("가출천사 육성계약")</f>
        <v>가출천사 육성계약</v>
      </c>
      <c r="J297">
        <v>400</v>
      </c>
      <c r="K297">
        <v>0</v>
      </c>
      <c r="L297">
        <v>0</v>
      </c>
      <c r="M297">
        <v>0</v>
      </c>
      <c r="N297">
        <v>200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 s="3">
        <v>200</v>
      </c>
      <c r="AH297" s="3">
        <v>1</v>
      </c>
      <c r="AI297" s="3">
        <v>0</v>
      </c>
      <c r="AJ297" s="3">
        <v>0</v>
      </c>
      <c r="AK297" s="3">
        <v>200</v>
      </c>
      <c r="AL297" s="3">
        <v>0</v>
      </c>
      <c r="AM297" s="3">
        <v>0</v>
      </c>
      <c r="AN297" s="3">
        <v>0</v>
      </c>
      <c r="AO297" s="3">
        <v>0</v>
      </c>
      <c r="AP297" s="3">
        <v>140</v>
      </c>
      <c r="AR297" t="str">
        <f t="shared" si="60"/>
        <v>0000000000000</v>
      </c>
      <c r="AT297" t="str">
        <f>T("9791191765663")</f>
        <v>9791191765663</v>
      </c>
      <c r="AV297" t="str">
        <f>T("웹툰 &gt; 판타지/SF")</f>
        <v>웹툰 &gt; 판타지/SF</v>
      </c>
    </row>
    <row r="298" spans="1:49" x14ac:dyDescent="0.4">
      <c r="A298">
        <v>4421001340</v>
      </c>
      <c r="B298">
        <v>4421001368</v>
      </c>
      <c r="C298" t="str">
        <f>T("가출천사 육성계약 29화")</f>
        <v>가출천사 육성계약 29화</v>
      </c>
      <c r="D298" t="str">
        <f>T("29")</f>
        <v>29</v>
      </c>
      <c r="E298" t="str">
        <f>T("Bae.C, IIAKI, 박제후")</f>
        <v>Bae.C, IIAKI, 박제후</v>
      </c>
      <c r="G298" t="str">
        <f>T("Bae.C, 조우")</f>
        <v>Bae.C, 조우</v>
      </c>
      <c r="H298" t="str">
        <f t="shared" si="57"/>
        <v>스토리위즈</v>
      </c>
      <c r="I298" t="str">
        <f>T("가출천사 육성계약")</f>
        <v>가출천사 육성계약</v>
      </c>
      <c r="J298">
        <v>400</v>
      </c>
      <c r="K298">
        <v>0</v>
      </c>
      <c r="L298">
        <v>0</v>
      </c>
      <c r="M298">
        <v>0</v>
      </c>
      <c r="N298">
        <v>200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 s="3">
        <v>200</v>
      </c>
      <c r="AH298" s="3">
        <v>1</v>
      </c>
      <c r="AI298" s="3">
        <v>0</v>
      </c>
      <c r="AJ298" s="3">
        <v>0</v>
      </c>
      <c r="AK298" s="3">
        <v>200</v>
      </c>
      <c r="AL298" s="3">
        <v>0</v>
      </c>
      <c r="AM298" s="3">
        <v>0</v>
      </c>
      <c r="AN298" s="3">
        <v>0</v>
      </c>
      <c r="AO298" s="3">
        <v>0</v>
      </c>
      <c r="AP298" s="3">
        <v>140</v>
      </c>
      <c r="AR298" t="str">
        <f t="shared" si="60"/>
        <v>0000000000000</v>
      </c>
      <c r="AT298" t="str">
        <f>T("9791191765663")</f>
        <v>9791191765663</v>
      </c>
      <c r="AV298" t="str">
        <f>T("웹툰 &gt; 판타지/SF")</f>
        <v>웹툰 &gt; 판타지/SF</v>
      </c>
    </row>
    <row r="299" spans="1:49" x14ac:dyDescent="0.4">
      <c r="A299">
        <v>4421000337</v>
      </c>
      <c r="B299">
        <v>4421000428</v>
      </c>
      <c r="C299" t="str">
        <f>T("계약연애, 오늘부터 1일 92화")</f>
        <v>계약연애, 오늘부터 1일 92화</v>
      </c>
      <c r="D299" t="str">
        <f>T("92")</f>
        <v>92</v>
      </c>
      <c r="E299" t="str">
        <f>T("원기공장")</f>
        <v>원기공장</v>
      </c>
      <c r="H299" t="str">
        <f t="shared" si="57"/>
        <v>스토리위즈</v>
      </c>
      <c r="I299" t="str">
        <f>T("계약연애, 오늘부터 1일")</f>
        <v>계약연애, 오늘부터 1일</v>
      </c>
      <c r="J299">
        <v>200</v>
      </c>
      <c r="K299">
        <v>0</v>
      </c>
      <c r="L299">
        <v>0</v>
      </c>
      <c r="M299">
        <v>0</v>
      </c>
      <c r="N299">
        <v>100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 s="3">
        <v>100</v>
      </c>
      <c r="AH299" s="3">
        <v>1</v>
      </c>
      <c r="AI299" s="3">
        <v>0</v>
      </c>
      <c r="AJ299" s="3">
        <v>0</v>
      </c>
      <c r="AK299" s="3">
        <v>100</v>
      </c>
      <c r="AL299" s="3">
        <v>0</v>
      </c>
      <c r="AM299" s="3">
        <v>0</v>
      </c>
      <c r="AN299" s="3">
        <v>0</v>
      </c>
      <c r="AO299" s="3">
        <v>0</v>
      </c>
      <c r="AP299" s="3">
        <v>70</v>
      </c>
      <c r="AR299" t="str">
        <f t="shared" si="60"/>
        <v>0000000000000</v>
      </c>
      <c r="AT299" t="str">
        <f>T("9791166068027")</f>
        <v>9791166068027</v>
      </c>
      <c r="AV299" t="str">
        <f>T("웹툰 &gt; 해외 순정")</f>
        <v>웹툰 &gt; 해외 순정</v>
      </c>
      <c r="AW299" t="str">
        <f>T("웹툰 &gt; 로맨스")</f>
        <v>웹툰 &gt; 로맨스</v>
      </c>
    </row>
    <row r="300" spans="1:49" x14ac:dyDescent="0.4">
      <c r="A300">
        <v>4421000916</v>
      </c>
      <c r="B300">
        <v>4421000931</v>
      </c>
      <c r="C300" t="str">
        <f>T("별빛 아래 우리 16화")</f>
        <v>별빛 아래 우리 16화</v>
      </c>
      <c r="D300" t="str">
        <f>T("16")</f>
        <v>16</v>
      </c>
      <c r="E300" t="str">
        <f>T("건일")</f>
        <v>건일</v>
      </c>
      <c r="G300" t="str">
        <f>T("건일")</f>
        <v>건일</v>
      </c>
      <c r="H300" t="str">
        <f t="shared" si="57"/>
        <v>스토리위즈</v>
      </c>
      <c r="I300" t="str">
        <f>T("별빛 아래 우리")</f>
        <v>별빛 아래 우리</v>
      </c>
      <c r="J300">
        <v>400</v>
      </c>
      <c r="K300">
        <v>0</v>
      </c>
      <c r="L300">
        <v>0</v>
      </c>
      <c r="M300">
        <v>0</v>
      </c>
      <c r="N300">
        <v>1800</v>
      </c>
      <c r="O300">
        <v>9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 s="3">
        <v>1800</v>
      </c>
      <c r="AH300" s="3">
        <v>9</v>
      </c>
      <c r="AI300" s="3">
        <v>0</v>
      </c>
      <c r="AJ300" s="3">
        <v>0</v>
      </c>
      <c r="AK300" s="3">
        <v>400</v>
      </c>
      <c r="AL300" s="3">
        <v>0</v>
      </c>
      <c r="AM300" s="3">
        <v>1681.02</v>
      </c>
      <c r="AN300" s="3">
        <v>-504.31</v>
      </c>
      <c r="AO300" s="3">
        <v>0</v>
      </c>
      <c r="AP300" s="3">
        <v>1103.7</v>
      </c>
      <c r="AR300" t="str">
        <f t="shared" si="60"/>
        <v>0000000000000</v>
      </c>
      <c r="AT300" t="str">
        <f>T("9791137601413")</f>
        <v>9791137601413</v>
      </c>
      <c r="AV300" t="str">
        <f>T("웹툰 &gt; 해외 순정")</f>
        <v>웹툰 &gt; 해외 순정</v>
      </c>
      <c r="AW300" t="str">
        <f>T("웹툰 &gt; 로맨스")</f>
        <v>웹툰 &gt; 로맨스</v>
      </c>
    </row>
    <row r="301" spans="1:49" x14ac:dyDescent="0.4">
      <c r="A301">
        <v>4421001734</v>
      </c>
      <c r="B301">
        <v>4421001735</v>
      </c>
      <c r="C301" t="str">
        <f>T("이웃집 아이돌 2화")</f>
        <v>이웃집 아이돌 2화</v>
      </c>
      <c r="D301" t="str">
        <f>T("2")</f>
        <v>2</v>
      </c>
      <c r="E301" t="str">
        <f>T("웹티")</f>
        <v>웹티</v>
      </c>
      <c r="H301" t="str">
        <f t="shared" si="57"/>
        <v>스토리위즈</v>
      </c>
      <c r="I301" t="str">
        <f>T("이웃집 아이돌")</f>
        <v>이웃집 아이돌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 s="3">
        <v>0</v>
      </c>
      <c r="AH301" s="3">
        <v>1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R301" t="str">
        <f t="shared" si="60"/>
        <v>0000000000000</v>
      </c>
      <c r="AT301" t="str">
        <f>T("9791196660499")</f>
        <v>9791196660499</v>
      </c>
      <c r="AV301" t="str">
        <f>T("웹툰 &gt; 로맨스")</f>
        <v>웹툰 &gt; 로맨스</v>
      </c>
    </row>
    <row r="302" spans="1:49" x14ac:dyDescent="0.4">
      <c r="A302">
        <v>4421000916</v>
      </c>
      <c r="B302">
        <v>4421001210</v>
      </c>
      <c r="C302" t="str">
        <f>T("별빛 아래 우리 47화")</f>
        <v>별빛 아래 우리 47화</v>
      </c>
      <c r="D302" t="str">
        <f>T("47")</f>
        <v>47</v>
      </c>
      <c r="E302" t="str">
        <f>T("건일")</f>
        <v>건일</v>
      </c>
      <c r="G302" t="str">
        <f>T("건일")</f>
        <v>건일</v>
      </c>
      <c r="H302" t="str">
        <f t="shared" si="57"/>
        <v>스토리위즈</v>
      </c>
      <c r="I302" t="str">
        <f>T("별빛 아래 우리")</f>
        <v>별빛 아래 우리</v>
      </c>
      <c r="J302">
        <v>400</v>
      </c>
      <c r="K302">
        <v>0</v>
      </c>
      <c r="L302">
        <v>0</v>
      </c>
      <c r="M302">
        <v>0</v>
      </c>
      <c r="N302">
        <v>800</v>
      </c>
      <c r="O302">
        <v>4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 s="3">
        <v>800</v>
      </c>
      <c r="AH302" s="3">
        <v>4</v>
      </c>
      <c r="AI302" s="3">
        <v>0</v>
      </c>
      <c r="AJ302" s="3">
        <v>0</v>
      </c>
      <c r="AK302" s="3">
        <v>379</v>
      </c>
      <c r="AL302" s="3">
        <v>0</v>
      </c>
      <c r="AM302" s="3">
        <v>505.2</v>
      </c>
      <c r="AN302" s="3">
        <v>-151.56</v>
      </c>
      <c r="AO302" s="3">
        <v>0</v>
      </c>
      <c r="AP302" s="3">
        <v>512.85</v>
      </c>
      <c r="AR302" t="str">
        <f t="shared" si="60"/>
        <v>0000000000000</v>
      </c>
      <c r="AT302" t="str">
        <f>T("9791137601413")</f>
        <v>9791137601413</v>
      </c>
      <c r="AV302" t="str">
        <f>T("웹툰 &gt; 해외 순정")</f>
        <v>웹툰 &gt; 해외 순정</v>
      </c>
      <c r="AW302" t="str">
        <f>T("웹툰 &gt; 로맨스")</f>
        <v>웹툰 &gt; 로맨스</v>
      </c>
    </row>
    <row r="303" spans="1:49" x14ac:dyDescent="0.4">
      <c r="A303">
        <v>4421000450</v>
      </c>
      <c r="B303">
        <v>4421000493</v>
      </c>
      <c r="C303" t="str">
        <f>T("내 남편의 스토커 43화")</f>
        <v>내 남편의 스토커 43화</v>
      </c>
      <c r="D303" t="str">
        <f>T("43")</f>
        <v>43</v>
      </c>
      <c r="E303" t="str">
        <f>T("혜원")</f>
        <v>혜원</v>
      </c>
      <c r="G303" t="str">
        <f>T("혜원")</f>
        <v>혜원</v>
      </c>
      <c r="H303" t="str">
        <f t="shared" si="57"/>
        <v>스토리위즈</v>
      </c>
      <c r="I303" t="str">
        <f>T("내 남편의 스토커")</f>
        <v>내 남편의 스토커</v>
      </c>
      <c r="J303">
        <v>400</v>
      </c>
      <c r="K303">
        <v>0</v>
      </c>
      <c r="L303">
        <v>0</v>
      </c>
      <c r="M303">
        <v>0</v>
      </c>
      <c r="N303">
        <v>200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 s="3">
        <v>200</v>
      </c>
      <c r="AH303" s="3">
        <v>1</v>
      </c>
      <c r="AI303" s="3">
        <v>0</v>
      </c>
      <c r="AJ303" s="3">
        <v>0</v>
      </c>
      <c r="AK303" s="3">
        <v>200</v>
      </c>
      <c r="AL303" s="3">
        <v>0</v>
      </c>
      <c r="AM303" s="3">
        <v>0</v>
      </c>
      <c r="AN303" s="3">
        <v>0</v>
      </c>
      <c r="AO303" s="3">
        <v>0</v>
      </c>
      <c r="AP303" s="3">
        <v>140</v>
      </c>
      <c r="AR303" t="str">
        <f t="shared" si="60"/>
        <v>0000000000000</v>
      </c>
      <c r="AT303" t="str">
        <f>T("9791166068034")</f>
        <v>9791166068034</v>
      </c>
      <c r="AV303" t="str">
        <f>T("웹툰 &gt; 로맨스")</f>
        <v>웹툰 &gt; 로맨스</v>
      </c>
    </row>
    <row r="304" spans="1:49" x14ac:dyDescent="0.4">
      <c r="A304">
        <v>4421000198</v>
      </c>
      <c r="B304">
        <v>4421000260</v>
      </c>
      <c r="C304" t="str">
        <f>T("공주전쟁 52화")</f>
        <v>공주전쟁 52화</v>
      </c>
      <c r="D304" t="str">
        <f>T("52")</f>
        <v>52</v>
      </c>
      <c r="E304" t="str">
        <f>T("Hujing")</f>
        <v>Hujing</v>
      </c>
      <c r="G304" t="str">
        <f>T("Luojie")</f>
        <v>Luojie</v>
      </c>
      <c r="H304" t="str">
        <f t="shared" si="57"/>
        <v>스토리위즈</v>
      </c>
      <c r="I304" t="str">
        <f>T("공주전쟁")</f>
        <v>공주전쟁</v>
      </c>
      <c r="J304">
        <v>400</v>
      </c>
      <c r="K304">
        <v>0</v>
      </c>
      <c r="L304">
        <v>0</v>
      </c>
      <c r="M304">
        <v>0</v>
      </c>
      <c r="N304">
        <v>400</v>
      </c>
      <c r="O304">
        <v>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s="3">
        <v>400</v>
      </c>
      <c r="AH304" s="3">
        <v>2</v>
      </c>
      <c r="AI304" s="3">
        <v>0</v>
      </c>
      <c r="AJ304" s="3">
        <v>0</v>
      </c>
      <c r="AK304" s="3">
        <v>200</v>
      </c>
      <c r="AL304" s="3">
        <v>0</v>
      </c>
      <c r="AM304" s="3">
        <v>240</v>
      </c>
      <c r="AN304" s="3">
        <v>-72</v>
      </c>
      <c r="AO304" s="3">
        <v>0</v>
      </c>
      <c r="AP304" s="3">
        <v>257.60000000000002</v>
      </c>
      <c r="AR304" t="str">
        <f t="shared" si="60"/>
        <v>0000000000000</v>
      </c>
      <c r="AT304" t="str">
        <f>T("9791166069666")</f>
        <v>9791166069666</v>
      </c>
      <c r="AV304" t="str">
        <f>T("웹툰 &gt; 해외 순정")</f>
        <v>웹툰 &gt; 해외 순정</v>
      </c>
      <c r="AW304" t="str">
        <f>T("웹툰 &gt; 로판")</f>
        <v>웹툰 &gt; 로판</v>
      </c>
    </row>
    <row r="305" spans="1:49" x14ac:dyDescent="0.4">
      <c r="A305">
        <v>4421000887</v>
      </c>
      <c r="B305">
        <v>4421000892</v>
      </c>
      <c r="C305" t="str">
        <f>T("폭군의 눈물 6화")</f>
        <v>폭군의 눈물 6화</v>
      </c>
      <c r="D305" t="str">
        <f>T("6")</f>
        <v>6</v>
      </c>
      <c r="E305" t="str">
        <f>T("Ice×FANFAN COMIC")</f>
        <v>Ice×FANFAN COMIC</v>
      </c>
      <c r="G305" t="str">
        <f>T("Ice×FANFAN COMIC")</f>
        <v>Ice×FANFAN COMIC</v>
      </c>
      <c r="H305" t="str">
        <f t="shared" si="57"/>
        <v>스토리위즈</v>
      </c>
      <c r="I305" t="str">
        <f>T("폭군의 눈물")</f>
        <v>폭군의 눈물</v>
      </c>
      <c r="J305">
        <v>400</v>
      </c>
      <c r="K305">
        <v>0</v>
      </c>
      <c r="L305">
        <v>0</v>
      </c>
      <c r="M305">
        <v>0</v>
      </c>
      <c r="N305">
        <v>800</v>
      </c>
      <c r="O305">
        <v>4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 s="3">
        <v>800</v>
      </c>
      <c r="AH305" s="3">
        <v>4</v>
      </c>
      <c r="AI305" s="3">
        <v>0</v>
      </c>
      <c r="AJ305" s="3">
        <v>0</v>
      </c>
      <c r="AK305" s="3">
        <v>200</v>
      </c>
      <c r="AL305" s="3">
        <v>0</v>
      </c>
      <c r="AM305" s="3">
        <v>720</v>
      </c>
      <c r="AN305" s="3">
        <v>-216</v>
      </c>
      <c r="AO305" s="3">
        <v>0</v>
      </c>
      <c r="AP305" s="3">
        <v>492.8</v>
      </c>
      <c r="AR305" t="str">
        <f t="shared" si="60"/>
        <v>0000000000000</v>
      </c>
      <c r="AT305" t="str">
        <f>T("9791137601291")</f>
        <v>9791137601291</v>
      </c>
      <c r="AV305" t="str">
        <f>T("웹툰 &gt; 해외 순정")</f>
        <v>웹툰 &gt; 해외 순정</v>
      </c>
      <c r="AW305" t="str">
        <f>T("웹툰 &gt; 로판")</f>
        <v>웹툰 &gt; 로판</v>
      </c>
    </row>
    <row r="306" spans="1:49" x14ac:dyDescent="0.4">
      <c r="A306">
        <v>4421002205</v>
      </c>
      <c r="B306">
        <v>4421002206</v>
      </c>
      <c r="C306" t="str">
        <f>T("승부 2화")</f>
        <v>승부 2화</v>
      </c>
      <c r="D306" t="str">
        <f>T("2")</f>
        <v>2</v>
      </c>
      <c r="E306" t="str">
        <f>T("웹티")</f>
        <v>웹티</v>
      </c>
      <c r="H306" t="str">
        <f t="shared" si="57"/>
        <v>스토리위즈</v>
      </c>
      <c r="I306" t="str">
        <f>T("승부")</f>
        <v>승부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 s="3">
        <v>0</v>
      </c>
      <c r="AH306" s="3">
        <v>1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T306" t="str">
        <f>T("9791190622059")</f>
        <v>9791190622059</v>
      </c>
      <c r="AV306" t="str">
        <f>T("웹툰 &gt; 드라마")</f>
        <v>웹툰 &gt; 드라마</v>
      </c>
    </row>
    <row r="307" spans="1:49" x14ac:dyDescent="0.4">
      <c r="A307">
        <v>4421000001</v>
      </c>
      <c r="B307">
        <v>4421000046</v>
      </c>
      <c r="C307" t="str">
        <f>T("감옥실험 26화")</f>
        <v>감옥실험 26화</v>
      </c>
      <c r="D307" t="str">
        <f>T("26")</f>
        <v>26</v>
      </c>
      <c r="E307" t="str">
        <f>T("Kantetsu")</f>
        <v>Kantetsu</v>
      </c>
      <c r="G307" t="str">
        <f>T("Minase Chiho")</f>
        <v>Minase Chiho</v>
      </c>
      <c r="H307" t="str">
        <f t="shared" si="57"/>
        <v>스토리위즈</v>
      </c>
      <c r="I307" t="str">
        <f>T("감옥실험")</f>
        <v>감옥실험</v>
      </c>
      <c r="J307">
        <v>500</v>
      </c>
      <c r="K307">
        <v>0</v>
      </c>
      <c r="L307">
        <v>0</v>
      </c>
      <c r="M307">
        <v>0</v>
      </c>
      <c r="N307">
        <v>900</v>
      </c>
      <c r="O307">
        <v>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s="3">
        <v>900</v>
      </c>
      <c r="AH307" s="3">
        <v>3</v>
      </c>
      <c r="AI307" s="3">
        <v>0</v>
      </c>
      <c r="AJ307" s="3">
        <v>0</v>
      </c>
      <c r="AK307" s="3">
        <v>605</v>
      </c>
      <c r="AL307" s="3">
        <v>0</v>
      </c>
      <c r="AM307" s="3">
        <v>354</v>
      </c>
      <c r="AN307" s="3">
        <v>-106.2</v>
      </c>
      <c r="AO307" s="3">
        <v>0</v>
      </c>
      <c r="AP307" s="3">
        <v>596.96</v>
      </c>
      <c r="AT307" t="str">
        <f>T("9791166069406")</f>
        <v>9791166069406</v>
      </c>
      <c r="AV307" t="str">
        <f>T("웹툰 &gt; 드라마")</f>
        <v>웹툰 &gt; 드라마</v>
      </c>
    </row>
    <row r="308" spans="1:49" x14ac:dyDescent="0.4">
      <c r="A308">
        <v>4421000518</v>
      </c>
      <c r="B308">
        <v>4421000565</v>
      </c>
      <c r="C308" t="str">
        <f>T("백스테이지 키스신 47화")</f>
        <v>백스테이지 키스신 47화</v>
      </c>
      <c r="D308" t="str">
        <f>T("47")</f>
        <v>47</v>
      </c>
      <c r="E308" t="str">
        <f>T("최도비")</f>
        <v>최도비</v>
      </c>
      <c r="G308" t="str">
        <f>T("수정과")</f>
        <v>수정과</v>
      </c>
      <c r="H308" t="str">
        <f t="shared" si="57"/>
        <v>스토리위즈</v>
      </c>
      <c r="I308" t="str">
        <f>T("백스테이지 키스신")</f>
        <v>백스테이지 키스신</v>
      </c>
      <c r="J308">
        <v>400</v>
      </c>
      <c r="K308">
        <v>0</v>
      </c>
      <c r="L308">
        <v>0</v>
      </c>
      <c r="M308">
        <v>0</v>
      </c>
      <c r="N308">
        <v>200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 s="3">
        <v>200</v>
      </c>
      <c r="AH308" s="3">
        <v>1</v>
      </c>
      <c r="AI308" s="3">
        <v>0</v>
      </c>
      <c r="AJ308" s="3">
        <v>0</v>
      </c>
      <c r="AK308" s="3">
        <v>200</v>
      </c>
      <c r="AL308" s="3">
        <v>0</v>
      </c>
      <c r="AM308" s="3">
        <v>0</v>
      </c>
      <c r="AN308" s="3">
        <v>0</v>
      </c>
      <c r="AO308" s="3">
        <v>0</v>
      </c>
      <c r="AP308" s="3">
        <v>140</v>
      </c>
      <c r="AR308" t="str">
        <f t="shared" ref="AR308:AR315" si="61">T("0000000000000")</f>
        <v>0000000000000</v>
      </c>
      <c r="AT308" t="str">
        <f>T("9791166067990")</f>
        <v>9791166067990</v>
      </c>
      <c r="AV308" t="str">
        <f>T("웹툰 &gt; 로맨스")</f>
        <v>웹툰 &gt; 로맨스</v>
      </c>
    </row>
    <row r="309" spans="1:49" x14ac:dyDescent="0.4">
      <c r="A309">
        <v>4421000866</v>
      </c>
      <c r="B309">
        <v>4421002854</v>
      </c>
      <c r="C309" t="str">
        <f>T("최애에게 들켜버렸다 85화")</f>
        <v>최애에게 들켜버렸다 85화</v>
      </c>
      <c r="D309" t="str">
        <f>T("88")</f>
        <v>88</v>
      </c>
      <c r="E309" t="str">
        <f>T("Lv")</f>
        <v>Lv</v>
      </c>
      <c r="G309" t="str">
        <f>T("Lv")</f>
        <v>Lv</v>
      </c>
      <c r="H309" t="str">
        <f t="shared" si="57"/>
        <v>스토리위즈</v>
      </c>
      <c r="I309" t="str">
        <f>T("최애에게 들켜버렸다")</f>
        <v>최애에게 들켜버렸다</v>
      </c>
      <c r="J309">
        <v>400</v>
      </c>
      <c r="K309">
        <v>0</v>
      </c>
      <c r="L309">
        <v>0</v>
      </c>
      <c r="M309">
        <v>0</v>
      </c>
      <c r="N309">
        <v>1000</v>
      </c>
      <c r="O309">
        <v>5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s="3">
        <v>1000</v>
      </c>
      <c r="AH309" s="3">
        <v>5</v>
      </c>
      <c r="AI309" s="3">
        <v>0</v>
      </c>
      <c r="AJ309" s="3">
        <v>0</v>
      </c>
      <c r="AK309" s="3">
        <v>600</v>
      </c>
      <c r="AL309" s="3">
        <v>0</v>
      </c>
      <c r="AM309" s="3">
        <v>480</v>
      </c>
      <c r="AN309" s="3">
        <v>-144</v>
      </c>
      <c r="AO309" s="3">
        <v>0</v>
      </c>
      <c r="AP309" s="3">
        <v>655.20000000000005</v>
      </c>
      <c r="AR309" t="str">
        <f t="shared" si="61"/>
        <v>0000000000000</v>
      </c>
      <c r="AT309" t="str">
        <f>T("9791137601253")</f>
        <v>9791137601253</v>
      </c>
      <c r="AV309" t="str">
        <f>T("웹툰 &gt; 해외 순정")</f>
        <v>웹툰 &gt; 해외 순정</v>
      </c>
      <c r="AW309" t="str">
        <f>T("웹툰 &gt; 로맨스")</f>
        <v>웹툰 &gt; 로맨스</v>
      </c>
    </row>
    <row r="310" spans="1:49" x14ac:dyDescent="0.4">
      <c r="A310">
        <v>4421000518</v>
      </c>
      <c r="B310">
        <v>4421000525</v>
      </c>
      <c r="C310" t="str">
        <f>T("백스테이지 키스신 7화")</f>
        <v>백스테이지 키스신 7화</v>
      </c>
      <c r="D310" t="str">
        <f>T("7")</f>
        <v>7</v>
      </c>
      <c r="E310" t="str">
        <f>T("최도비")</f>
        <v>최도비</v>
      </c>
      <c r="G310" t="str">
        <f>T("수정과")</f>
        <v>수정과</v>
      </c>
      <c r="H310" t="str">
        <f t="shared" si="57"/>
        <v>스토리위즈</v>
      </c>
      <c r="I310" t="str">
        <f>T("백스테이지 키스신")</f>
        <v>백스테이지 키스신</v>
      </c>
      <c r="J310">
        <v>400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 s="3">
        <v>0</v>
      </c>
      <c r="AH310" s="3">
        <v>2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R310" t="str">
        <f t="shared" si="61"/>
        <v>0000000000000</v>
      </c>
      <c r="AT310" t="str">
        <f>T("9791166067990")</f>
        <v>9791166067990</v>
      </c>
      <c r="AV310" t="str">
        <f>T("웹툰 &gt; 로맨스")</f>
        <v>웹툰 &gt; 로맨스</v>
      </c>
    </row>
    <row r="311" spans="1:49" x14ac:dyDescent="0.4">
      <c r="A311">
        <v>4421000198</v>
      </c>
      <c r="B311">
        <v>4421001244</v>
      </c>
      <c r="C311" t="str">
        <f>T("공주전쟁 78화")</f>
        <v>공주전쟁 78화</v>
      </c>
      <c r="D311" t="str">
        <f>T("78")</f>
        <v>78</v>
      </c>
      <c r="E311" t="str">
        <f>T("Hujing")</f>
        <v>Hujing</v>
      </c>
      <c r="G311" t="str">
        <f>T("Luojie")</f>
        <v>Luojie</v>
      </c>
      <c r="H311" t="str">
        <f t="shared" si="57"/>
        <v>스토리위즈</v>
      </c>
      <c r="I311" t="str">
        <f>T("공주전쟁")</f>
        <v>공주전쟁</v>
      </c>
      <c r="J311">
        <v>400</v>
      </c>
      <c r="K311">
        <v>0</v>
      </c>
      <c r="L311">
        <v>0</v>
      </c>
      <c r="M311">
        <v>0</v>
      </c>
      <c r="N311">
        <v>200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 s="3">
        <v>200</v>
      </c>
      <c r="AH311" s="3">
        <v>1</v>
      </c>
      <c r="AI311" s="3">
        <v>0</v>
      </c>
      <c r="AJ311" s="3">
        <v>0</v>
      </c>
      <c r="AK311" s="3">
        <v>0</v>
      </c>
      <c r="AL311" s="3">
        <v>0</v>
      </c>
      <c r="AM311" s="3">
        <v>240</v>
      </c>
      <c r="AN311" s="3">
        <v>-72</v>
      </c>
      <c r="AO311" s="3">
        <v>0</v>
      </c>
      <c r="AP311" s="3">
        <v>117.6</v>
      </c>
      <c r="AR311" t="str">
        <f t="shared" si="61"/>
        <v>0000000000000</v>
      </c>
      <c r="AT311" t="str">
        <f>T("9791166069666")</f>
        <v>9791166069666</v>
      </c>
      <c r="AV311" t="str">
        <f>T("웹툰 &gt; 해외 순정")</f>
        <v>웹툰 &gt; 해외 순정</v>
      </c>
      <c r="AW311" t="str">
        <f>T("웹툰 &gt; 로판")</f>
        <v>웹툰 &gt; 로판</v>
      </c>
    </row>
    <row r="312" spans="1:49" x14ac:dyDescent="0.4">
      <c r="A312">
        <v>4421000069</v>
      </c>
      <c r="B312">
        <v>4421000086</v>
      </c>
      <c r="C312" t="str">
        <f>T("너랑 나랑 하면 17화")</f>
        <v>너랑 나랑 하면 17화</v>
      </c>
      <c r="D312" t="str">
        <f>T("17")</f>
        <v>17</v>
      </c>
      <c r="E312" t="str">
        <f>T("NISANSUI")</f>
        <v>NISANSUI</v>
      </c>
      <c r="G312" t="str">
        <f>T("ZIQUAN")</f>
        <v>ZIQUAN</v>
      </c>
      <c r="H312" t="str">
        <f t="shared" si="57"/>
        <v>스토리위즈</v>
      </c>
      <c r="I312" t="str">
        <f>T("너랑 나랑 하면")</f>
        <v>너랑 나랑 하면</v>
      </c>
      <c r="J312">
        <v>400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 s="3">
        <v>0</v>
      </c>
      <c r="AH312" s="3">
        <v>3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R312" t="str">
        <f t="shared" si="61"/>
        <v>0000000000000</v>
      </c>
      <c r="AT312" t="str">
        <f>T("9791166067884")</f>
        <v>9791166067884</v>
      </c>
      <c r="AV312" t="str">
        <f>T("BL 웹툰 &gt; 웹툰")</f>
        <v>BL 웹툰 &gt; 웹툰</v>
      </c>
    </row>
    <row r="313" spans="1:49" x14ac:dyDescent="0.4">
      <c r="A313">
        <v>4421000916</v>
      </c>
      <c r="B313">
        <v>4421000924</v>
      </c>
      <c r="C313" t="str">
        <f>T("별빛 아래 우리 9화")</f>
        <v>별빛 아래 우리 9화</v>
      </c>
      <c r="D313" t="str">
        <f>T("9")</f>
        <v>9</v>
      </c>
      <c r="E313" t="str">
        <f>T("건일")</f>
        <v>건일</v>
      </c>
      <c r="G313" t="str">
        <f>T("건일")</f>
        <v>건일</v>
      </c>
      <c r="H313" t="str">
        <f t="shared" si="57"/>
        <v>스토리위즈</v>
      </c>
      <c r="I313" t="str">
        <f>T("별빛 아래 우리")</f>
        <v>별빛 아래 우리</v>
      </c>
      <c r="J313">
        <v>400</v>
      </c>
      <c r="K313">
        <v>0</v>
      </c>
      <c r="L313">
        <v>0</v>
      </c>
      <c r="M313">
        <v>0</v>
      </c>
      <c r="N313">
        <v>1200</v>
      </c>
      <c r="O313">
        <v>6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 s="3">
        <v>1200</v>
      </c>
      <c r="AH313" s="3">
        <v>6</v>
      </c>
      <c r="AI313" s="3">
        <v>0</v>
      </c>
      <c r="AJ313" s="3">
        <v>0</v>
      </c>
      <c r="AK313" s="3">
        <v>400</v>
      </c>
      <c r="AL313" s="3">
        <v>0</v>
      </c>
      <c r="AM313" s="3">
        <v>960.2</v>
      </c>
      <c r="AN313" s="3">
        <v>-288.06</v>
      </c>
      <c r="AO313" s="3">
        <v>0</v>
      </c>
      <c r="AP313" s="3">
        <v>750.5</v>
      </c>
      <c r="AR313" t="str">
        <f t="shared" si="61"/>
        <v>0000000000000</v>
      </c>
      <c r="AT313" t="str">
        <f>T("9791137601413")</f>
        <v>9791137601413</v>
      </c>
      <c r="AV313" t="str">
        <f>T("웹툰 &gt; 해외 순정")</f>
        <v>웹툰 &gt; 해외 순정</v>
      </c>
      <c r="AW313" t="str">
        <f>T("웹툰 &gt; 로맨스")</f>
        <v>웹툰 &gt; 로맨스</v>
      </c>
    </row>
    <row r="314" spans="1:49" x14ac:dyDescent="0.4">
      <c r="A314">
        <v>4421001340</v>
      </c>
      <c r="B314">
        <v>4421001361</v>
      </c>
      <c r="C314" t="str">
        <f>T("가출천사 육성계약 22화")</f>
        <v>가출천사 육성계약 22화</v>
      </c>
      <c r="D314" t="str">
        <f>T("22")</f>
        <v>22</v>
      </c>
      <c r="E314" t="str">
        <f>T("Bae.C, IIAKI, 박제후")</f>
        <v>Bae.C, IIAKI, 박제후</v>
      </c>
      <c r="G314" t="str">
        <f>T("Bae.C, 조우")</f>
        <v>Bae.C, 조우</v>
      </c>
      <c r="H314" t="str">
        <f t="shared" si="57"/>
        <v>스토리위즈</v>
      </c>
      <c r="I314" t="str">
        <f>T("가출천사 육성계약")</f>
        <v>가출천사 육성계약</v>
      </c>
      <c r="J314">
        <v>400</v>
      </c>
      <c r="K314">
        <v>0</v>
      </c>
      <c r="L314">
        <v>0</v>
      </c>
      <c r="M314">
        <v>0</v>
      </c>
      <c r="N314">
        <v>200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 s="3">
        <v>200</v>
      </c>
      <c r="AH314" s="3">
        <v>1</v>
      </c>
      <c r="AI314" s="3">
        <v>0</v>
      </c>
      <c r="AJ314" s="3">
        <v>0</v>
      </c>
      <c r="AK314" s="3">
        <v>200</v>
      </c>
      <c r="AL314" s="3">
        <v>0</v>
      </c>
      <c r="AM314" s="3">
        <v>0</v>
      </c>
      <c r="AN314" s="3">
        <v>0</v>
      </c>
      <c r="AO314" s="3">
        <v>0</v>
      </c>
      <c r="AP314" s="3">
        <v>140</v>
      </c>
      <c r="AR314" t="str">
        <f t="shared" si="61"/>
        <v>0000000000000</v>
      </c>
      <c r="AT314" t="str">
        <f>T("9791191765663")</f>
        <v>9791191765663</v>
      </c>
      <c r="AV314" t="str">
        <f>T("웹툰 &gt; 판타지/SF")</f>
        <v>웹툰 &gt; 판타지/SF</v>
      </c>
    </row>
    <row r="315" spans="1:49" x14ac:dyDescent="0.4">
      <c r="A315">
        <v>4421000337</v>
      </c>
      <c r="B315">
        <v>4421000421</v>
      </c>
      <c r="C315" t="str">
        <f>T("계약연애, 오늘부터 1일 85화")</f>
        <v>계약연애, 오늘부터 1일 85화</v>
      </c>
      <c r="D315" t="str">
        <f>T("85")</f>
        <v>85</v>
      </c>
      <c r="E315" t="str">
        <f>T("원기공장")</f>
        <v>원기공장</v>
      </c>
      <c r="H315" t="str">
        <f t="shared" si="57"/>
        <v>스토리위즈</v>
      </c>
      <c r="I315" t="str">
        <f>T("계약연애, 오늘부터 1일")</f>
        <v>계약연애, 오늘부터 1일</v>
      </c>
      <c r="J315">
        <v>200</v>
      </c>
      <c r="K315">
        <v>0</v>
      </c>
      <c r="L315">
        <v>0</v>
      </c>
      <c r="M315">
        <v>0</v>
      </c>
      <c r="N315">
        <v>100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 s="3">
        <v>100</v>
      </c>
      <c r="AH315" s="3">
        <v>1</v>
      </c>
      <c r="AI315" s="3">
        <v>0</v>
      </c>
      <c r="AJ315" s="3">
        <v>0</v>
      </c>
      <c r="AK315" s="3">
        <v>100</v>
      </c>
      <c r="AL315" s="3">
        <v>0</v>
      </c>
      <c r="AM315" s="3">
        <v>0</v>
      </c>
      <c r="AN315" s="3">
        <v>0</v>
      </c>
      <c r="AO315" s="3">
        <v>0</v>
      </c>
      <c r="AP315" s="3">
        <v>70</v>
      </c>
      <c r="AR315" t="str">
        <f t="shared" si="61"/>
        <v>0000000000000</v>
      </c>
      <c r="AT315" t="str">
        <f>T("9791166068027")</f>
        <v>9791166068027</v>
      </c>
      <c r="AV315" t="str">
        <f>T("웹툰 &gt; 해외 순정")</f>
        <v>웹툰 &gt; 해외 순정</v>
      </c>
      <c r="AW315" t="str">
        <f>T("웹툰 &gt; 로맨스")</f>
        <v>웹툰 &gt; 로맨스</v>
      </c>
    </row>
    <row r="316" spans="1:49" x14ac:dyDescent="0.4">
      <c r="A316">
        <v>4421001634</v>
      </c>
      <c r="B316">
        <v>4421001634</v>
      </c>
      <c r="C316" t="str">
        <f>T("그남자의 사랑방식 1화")</f>
        <v>그남자의 사랑방식 1화</v>
      </c>
      <c r="D316" t="str">
        <f>T("1")</f>
        <v>1</v>
      </c>
      <c r="E316" t="str">
        <f>T("웹티")</f>
        <v>웹티</v>
      </c>
      <c r="H316" t="str">
        <f t="shared" si="57"/>
        <v>스토리위즈</v>
      </c>
      <c r="I316" t="str">
        <f>T("그남자의 사랑방식")</f>
        <v>그남자의 사랑방식</v>
      </c>
      <c r="J316">
        <v>0</v>
      </c>
      <c r="K316">
        <v>0</v>
      </c>
      <c r="L316">
        <v>0</v>
      </c>
      <c r="M316">
        <v>2</v>
      </c>
      <c r="N316">
        <v>0</v>
      </c>
      <c r="O316">
        <v>0</v>
      </c>
      <c r="P316">
        <v>11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 s="3">
        <v>0</v>
      </c>
      <c r="AH316" s="3">
        <v>13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T316" t="str">
        <f>T("9791190622004")</f>
        <v>9791190622004</v>
      </c>
      <c r="AV316" t="str">
        <f>T("BL 웹툰 &gt; 웹툰")</f>
        <v>BL 웹툰 &gt; 웹툰</v>
      </c>
    </row>
    <row r="317" spans="1:49" x14ac:dyDescent="0.4">
      <c r="A317">
        <v>4421000337</v>
      </c>
      <c r="B317">
        <v>4421000381</v>
      </c>
      <c r="C317" t="str">
        <f>T("계약연애, 오늘부터 1일 45화")</f>
        <v>계약연애, 오늘부터 1일 45화</v>
      </c>
      <c r="D317" t="str">
        <f>T("45")</f>
        <v>45</v>
      </c>
      <c r="E317" t="str">
        <f>T("원기공장")</f>
        <v>원기공장</v>
      </c>
      <c r="H317" t="str">
        <f t="shared" si="57"/>
        <v>스토리위즈</v>
      </c>
      <c r="I317" t="str">
        <f>T("계약연애, 오늘부터 1일")</f>
        <v>계약연애, 오늘부터 1일</v>
      </c>
      <c r="J317">
        <v>200</v>
      </c>
      <c r="K317">
        <v>0</v>
      </c>
      <c r="L317">
        <v>0</v>
      </c>
      <c r="M317">
        <v>0</v>
      </c>
      <c r="N317">
        <v>100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 s="3">
        <v>100</v>
      </c>
      <c r="AH317" s="3">
        <v>1</v>
      </c>
      <c r="AI317" s="3">
        <v>0</v>
      </c>
      <c r="AJ317" s="3">
        <v>0</v>
      </c>
      <c r="AK317" s="3">
        <v>100</v>
      </c>
      <c r="AL317" s="3">
        <v>0</v>
      </c>
      <c r="AM317" s="3">
        <v>0</v>
      </c>
      <c r="AN317" s="3">
        <v>0</v>
      </c>
      <c r="AO317" s="3">
        <v>0</v>
      </c>
      <c r="AP317" s="3">
        <v>70</v>
      </c>
      <c r="AR317" t="str">
        <f t="shared" ref="AR317:AR325" si="62">T("0000000000000")</f>
        <v>0000000000000</v>
      </c>
      <c r="AT317" t="str">
        <f>T("9791166068027")</f>
        <v>9791166068027</v>
      </c>
      <c r="AV317" t="str">
        <f>T("웹툰 &gt; 해외 순정")</f>
        <v>웹툰 &gt; 해외 순정</v>
      </c>
      <c r="AW317" t="str">
        <f>T("웹툰 &gt; 로맨스")</f>
        <v>웹툰 &gt; 로맨스</v>
      </c>
    </row>
    <row r="318" spans="1:49" x14ac:dyDescent="0.4">
      <c r="A318">
        <v>4421000866</v>
      </c>
      <c r="B318">
        <v>4421001281</v>
      </c>
      <c r="C318" t="str">
        <f>T("최애에게 들켜버렸다 65화")</f>
        <v>최애에게 들켜버렸다 65화</v>
      </c>
      <c r="D318" t="str">
        <f>T("68")</f>
        <v>68</v>
      </c>
      <c r="E318" t="str">
        <f>T("Lv")</f>
        <v>Lv</v>
      </c>
      <c r="G318" t="str">
        <f>T("Lv")</f>
        <v>Lv</v>
      </c>
      <c r="H318" t="str">
        <f t="shared" si="57"/>
        <v>스토리위즈</v>
      </c>
      <c r="I318" t="str">
        <f>T("최애에게 들켜버렸다")</f>
        <v>최애에게 들켜버렸다</v>
      </c>
      <c r="J318">
        <v>400</v>
      </c>
      <c r="K318">
        <v>0</v>
      </c>
      <c r="L318">
        <v>0</v>
      </c>
      <c r="M318">
        <v>0</v>
      </c>
      <c r="N318">
        <v>600</v>
      </c>
      <c r="O318">
        <v>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 s="3">
        <v>600</v>
      </c>
      <c r="AH318" s="3">
        <v>3</v>
      </c>
      <c r="AI318" s="3">
        <v>0</v>
      </c>
      <c r="AJ318" s="3">
        <v>0</v>
      </c>
      <c r="AK318" s="3">
        <v>424</v>
      </c>
      <c r="AL318" s="3">
        <v>0</v>
      </c>
      <c r="AM318" s="3">
        <v>211.38</v>
      </c>
      <c r="AN318" s="3">
        <v>-63.41</v>
      </c>
      <c r="AO318" s="3">
        <v>0</v>
      </c>
      <c r="AP318" s="3">
        <v>400.38</v>
      </c>
      <c r="AR318" t="str">
        <f t="shared" si="62"/>
        <v>0000000000000</v>
      </c>
      <c r="AT318" t="str">
        <f>T("9791137601253")</f>
        <v>9791137601253</v>
      </c>
      <c r="AV318" t="str">
        <f>T("웹툰 &gt; 해외 순정")</f>
        <v>웹툰 &gt; 해외 순정</v>
      </c>
      <c r="AW318" t="str">
        <f>T("웹툰 &gt; 로맨스")</f>
        <v>웹툰 &gt; 로맨스</v>
      </c>
    </row>
    <row r="319" spans="1:49" x14ac:dyDescent="0.4">
      <c r="A319">
        <v>4421001340</v>
      </c>
      <c r="B319">
        <v>4421001563</v>
      </c>
      <c r="C319" t="str">
        <f>T("가출천사 육성계약 41화")</f>
        <v>가출천사 육성계약 41화</v>
      </c>
      <c r="D319" t="str">
        <f>T("41")</f>
        <v>41</v>
      </c>
      <c r="E319" t="str">
        <f>T("Bae.C, IIAKI, 박제후")</f>
        <v>Bae.C, IIAKI, 박제후</v>
      </c>
      <c r="G319" t="str">
        <f>T("Bae.C, 조우")</f>
        <v>Bae.C, 조우</v>
      </c>
      <c r="H319" t="str">
        <f t="shared" si="57"/>
        <v>스토리위즈</v>
      </c>
      <c r="I319" t="str">
        <f>T("가출천사 육성계약")</f>
        <v>가출천사 육성계약</v>
      </c>
      <c r="J319">
        <v>400</v>
      </c>
      <c r="K319">
        <v>0</v>
      </c>
      <c r="L319">
        <v>0</v>
      </c>
      <c r="M319">
        <v>0</v>
      </c>
      <c r="N319">
        <v>200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s="3">
        <v>200</v>
      </c>
      <c r="AH319" s="3">
        <v>1</v>
      </c>
      <c r="AI319" s="3">
        <v>0</v>
      </c>
      <c r="AJ319" s="3">
        <v>0</v>
      </c>
      <c r="AK319" s="3">
        <v>200</v>
      </c>
      <c r="AL319" s="3">
        <v>0</v>
      </c>
      <c r="AM319" s="3">
        <v>0</v>
      </c>
      <c r="AN319" s="3">
        <v>0</v>
      </c>
      <c r="AO319" s="3">
        <v>0</v>
      </c>
      <c r="AP319" s="3">
        <v>140</v>
      </c>
      <c r="AR319" t="str">
        <f t="shared" si="62"/>
        <v>0000000000000</v>
      </c>
      <c r="AT319" t="str">
        <f>T("9791191765663")</f>
        <v>9791191765663</v>
      </c>
      <c r="AV319" t="str">
        <f>T("웹툰 &gt; 판타지/SF")</f>
        <v>웹툰 &gt; 판타지/SF</v>
      </c>
    </row>
    <row r="320" spans="1:49" x14ac:dyDescent="0.4">
      <c r="A320">
        <v>4421000198</v>
      </c>
      <c r="B320">
        <v>4421000228</v>
      </c>
      <c r="C320" t="str">
        <f>T("공주전쟁 31화")</f>
        <v>공주전쟁 31화</v>
      </c>
      <c r="D320" t="str">
        <f>T("31")</f>
        <v>31</v>
      </c>
      <c r="E320" t="str">
        <f>T("Hujing")</f>
        <v>Hujing</v>
      </c>
      <c r="G320" t="str">
        <f>T("Luojie")</f>
        <v>Luojie</v>
      </c>
      <c r="H320" t="str">
        <f t="shared" si="57"/>
        <v>스토리위즈</v>
      </c>
      <c r="I320" t="str">
        <f>T("공주전쟁")</f>
        <v>공주전쟁</v>
      </c>
      <c r="J320">
        <v>400</v>
      </c>
      <c r="K320">
        <v>0</v>
      </c>
      <c r="L320">
        <v>0</v>
      </c>
      <c r="M320">
        <v>0</v>
      </c>
      <c r="N320">
        <v>600</v>
      </c>
      <c r="O320">
        <v>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 s="3">
        <v>600</v>
      </c>
      <c r="AH320" s="3">
        <v>3</v>
      </c>
      <c r="AI320" s="3">
        <v>0</v>
      </c>
      <c r="AJ320" s="3">
        <v>0</v>
      </c>
      <c r="AK320" s="3">
        <v>400</v>
      </c>
      <c r="AL320" s="3">
        <v>0</v>
      </c>
      <c r="AM320" s="3">
        <v>240</v>
      </c>
      <c r="AN320" s="3">
        <v>-72</v>
      </c>
      <c r="AO320" s="3">
        <v>0</v>
      </c>
      <c r="AP320" s="3">
        <v>397.6</v>
      </c>
      <c r="AR320" t="str">
        <f t="shared" si="62"/>
        <v>0000000000000</v>
      </c>
      <c r="AT320" t="str">
        <f>T("9791166069666")</f>
        <v>9791166069666</v>
      </c>
      <c r="AV320" t="str">
        <f>T("웹툰 &gt; 해외 순정")</f>
        <v>웹툰 &gt; 해외 순정</v>
      </c>
      <c r="AW320" t="str">
        <f>T("웹툰 &gt; 로판")</f>
        <v>웹툰 &gt; 로판</v>
      </c>
    </row>
    <row r="321" spans="1:49" x14ac:dyDescent="0.4">
      <c r="A321">
        <v>4421000887</v>
      </c>
      <c r="B321">
        <v>4421001177</v>
      </c>
      <c r="C321" t="str">
        <f>T("폭군의 눈물 37화")</f>
        <v>폭군의 눈물 37화</v>
      </c>
      <c r="D321" t="str">
        <f>T("37")</f>
        <v>37</v>
      </c>
      <c r="E321" t="str">
        <f>T("Ice×FANFAN COMIC")</f>
        <v>Ice×FANFAN COMIC</v>
      </c>
      <c r="G321" t="str">
        <f>T("Ice×FANFAN COMIC")</f>
        <v>Ice×FANFAN COMIC</v>
      </c>
      <c r="H321" t="str">
        <f t="shared" si="57"/>
        <v>스토리위즈</v>
      </c>
      <c r="I321" t="str">
        <f>T("폭군의 눈물")</f>
        <v>폭군의 눈물</v>
      </c>
      <c r="J321">
        <v>400</v>
      </c>
      <c r="K321">
        <v>0</v>
      </c>
      <c r="L321">
        <v>0</v>
      </c>
      <c r="M321">
        <v>0</v>
      </c>
      <c r="N321">
        <v>600</v>
      </c>
      <c r="O321">
        <v>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 s="3">
        <v>600</v>
      </c>
      <c r="AH321" s="3">
        <v>3</v>
      </c>
      <c r="AI321" s="3">
        <v>0</v>
      </c>
      <c r="AJ321" s="3">
        <v>0</v>
      </c>
      <c r="AK321" s="3">
        <v>400</v>
      </c>
      <c r="AL321" s="3">
        <v>0</v>
      </c>
      <c r="AM321" s="3">
        <v>240</v>
      </c>
      <c r="AN321" s="3">
        <v>-72</v>
      </c>
      <c r="AO321" s="3">
        <v>0</v>
      </c>
      <c r="AP321" s="3">
        <v>397.6</v>
      </c>
      <c r="AR321" t="str">
        <f t="shared" si="62"/>
        <v>0000000000000</v>
      </c>
      <c r="AT321" t="str">
        <f>T("9791137601291")</f>
        <v>9791137601291</v>
      </c>
      <c r="AV321" t="str">
        <f>T("웹툰 &gt; 해외 순정")</f>
        <v>웹툰 &gt; 해외 순정</v>
      </c>
      <c r="AW321" t="str">
        <f>T("웹툰 &gt; 로판")</f>
        <v>웹툰 &gt; 로판</v>
      </c>
    </row>
    <row r="322" spans="1:49" x14ac:dyDescent="0.4">
      <c r="A322">
        <v>4421000450</v>
      </c>
      <c r="B322">
        <v>4421000453</v>
      </c>
      <c r="C322" t="str">
        <f>T("내 남편의 스토커 3화")</f>
        <v>내 남편의 스토커 3화</v>
      </c>
      <c r="D322" t="str">
        <f>T("3")</f>
        <v>3</v>
      </c>
      <c r="E322" t="str">
        <f>T("혜원")</f>
        <v>혜원</v>
      </c>
      <c r="G322" t="str">
        <f>T("혜원")</f>
        <v>혜원</v>
      </c>
      <c r="H322" t="str">
        <f t="shared" ref="H322:H385" si="63">T("스토리위즈")</f>
        <v>스토리위즈</v>
      </c>
      <c r="I322" t="str">
        <f>T("내 남편의 스토커")</f>
        <v>내 남편의 스토커</v>
      </c>
      <c r="J322">
        <v>400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 s="3">
        <v>0</v>
      </c>
      <c r="AH322" s="3">
        <v>1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R322" t="str">
        <f t="shared" si="62"/>
        <v>0000000000000</v>
      </c>
      <c r="AT322" t="str">
        <f>T("9791166068034")</f>
        <v>9791166068034</v>
      </c>
      <c r="AV322" t="str">
        <f>T("웹툰 &gt; 로맨스")</f>
        <v>웹툰 &gt; 로맨스</v>
      </c>
    </row>
    <row r="323" spans="1:49" x14ac:dyDescent="0.4">
      <c r="A323">
        <v>4421000866</v>
      </c>
      <c r="B323">
        <v>4421000970</v>
      </c>
      <c r="C323" t="str">
        <f>T("최애에게 들켜버렸다 29화")</f>
        <v>최애에게 들켜버렸다 29화</v>
      </c>
      <c r="D323" t="str">
        <f>T("30")</f>
        <v>30</v>
      </c>
      <c r="E323" t="str">
        <f>T("Lv")</f>
        <v>Lv</v>
      </c>
      <c r="G323" t="str">
        <f>T("Lv")</f>
        <v>Lv</v>
      </c>
      <c r="H323" t="str">
        <f t="shared" si="63"/>
        <v>스토리위즈</v>
      </c>
      <c r="I323" t="str">
        <f>T("최애에게 들켜버렸다")</f>
        <v>최애에게 들켜버렸다</v>
      </c>
      <c r="J323">
        <v>400</v>
      </c>
      <c r="K323">
        <v>0</v>
      </c>
      <c r="L323">
        <v>0</v>
      </c>
      <c r="M323">
        <v>0</v>
      </c>
      <c r="N323">
        <v>600</v>
      </c>
      <c r="O323">
        <v>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 s="3">
        <v>600</v>
      </c>
      <c r="AH323" s="3">
        <v>3</v>
      </c>
      <c r="AI323" s="3">
        <v>0</v>
      </c>
      <c r="AJ323" s="3">
        <v>0</v>
      </c>
      <c r="AK323" s="3">
        <v>424</v>
      </c>
      <c r="AL323" s="3">
        <v>0</v>
      </c>
      <c r="AM323" s="3">
        <v>211.38</v>
      </c>
      <c r="AN323" s="3">
        <v>-63.41</v>
      </c>
      <c r="AO323" s="3">
        <v>0</v>
      </c>
      <c r="AP323" s="3">
        <v>400.38</v>
      </c>
      <c r="AR323" t="str">
        <f t="shared" si="62"/>
        <v>0000000000000</v>
      </c>
      <c r="AT323" t="str">
        <f>T("9791137601253")</f>
        <v>9791137601253</v>
      </c>
      <c r="AV323" t="str">
        <f>T("웹툰 &gt; 해외 순정")</f>
        <v>웹툰 &gt; 해외 순정</v>
      </c>
      <c r="AW323" t="str">
        <f>T("웹툰 &gt; 로맨스")</f>
        <v>웹툰 &gt; 로맨스</v>
      </c>
    </row>
    <row r="324" spans="1:49" x14ac:dyDescent="0.4">
      <c r="A324">
        <v>4421001786</v>
      </c>
      <c r="B324">
        <v>4421001787</v>
      </c>
      <c r="C324" t="str">
        <f>T("사랑을 찾아서 2화")</f>
        <v>사랑을 찾아서 2화</v>
      </c>
      <c r="D324" t="str">
        <f>T("2")</f>
        <v>2</v>
      </c>
      <c r="E324" t="str">
        <f>T("웹티")</f>
        <v>웹티</v>
      </c>
      <c r="H324" t="str">
        <f t="shared" si="63"/>
        <v>스토리위즈</v>
      </c>
      <c r="I324" t="str">
        <f>T("사랑을 찾아서")</f>
        <v>사랑을 찾아서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 s="3">
        <v>0</v>
      </c>
      <c r="AH324" s="3">
        <v>1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R324" t="str">
        <f t="shared" si="62"/>
        <v>0000000000000</v>
      </c>
      <c r="AT324" t="str">
        <f>T("9791196402709")</f>
        <v>9791196402709</v>
      </c>
      <c r="AV324" t="str">
        <f>T("웹툰 &gt; 로맨스")</f>
        <v>웹툰 &gt; 로맨스</v>
      </c>
    </row>
    <row r="325" spans="1:49" x14ac:dyDescent="0.4">
      <c r="A325">
        <v>4421000337</v>
      </c>
      <c r="B325">
        <v>4421000413</v>
      </c>
      <c r="C325" t="str">
        <f>T("계약연애, 오늘부터 1일 77화")</f>
        <v>계약연애, 오늘부터 1일 77화</v>
      </c>
      <c r="D325" t="str">
        <f>T("77")</f>
        <v>77</v>
      </c>
      <c r="E325" t="str">
        <f>T("원기공장")</f>
        <v>원기공장</v>
      </c>
      <c r="H325" t="str">
        <f t="shared" si="63"/>
        <v>스토리위즈</v>
      </c>
      <c r="I325" t="str">
        <f>T("계약연애, 오늘부터 1일")</f>
        <v>계약연애, 오늘부터 1일</v>
      </c>
      <c r="J325">
        <v>200</v>
      </c>
      <c r="K325">
        <v>0</v>
      </c>
      <c r="L325">
        <v>0</v>
      </c>
      <c r="M325">
        <v>0</v>
      </c>
      <c r="N325">
        <v>100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s="3">
        <v>100</v>
      </c>
      <c r="AH325" s="3">
        <v>1</v>
      </c>
      <c r="AI325" s="3">
        <v>0</v>
      </c>
      <c r="AJ325" s="3">
        <v>0</v>
      </c>
      <c r="AK325" s="3">
        <v>100</v>
      </c>
      <c r="AL325" s="3">
        <v>0</v>
      </c>
      <c r="AM325" s="3">
        <v>0</v>
      </c>
      <c r="AN325" s="3">
        <v>0</v>
      </c>
      <c r="AO325" s="3">
        <v>0</v>
      </c>
      <c r="AP325" s="3">
        <v>70</v>
      </c>
      <c r="AR325" t="str">
        <f t="shared" si="62"/>
        <v>0000000000000</v>
      </c>
      <c r="AT325" t="str">
        <f>T("9791166068027")</f>
        <v>9791166068027</v>
      </c>
      <c r="AV325" t="str">
        <f>T("웹툰 &gt; 해외 순정")</f>
        <v>웹툰 &gt; 해외 순정</v>
      </c>
      <c r="AW325" t="str">
        <f>T("웹툰 &gt; 로맨스")</f>
        <v>웹툰 &gt; 로맨스</v>
      </c>
    </row>
    <row r="326" spans="1:49" x14ac:dyDescent="0.4">
      <c r="A326">
        <v>4421000001</v>
      </c>
      <c r="B326">
        <v>4421000014</v>
      </c>
      <c r="C326" t="str">
        <f>T("감옥실험 4화")</f>
        <v>감옥실험 4화</v>
      </c>
      <c r="D326" t="str">
        <f>T("4")</f>
        <v>4</v>
      </c>
      <c r="E326" t="str">
        <f>T("Kantetsu")</f>
        <v>Kantetsu</v>
      </c>
      <c r="G326" t="str">
        <f>T("Minase Chiho")</f>
        <v>Minase Chiho</v>
      </c>
      <c r="H326" t="str">
        <f t="shared" si="63"/>
        <v>스토리위즈</v>
      </c>
      <c r="I326" t="str">
        <f>T("감옥실험")</f>
        <v>감옥실험</v>
      </c>
      <c r="J326">
        <v>500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14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 s="3">
        <v>0</v>
      </c>
      <c r="AH326" s="3">
        <v>14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T326" t="str">
        <f>T("9791166069406")</f>
        <v>9791166069406</v>
      </c>
      <c r="AV326" t="str">
        <f>T("웹툰 &gt; 드라마")</f>
        <v>웹툰 &gt; 드라마</v>
      </c>
    </row>
    <row r="327" spans="1:49" x14ac:dyDescent="0.4">
      <c r="A327">
        <v>4421000518</v>
      </c>
      <c r="B327">
        <v>4421000533</v>
      </c>
      <c r="C327" t="str">
        <f>T("백스테이지 키스신 15화")</f>
        <v>백스테이지 키스신 15화</v>
      </c>
      <c r="D327" t="str">
        <f>T("15")</f>
        <v>15</v>
      </c>
      <c r="E327" t="str">
        <f>T("최도비")</f>
        <v>최도비</v>
      </c>
      <c r="G327" t="str">
        <f>T("수정과")</f>
        <v>수정과</v>
      </c>
      <c r="H327" t="str">
        <f t="shared" si="63"/>
        <v>스토리위즈</v>
      </c>
      <c r="I327" t="str">
        <f>T("백스테이지 키스신")</f>
        <v>백스테이지 키스신</v>
      </c>
      <c r="J327">
        <v>400</v>
      </c>
      <c r="K327">
        <v>0</v>
      </c>
      <c r="L327">
        <v>0</v>
      </c>
      <c r="M327">
        <v>0</v>
      </c>
      <c r="N327">
        <v>200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 s="3">
        <v>200</v>
      </c>
      <c r="AH327" s="3">
        <v>1</v>
      </c>
      <c r="AI327" s="3">
        <v>0</v>
      </c>
      <c r="AJ327" s="3">
        <v>0</v>
      </c>
      <c r="AK327" s="3">
        <v>200</v>
      </c>
      <c r="AL327" s="3">
        <v>0</v>
      </c>
      <c r="AM327" s="3">
        <v>0</v>
      </c>
      <c r="AN327" s="3">
        <v>0</v>
      </c>
      <c r="AO327" s="3">
        <v>0</v>
      </c>
      <c r="AP327" s="3">
        <v>140</v>
      </c>
      <c r="AR327" t="str">
        <f t="shared" ref="AR327:AR357" si="64">T("0000000000000")</f>
        <v>0000000000000</v>
      </c>
      <c r="AT327" t="str">
        <f>T("9791166067990")</f>
        <v>9791166067990</v>
      </c>
      <c r="AV327" t="str">
        <f>T("웹툰 &gt; 로맨스")</f>
        <v>웹툰 &gt; 로맨스</v>
      </c>
    </row>
    <row r="328" spans="1:49" x14ac:dyDescent="0.4">
      <c r="A328">
        <v>4421000337</v>
      </c>
      <c r="B328">
        <v>4421000374</v>
      </c>
      <c r="C328" t="str">
        <f>T("계약연애, 오늘부터 1일 38화")</f>
        <v>계약연애, 오늘부터 1일 38화</v>
      </c>
      <c r="D328" t="str">
        <f>T("38")</f>
        <v>38</v>
      </c>
      <c r="E328" t="str">
        <f>T("원기공장")</f>
        <v>원기공장</v>
      </c>
      <c r="H328" t="str">
        <f t="shared" si="63"/>
        <v>스토리위즈</v>
      </c>
      <c r="I328" t="str">
        <f>T("계약연애, 오늘부터 1일")</f>
        <v>계약연애, 오늘부터 1일</v>
      </c>
      <c r="J328">
        <v>200</v>
      </c>
      <c r="K328">
        <v>0</v>
      </c>
      <c r="L328">
        <v>0</v>
      </c>
      <c r="M328">
        <v>0</v>
      </c>
      <c r="N328">
        <v>100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 s="3">
        <v>100</v>
      </c>
      <c r="AH328" s="3">
        <v>1</v>
      </c>
      <c r="AI328" s="3">
        <v>0</v>
      </c>
      <c r="AJ328" s="3">
        <v>0</v>
      </c>
      <c r="AK328" s="3">
        <v>100</v>
      </c>
      <c r="AL328" s="3">
        <v>0</v>
      </c>
      <c r="AM328" s="3">
        <v>0</v>
      </c>
      <c r="AN328" s="3">
        <v>0</v>
      </c>
      <c r="AO328" s="3">
        <v>0</v>
      </c>
      <c r="AP328" s="3">
        <v>70</v>
      </c>
      <c r="AR328" t="str">
        <f t="shared" si="64"/>
        <v>0000000000000</v>
      </c>
      <c r="AT328" t="str">
        <f>T("9791166068027")</f>
        <v>9791166068027</v>
      </c>
      <c r="AV328" t="str">
        <f>T("웹툰 &gt; 해외 순정")</f>
        <v>웹툰 &gt; 해외 순정</v>
      </c>
      <c r="AW328" t="str">
        <f>T("웹툰 &gt; 로맨스")</f>
        <v>웹툰 &gt; 로맨스</v>
      </c>
    </row>
    <row r="329" spans="1:49" x14ac:dyDescent="0.4">
      <c r="A329">
        <v>4421000198</v>
      </c>
      <c r="B329">
        <v>4421001274</v>
      </c>
      <c r="C329" t="str">
        <f>T("공주전쟁 83화")</f>
        <v>공주전쟁 83화</v>
      </c>
      <c r="D329" t="str">
        <f>T("83")</f>
        <v>83</v>
      </c>
      <c r="E329" t="str">
        <f>T("Hujing")</f>
        <v>Hujing</v>
      </c>
      <c r="G329" t="str">
        <f>T("Luojie")</f>
        <v>Luojie</v>
      </c>
      <c r="H329" t="str">
        <f t="shared" si="63"/>
        <v>스토리위즈</v>
      </c>
      <c r="I329" t="str">
        <f>T("공주전쟁")</f>
        <v>공주전쟁</v>
      </c>
      <c r="J329">
        <v>400</v>
      </c>
      <c r="K329">
        <v>0</v>
      </c>
      <c r="L329">
        <v>0</v>
      </c>
      <c r="M329">
        <v>0</v>
      </c>
      <c r="N329">
        <v>200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 s="3">
        <v>200</v>
      </c>
      <c r="AH329" s="3">
        <v>1</v>
      </c>
      <c r="AI329" s="3">
        <v>0</v>
      </c>
      <c r="AJ329" s="3">
        <v>0</v>
      </c>
      <c r="AK329" s="3">
        <v>0</v>
      </c>
      <c r="AL329" s="3">
        <v>0</v>
      </c>
      <c r="AM329" s="3">
        <v>240</v>
      </c>
      <c r="AN329" s="3">
        <v>-72</v>
      </c>
      <c r="AO329" s="3">
        <v>0</v>
      </c>
      <c r="AP329" s="3">
        <v>117.6</v>
      </c>
      <c r="AR329" t="str">
        <f t="shared" si="64"/>
        <v>0000000000000</v>
      </c>
      <c r="AT329" t="str">
        <f>T("9791166069666")</f>
        <v>9791166069666</v>
      </c>
      <c r="AV329" t="str">
        <f>T("웹툰 &gt; 해외 순정")</f>
        <v>웹툰 &gt; 해외 순정</v>
      </c>
      <c r="AW329" t="str">
        <f>T("웹툰 &gt; 로판")</f>
        <v>웹툰 &gt; 로판</v>
      </c>
    </row>
    <row r="330" spans="1:49" x14ac:dyDescent="0.4">
      <c r="A330">
        <v>4421000069</v>
      </c>
      <c r="B330">
        <v>4421000112</v>
      </c>
      <c r="C330" t="str">
        <f>T("너랑 나랑 하면 42화")</f>
        <v>너랑 나랑 하면 42화</v>
      </c>
      <c r="D330" t="str">
        <f>T("42")</f>
        <v>42</v>
      </c>
      <c r="E330" t="str">
        <f>T("NISANSUI")</f>
        <v>NISANSUI</v>
      </c>
      <c r="G330" t="str">
        <f>T("ZIQUAN")</f>
        <v>ZIQUAN</v>
      </c>
      <c r="H330" t="str">
        <f t="shared" si="63"/>
        <v>스토리위즈</v>
      </c>
      <c r="I330" t="str">
        <f>T("너랑 나랑 하면")</f>
        <v>너랑 나랑 하면</v>
      </c>
      <c r="J330">
        <v>400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 s="3">
        <v>0</v>
      </c>
      <c r="AH330" s="3">
        <v>3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R330" t="str">
        <f t="shared" si="64"/>
        <v>0000000000000</v>
      </c>
      <c r="AT330" t="str">
        <f>T("9791166067884")</f>
        <v>9791166067884</v>
      </c>
      <c r="AV330" t="str">
        <f>T("BL 웹툰 &gt; 웹툰")</f>
        <v>BL 웹툰 &gt; 웹툰</v>
      </c>
    </row>
    <row r="331" spans="1:49" x14ac:dyDescent="0.4">
      <c r="A331">
        <v>4421000198</v>
      </c>
      <c r="B331">
        <v>4421001548</v>
      </c>
      <c r="C331" t="str">
        <f>T("공주전쟁 99화")</f>
        <v>공주전쟁 99화</v>
      </c>
      <c r="D331" t="str">
        <f>T("99")</f>
        <v>99</v>
      </c>
      <c r="E331" t="str">
        <f>T("Hujing")</f>
        <v>Hujing</v>
      </c>
      <c r="G331" t="str">
        <f>T("Luojie")</f>
        <v>Luojie</v>
      </c>
      <c r="H331" t="str">
        <f t="shared" si="63"/>
        <v>스토리위즈</v>
      </c>
      <c r="I331" t="str">
        <f>T("공주전쟁")</f>
        <v>공주전쟁</v>
      </c>
      <c r="J331">
        <v>400</v>
      </c>
      <c r="K331">
        <v>0</v>
      </c>
      <c r="L331">
        <v>0</v>
      </c>
      <c r="M331">
        <v>0</v>
      </c>
      <c r="N331">
        <v>200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 s="3">
        <v>200</v>
      </c>
      <c r="AH331" s="3">
        <v>1</v>
      </c>
      <c r="AI331" s="3">
        <v>0</v>
      </c>
      <c r="AJ331" s="3">
        <v>0</v>
      </c>
      <c r="AK331" s="3">
        <v>0</v>
      </c>
      <c r="AL331" s="3">
        <v>0</v>
      </c>
      <c r="AM331" s="3">
        <v>240</v>
      </c>
      <c r="AN331" s="3">
        <v>-72</v>
      </c>
      <c r="AO331" s="3">
        <v>0</v>
      </c>
      <c r="AP331" s="3">
        <v>117.6</v>
      </c>
      <c r="AR331" t="str">
        <f t="shared" si="64"/>
        <v>0000000000000</v>
      </c>
      <c r="AT331" t="str">
        <f>T("9791166069666")</f>
        <v>9791166069666</v>
      </c>
      <c r="AV331" t="str">
        <f>T("웹툰 &gt; 해외 순정")</f>
        <v>웹툰 &gt; 해외 순정</v>
      </c>
      <c r="AW331" t="str">
        <f>T("웹툰 &gt; 로판")</f>
        <v>웹툰 &gt; 로판</v>
      </c>
    </row>
    <row r="332" spans="1:49" x14ac:dyDescent="0.4">
      <c r="A332">
        <v>4421000198</v>
      </c>
      <c r="B332">
        <v>4421000221</v>
      </c>
      <c r="C332" t="str">
        <f>T("공주전쟁 24화")</f>
        <v>공주전쟁 24화</v>
      </c>
      <c r="D332" t="str">
        <f>T("24")</f>
        <v>24</v>
      </c>
      <c r="E332" t="str">
        <f>T("Hujing")</f>
        <v>Hujing</v>
      </c>
      <c r="G332" t="str">
        <f>T("Luojie")</f>
        <v>Luojie</v>
      </c>
      <c r="H332" t="str">
        <f t="shared" si="63"/>
        <v>스토리위즈</v>
      </c>
      <c r="I332" t="str">
        <f>T("공주전쟁")</f>
        <v>공주전쟁</v>
      </c>
      <c r="J332">
        <v>400</v>
      </c>
      <c r="K332">
        <v>0</v>
      </c>
      <c r="L332">
        <v>0</v>
      </c>
      <c r="M332">
        <v>0</v>
      </c>
      <c r="N332">
        <v>600</v>
      </c>
      <c r="O332">
        <v>3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 s="3">
        <v>600</v>
      </c>
      <c r="AH332" s="3">
        <v>3</v>
      </c>
      <c r="AI332" s="3">
        <v>0</v>
      </c>
      <c r="AJ332" s="3">
        <v>0</v>
      </c>
      <c r="AK332" s="3">
        <v>400</v>
      </c>
      <c r="AL332" s="3">
        <v>0</v>
      </c>
      <c r="AM332" s="3">
        <v>240</v>
      </c>
      <c r="AN332" s="3">
        <v>-72</v>
      </c>
      <c r="AO332" s="3">
        <v>0</v>
      </c>
      <c r="AP332" s="3">
        <v>397.6</v>
      </c>
      <c r="AR332" t="str">
        <f t="shared" si="64"/>
        <v>0000000000000</v>
      </c>
      <c r="AT332" t="str">
        <f>T("9791166069666")</f>
        <v>9791166069666</v>
      </c>
      <c r="AV332" t="str">
        <f>T("웹툰 &gt; 해외 순정")</f>
        <v>웹툰 &gt; 해외 순정</v>
      </c>
      <c r="AW332" t="str">
        <f>T("웹툰 &gt; 로판")</f>
        <v>웹툰 &gt; 로판</v>
      </c>
    </row>
    <row r="333" spans="1:49" x14ac:dyDescent="0.4">
      <c r="A333">
        <v>4421000866</v>
      </c>
      <c r="B333">
        <v>4421001170</v>
      </c>
      <c r="C333" t="str">
        <f>T("최애에게 들켜버렸다 41화")</f>
        <v>최애에게 들켜버렸다 41화</v>
      </c>
      <c r="D333" t="str">
        <f>T("42")</f>
        <v>42</v>
      </c>
      <c r="E333" t="str">
        <f>T("Lv")</f>
        <v>Lv</v>
      </c>
      <c r="G333" t="str">
        <f>T("Lv")</f>
        <v>Lv</v>
      </c>
      <c r="H333" t="str">
        <f t="shared" si="63"/>
        <v>스토리위즈</v>
      </c>
      <c r="I333" t="str">
        <f>T("최애에게 들켜버렸다")</f>
        <v>최애에게 들켜버렸다</v>
      </c>
      <c r="J333">
        <v>400</v>
      </c>
      <c r="K333">
        <v>0</v>
      </c>
      <c r="L333">
        <v>0</v>
      </c>
      <c r="M333">
        <v>0</v>
      </c>
      <c r="N333">
        <v>600</v>
      </c>
      <c r="O333">
        <v>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 s="3">
        <v>600</v>
      </c>
      <c r="AH333" s="3">
        <v>3</v>
      </c>
      <c r="AI333" s="3">
        <v>0</v>
      </c>
      <c r="AJ333" s="3">
        <v>0</v>
      </c>
      <c r="AK333" s="3">
        <v>424</v>
      </c>
      <c r="AL333" s="3">
        <v>0</v>
      </c>
      <c r="AM333" s="3">
        <v>211.38</v>
      </c>
      <c r="AN333" s="3">
        <v>-63.41</v>
      </c>
      <c r="AO333" s="3">
        <v>0</v>
      </c>
      <c r="AP333" s="3">
        <v>400.38</v>
      </c>
      <c r="AR333" t="str">
        <f t="shared" si="64"/>
        <v>0000000000000</v>
      </c>
      <c r="AT333" t="str">
        <f>T("9791137601253")</f>
        <v>9791137601253</v>
      </c>
      <c r="AV333" t="str">
        <f>T("웹툰 &gt; 해외 순정")</f>
        <v>웹툰 &gt; 해외 순정</v>
      </c>
      <c r="AW333" t="str">
        <f>T("웹툰 &gt; 로맨스")</f>
        <v>웹툰 &gt; 로맨스</v>
      </c>
    </row>
    <row r="334" spans="1:49" x14ac:dyDescent="0.4">
      <c r="A334">
        <v>4421001325</v>
      </c>
      <c r="B334">
        <v>4421001455</v>
      </c>
      <c r="C334" t="str">
        <f>T("커피여우 김삼월 19화")</f>
        <v>커피여우 김삼월 19화</v>
      </c>
      <c r="D334" t="str">
        <f>T("19")</f>
        <v>19</v>
      </c>
      <c r="E334" t="str">
        <f>T("Nica")</f>
        <v>Nica</v>
      </c>
      <c r="G334" t="str">
        <f>T("A.Noa, RK Studio")</f>
        <v>A.Noa, RK Studio</v>
      </c>
      <c r="H334" t="str">
        <f t="shared" si="63"/>
        <v>스토리위즈</v>
      </c>
      <c r="I334" t="str">
        <f>T("커피여우 김삼월")</f>
        <v>커피여우 김삼월</v>
      </c>
      <c r="J334">
        <v>500</v>
      </c>
      <c r="K334">
        <v>0</v>
      </c>
      <c r="L334">
        <v>0</v>
      </c>
      <c r="M334">
        <v>0</v>
      </c>
      <c r="N334">
        <v>200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 s="3">
        <v>200</v>
      </c>
      <c r="AH334" s="3">
        <v>1</v>
      </c>
      <c r="AI334" s="3">
        <v>0</v>
      </c>
      <c r="AJ334" s="3">
        <v>0</v>
      </c>
      <c r="AK334" s="3">
        <v>200</v>
      </c>
      <c r="AL334" s="3">
        <v>0</v>
      </c>
      <c r="AM334" s="3">
        <v>0</v>
      </c>
      <c r="AN334" s="3">
        <v>0</v>
      </c>
      <c r="AO334" s="3">
        <v>0</v>
      </c>
      <c r="AP334" s="3">
        <v>140</v>
      </c>
      <c r="AR334" t="str">
        <f t="shared" si="64"/>
        <v>0000000000000</v>
      </c>
      <c r="AT334" t="str">
        <f>T("9791191241792")</f>
        <v>9791191241792</v>
      </c>
      <c r="AV334" t="str">
        <f>T("웹툰 &gt; 로맨스")</f>
        <v>웹툰 &gt; 로맨스</v>
      </c>
    </row>
    <row r="335" spans="1:49" x14ac:dyDescent="0.4">
      <c r="A335">
        <v>4421000337</v>
      </c>
      <c r="B335">
        <v>4421000446</v>
      </c>
      <c r="C335" t="str">
        <f>T("계약연애, 오늘부터 1일 110화")</f>
        <v>계약연애, 오늘부터 1일 110화</v>
      </c>
      <c r="D335" t="str">
        <f>T("110")</f>
        <v>110</v>
      </c>
      <c r="E335" t="str">
        <f>T("원기공장")</f>
        <v>원기공장</v>
      </c>
      <c r="H335" t="str">
        <f t="shared" si="63"/>
        <v>스토리위즈</v>
      </c>
      <c r="I335" t="str">
        <f>T("계약연애, 오늘부터 1일")</f>
        <v>계약연애, 오늘부터 1일</v>
      </c>
      <c r="J335">
        <v>200</v>
      </c>
      <c r="K335">
        <v>0</v>
      </c>
      <c r="L335">
        <v>0</v>
      </c>
      <c r="M335">
        <v>0</v>
      </c>
      <c r="N335">
        <v>100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 s="3">
        <v>100</v>
      </c>
      <c r="AH335" s="3">
        <v>1</v>
      </c>
      <c r="AI335" s="3">
        <v>0</v>
      </c>
      <c r="AJ335" s="3">
        <v>0</v>
      </c>
      <c r="AK335" s="3">
        <v>100</v>
      </c>
      <c r="AL335" s="3">
        <v>0</v>
      </c>
      <c r="AM335" s="3">
        <v>0</v>
      </c>
      <c r="AN335" s="3">
        <v>0</v>
      </c>
      <c r="AO335" s="3">
        <v>0</v>
      </c>
      <c r="AP335" s="3">
        <v>70</v>
      </c>
      <c r="AR335" t="str">
        <f t="shared" si="64"/>
        <v>0000000000000</v>
      </c>
      <c r="AT335" t="str">
        <f>T("9791166068027")</f>
        <v>9791166068027</v>
      </c>
      <c r="AV335" t="str">
        <f>T("웹툰 &gt; 해외 순정")</f>
        <v>웹툰 &gt; 해외 순정</v>
      </c>
      <c r="AW335" t="str">
        <f>T("웹툰 &gt; 로맨스")</f>
        <v>웹툰 &gt; 로맨스</v>
      </c>
    </row>
    <row r="336" spans="1:49" x14ac:dyDescent="0.4">
      <c r="A336">
        <v>4421000887</v>
      </c>
      <c r="B336">
        <v>4421000956</v>
      </c>
      <c r="C336" t="str">
        <f>T("폭군의 눈물 27화")</f>
        <v>폭군의 눈물 27화</v>
      </c>
      <c r="D336" t="str">
        <f>T("27")</f>
        <v>27</v>
      </c>
      <c r="E336" t="str">
        <f>T("Ice×FANFAN COMIC")</f>
        <v>Ice×FANFAN COMIC</v>
      </c>
      <c r="G336" t="str">
        <f>T("Ice×FANFAN COMIC")</f>
        <v>Ice×FANFAN COMIC</v>
      </c>
      <c r="H336" t="str">
        <f t="shared" si="63"/>
        <v>스토리위즈</v>
      </c>
      <c r="I336" t="str">
        <f>T("폭군의 눈물")</f>
        <v>폭군의 눈물</v>
      </c>
      <c r="J336">
        <v>400</v>
      </c>
      <c r="K336">
        <v>0</v>
      </c>
      <c r="L336">
        <v>0</v>
      </c>
      <c r="M336">
        <v>0</v>
      </c>
      <c r="N336">
        <v>600</v>
      </c>
      <c r="O336">
        <v>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 s="3">
        <v>600</v>
      </c>
      <c r="AH336" s="3">
        <v>3</v>
      </c>
      <c r="AI336" s="3">
        <v>0</v>
      </c>
      <c r="AJ336" s="3">
        <v>0</v>
      </c>
      <c r="AK336" s="3">
        <v>400</v>
      </c>
      <c r="AL336" s="3">
        <v>0</v>
      </c>
      <c r="AM336" s="3">
        <v>240</v>
      </c>
      <c r="AN336" s="3">
        <v>-72</v>
      </c>
      <c r="AO336" s="3">
        <v>0</v>
      </c>
      <c r="AP336" s="3">
        <v>397.6</v>
      </c>
      <c r="AR336" t="str">
        <f t="shared" si="64"/>
        <v>0000000000000</v>
      </c>
      <c r="AT336" t="str">
        <f>T("9791137601291")</f>
        <v>9791137601291</v>
      </c>
      <c r="AV336" t="str">
        <f>T("웹툰 &gt; 해외 순정")</f>
        <v>웹툰 &gt; 해외 순정</v>
      </c>
      <c r="AW336" t="str">
        <f>T("웹툰 &gt; 로판")</f>
        <v>웹툰 &gt; 로판</v>
      </c>
    </row>
    <row r="337" spans="1:49" x14ac:dyDescent="0.4">
      <c r="A337">
        <v>4421001764</v>
      </c>
      <c r="B337">
        <v>4421001780</v>
      </c>
      <c r="C337" t="str">
        <f>T("예쁜 남자 잘생긴 여자 17화")</f>
        <v>예쁜 남자 잘생긴 여자 17화</v>
      </c>
      <c r="D337" t="str">
        <f>T("17")</f>
        <v>17</v>
      </c>
      <c r="E337" t="str">
        <f>T("웹티")</f>
        <v>웹티</v>
      </c>
      <c r="H337" t="str">
        <f t="shared" si="63"/>
        <v>스토리위즈</v>
      </c>
      <c r="I337" t="str">
        <f>T("예쁜 남자 잘생긴 여자")</f>
        <v>예쁜 남자 잘생긴 여자</v>
      </c>
      <c r="J337">
        <v>500</v>
      </c>
      <c r="K337">
        <v>0</v>
      </c>
      <c r="L337">
        <v>0</v>
      </c>
      <c r="M337">
        <v>0</v>
      </c>
      <c r="N337">
        <v>200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 s="3">
        <v>200</v>
      </c>
      <c r="AH337" s="3">
        <v>1</v>
      </c>
      <c r="AI337" s="3">
        <v>0</v>
      </c>
      <c r="AJ337" s="3">
        <v>0</v>
      </c>
      <c r="AK337" s="3">
        <v>0</v>
      </c>
      <c r="AL337" s="3">
        <v>0</v>
      </c>
      <c r="AM337" s="3">
        <v>240.82</v>
      </c>
      <c r="AN337" s="3">
        <v>-72.25</v>
      </c>
      <c r="AO337" s="3">
        <v>0</v>
      </c>
      <c r="AP337" s="3">
        <v>118</v>
      </c>
      <c r="AR337" t="str">
        <f t="shared" si="64"/>
        <v>0000000000000</v>
      </c>
      <c r="AT337" t="str">
        <f>T("9791190702164")</f>
        <v>9791190702164</v>
      </c>
      <c r="AV337" t="str">
        <f>T("웹툰 &gt; 로맨스")</f>
        <v>웹툰 &gt; 로맨스</v>
      </c>
    </row>
    <row r="338" spans="1:49" x14ac:dyDescent="0.4">
      <c r="A338">
        <v>4421000337</v>
      </c>
      <c r="B338">
        <v>4421000406</v>
      </c>
      <c r="C338" t="str">
        <f>T("계약연애, 오늘부터 1일 70화")</f>
        <v>계약연애, 오늘부터 1일 70화</v>
      </c>
      <c r="D338" t="str">
        <f>T("70")</f>
        <v>70</v>
      </c>
      <c r="E338" t="str">
        <f>T("원기공장")</f>
        <v>원기공장</v>
      </c>
      <c r="H338" t="str">
        <f t="shared" si="63"/>
        <v>스토리위즈</v>
      </c>
      <c r="I338" t="str">
        <f>T("계약연애, 오늘부터 1일")</f>
        <v>계약연애, 오늘부터 1일</v>
      </c>
      <c r="J338">
        <v>200</v>
      </c>
      <c r="K338">
        <v>0</v>
      </c>
      <c r="L338">
        <v>0</v>
      </c>
      <c r="M338">
        <v>0</v>
      </c>
      <c r="N338">
        <v>100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 s="3">
        <v>100</v>
      </c>
      <c r="AH338" s="3">
        <v>1</v>
      </c>
      <c r="AI338" s="3">
        <v>0</v>
      </c>
      <c r="AJ338" s="3">
        <v>0</v>
      </c>
      <c r="AK338" s="3">
        <v>100</v>
      </c>
      <c r="AL338" s="3">
        <v>0</v>
      </c>
      <c r="AM338" s="3">
        <v>0</v>
      </c>
      <c r="AN338" s="3">
        <v>0</v>
      </c>
      <c r="AO338" s="3">
        <v>0</v>
      </c>
      <c r="AP338" s="3">
        <v>70</v>
      </c>
      <c r="AR338" t="str">
        <f t="shared" si="64"/>
        <v>0000000000000</v>
      </c>
      <c r="AT338" t="str">
        <f>T("9791166068027")</f>
        <v>9791166068027</v>
      </c>
      <c r="AV338" t="str">
        <f>T("웹툰 &gt; 해외 순정")</f>
        <v>웹툰 &gt; 해외 순정</v>
      </c>
      <c r="AW338" t="str">
        <f>T("웹툰 &gt; 로맨스")</f>
        <v>웹툰 &gt; 로맨스</v>
      </c>
    </row>
    <row r="339" spans="1:49" x14ac:dyDescent="0.4">
      <c r="A339">
        <v>4421000069</v>
      </c>
      <c r="B339">
        <v>4421001203</v>
      </c>
      <c r="C339" t="str">
        <f>T("너랑 나랑 하면 146화")</f>
        <v>너랑 나랑 하면 146화</v>
      </c>
      <c r="D339" t="str">
        <f>T("146")</f>
        <v>146</v>
      </c>
      <c r="E339" t="str">
        <f>T("NISANSUI")</f>
        <v>NISANSUI</v>
      </c>
      <c r="G339" t="str">
        <f>T("ZIQUAN")</f>
        <v>ZIQUAN</v>
      </c>
      <c r="H339" t="str">
        <f t="shared" si="63"/>
        <v>스토리위즈</v>
      </c>
      <c r="I339" t="str">
        <f>T("너랑 나랑 하면")</f>
        <v>너랑 나랑 하면</v>
      </c>
      <c r="J339">
        <v>400</v>
      </c>
      <c r="K339">
        <v>0</v>
      </c>
      <c r="L339">
        <v>0</v>
      </c>
      <c r="M339">
        <v>0</v>
      </c>
      <c r="N339">
        <v>200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 s="3">
        <v>200</v>
      </c>
      <c r="AH339" s="3">
        <v>1</v>
      </c>
      <c r="AI339" s="3">
        <v>0</v>
      </c>
      <c r="AJ339" s="3">
        <v>0</v>
      </c>
      <c r="AK339" s="3">
        <v>200</v>
      </c>
      <c r="AL339" s="3">
        <v>0</v>
      </c>
      <c r="AM339" s="3">
        <v>0</v>
      </c>
      <c r="AN339" s="3">
        <v>0</v>
      </c>
      <c r="AO339" s="3">
        <v>0</v>
      </c>
      <c r="AP339" s="3">
        <v>140</v>
      </c>
      <c r="AR339" t="str">
        <f t="shared" si="64"/>
        <v>0000000000000</v>
      </c>
      <c r="AT339" t="str">
        <f>T("9791166067884")</f>
        <v>9791166067884</v>
      </c>
      <c r="AV339" t="str">
        <f>T("BL 웹툰 &gt; 웹툰")</f>
        <v>BL 웹툰 &gt; 웹툰</v>
      </c>
    </row>
    <row r="340" spans="1:49" x14ac:dyDescent="0.4">
      <c r="A340">
        <v>4421000450</v>
      </c>
      <c r="B340">
        <v>4421000486</v>
      </c>
      <c r="C340" t="str">
        <f>T("내 남편의 스토커 36화")</f>
        <v>내 남편의 스토커 36화</v>
      </c>
      <c r="D340" t="str">
        <f>T("36")</f>
        <v>36</v>
      </c>
      <c r="E340" t="str">
        <f>T("혜원")</f>
        <v>혜원</v>
      </c>
      <c r="G340" t="str">
        <f>T("혜원")</f>
        <v>혜원</v>
      </c>
      <c r="H340" t="str">
        <f t="shared" si="63"/>
        <v>스토리위즈</v>
      </c>
      <c r="I340" t="str">
        <f>T("내 남편의 스토커")</f>
        <v>내 남편의 스토커</v>
      </c>
      <c r="J340">
        <v>400</v>
      </c>
      <c r="K340">
        <v>0</v>
      </c>
      <c r="L340">
        <v>0</v>
      </c>
      <c r="M340">
        <v>0</v>
      </c>
      <c r="N340">
        <v>200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 s="3">
        <v>200</v>
      </c>
      <c r="AH340" s="3">
        <v>1</v>
      </c>
      <c r="AI340" s="3">
        <v>0</v>
      </c>
      <c r="AJ340" s="3">
        <v>0</v>
      </c>
      <c r="AK340" s="3">
        <v>200</v>
      </c>
      <c r="AL340" s="3">
        <v>0</v>
      </c>
      <c r="AM340" s="3">
        <v>0</v>
      </c>
      <c r="AN340" s="3">
        <v>0</v>
      </c>
      <c r="AO340" s="3">
        <v>0</v>
      </c>
      <c r="AP340" s="3">
        <v>140</v>
      </c>
      <c r="AR340" t="str">
        <f t="shared" si="64"/>
        <v>0000000000000</v>
      </c>
      <c r="AT340" t="str">
        <f>T("9791166068034")</f>
        <v>9791166068034</v>
      </c>
      <c r="AV340" t="str">
        <f>T("웹툰 &gt; 로맨스")</f>
        <v>웹툰 &gt; 로맨스</v>
      </c>
    </row>
    <row r="341" spans="1:49" x14ac:dyDescent="0.4">
      <c r="A341">
        <v>4421001000</v>
      </c>
      <c r="B341">
        <v>4421001003</v>
      </c>
      <c r="C341" t="str">
        <f>T("로맨틱 시그널 4화")</f>
        <v>로맨틱 시그널 4화</v>
      </c>
      <c r="D341" t="str">
        <f>T("4")</f>
        <v>4</v>
      </c>
      <c r="E341" t="str">
        <f>T("Bless+cangshukou")</f>
        <v>Bless+cangshukou</v>
      </c>
      <c r="G341" t="str">
        <f>T("Bless+cangshukou")</f>
        <v>Bless+cangshukou</v>
      </c>
      <c r="H341" t="str">
        <f t="shared" si="63"/>
        <v>스토리위즈</v>
      </c>
      <c r="I341" t="str">
        <f>T("로맨틱 시그널")</f>
        <v>로맨틱 시그널</v>
      </c>
      <c r="J341">
        <v>200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 s="3">
        <v>0</v>
      </c>
      <c r="AH341" s="3">
        <v>2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R341" t="str">
        <f t="shared" si="64"/>
        <v>0000000000000</v>
      </c>
      <c r="AT341" t="str">
        <f>T("9791166068041")</f>
        <v>9791166068041</v>
      </c>
      <c r="AV341" t="str">
        <f>T("웹툰 &gt; 해외 순정")</f>
        <v>웹툰 &gt; 해외 순정</v>
      </c>
      <c r="AW341" t="str">
        <f>T("웹툰 &gt; 로맨스")</f>
        <v>웹툰 &gt; 로맨스</v>
      </c>
    </row>
    <row r="342" spans="1:49" x14ac:dyDescent="0.4">
      <c r="A342">
        <v>4421000866</v>
      </c>
      <c r="B342">
        <v>4421000885</v>
      </c>
      <c r="C342" t="str">
        <f>T("최애에게 들켜버렸다 19화")</f>
        <v>최애에게 들켜버렸다 19화</v>
      </c>
      <c r="D342" t="str">
        <f>T("19")</f>
        <v>19</v>
      </c>
      <c r="E342" t="str">
        <f>T("Lv")</f>
        <v>Lv</v>
      </c>
      <c r="G342" t="str">
        <f>T("Lv")</f>
        <v>Lv</v>
      </c>
      <c r="H342" t="str">
        <f t="shared" si="63"/>
        <v>스토리위즈</v>
      </c>
      <c r="I342" t="str">
        <f>T("최애에게 들켜버렸다")</f>
        <v>최애에게 들켜버렸다</v>
      </c>
      <c r="J342">
        <v>400</v>
      </c>
      <c r="K342">
        <v>0</v>
      </c>
      <c r="L342">
        <v>0</v>
      </c>
      <c r="M342">
        <v>0</v>
      </c>
      <c r="N342">
        <v>1000</v>
      </c>
      <c r="O342">
        <v>5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 s="3">
        <v>1000</v>
      </c>
      <c r="AH342" s="3">
        <v>5</v>
      </c>
      <c r="AI342" s="3">
        <v>0</v>
      </c>
      <c r="AJ342" s="3">
        <v>0</v>
      </c>
      <c r="AK342" s="3">
        <v>824</v>
      </c>
      <c r="AL342" s="3">
        <v>0</v>
      </c>
      <c r="AM342" s="3">
        <v>211.38</v>
      </c>
      <c r="AN342" s="3">
        <v>-63.41</v>
      </c>
      <c r="AO342" s="3">
        <v>0</v>
      </c>
      <c r="AP342" s="3">
        <v>680.38</v>
      </c>
      <c r="AR342" t="str">
        <f t="shared" si="64"/>
        <v>0000000000000</v>
      </c>
      <c r="AT342" t="str">
        <f>T("9791137601253")</f>
        <v>9791137601253</v>
      </c>
      <c r="AV342" t="str">
        <f>T("웹툰 &gt; 해외 순정")</f>
        <v>웹툰 &gt; 해외 순정</v>
      </c>
      <c r="AW342" t="str">
        <f>T("웹툰 &gt; 로맨스")</f>
        <v>웹툰 &gt; 로맨스</v>
      </c>
    </row>
    <row r="343" spans="1:49" x14ac:dyDescent="0.4">
      <c r="A343">
        <v>4421002129</v>
      </c>
      <c r="B343">
        <v>4421002129</v>
      </c>
      <c r="C343" t="str">
        <f>T("향수고에서 생긴 일 1화")</f>
        <v>향수고에서 생긴 일 1화</v>
      </c>
      <c r="D343" t="str">
        <f>T("1")</f>
        <v>1</v>
      </c>
      <c r="E343" t="str">
        <f>T("웹티")</f>
        <v>웹티</v>
      </c>
      <c r="H343" t="str">
        <f t="shared" si="63"/>
        <v>스토리위즈</v>
      </c>
      <c r="I343" t="str">
        <f>T("향수고에서 생긴 일")</f>
        <v>향수고에서 생긴 일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 s="3">
        <v>0</v>
      </c>
      <c r="AH343" s="3">
        <v>1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R343" t="str">
        <f t="shared" si="64"/>
        <v>0000000000000</v>
      </c>
      <c r="AT343" t="str">
        <f>T("9791190622035")</f>
        <v>9791190622035</v>
      </c>
      <c r="AV343" t="str">
        <f>T("웹툰 &gt; 드라마")</f>
        <v>웹툰 &gt; 드라마</v>
      </c>
    </row>
    <row r="344" spans="1:49" x14ac:dyDescent="0.4">
      <c r="A344">
        <v>4421000518</v>
      </c>
      <c r="B344">
        <v>4421000558</v>
      </c>
      <c r="C344" t="str">
        <f>T("백스테이지 키스신 40화")</f>
        <v>백스테이지 키스신 40화</v>
      </c>
      <c r="D344" t="str">
        <f>T("40")</f>
        <v>40</v>
      </c>
      <c r="E344" t="str">
        <f>T("최도비")</f>
        <v>최도비</v>
      </c>
      <c r="G344" t="str">
        <f>T("수정과")</f>
        <v>수정과</v>
      </c>
      <c r="H344" t="str">
        <f t="shared" si="63"/>
        <v>스토리위즈</v>
      </c>
      <c r="I344" t="str">
        <f>T("백스테이지 키스신")</f>
        <v>백스테이지 키스신</v>
      </c>
      <c r="J344">
        <v>400</v>
      </c>
      <c r="K344">
        <v>0</v>
      </c>
      <c r="L344">
        <v>0</v>
      </c>
      <c r="M344">
        <v>0</v>
      </c>
      <c r="N344">
        <v>200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 s="3">
        <v>200</v>
      </c>
      <c r="AH344" s="3">
        <v>1</v>
      </c>
      <c r="AI344" s="3">
        <v>0</v>
      </c>
      <c r="AJ344" s="3">
        <v>0</v>
      </c>
      <c r="AK344" s="3">
        <v>200</v>
      </c>
      <c r="AL344" s="3">
        <v>0</v>
      </c>
      <c r="AM344" s="3">
        <v>0</v>
      </c>
      <c r="AN344" s="3">
        <v>0</v>
      </c>
      <c r="AO344" s="3">
        <v>0</v>
      </c>
      <c r="AP344" s="3">
        <v>140</v>
      </c>
      <c r="AR344" t="str">
        <f t="shared" si="64"/>
        <v>0000000000000</v>
      </c>
      <c r="AT344" t="str">
        <f>T("9791166067990")</f>
        <v>9791166067990</v>
      </c>
      <c r="AV344" t="str">
        <f>T("웹툰 &gt; 로맨스")</f>
        <v>웹툰 &gt; 로맨스</v>
      </c>
    </row>
    <row r="345" spans="1:49" x14ac:dyDescent="0.4">
      <c r="A345">
        <v>4421001325</v>
      </c>
      <c r="B345">
        <v>4421001338</v>
      </c>
      <c r="C345" t="str">
        <f>T("커피여우 김삼월 14화")</f>
        <v>커피여우 김삼월 14화</v>
      </c>
      <c r="D345" t="str">
        <f>T("14")</f>
        <v>14</v>
      </c>
      <c r="E345" t="str">
        <f>T("Nica")</f>
        <v>Nica</v>
      </c>
      <c r="G345" t="str">
        <f>T("A.Noa, RK Studio")</f>
        <v>A.Noa, RK Studio</v>
      </c>
      <c r="H345" t="str">
        <f t="shared" si="63"/>
        <v>스토리위즈</v>
      </c>
      <c r="I345" t="str">
        <f>T("커피여우 김삼월")</f>
        <v>커피여우 김삼월</v>
      </c>
      <c r="J345">
        <v>500</v>
      </c>
      <c r="K345">
        <v>0</v>
      </c>
      <c r="L345">
        <v>0</v>
      </c>
      <c r="M345">
        <v>0</v>
      </c>
      <c r="N345">
        <v>200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 s="3">
        <v>200</v>
      </c>
      <c r="AH345" s="3">
        <v>1</v>
      </c>
      <c r="AI345" s="3">
        <v>0</v>
      </c>
      <c r="AJ345" s="3">
        <v>0</v>
      </c>
      <c r="AK345" s="3">
        <v>200</v>
      </c>
      <c r="AL345" s="3">
        <v>0</v>
      </c>
      <c r="AM345" s="3">
        <v>0</v>
      </c>
      <c r="AN345" s="3">
        <v>0</v>
      </c>
      <c r="AO345" s="3">
        <v>0</v>
      </c>
      <c r="AP345" s="3">
        <v>140</v>
      </c>
      <c r="AR345" t="str">
        <f t="shared" si="64"/>
        <v>0000000000000</v>
      </c>
      <c r="AT345" t="str">
        <f>T("9791191241792")</f>
        <v>9791191241792</v>
      </c>
      <c r="AV345" t="str">
        <f>T("웹툰 &gt; 로맨스")</f>
        <v>웹툰 &gt; 로맨스</v>
      </c>
    </row>
    <row r="346" spans="1:49" x14ac:dyDescent="0.4">
      <c r="A346">
        <v>4421000518</v>
      </c>
      <c r="B346">
        <v>4421000518</v>
      </c>
      <c r="C346" t="str">
        <f>T("백스테이지 키스신 프롤로그")</f>
        <v>백스테이지 키스신 프롤로그</v>
      </c>
      <c r="E346" t="str">
        <f>T("최도비")</f>
        <v>최도비</v>
      </c>
      <c r="G346" t="str">
        <f>T("수정과")</f>
        <v>수정과</v>
      </c>
      <c r="H346" t="str">
        <f t="shared" si="63"/>
        <v>스토리위즈</v>
      </c>
      <c r="I346" t="str">
        <f>T("백스테이지 키스신")</f>
        <v>백스테이지 키스신</v>
      </c>
      <c r="J346">
        <v>400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 s="3">
        <v>0</v>
      </c>
      <c r="AH346" s="3">
        <v>4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R346" t="str">
        <f t="shared" si="64"/>
        <v>0000000000000</v>
      </c>
      <c r="AT346" t="str">
        <f>T("9791166067990")</f>
        <v>9791166067990</v>
      </c>
      <c r="AV346" t="str">
        <f>T("웹툰 &gt; 로맨스")</f>
        <v>웹툰 &gt; 로맨스</v>
      </c>
    </row>
    <row r="347" spans="1:49" x14ac:dyDescent="0.4">
      <c r="A347">
        <v>4421000337</v>
      </c>
      <c r="B347">
        <v>4421000358</v>
      </c>
      <c r="C347" t="str">
        <f>T("계약연애, 오늘부터 1일 22화")</f>
        <v>계약연애, 오늘부터 1일 22화</v>
      </c>
      <c r="D347" t="str">
        <f>T("22")</f>
        <v>22</v>
      </c>
      <c r="E347" t="str">
        <f>T("원기공장")</f>
        <v>원기공장</v>
      </c>
      <c r="H347" t="str">
        <f t="shared" si="63"/>
        <v>스토리위즈</v>
      </c>
      <c r="I347" t="str">
        <f>T("계약연애, 오늘부터 1일")</f>
        <v>계약연애, 오늘부터 1일</v>
      </c>
      <c r="J347">
        <v>200</v>
      </c>
      <c r="K347">
        <v>0</v>
      </c>
      <c r="L347">
        <v>0</v>
      </c>
      <c r="M347">
        <v>0</v>
      </c>
      <c r="N347">
        <v>100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 s="3">
        <v>100</v>
      </c>
      <c r="AH347" s="3">
        <v>1</v>
      </c>
      <c r="AI347" s="3">
        <v>0</v>
      </c>
      <c r="AJ347" s="3">
        <v>0</v>
      </c>
      <c r="AK347" s="3">
        <v>100</v>
      </c>
      <c r="AL347" s="3">
        <v>0</v>
      </c>
      <c r="AM347" s="3">
        <v>0</v>
      </c>
      <c r="AN347" s="3">
        <v>0</v>
      </c>
      <c r="AO347" s="3">
        <v>0</v>
      </c>
      <c r="AP347" s="3">
        <v>70</v>
      </c>
      <c r="AR347" t="str">
        <f t="shared" si="64"/>
        <v>0000000000000</v>
      </c>
      <c r="AT347" t="str">
        <f>T("9791166068027")</f>
        <v>9791166068027</v>
      </c>
      <c r="AV347" t="str">
        <f>T("웹툰 &gt; 해외 순정")</f>
        <v>웹툰 &gt; 해외 순정</v>
      </c>
      <c r="AW347" t="str">
        <f>T("웹툰 &gt; 로맨스")</f>
        <v>웹툰 &gt; 로맨스</v>
      </c>
    </row>
    <row r="348" spans="1:49" x14ac:dyDescent="0.4">
      <c r="A348">
        <v>4421000069</v>
      </c>
      <c r="B348">
        <v>4421001237</v>
      </c>
      <c r="C348" t="str">
        <f>T("너랑 나랑 하면 154화")</f>
        <v>너랑 나랑 하면 154화</v>
      </c>
      <c r="D348" t="str">
        <f>T("154")</f>
        <v>154</v>
      </c>
      <c r="E348" t="str">
        <f>T("NISANSUI")</f>
        <v>NISANSUI</v>
      </c>
      <c r="G348" t="str">
        <f>T("ZIQUAN")</f>
        <v>ZIQUAN</v>
      </c>
      <c r="H348" t="str">
        <f t="shared" si="63"/>
        <v>스토리위즈</v>
      </c>
      <c r="I348" t="str">
        <f>T("너랑 나랑 하면")</f>
        <v>너랑 나랑 하면</v>
      </c>
      <c r="J348">
        <v>400</v>
      </c>
      <c r="K348">
        <v>0</v>
      </c>
      <c r="L348">
        <v>0</v>
      </c>
      <c r="M348">
        <v>0</v>
      </c>
      <c r="N348">
        <v>200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 s="3">
        <v>200</v>
      </c>
      <c r="AH348" s="3">
        <v>1</v>
      </c>
      <c r="AI348" s="3">
        <v>0</v>
      </c>
      <c r="AJ348" s="3">
        <v>0</v>
      </c>
      <c r="AK348" s="3">
        <v>200</v>
      </c>
      <c r="AL348" s="3">
        <v>0</v>
      </c>
      <c r="AM348" s="3">
        <v>0</v>
      </c>
      <c r="AN348" s="3">
        <v>0</v>
      </c>
      <c r="AO348" s="3">
        <v>0</v>
      </c>
      <c r="AP348" s="3">
        <v>140</v>
      </c>
      <c r="AR348" t="str">
        <f t="shared" si="64"/>
        <v>0000000000000</v>
      </c>
      <c r="AT348" t="str">
        <f>T("9791166067884")</f>
        <v>9791166067884</v>
      </c>
      <c r="AV348" t="str">
        <f>T("BL 웹툰 &gt; 웹툰")</f>
        <v>BL 웹툰 &gt; 웹툰</v>
      </c>
    </row>
    <row r="349" spans="1:49" x14ac:dyDescent="0.4">
      <c r="A349">
        <v>4421000069</v>
      </c>
      <c r="B349">
        <v>4421000079</v>
      </c>
      <c r="C349" t="str">
        <f>T("너랑 나랑 하면 10화")</f>
        <v>너랑 나랑 하면 10화</v>
      </c>
      <c r="D349" t="str">
        <f>T("10")</f>
        <v>10</v>
      </c>
      <c r="E349" t="str">
        <f>T("NISANSUI")</f>
        <v>NISANSUI</v>
      </c>
      <c r="G349" t="str">
        <f>T("ZIQUAN")</f>
        <v>ZIQUAN</v>
      </c>
      <c r="H349" t="str">
        <f t="shared" si="63"/>
        <v>스토리위즈</v>
      </c>
      <c r="I349" t="str">
        <f>T("너랑 나랑 하면")</f>
        <v>너랑 나랑 하면</v>
      </c>
      <c r="J349">
        <v>400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 s="3">
        <v>0</v>
      </c>
      <c r="AH349" s="3">
        <v>3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R349" t="str">
        <f t="shared" si="64"/>
        <v>0000000000000</v>
      </c>
      <c r="AT349" t="str">
        <f>T("9791166067884")</f>
        <v>9791166067884</v>
      </c>
      <c r="AV349" t="str">
        <f>T("BL 웹툰 &gt; 웹툰")</f>
        <v>BL 웹툰 &gt; 웹툰</v>
      </c>
    </row>
    <row r="350" spans="1:49" x14ac:dyDescent="0.4">
      <c r="A350">
        <v>4421000916</v>
      </c>
      <c r="B350">
        <v>4421000917</v>
      </c>
      <c r="C350" t="str">
        <f>T("별빛 아래 우리 2화")</f>
        <v>별빛 아래 우리 2화</v>
      </c>
      <c r="D350" t="str">
        <f>T("2")</f>
        <v>2</v>
      </c>
      <c r="E350" t="str">
        <f>T("건일")</f>
        <v>건일</v>
      </c>
      <c r="G350" t="str">
        <f>T("건일")</f>
        <v>건일</v>
      </c>
      <c r="H350" t="str">
        <f t="shared" si="63"/>
        <v>스토리위즈</v>
      </c>
      <c r="I350" t="str">
        <f>T("별빛 아래 우리")</f>
        <v>별빛 아래 우리</v>
      </c>
      <c r="J350">
        <v>400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 s="3">
        <v>0</v>
      </c>
      <c r="AH350" s="3">
        <v>33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R350" t="str">
        <f t="shared" si="64"/>
        <v>0000000000000</v>
      </c>
      <c r="AT350" t="str">
        <f>T("9791137601413")</f>
        <v>9791137601413</v>
      </c>
      <c r="AV350" t="str">
        <f>T("웹툰 &gt; 해외 순정")</f>
        <v>웹툰 &gt; 해외 순정</v>
      </c>
      <c r="AW350" t="str">
        <f>T("웹툰 &gt; 로맨스")</f>
        <v>웹툰 &gt; 로맨스</v>
      </c>
    </row>
    <row r="351" spans="1:49" x14ac:dyDescent="0.4">
      <c r="A351">
        <v>4421001340</v>
      </c>
      <c r="B351">
        <v>4421001354</v>
      </c>
      <c r="C351" t="str">
        <f>T("가출천사 육성계약 15화")</f>
        <v>가출천사 육성계약 15화</v>
      </c>
      <c r="D351" t="str">
        <f>T("15")</f>
        <v>15</v>
      </c>
      <c r="E351" t="str">
        <f>T("Bae.C, IIAKI, 박제후")</f>
        <v>Bae.C, IIAKI, 박제후</v>
      </c>
      <c r="G351" t="str">
        <f>T("Bae.C, 조우")</f>
        <v>Bae.C, 조우</v>
      </c>
      <c r="H351" t="str">
        <f t="shared" si="63"/>
        <v>스토리위즈</v>
      </c>
      <c r="I351" t="str">
        <f>T("가출천사 육성계약")</f>
        <v>가출천사 육성계약</v>
      </c>
      <c r="J351">
        <v>400</v>
      </c>
      <c r="K351">
        <v>0</v>
      </c>
      <c r="L351">
        <v>0</v>
      </c>
      <c r="M351">
        <v>0</v>
      </c>
      <c r="N351">
        <v>200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 s="3">
        <v>200</v>
      </c>
      <c r="AH351" s="3">
        <v>1</v>
      </c>
      <c r="AI351" s="3">
        <v>0</v>
      </c>
      <c r="AJ351" s="3">
        <v>0</v>
      </c>
      <c r="AK351" s="3">
        <v>200</v>
      </c>
      <c r="AL351" s="3">
        <v>0</v>
      </c>
      <c r="AM351" s="3">
        <v>0</v>
      </c>
      <c r="AN351" s="3">
        <v>0</v>
      </c>
      <c r="AO351" s="3">
        <v>0</v>
      </c>
      <c r="AP351" s="3">
        <v>140</v>
      </c>
      <c r="AR351" t="str">
        <f t="shared" si="64"/>
        <v>0000000000000</v>
      </c>
      <c r="AT351" t="str">
        <f>T("9791191765663")</f>
        <v>9791191765663</v>
      </c>
      <c r="AV351" t="str">
        <f>T("웹툰 &gt; 판타지/SF")</f>
        <v>웹툰 &gt; 판타지/SF</v>
      </c>
    </row>
    <row r="352" spans="1:49" x14ac:dyDescent="0.4">
      <c r="A352">
        <v>4421002795</v>
      </c>
      <c r="B352">
        <v>4421002795</v>
      </c>
      <c r="C352" t="str">
        <f>T("심연의 눈 1화")</f>
        <v>심연의 눈 1화</v>
      </c>
      <c r="D352" t="str">
        <f>T("1")</f>
        <v>1</v>
      </c>
      <c r="E352" t="str">
        <f>T("M.C.K")</f>
        <v>M.C.K</v>
      </c>
      <c r="H352" t="str">
        <f t="shared" si="63"/>
        <v>스토리위즈</v>
      </c>
      <c r="I352" t="str">
        <f>T("심연의 눈")</f>
        <v>심연의 눈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 s="3">
        <v>0</v>
      </c>
      <c r="AH352" s="3">
        <v>1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R352" t="str">
        <f t="shared" si="64"/>
        <v>0000000000000</v>
      </c>
      <c r="AT352" t="str">
        <f>T("9791190622226")</f>
        <v>9791190622226</v>
      </c>
      <c r="AV352" t="str">
        <f>T("웹툰 &gt; 판타지/SF")</f>
        <v>웹툰 &gt; 판타지/SF</v>
      </c>
    </row>
    <row r="353" spans="1:49" x14ac:dyDescent="0.4">
      <c r="A353">
        <v>4421000866</v>
      </c>
      <c r="B353">
        <v>4421001196</v>
      </c>
      <c r="C353" t="str">
        <f>T("최애에게 들켜버렸다 48화")</f>
        <v>최애에게 들켜버렸다 48화</v>
      </c>
      <c r="D353" t="str">
        <f>T("51")</f>
        <v>51</v>
      </c>
      <c r="E353" t="str">
        <f>T("Lv")</f>
        <v>Lv</v>
      </c>
      <c r="G353" t="str">
        <f>T("Lv")</f>
        <v>Lv</v>
      </c>
      <c r="H353" t="str">
        <f t="shared" si="63"/>
        <v>스토리위즈</v>
      </c>
      <c r="I353" t="str">
        <f>T("최애에게 들켜버렸다")</f>
        <v>최애에게 들켜버렸다</v>
      </c>
      <c r="J353">
        <v>400</v>
      </c>
      <c r="K353">
        <v>0</v>
      </c>
      <c r="L353">
        <v>0</v>
      </c>
      <c r="M353">
        <v>0</v>
      </c>
      <c r="N353">
        <v>600</v>
      </c>
      <c r="O353">
        <v>3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 s="3">
        <v>600</v>
      </c>
      <c r="AH353" s="3">
        <v>3</v>
      </c>
      <c r="AI353" s="3">
        <v>0</v>
      </c>
      <c r="AJ353" s="3">
        <v>0</v>
      </c>
      <c r="AK353" s="3">
        <v>424</v>
      </c>
      <c r="AL353" s="3">
        <v>0</v>
      </c>
      <c r="AM353" s="3">
        <v>211.38</v>
      </c>
      <c r="AN353" s="3">
        <v>-63.41</v>
      </c>
      <c r="AO353" s="3">
        <v>0</v>
      </c>
      <c r="AP353" s="3">
        <v>400.38</v>
      </c>
      <c r="AR353" t="str">
        <f t="shared" si="64"/>
        <v>0000000000000</v>
      </c>
      <c r="AT353" t="str">
        <f>T("9791137601253")</f>
        <v>9791137601253</v>
      </c>
      <c r="AV353" t="str">
        <f>T("웹툰 &gt; 해외 순정")</f>
        <v>웹툰 &gt; 해외 순정</v>
      </c>
      <c r="AW353" t="str">
        <f>T("웹툰 &gt; 로맨스")</f>
        <v>웹툰 &gt; 로맨스</v>
      </c>
    </row>
    <row r="354" spans="1:49" x14ac:dyDescent="0.4">
      <c r="A354">
        <v>4421000450</v>
      </c>
      <c r="B354">
        <v>4421000471</v>
      </c>
      <c r="C354" t="str">
        <f>T("내 남편의 스토커 21화")</f>
        <v>내 남편의 스토커 21화</v>
      </c>
      <c r="D354" t="str">
        <f>T("21")</f>
        <v>21</v>
      </c>
      <c r="E354" t="str">
        <f>T("혜원")</f>
        <v>혜원</v>
      </c>
      <c r="G354" t="str">
        <f>T("혜원")</f>
        <v>혜원</v>
      </c>
      <c r="H354" t="str">
        <f t="shared" si="63"/>
        <v>스토리위즈</v>
      </c>
      <c r="I354" t="str">
        <f>T("내 남편의 스토커")</f>
        <v>내 남편의 스토커</v>
      </c>
      <c r="J354">
        <v>400</v>
      </c>
      <c r="K354">
        <v>0</v>
      </c>
      <c r="L354">
        <v>0</v>
      </c>
      <c r="M354">
        <v>0</v>
      </c>
      <c r="N354">
        <v>200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 s="3">
        <v>200</v>
      </c>
      <c r="AH354" s="3">
        <v>1</v>
      </c>
      <c r="AI354" s="3">
        <v>0</v>
      </c>
      <c r="AJ354" s="3">
        <v>0</v>
      </c>
      <c r="AK354" s="3">
        <v>200</v>
      </c>
      <c r="AL354" s="3">
        <v>0</v>
      </c>
      <c r="AM354" s="3">
        <v>0</v>
      </c>
      <c r="AN354" s="3">
        <v>0</v>
      </c>
      <c r="AO354" s="3">
        <v>0</v>
      </c>
      <c r="AP354" s="3">
        <v>140</v>
      </c>
      <c r="AR354" t="str">
        <f t="shared" si="64"/>
        <v>0000000000000</v>
      </c>
      <c r="AT354" t="str">
        <f>T("9791166068034")</f>
        <v>9791166068034</v>
      </c>
      <c r="AV354" t="str">
        <f>T("웹툰 &gt; 로맨스")</f>
        <v>웹툰 &gt; 로맨스</v>
      </c>
    </row>
    <row r="355" spans="1:49" x14ac:dyDescent="0.4">
      <c r="A355">
        <v>4421000450</v>
      </c>
      <c r="B355">
        <v>4421000479</v>
      </c>
      <c r="C355" t="str">
        <f>T("내 남편의 스토커 29화")</f>
        <v>내 남편의 스토커 29화</v>
      </c>
      <c r="D355" t="str">
        <f>T("29")</f>
        <v>29</v>
      </c>
      <c r="E355" t="str">
        <f>T("혜원")</f>
        <v>혜원</v>
      </c>
      <c r="G355" t="str">
        <f>T("혜원")</f>
        <v>혜원</v>
      </c>
      <c r="H355" t="str">
        <f t="shared" si="63"/>
        <v>스토리위즈</v>
      </c>
      <c r="I355" t="str">
        <f>T("내 남편의 스토커")</f>
        <v>내 남편의 스토커</v>
      </c>
      <c r="J355">
        <v>400</v>
      </c>
      <c r="K355">
        <v>0</v>
      </c>
      <c r="L355">
        <v>0</v>
      </c>
      <c r="M355">
        <v>0</v>
      </c>
      <c r="N355">
        <v>200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 s="3">
        <v>200</v>
      </c>
      <c r="AH355" s="3">
        <v>1</v>
      </c>
      <c r="AI355" s="3">
        <v>0</v>
      </c>
      <c r="AJ355" s="3">
        <v>0</v>
      </c>
      <c r="AK355" s="3">
        <v>200</v>
      </c>
      <c r="AL355" s="3">
        <v>0</v>
      </c>
      <c r="AM355" s="3">
        <v>0</v>
      </c>
      <c r="AN355" s="3">
        <v>0</v>
      </c>
      <c r="AO355" s="3">
        <v>0</v>
      </c>
      <c r="AP355" s="3">
        <v>140</v>
      </c>
      <c r="AR355" t="str">
        <f t="shared" si="64"/>
        <v>0000000000000</v>
      </c>
      <c r="AT355" t="str">
        <f>T("9791166068034")</f>
        <v>9791166068034</v>
      </c>
      <c r="AV355" t="str">
        <f>T("웹툰 &gt; 로맨스")</f>
        <v>웹툰 &gt; 로맨스</v>
      </c>
    </row>
    <row r="356" spans="1:49" x14ac:dyDescent="0.4">
      <c r="A356">
        <v>4421000198</v>
      </c>
      <c r="B356">
        <v>4421000246</v>
      </c>
      <c r="C356" t="str">
        <f>T("공주전쟁 49화")</f>
        <v>공주전쟁 49화</v>
      </c>
      <c r="D356" t="str">
        <f>T("49")</f>
        <v>49</v>
      </c>
      <c r="E356" t="str">
        <f>T("Hujing")</f>
        <v>Hujing</v>
      </c>
      <c r="G356" t="str">
        <f>T("Luojie")</f>
        <v>Luojie</v>
      </c>
      <c r="H356" t="str">
        <f t="shared" si="63"/>
        <v>스토리위즈</v>
      </c>
      <c r="I356" t="str">
        <f>T("공주전쟁")</f>
        <v>공주전쟁</v>
      </c>
      <c r="J356">
        <v>400</v>
      </c>
      <c r="K356">
        <v>0</v>
      </c>
      <c r="L356">
        <v>0</v>
      </c>
      <c r="M356">
        <v>0</v>
      </c>
      <c r="N356">
        <v>400</v>
      </c>
      <c r="O356">
        <v>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 s="3">
        <v>400</v>
      </c>
      <c r="AH356" s="3">
        <v>2</v>
      </c>
      <c r="AI356" s="3">
        <v>0</v>
      </c>
      <c r="AJ356" s="3">
        <v>0</v>
      </c>
      <c r="AK356" s="3">
        <v>200</v>
      </c>
      <c r="AL356" s="3">
        <v>0</v>
      </c>
      <c r="AM356" s="3">
        <v>240</v>
      </c>
      <c r="AN356" s="3">
        <v>-72</v>
      </c>
      <c r="AO356" s="3">
        <v>0</v>
      </c>
      <c r="AP356" s="3">
        <v>257.60000000000002</v>
      </c>
      <c r="AR356" t="str">
        <f t="shared" si="64"/>
        <v>0000000000000</v>
      </c>
      <c r="AT356" t="str">
        <f>T("9791166069666")</f>
        <v>9791166069666</v>
      </c>
      <c r="AV356" t="str">
        <f>T("웹툰 &gt; 해외 순정")</f>
        <v>웹툰 &gt; 해외 순정</v>
      </c>
      <c r="AW356" t="str">
        <f>T("웹툰 &gt; 로판")</f>
        <v>웹툰 &gt; 로판</v>
      </c>
    </row>
    <row r="357" spans="1:49" x14ac:dyDescent="0.4">
      <c r="A357">
        <v>4421000866</v>
      </c>
      <c r="B357">
        <v>4421000996</v>
      </c>
      <c r="C357" t="str">
        <f>T("최애에게 들켜버렸다 37화")</f>
        <v>최애에게 들켜버렸다 37화</v>
      </c>
      <c r="D357" t="str">
        <f>T("38")</f>
        <v>38</v>
      </c>
      <c r="E357" t="str">
        <f>T("Lv")</f>
        <v>Lv</v>
      </c>
      <c r="G357" t="str">
        <f>T("Lv")</f>
        <v>Lv</v>
      </c>
      <c r="H357" t="str">
        <f t="shared" si="63"/>
        <v>스토리위즈</v>
      </c>
      <c r="I357" t="str">
        <f>T("최애에게 들켜버렸다")</f>
        <v>최애에게 들켜버렸다</v>
      </c>
      <c r="J357">
        <v>400</v>
      </c>
      <c r="K357">
        <v>0</v>
      </c>
      <c r="L357">
        <v>0</v>
      </c>
      <c r="M357">
        <v>0</v>
      </c>
      <c r="N357">
        <v>800</v>
      </c>
      <c r="O357">
        <v>4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 s="3">
        <v>800</v>
      </c>
      <c r="AH357" s="3">
        <v>4</v>
      </c>
      <c r="AI357" s="3">
        <v>0</v>
      </c>
      <c r="AJ357" s="3">
        <v>0</v>
      </c>
      <c r="AK357" s="3">
        <v>624</v>
      </c>
      <c r="AL357" s="3">
        <v>0</v>
      </c>
      <c r="AM357" s="3">
        <v>211.38</v>
      </c>
      <c r="AN357" s="3">
        <v>-63.41</v>
      </c>
      <c r="AO357" s="3">
        <v>0</v>
      </c>
      <c r="AP357" s="3">
        <v>540.38</v>
      </c>
      <c r="AR357" t="str">
        <f t="shared" si="64"/>
        <v>0000000000000</v>
      </c>
      <c r="AT357" t="str">
        <f>T("9791137601253")</f>
        <v>9791137601253</v>
      </c>
      <c r="AV357" t="str">
        <f>T("웹툰 &gt; 해외 순정")</f>
        <v>웹툰 &gt; 해외 순정</v>
      </c>
      <c r="AW357" t="str">
        <f>T("웹툰 &gt; 로맨스")</f>
        <v>웹툰 &gt; 로맨스</v>
      </c>
    </row>
    <row r="358" spans="1:49" x14ac:dyDescent="0.4">
      <c r="A358">
        <v>4421001936</v>
      </c>
      <c r="B358">
        <v>4421001946</v>
      </c>
      <c r="C358" t="str">
        <f>T("보스 오빠, 살살! 11화")</f>
        <v>보스 오빠, 살살! 11화</v>
      </c>
      <c r="D358" t="str">
        <f>T("11")</f>
        <v>11</v>
      </c>
      <c r="E358" t="str">
        <f>T("웹티")</f>
        <v>웹티</v>
      </c>
      <c r="H358" t="str">
        <f t="shared" si="63"/>
        <v>스토리위즈</v>
      </c>
      <c r="I358" t="str">
        <f>T("보스 오빠, 살살!")</f>
        <v>보스 오빠, 살살!</v>
      </c>
      <c r="J358">
        <v>500</v>
      </c>
      <c r="K358">
        <v>0</v>
      </c>
      <c r="L358">
        <v>0</v>
      </c>
      <c r="M358">
        <v>0</v>
      </c>
      <c r="N358">
        <v>200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 s="3">
        <v>200</v>
      </c>
      <c r="AH358" s="3">
        <v>1</v>
      </c>
      <c r="AI358" s="3">
        <v>0</v>
      </c>
      <c r="AJ358" s="3">
        <v>0</v>
      </c>
      <c r="AK358" s="3">
        <v>0</v>
      </c>
      <c r="AL358" s="3">
        <v>0</v>
      </c>
      <c r="AM358" s="3">
        <v>240</v>
      </c>
      <c r="AN358" s="3">
        <v>-72</v>
      </c>
      <c r="AO358" s="3">
        <v>0</v>
      </c>
      <c r="AP358" s="3">
        <v>117.6</v>
      </c>
      <c r="AT358" t="str">
        <f>T("9791190702331")</f>
        <v>9791190702331</v>
      </c>
      <c r="AV358" t="str">
        <f>T("웹툰 &gt; 로맨스")</f>
        <v>웹툰 &gt; 로맨스</v>
      </c>
    </row>
    <row r="359" spans="1:49" x14ac:dyDescent="0.4">
      <c r="A359">
        <v>4421000866</v>
      </c>
      <c r="B359">
        <v>4421000878</v>
      </c>
      <c r="C359" t="str">
        <f>T("최애에게 들켜버렸다 12화")</f>
        <v>최애에게 들켜버렸다 12화</v>
      </c>
      <c r="D359" t="str">
        <f>T("12")</f>
        <v>12</v>
      </c>
      <c r="E359" t="str">
        <f>T("Lv")</f>
        <v>Lv</v>
      </c>
      <c r="G359" t="str">
        <f>T("Lv")</f>
        <v>Lv</v>
      </c>
      <c r="H359" t="str">
        <f t="shared" si="63"/>
        <v>스토리위즈</v>
      </c>
      <c r="I359" t="str">
        <f>T("최애에게 들켜버렸다")</f>
        <v>최애에게 들켜버렸다</v>
      </c>
      <c r="J359">
        <v>400</v>
      </c>
      <c r="K359">
        <v>0</v>
      </c>
      <c r="L359">
        <v>0</v>
      </c>
      <c r="M359">
        <v>0</v>
      </c>
      <c r="N359">
        <v>1000</v>
      </c>
      <c r="O359">
        <v>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 s="3">
        <v>1000</v>
      </c>
      <c r="AH359" s="3">
        <v>5</v>
      </c>
      <c r="AI359" s="3">
        <v>0</v>
      </c>
      <c r="AJ359" s="3">
        <v>0</v>
      </c>
      <c r="AK359" s="3">
        <v>624</v>
      </c>
      <c r="AL359" s="3">
        <v>0</v>
      </c>
      <c r="AM359" s="3">
        <v>451.38</v>
      </c>
      <c r="AN359" s="3">
        <v>-135.41</v>
      </c>
      <c r="AO359" s="3">
        <v>0</v>
      </c>
      <c r="AP359" s="3">
        <v>657.98</v>
      </c>
      <c r="AR359" t="str">
        <f t="shared" ref="AR359:AR367" si="65">T("0000000000000")</f>
        <v>0000000000000</v>
      </c>
      <c r="AT359" t="str">
        <f>T("9791137601253")</f>
        <v>9791137601253</v>
      </c>
      <c r="AV359" t="str">
        <f>T("웹툰 &gt; 해외 순정")</f>
        <v>웹툰 &gt; 해외 순정</v>
      </c>
      <c r="AW359" t="str">
        <f>T("웹툰 &gt; 로맨스")</f>
        <v>웹툰 &gt; 로맨스</v>
      </c>
    </row>
    <row r="360" spans="1:49" x14ac:dyDescent="0.4">
      <c r="A360">
        <v>4421002022</v>
      </c>
      <c r="B360">
        <v>4421002023</v>
      </c>
      <c r="C360" t="str">
        <f>T("대표님과 연애를 시작했습니다 2화")</f>
        <v>대표님과 연애를 시작했습니다 2화</v>
      </c>
      <c r="D360" t="str">
        <f>T("2")</f>
        <v>2</v>
      </c>
      <c r="E360" t="str">
        <f>T("웹티")</f>
        <v>웹티</v>
      </c>
      <c r="H360" t="str">
        <f t="shared" si="63"/>
        <v>스토리위즈</v>
      </c>
      <c r="I360" t="str">
        <f>T("대표님과 연애를 시작했습니다")</f>
        <v>대표님과 연애를 시작했습니다</v>
      </c>
      <c r="J360">
        <v>0</v>
      </c>
      <c r="K360">
        <v>0</v>
      </c>
      <c r="L360">
        <v>0</v>
      </c>
      <c r="M360">
        <v>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 s="3">
        <v>0</v>
      </c>
      <c r="AH360" s="3">
        <v>2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R360" t="str">
        <f t="shared" si="65"/>
        <v>0000000000000</v>
      </c>
      <c r="AT360" t="str">
        <f>T("9791196660482")</f>
        <v>9791196660482</v>
      </c>
      <c r="AV360" t="str">
        <f>T("BL 웹툰 &gt; 웹툰")</f>
        <v>BL 웹툰 &gt; 웹툰</v>
      </c>
    </row>
    <row r="361" spans="1:49" x14ac:dyDescent="0.4">
      <c r="A361">
        <v>4421000518</v>
      </c>
      <c r="B361">
        <v>4421000551</v>
      </c>
      <c r="C361" t="str">
        <f>T("백스테이지 키스신 33화")</f>
        <v>백스테이지 키스신 33화</v>
      </c>
      <c r="D361" t="str">
        <f>T("33")</f>
        <v>33</v>
      </c>
      <c r="E361" t="str">
        <f>T("최도비")</f>
        <v>최도비</v>
      </c>
      <c r="G361" t="str">
        <f>T("수정과")</f>
        <v>수정과</v>
      </c>
      <c r="H361" t="str">
        <f t="shared" si="63"/>
        <v>스토리위즈</v>
      </c>
      <c r="I361" t="str">
        <f>T("백스테이지 키스신")</f>
        <v>백스테이지 키스신</v>
      </c>
      <c r="J361">
        <v>400</v>
      </c>
      <c r="K361">
        <v>0</v>
      </c>
      <c r="L361">
        <v>0</v>
      </c>
      <c r="M361">
        <v>0</v>
      </c>
      <c r="N361">
        <v>200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 s="3">
        <v>200</v>
      </c>
      <c r="AH361" s="3">
        <v>1</v>
      </c>
      <c r="AI361" s="3">
        <v>0</v>
      </c>
      <c r="AJ361" s="3">
        <v>0</v>
      </c>
      <c r="AK361" s="3">
        <v>200</v>
      </c>
      <c r="AL361" s="3">
        <v>0</v>
      </c>
      <c r="AM361" s="3">
        <v>0</v>
      </c>
      <c r="AN361" s="3">
        <v>0</v>
      </c>
      <c r="AO361" s="3">
        <v>0</v>
      </c>
      <c r="AP361" s="3">
        <v>140</v>
      </c>
      <c r="AR361" t="str">
        <f t="shared" si="65"/>
        <v>0000000000000</v>
      </c>
      <c r="AT361" t="str">
        <f>T("9791166067990")</f>
        <v>9791166067990</v>
      </c>
      <c r="AV361" t="str">
        <f>T("웹툰 &gt; 로맨스")</f>
        <v>웹툰 &gt; 로맨스</v>
      </c>
    </row>
    <row r="362" spans="1:49" x14ac:dyDescent="0.4">
      <c r="A362">
        <v>4421001325</v>
      </c>
      <c r="B362">
        <v>4421001331</v>
      </c>
      <c r="C362" t="str">
        <f>T("커피여우 김삼월 7화")</f>
        <v>커피여우 김삼월 7화</v>
      </c>
      <c r="D362" t="str">
        <f>T("7")</f>
        <v>7</v>
      </c>
      <c r="E362" t="str">
        <f>T("Nica")</f>
        <v>Nica</v>
      </c>
      <c r="G362" t="str">
        <f>T("A.Noa, RK Studio")</f>
        <v>A.Noa, RK Studio</v>
      </c>
      <c r="H362" t="str">
        <f t="shared" si="63"/>
        <v>스토리위즈</v>
      </c>
      <c r="I362" t="str">
        <f>T("커피여우 김삼월")</f>
        <v>커피여우 김삼월</v>
      </c>
      <c r="J362">
        <v>500</v>
      </c>
      <c r="K362">
        <v>0</v>
      </c>
      <c r="L362">
        <v>0</v>
      </c>
      <c r="M362">
        <v>0</v>
      </c>
      <c r="N362">
        <v>400</v>
      </c>
      <c r="O362">
        <v>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 s="3">
        <v>400</v>
      </c>
      <c r="AH362" s="3">
        <v>2</v>
      </c>
      <c r="AI362" s="3">
        <v>0</v>
      </c>
      <c r="AJ362" s="3">
        <v>0</v>
      </c>
      <c r="AK362" s="3">
        <v>200</v>
      </c>
      <c r="AL362" s="3">
        <v>0</v>
      </c>
      <c r="AM362" s="3">
        <v>240</v>
      </c>
      <c r="AN362" s="3">
        <v>-72</v>
      </c>
      <c r="AO362" s="3">
        <v>0</v>
      </c>
      <c r="AP362" s="3">
        <v>257.60000000000002</v>
      </c>
      <c r="AR362" t="str">
        <f t="shared" si="65"/>
        <v>0000000000000</v>
      </c>
      <c r="AT362" t="str">
        <f>T("9791191241792")</f>
        <v>9791191241792</v>
      </c>
      <c r="AV362" t="str">
        <f>T("웹툰 &gt; 로맨스")</f>
        <v>웹툰 &gt; 로맨스</v>
      </c>
    </row>
    <row r="363" spans="1:49" x14ac:dyDescent="0.4">
      <c r="A363">
        <v>4421000450</v>
      </c>
      <c r="B363">
        <v>4421000511</v>
      </c>
      <c r="C363" t="str">
        <f>T("내 남편의 스토커 61화")</f>
        <v>내 남편의 스토커 61화</v>
      </c>
      <c r="D363" t="str">
        <f>T("61")</f>
        <v>61</v>
      </c>
      <c r="E363" t="str">
        <f>T("혜원")</f>
        <v>혜원</v>
      </c>
      <c r="G363" t="str">
        <f>T("혜원")</f>
        <v>혜원</v>
      </c>
      <c r="H363" t="str">
        <f t="shared" si="63"/>
        <v>스토리위즈</v>
      </c>
      <c r="I363" t="str">
        <f>T("내 남편의 스토커")</f>
        <v>내 남편의 스토커</v>
      </c>
      <c r="J363">
        <v>400</v>
      </c>
      <c r="K363">
        <v>0</v>
      </c>
      <c r="L363">
        <v>0</v>
      </c>
      <c r="M363">
        <v>0</v>
      </c>
      <c r="N363">
        <v>200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 s="3">
        <v>200</v>
      </c>
      <c r="AH363" s="3">
        <v>1</v>
      </c>
      <c r="AI363" s="3">
        <v>0</v>
      </c>
      <c r="AJ363" s="3">
        <v>0</v>
      </c>
      <c r="AK363" s="3">
        <v>200</v>
      </c>
      <c r="AL363" s="3">
        <v>0</v>
      </c>
      <c r="AM363" s="3">
        <v>0</v>
      </c>
      <c r="AN363" s="3">
        <v>0</v>
      </c>
      <c r="AO363" s="3">
        <v>0</v>
      </c>
      <c r="AP363" s="3">
        <v>140</v>
      </c>
      <c r="AR363" t="str">
        <f t="shared" si="65"/>
        <v>0000000000000</v>
      </c>
      <c r="AT363" t="str">
        <f>T("9791166068034")</f>
        <v>9791166068034</v>
      </c>
      <c r="AV363" t="str">
        <f>T("웹툰 &gt; 로맨스")</f>
        <v>웹툰 &gt; 로맨스</v>
      </c>
    </row>
    <row r="364" spans="1:49" x14ac:dyDescent="0.4">
      <c r="A364">
        <v>4421000337</v>
      </c>
      <c r="B364">
        <v>4421000351</v>
      </c>
      <c r="C364" t="str">
        <f>T("계약연애, 오늘부터 1일 15화")</f>
        <v>계약연애, 오늘부터 1일 15화</v>
      </c>
      <c r="D364" t="str">
        <f>T("15")</f>
        <v>15</v>
      </c>
      <c r="E364" t="str">
        <f>T("원기공장")</f>
        <v>원기공장</v>
      </c>
      <c r="H364" t="str">
        <f t="shared" si="63"/>
        <v>스토리위즈</v>
      </c>
      <c r="I364" t="str">
        <f>T("계약연애, 오늘부터 1일")</f>
        <v>계약연애, 오늘부터 1일</v>
      </c>
      <c r="J364">
        <v>200</v>
      </c>
      <c r="K364">
        <v>0</v>
      </c>
      <c r="L364">
        <v>0</v>
      </c>
      <c r="M364">
        <v>0</v>
      </c>
      <c r="N364">
        <v>100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 s="3">
        <v>100</v>
      </c>
      <c r="AH364" s="3">
        <v>1</v>
      </c>
      <c r="AI364" s="3">
        <v>0</v>
      </c>
      <c r="AJ364" s="3">
        <v>0</v>
      </c>
      <c r="AK364" s="3">
        <v>100</v>
      </c>
      <c r="AL364" s="3">
        <v>0</v>
      </c>
      <c r="AM364" s="3">
        <v>0</v>
      </c>
      <c r="AN364" s="3">
        <v>0</v>
      </c>
      <c r="AO364" s="3">
        <v>0</v>
      </c>
      <c r="AP364" s="3">
        <v>70</v>
      </c>
      <c r="AR364" t="str">
        <f t="shared" si="65"/>
        <v>0000000000000</v>
      </c>
      <c r="AT364" t="str">
        <f>T("9791166068027")</f>
        <v>9791166068027</v>
      </c>
      <c r="AV364" t="str">
        <f>T("웹툰 &gt; 해외 순정")</f>
        <v>웹툰 &gt; 해외 순정</v>
      </c>
      <c r="AW364" t="str">
        <f>T("웹툰 &gt; 로맨스")</f>
        <v>웹툰 &gt; 로맨스</v>
      </c>
    </row>
    <row r="365" spans="1:49" x14ac:dyDescent="0.4">
      <c r="A365">
        <v>4421000916</v>
      </c>
      <c r="B365">
        <v>4421001230</v>
      </c>
      <c r="C365" t="str">
        <f>T("별빛 아래 우리 52화")</f>
        <v>별빛 아래 우리 52화</v>
      </c>
      <c r="D365" t="str">
        <f>T("52")</f>
        <v>52</v>
      </c>
      <c r="E365" t="str">
        <f>T("건일")</f>
        <v>건일</v>
      </c>
      <c r="G365" t="str">
        <f>T("건일")</f>
        <v>건일</v>
      </c>
      <c r="H365" t="str">
        <f t="shared" si="63"/>
        <v>스토리위즈</v>
      </c>
      <c r="I365" t="str">
        <f>T("별빛 아래 우리")</f>
        <v>별빛 아래 우리</v>
      </c>
      <c r="J365">
        <v>400</v>
      </c>
      <c r="K365">
        <v>0</v>
      </c>
      <c r="L365">
        <v>0</v>
      </c>
      <c r="M365">
        <v>0</v>
      </c>
      <c r="N365">
        <v>1000</v>
      </c>
      <c r="O365">
        <v>5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 s="3">
        <v>1000</v>
      </c>
      <c r="AH365" s="3">
        <v>5</v>
      </c>
      <c r="AI365" s="3">
        <v>0</v>
      </c>
      <c r="AJ365" s="3">
        <v>0</v>
      </c>
      <c r="AK365" s="3">
        <v>380</v>
      </c>
      <c r="AL365" s="3">
        <v>0</v>
      </c>
      <c r="AM365" s="3">
        <v>744.01</v>
      </c>
      <c r="AN365" s="3">
        <v>-223.2</v>
      </c>
      <c r="AO365" s="3">
        <v>0</v>
      </c>
      <c r="AP365" s="3">
        <v>630.57000000000005</v>
      </c>
      <c r="AR365" t="str">
        <f t="shared" si="65"/>
        <v>0000000000000</v>
      </c>
      <c r="AT365" t="str">
        <f>T("9791137601413")</f>
        <v>9791137601413</v>
      </c>
      <c r="AV365" t="str">
        <f>T("웹툰 &gt; 해외 순정")</f>
        <v>웹툰 &gt; 해외 순정</v>
      </c>
      <c r="AW365" t="str">
        <f>T("웹툰 &gt; 로맨스")</f>
        <v>웹툰 &gt; 로맨스</v>
      </c>
    </row>
    <row r="366" spans="1:49" x14ac:dyDescent="0.4">
      <c r="A366">
        <v>4421000069</v>
      </c>
      <c r="B366">
        <v>4421000072</v>
      </c>
      <c r="C366" t="str">
        <f>T("너랑 나랑 하면 3화")</f>
        <v>너랑 나랑 하면 3화</v>
      </c>
      <c r="D366" t="str">
        <f>T("3")</f>
        <v>3</v>
      </c>
      <c r="E366" t="str">
        <f>T("NISANSUI")</f>
        <v>NISANSUI</v>
      </c>
      <c r="G366" t="str">
        <f>T("ZIQUAN")</f>
        <v>ZIQUAN</v>
      </c>
      <c r="H366" t="str">
        <f t="shared" si="63"/>
        <v>스토리위즈</v>
      </c>
      <c r="I366" t="str">
        <f>T("너랑 나랑 하면")</f>
        <v>너랑 나랑 하면</v>
      </c>
      <c r="J366">
        <v>400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 s="3">
        <v>0</v>
      </c>
      <c r="AH366" s="3">
        <v>3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R366" t="str">
        <f t="shared" si="65"/>
        <v>0000000000000</v>
      </c>
      <c r="AT366" t="str">
        <f>T("9791166067884")</f>
        <v>9791166067884</v>
      </c>
      <c r="AV366" t="str">
        <f>T("BL 웹툰 &gt; 웹툰")</f>
        <v>BL 웹툰 &gt; 웹툰</v>
      </c>
    </row>
    <row r="367" spans="1:49" x14ac:dyDescent="0.4">
      <c r="A367">
        <v>4421000887</v>
      </c>
      <c r="B367">
        <v>4421000910</v>
      </c>
      <c r="C367" t="str">
        <f>T("폭군의 눈물 24화")</f>
        <v>폭군의 눈물 24화</v>
      </c>
      <c r="D367" t="str">
        <f>T("24")</f>
        <v>24</v>
      </c>
      <c r="E367" t="str">
        <f>T("Ice×FANFAN COMIC")</f>
        <v>Ice×FANFAN COMIC</v>
      </c>
      <c r="G367" t="str">
        <f>T("Ice×FANFAN COMIC")</f>
        <v>Ice×FANFAN COMIC</v>
      </c>
      <c r="H367" t="str">
        <f t="shared" si="63"/>
        <v>스토리위즈</v>
      </c>
      <c r="I367" t="str">
        <f>T("폭군의 눈물")</f>
        <v>폭군의 눈물</v>
      </c>
      <c r="J367">
        <v>400</v>
      </c>
      <c r="K367">
        <v>0</v>
      </c>
      <c r="L367">
        <v>0</v>
      </c>
      <c r="M367">
        <v>0</v>
      </c>
      <c r="N367">
        <v>600</v>
      </c>
      <c r="O367">
        <v>3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 s="3">
        <v>600</v>
      </c>
      <c r="AH367" s="3">
        <v>3</v>
      </c>
      <c r="AI367" s="3">
        <v>0</v>
      </c>
      <c r="AJ367" s="3">
        <v>0</v>
      </c>
      <c r="AK367" s="3">
        <v>400</v>
      </c>
      <c r="AL367" s="3">
        <v>0</v>
      </c>
      <c r="AM367" s="3">
        <v>240</v>
      </c>
      <c r="AN367" s="3">
        <v>-72</v>
      </c>
      <c r="AO367" s="3">
        <v>0</v>
      </c>
      <c r="AP367" s="3">
        <v>397.6</v>
      </c>
      <c r="AR367" t="str">
        <f t="shared" si="65"/>
        <v>0000000000000</v>
      </c>
      <c r="AT367" t="str">
        <f>T("9791137601291")</f>
        <v>9791137601291</v>
      </c>
      <c r="AV367" t="str">
        <f>T("웹툰 &gt; 해외 순정")</f>
        <v>웹툰 &gt; 해외 순정</v>
      </c>
      <c r="AW367" t="str">
        <f>T("웹툰 &gt; 로판")</f>
        <v>웹툰 &gt; 로판</v>
      </c>
    </row>
    <row r="368" spans="1:49" x14ac:dyDescent="0.4">
      <c r="A368">
        <v>4421000001</v>
      </c>
      <c r="B368">
        <v>4421000170</v>
      </c>
      <c r="C368" t="str">
        <f>T("감옥실험 49화")</f>
        <v>감옥실험 49화</v>
      </c>
      <c r="D368" t="str">
        <f>T("49")</f>
        <v>49</v>
      </c>
      <c r="E368" t="str">
        <f>T("Kantetsu")</f>
        <v>Kantetsu</v>
      </c>
      <c r="G368" t="str">
        <f>T("Minase Chiho")</f>
        <v>Minase Chiho</v>
      </c>
      <c r="H368" t="str">
        <f t="shared" si="63"/>
        <v>스토리위즈</v>
      </c>
      <c r="I368" t="str">
        <f>T("감옥실험")</f>
        <v>감옥실험</v>
      </c>
      <c r="J368">
        <v>500</v>
      </c>
      <c r="K368">
        <v>0</v>
      </c>
      <c r="L368">
        <v>0</v>
      </c>
      <c r="M368">
        <v>0</v>
      </c>
      <c r="N368">
        <v>600</v>
      </c>
      <c r="O368">
        <v>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 s="3">
        <v>600</v>
      </c>
      <c r="AH368" s="3">
        <v>2</v>
      </c>
      <c r="AI368" s="3">
        <v>0</v>
      </c>
      <c r="AJ368" s="3">
        <v>0</v>
      </c>
      <c r="AK368" s="3">
        <v>500</v>
      </c>
      <c r="AL368" s="3">
        <v>0</v>
      </c>
      <c r="AM368" s="3">
        <v>120</v>
      </c>
      <c r="AN368" s="3">
        <v>-36</v>
      </c>
      <c r="AO368" s="3">
        <v>0</v>
      </c>
      <c r="AP368" s="3">
        <v>408.8</v>
      </c>
      <c r="AT368" t="str">
        <f>T("9791166069406")</f>
        <v>9791166069406</v>
      </c>
      <c r="AV368" t="str">
        <f>T("웹툰 &gt; 드라마")</f>
        <v>웹툰 &gt; 드라마</v>
      </c>
    </row>
    <row r="369" spans="1:49" x14ac:dyDescent="0.4">
      <c r="A369">
        <v>4421001340</v>
      </c>
      <c r="B369">
        <v>4421001347</v>
      </c>
      <c r="C369" t="str">
        <f>T("가출천사 육성계약 8화")</f>
        <v>가출천사 육성계약 8화</v>
      </c>
      <c r="D369" t="str">
        <f>T("8")</f>
        <v>8</v>
      </c>
      <c r="E369" t="str">
        <f>T("Bae.C, IIAKI, 박제후")</f>
        <v>Bae.C, IIAKI, 박제후</v>
      </c>
      <c r="G369" t="str">
        <f>T("Bae.C, 조우")</f>
        <v>Bae.C, 조우</v>
      </c>
      <c r="H369" t="str">
        <f t="shared" si="63"/>
        <v>스토리위즈</v>
      </c>
      <c r="I369" t="str">
        <f>T("가출천사 육성계약")</f>
        <v>가출천사 육성계약</v>
      </c>
      <c r="J369">
        <v>400</v>
      </c>
      <c r="K369">
        <v>0</v>
      </c>
      <c r="L369">
        <v>0</v>
      </c>
      <c r="M369">
        <v>0</v>
      </c>
      <c r="N369">
        <v>200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 s="3">
        <v>200</v>
      </c>
      <c r="AH369" s="3">
        <v>1</v>
      </c>
      <c r="AI369" s="3">
        <v>0</v>
      </c>
      <c r="AJ369" s="3">
        <v>0</v>
      </c>
      <c r="AK369" s="3">
        <v>200</v>
      </c>
      <c r="AL369" s="3">
        <v>0</v>
      </c>
      <c r="AM369" s="3">
        <v>0</v>
      </c>
      <c r="AN369" s="3">
        <v>0</v>
      </c>
      <c r="AO369" s="3">
        <v>0</v>
      </c>
      <c r="AP369" s="3">
        <v>140</v>
      </c>
      <c r="AR369" t="str">
        <f>T("0000000000000")</f>
        <v>0000000000000</v>
      </c>
      <c r="AT369" t="str">
        <f>T("9791191765663")</f>
        <v>9791191765663</v>
      </c>
      <c r="AV369" t="str">
        <f>T("웹툰 &gt; 판타지/SF")</f>
        <v>웹툰 &gt; 판타지/SF</v>
      </c>
    </row>
    <row r="370" spans="1:49" x14ac:dyDescent="0.4">
      <c r="A370">
        <v>4421001936</v>
      </c>
      <c r="B370">
        <v>4421002726</v>
      </c>
      <c r="C370" t="str">
        <f>T("보스 오빠, 살살! 67화")</f>
        <v>보스 오빠, 살살! 67화</v>
      </c>
      <c r="D370" t="str">
        <f>T("67")</f>
        <v>67</v>
      </c>
      <c r="E370" t="str">
        <f>T("웹티")</f>
        <v>웹티</v>
      </c>
      <c r="H370" t="str">
        <f t="shared" si="63"/>
        <v>스토리위즈</v>
      </c>
      <c r="I370" t="str">
        <f>T("보스 오빠, 살살!")</f>
        <v>보스 오빠, 살살!</v>
      </c>
      <c r="J370">
        <v>500</v>
      </c>
      <c r="K370">
        <v>0</v>
      </c>
      <c r="L370">
        <v>0</v>
      </c>
      <c r="M370">
        <v>0</v>
      </c>
      <c r="N370">
        <v>200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 s="3">
        <v>200</v>
      </c>
      <c r="AH370" s="3">
        <v>1</v>
      </c>
      <c r="AI370" s="3">
        <v>0</v>
      </c>
      <c r="AJ370" s="3">
        <v>0</v>
      </c>
      <c r="AK370" s="3">
        <v>0</v>
      </c>
      <c r="AL370" s="3">
        <v>0</v>
      </c>
      <c r="AM370" s="3">
        <v>240</v>
      </c>
      <c r="AN370" s="3">
        <v>-72</v>
      </c>
      <c r="AO370" s="3">
        <v>0</v>
      </c>
      <c r="AP370" s="3">
        <v>117.6</v>
      </c>
      <c r="AT370" t="str">
        <f>T("9791190702331")</f>
        <v>9791190702331</v>
      </c>
      <c r="AV370" t="str">
        <f>T("웹툰 &gt; 로맨스")</f>
        <v>웹툰 &gt; 로맨스</v>
      </c>
    </row>
    <row r="371" spans="1:49" x14ac:dyDescent="0.4">
      <c r="A371">
        <v>4421000866</v>
      </c>
      <c r="B371">
        <v>4421000870</v>
      </c>
      <c r="C371" t="str">
        <f>T("최애에게 들켜버렸다 4화")</f>
        <v>최애에게 들켜버렸다 4화</v>
      </c>
      <c r="D371" t="str">
        <f>T("4")</f>
        <v>4</v>
      </c>
      <c r="E371" t="str">
        <f>T("Lv")</f>
        <v>Lv</v>
      </c>
      <c r="G371" t="str">
        <f>T("Lv")</f>
        <v>Lv</v>
      </c>
      <c r="H371" t="str">
        <f t="shared" si="63"/>
        <v>스토리위즈</v>
      </c>
      <c r="I371" t="str">
        <f>T("최애에게 들켜버렸다")</f>
        <v>최애에게 들켜버렸다</v>
      </c>
      <c r="J371">
        <v>400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69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 s="3">
        <v>0</v>
      </c>
      <c r="AH371" s="3">
        <v>69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R371" t="str">
        <f t="shared" ref="AR371:AR402" si="66">T("0000000000000")</f>
        <v>0000000000000</v>
      </c>
      <c r="AT371" t="str">
        <f>T("9791137601253")</f>
        <v>9791137601253</v>
      </c>
      <c r="AV371" t="str">
        <f>T("웹툰 &gt; 해외 순정")</f>
        <v>웹툰 &gt; 해외 순정</v>
      </c>
      <c r="AW371" t="str">
        <f>T("웹툰 &gt; 로맨스")</f>
        <v>웹툰 &gt; 로맨스</v>
      </c>
    </row>
    <row r="372" spans="1:49" x14ac:dyDescent="0.4">
      <c r="A372">
        <v>4421000337</v>
      </c>
      <c r="B372">
        <v>4421000367</v>
      </c>
      <c r="C372" t="str">
        <f>T("계약연애, 오늘부터 1일 31화")</f>
        <v>계약연애, 오늘부터 1일 31화</v>
      </c>
      <c r="D372" t="str">
        <f>T("31")</f>
        <v>31</v>
      </c>
      <c r="E372" t="str">
        <f>T("원기공장")</f>
        <v>원기공장</v>
      </c>
      <c r="H372" t="str">
        <f t="shared" si="63"/>
        <v>스토리위즈</v>
      </c>
      <c r="I372" t="str">
        <f>T("계약연애, 오늘부터 1일")</f>
        <v>계약연애, 오늘부터 1일</v>
      </c>
      <c r="J372">
        <v>200</v>
      </c>
      <c r="K372">
        <v>0</v>
      </c>
      <c r="L372">
        <v>0</v>
      </c>
      <c r="M372">
        <v>0</v>
      </c>
      <c r="N372">
        <v>100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 s="3">
        <v>100</v>
      </c>
      <c r="AH372" s="3">
        <v>1</v>
      </c>
      <c r="AI372" s="3">
        <v>0</v>
      </c>
      <c r="AJ372" s="3">
        <v>0</v>
      </c>
      <c r="AK372" s="3">
        <v>100</v>
      </c>
      <c r="AL372" s="3">
        <v>0</v>
      </c>
      <c r="AM372" s="3">
        <v>0</v>
      </c>
      <c r="AN372" s="3">
        <v>0</v>
      </c>
      <c r="AO372" s="3">
        <v>0</v>
      </c>
      <c r="AP372" s="3">
        <v>70</v>
      </c>
      <c r="AR372" t="str">
        <f t="shared" si="66"/>
        <v>0000000000000</v>
      </c>
      <c r="AT372" t="str">
        <f>T("9791166068027")</f>
        <v>9791166068027</v>
      </c>
      <c r="AV372" t="str">
        <f>T("웹툰 &gt; 해외 순정")</f>
        <v>웹툰 &gt; 해외 순정</v>
      </c>
      <c r="AW372" t="str">
        <f>T("웹툰 &gt; 로맨스")</f>
        <v>웹툰 &gt; 로맨스</v>
      </c>
    </row>
    <row r="373" spans="1:49" x14ac:dyDescent="0.4">
      <c r="A373">
        <v>4421001340</v>
      </c>
      <c r="B373">
        <v>4421002899</v>
      </c>
      <c r="C373" t="str">
        <f>T("가출천사 육성계약 46화")</f>
        <v>가출천사 육성계약 46화</v>
      </c>
      <c r="D373" t="str">
        <f>T("46")</f>
        <v>46</v>
      </c>
      <c r="E373" t="str">
        <f>T("Bae.C, IIAKI, 박제후")</f>
        <v>Bae.C, IIAKI, 박제후</v>
      </c>
      <c r="G373" t="str">
        <f>T("Bae.C, 조우")</f>
        <v>Bae.C, 조우</v>
      </c>
      <c r="H373" t="str">
        <f t="shared" si="63"/>
        <v>스토리위즈</v>
      </c>
      <c r="I373" t="str">
        <f>T("가출천사 육성계약")</f>
        <v>가출천사 육성계약</v>
      </c>
      <c r="J373">
        <v>400</v>
      </c>
      <c r="K373">
        <v>0</v>
      </c>
      <c r="L373">
        <v>0</v>
      </c>
      <c r="M373">
        <v>0</v>
      </c>
      <c r="N373">
        <v>200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 s="3">
        <v>200</v>
      </c>
      <c r="AH373" s="3">
        <v>1</v>
      </c>
      <c r="AI373" s="3">
        <v>0</v>
      </c>
      <c r="AJ373" s="3">
        <v>0</v>
      </c>
      <c r="AK373" s="3">
        <v>200</v>
      </c>
      <c r="AL373" s="3">
        <v>0</v>
      </c>
      <c r="AM373" s="3">
        <v>0</v>
      </c>
      <c r="AN373" s="3">
        <v>0</v>
      </c>
      <c r="AO373" s="3">
        <v>0</v>
      </c>
      <c r="AP373" s="3">
        <v>140</v>
      </c>
      <c r="AR373" t="str">
        <f t="shared" si="66"/>
        <v>0000000000000</v>
      </c>
      <c r="AT373" t="str">
        <f>T("9791191765663")</f>
        <v>9791191765663</v>
      </c>
      <c r="AV373" t="str">
        <f>T("웹툰 &gt; 판타지/SF")</f>
        <v>웹툰 &gt; 판타지/SF</v>
      </c>
    </row>
    <row r="374" spans="1:49" x14ac:dyDescent="0.4">
      <c r="A374">
        <v>4421000198</v>
      </c>
      <c r="B374">
        <v>4421001267</v>
      </c>
      <c r="C374" t="str">
        <f>T("공주전쟁 81화")</f>
        <v>공주전쟁 81화</v>
      </c>
      <c r="D374" t="str">
        <f>T("81")</f>
        <v>81</v>
      </c>
      <c r="E374" t="str">
        <f>T("Hujing")</f>
        <v>Hujing</v>
      </c>
      <c r="G374" t="str">
        <f>T("Luojie")</f>
        <v>Luojie</v>
      </c>
      <c r="H374" t="str">
        <f t="shared" si="63"/>
        <v>스토리위즈</v>
      </c>
      <c r="I374" t="str">
        <f>T("공주전쟁")</f>
        <v>공주전쟁</v>
      </c>
      <c r="J374">
        <v>400</v>
      </c>
      <c r="K374">
        <v>0</v>
      </c>
      <c r="L374">
        <v>0</v>
      </c>
      <c r="M374">
        <v>0</v>
      </c>
      <c r="N374">
        <v>200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 s="3">
        <v>200</v>
      </c>
      <c r="AH374" s="3">
        <v>1</v>
      </c>
      <c r="AI374" s="3">
        <v>0</v>
      </c>
      <c r="AJ374" s="3">
        <v>0</v>
      </c>
      <c r="AK374" s="3">
        <v>0</v>
      </c>
      <c r="AL374" s="3">
        <v>0</v>
      </c>
      <c r="AM374" s="3">
        <v>240</v>
      </c>
      <c r="AN374" s="3">
        <v>-72</v>
      </c>
      <c r="AO374" s="3">
        <v>0</v>
      </c>
      <c r="AP374" s="3">
        <v>117.6</v>
      </c>
      <c r="AR374" t="str">
        <f t="shared" si="66"/>
        <v>0000000000000</v>
      </c>
      <c r="AT374" t="str">
        <f>T("9791166069666")</f>
        <v>9791166069666</v>
      </c>
      <c r="AV374" t="str">
        <f>T("웹툰 &gt; 해외 순정")</f>
        <v>웹툰 &gt; 해외 순정</v>
      </c>
      <c r="AW374" t="str">
        <f>T("웹툰 &gt; 로판")</f>
        <v>웹툰 &gt; 로판</v>
      </c>
    </row>
    <row r="375" spans="1:49" x14ac:dyDescent="0.4">
      <c r="A375">
        <v>4421000069</v>
      </c>
      <c r="B375">
        <v>4421000105</v>
      </c>
      <c r="C375" t="str">
        <f>T("너랑 나랑 하면 35화")</f>
        <v>너랑 나랑 하면 35화</v>
      </c>
      <c r="D375" t="str">
        <f>T("35")</f>
        <v>35</v>
      </c>
      <c r="E375" t="str">
        <f>T("NISANSUI")</f>
        <v>NISANSUI</v>
      </c>
      <c r="G375" t="str">
        <f>T("ZIQUAN")</f>
        <v>ZIQUAN</v>
      </c>
      <c r="H375" t="str">
        <f t="shared" si="63"/>
        <v>스토리위즈</v>
      </c>
      <c r="I375" t="str">
        <f>T("너랑 나랑 하면")</f>
        <v>너랑 나랑 하면</v>
      </c>
      <c r="J375">
        <v>400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 s="3">
        <v>0</v>
      </c>
      <c r="AH375" s="3">
        <v>3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R375" t="str">
        <f t="shared" si="66"/>
        <v>0000000000000</v>
      </c>
      <c r="AT375" t="str">
        <f>T("9791166067884")</f>
        <v>9791166067884</v>
      </c>
      <c r="AV375" t="str">
        <f>T("BL 웹툰 &gt; 웹툰")</f>
        <v>BL 웹툰 &gt; 웹툰</v>
      </c>
    </row>
    <row r="376" spans="1:49" x14ac:dyDescent="0.4">
      <c r="A376">
        <v>4421000198</v>
      </c>
      <c r="B376">
        <v>4421000214</v>
      </c>
      <c r="C376" t="str">
        <f>T("공주전쟁 17화")</f>
        <v>공주전쟁 17화</v>
      </c>
      <c r="D376" t="str">
        <f>T("17")</f>
        <v>17</v>
      </c>
      <c r="E376" t="str">
        <f>T("Hujing")</f>
        <v>Hujing</v>
      </c>
      <c r="G376" t="str">
        <f>T("Luojie")</f>
        <v>Luojie</v>
      </c>
      <c r="H376" t="str">
        <f t="shared" si="63"/>
        <v>스토리위즈</v>
      </c>
      <c r="I376" t="str">
        <f>T("공주전쟁")</f>
        <v>공주전쟁</v>
      </c>
      <c r="J376">
        <v>400</v>
      </c>
      <c r="K376">
        <v>0</v>
      </c>
      <c r="L376">
        <v>0</v>
      </c>
      <c r="M376">
        <v>0</v>
      </c>
      <c r="N376">
        <v>600</v>
      </c>
      <c r="O376">
        <v>3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 s="3">
        <v>600</v>
      </c>
      <c r="AH376" s="3">
        <v>3</v>
      </c>
      <c r="AI376" s="3">
        <v>0</v>
      </c>
      <c r="AJ376" s="3">
        <v>0</v>
      </c>
      <c r="AK376" s="3">
        <v>400</v>
      </c>
      <c r="AL376" s="3">
        <v>0</v>
      </c>
      <c r="AM376" s="3">
        <v>240</v>
      </c>
      <c r="AN376" s="3">
        <v>-72</v>
      </c>
      <c r="AO376" s="3">
        <v>0</v>
      </c>
      <c r="AP376" s="3">
        <v>397.6</v>
      </c>
      <c r="AR376" t="str">
        <f t="shared" si="66"/>
        <v>0000000000000</v>
      </c>
      <c r="AT376" t="str">
        <f>T("9791166069666")</f>
        <v>9791166069666</v>
      </c>
      <c r="AV376" t="str">
        <f>T("웹툰 &gt; 해외 순정")</f>
        <v>웹툰 &gt; 해외 순정</v>
      </c>
      <c r="AW376" t="str">
        <f>T("웹툰 &gt; 로판")</f>
        <v>웹툰 &gt; 로판</v>
      </c>
    </row>
    <row r="377" spans="1:49" x14ac:dyDescent="0.4">
      <c r="A377">
        <v>4421001377</v>
      </c>
      <c r="B377">
        <v>4421001379</v>
      </c>
      <c r="C377" t="str">
        <f>T("요괴님은 수련중 3화")</f>
        <v>요괴님은 수련중 3화</v>
      </c>
      <c r="D377" t="str">
        <f>T("3")</f>
        <v>3</v>
      </c>
      <c r="E377" t="str">
        <f>T("화방")</f>
        <v>화방</v>
      </c>
      <c r="G377" t="str">
        <f>T("망북")</f>
        <v>망북</v>
      </c>
      <c r="H377" t="str">
        <f t="shared" si="63"/>
        <v>스토리위즈</v>
      </c>
      <c r="I377" t="str">
        <f>T("요괴님은 수련중")</f>
        <v>요괴님은 수련중</v>
      </c>
      <c r="J377">
        <v>400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 s="3">
        <v>0</v>
      </c>
      <c r="AH377" s="3">
        <v>11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R377" t="str">
        <f t="shared" si="66"/>
        <v>0000000000000</v>
      </c>
      <c r="AT377" t="str">
        <f>T("9791137603899")</f>
        <v>9791137603899</v>
      </c>
      <c r="AV377" t="str">
        <f>T("웹툰 &gt; 해외 순정")</f>
        <v>웹툰 &gt; 해외 순정</v>
      </c>
      <c r="AW377" t="str">
        <f>T("웹툰 &gt; 로판")</f>
        <v>웹툰 &gt; 로판</v>
      </c>
    </row>
    <row r="378" spans="1:49" x14ac:dyDescent="0.4">
      <c r="A378">
        <v>4421000337</v>
      </c>
      <c r="B378">
        <v>4421000439</v>
      </c>
      <c r="C378" t="str">
        <f>T("계약연애, 오늘부터 1일 103화")</f>
        <v>계약연애, 오늘부터 1일 103화</v>
      </c>
      <c r="D378" t="str">
        <f>T("103")</f>
        <v>103</v>
      </c>
      <c r="E378" t="str">
        <f>T("원기공장")</f>
        <v>원기공장</v>
      </c>
      <c r="H378" t="str">
        <f t="shared" si="63"/>
        <v>스토리위즈</v>
      </c>
      <c r="I378" t="str">
        <f>T("계약연애, 오늘부터 1일")</f>
        <v>계약연애, 오늘부터 1일</v>
      </c>
      <c r="J378">
        <v>200</v>
      </c>
      <c r="K378">
        <v>0</v>
      </c>
      <c r="L378">
        <v>0</v>
      </c>
      <c r="M378">
        <v>0</v>
      </c>
      <c r="N378">
        <v>100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 s="3">
        <v>100</v>
      </c>
      <c r="AH378" s="3">
        <v>1</v>
      </c>
      <c r="AI378" s="3">
        <v>0</v>
      </c>
      <c r="AJ378" s="3">
        <v>0</v>
      </c>
      <c r="AK378" s="3">
        <v>100</v>
      </c>
      <c r="AL378" s="3">
        <v>0</v>
      </c>
      <c r="AM378" s="3">
        <v>0</v>
      </c>
      <c r="AN378" s="3">
        <v>0</v>
      </c>
      <c r="AO378" s="3">
        <v>0</v>
      </c>
      <c r="AP378" s="3">
        <v>70</v>
      </c>
      <c r="AR378" t="str">
        <f t="shared" si="66"/>
        <v>0000000000000</v>
      </c>
      <c r="AT378" t="str">
        <f>T("9791166068027")</f>
        <v>9791166068027</v>
      </c>
      <c r="AV378" t="str">
        <f>T("웹툰 &gt; 해외 순정")</f>
        <v>웹툰 &gt; 해외 순정</v>
      </c>
      <c r="AW378" t="str">
        <f>T("웹툰 &gt; 로맨스")</f>
        <v>웹툰 &gt; 로맨스</v>
      </c>
    </row>
    <row r="379" spans="1:49" x14ac:dyDescent="0.4">
      <c r="A379">
        <v>4421000198</v>
      </c>
      <c r="B379">
        <v>4421000949</v>
      </c>
      <c r="C379" t="str">
        <f>T("공주전쟁 61화")</f>
        <v>공주전쟁 61화</v>
      </c>
      <c r="D379" t="str">
        <f>T("61")</f>
        <v>61</v>
      </c>
      <c r="E379" t="str">
        <f>T("Hujing")</f>
        <v>Hujing</v>
      </c>
      <c r="G379" t="str">
        <f>T("Luojie")</f>
        <v>Luojie</v>
      </c>
      <c r="H379" t="str">
        <f t="shared" si="63"/>
        <v>스토리위즈</v>
      </c>
      <c r="I379" t="str">
        <f>T("공주전쟁")</f>
        <v>공주전쟁</v>
      </c>
      <c r="J379">
        <v>400</v>
      </c>
      <c r="K379">
        <v>0</v>
      </c>
      <c r="L379">
        <v>0</v>
      </c>
      <c r="M379">
        <v>0</v>
      </c>
      <c r="N379">
        <v>400</v>
      </c>
      <c r="O379">
        <v>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 s="3">
        <v>400</v>
      </c>
      <c r="AH379" s="3">
        <v>2</v>
      </c>
      <c r="AI379" s="3">
        <v>0</v>
      </c>
      <c r="AJ379" s="3">
        <v>0</v>
      </c>
      <c r="AK379" s="3">
        <v>200</v>
      </c>
      <c r="AL379" s="3">
        <v>0</v>
      </c>
      <c r="AM379" s="3">
        <v>240</v>
      </c>
      <c r="AN379" s="3">
        <v>-72</v>
      </c>
      <c r="AO379" s="3">
        <v>0</v>
      </c>
      <c r="AP379" s="3">
        <v>257.60000000000002</v>
      </c>
      <c r="AR379" t="str">
        <f t="shared" si="66"/>
        <v>0000000000000</v>
      </c>
      <c r="AT379" t="str">
        <f>T("9791166069666")</f>
        <v>9791166069666</v>
      </c>
      <c r="AV379" t="str">
        <f>T("웹툰 &gt; 해외 순정")</f>
        <v>웹툰 &gt; 해외 순정</v>
      </c>
      <c r="AW379" t="str">
        <f>T("웹툰 &gt; 로판")</f>
        <v>웹툰 &gt; 로판</v>
      </c>
    </row>
    <row r="380" spans="1:49" x14ac:dyDescent="0.4">
      <c r="A380">
        <v>4421001764</v>
      </c>
      <c r="B380">
        <v>4421001773</v>
      </c>
      <c r="C380" t="str">
        <f>T("예쁜 남자 잘생긴 여자 10화")</f>
        <v>예쁜 남자 잘생긴 여자 10화</v>
      </c>
      <c r="D380" t="str">
        <f>T("10")</f>
        <v>10</v>
      </c>
      <c r="E380" t="str">
        <f>T("웹티")</f>
        <v>웹티</v>
      </c>
      <c r="H380" t="str">
        <f t="shared" si="63"/>
        <v>스토리위즈</v>
      </c>
      <c r="I380" t="str">
        <f>T("예쁜 남자 잘생긴 여자")</f>
        <v>예쁜 남자 잘생긴 여자</v>
      </c>
      <c r="J380">
        <v>500</v>
      </c>
      <c r="K380">
        <v>0</v>
      </c>
      <c r="L380">
        <v>0</v>
      </c>
      <c r="M380">
        <v>0</v>
      </c>
      <c r="N380">
        <v>200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 s="3">
        <v>200</v>
      </c>
      <c r="AH380" s="3">
        <v>1</v>
      </c>
      <c r="AI380" s="3">
        <v>0</v>
      </c>
      <c r="AJ380" s="3">
        <v>0</v>
      </c>
      <c r="AK380" s="3">
        <v>0</v>
      </c>
      <c r="AL380" s="3">
        <v>0</v>
      </c>
      <c r="AM380" s="3">
        <v>240.82</v>
      </c>
      <c r="AN380" s="3">
        <v>-72.25</v>
      </c>
      <c r="AO380" s="3">
        <v>0</v>
      </c>
      <c r="AP380" s="3">
        <v>118</v>
      </c>
      <c r="AR380" t="str">
        <f t="shared" si="66"/>
        <v>0000000000000</v>
      </c>
      <c r="AT380" t="str">
        <f>T("9791190702164")</f>
        <v>9791190702164</v>
      </c>
      <c r="AV380" t="str">
        <f>T("웹툰 &gt; 로맨스")</f>
        <v>웹툰 &gt; 로맨스</v>
      </c>
    </row>
    <row r="381" spans="1:49" x14ac:dyDescent="0.4">
      <c r="A381">
        <v>4421000337</v>
      </c>
      <c r="B381">
        <v>4421000399</v>
      </c>
      <c r="C381" t="str">
        <f>T("계약연애, 오늘부터 1일 63화")</f>
        <v>계약연애, 오늘부터 1일 63화</v>
      </c>
      <c r="D381" t="str">
        <f>T("63")</f>
        <v>63</v>
      </c>
      <c r="E381" t="str">
        <f>T("원기공장")</f>
        <v>원기공장</v>
      </c>
      <c r="H381" t="str">
        <f t="shared" si="63"/>
        <v>스토리위즈</v>
      </c>
      <c r="I381" t="str">
        <f>T("계약연애, 오늘부터 1일")</f>
        <v>계약연애, 오늘부터 1일</v>
      </c>
      <c r="J381">
        <v>200</v>
      </c>
      <c r="K381">
        <v>0</v>
      </c>
      <c r="L381">
        <v>0</v>
      </c>
      <c r="M381">
        <v>0</v>
      </c>
      <c r="N381">
        <v>100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 s="3">
        <v>100</v>
      </c>
      <c r="AH381" s="3">
        <v>1</v>
      </c>
      <c r="AI381" s="3">
        <v>0</v>
      </c>
      <c r="AJ381" s="3">
        <v>0</v>
      </c>
      <c r="AK381" s="3">
        <v>100</v>
      </c>
      <c r="AL381" s="3">
        <v>0</v>
      </c>
      <c r="AM381" s="3">
        <v>0</v>
      </c>
      <c r="AN381" s="3">
        <v>0</v>
      </c>
      <c r="AO381" s="3">
        <v>0</v>
      </c>
      <c r="AP381" s="3">
        <v>70</v>
      </c>
      <c r="AR381" t="str">
        <f t="shared" si="66"/>
        <v>0000000000000</v>
      </c>
      <c r="AT381" t="str">
        <f>T("9791166068027")</f>
        <v>9791166068027</v>
      </c>
      <c r="AV381" t="str">
        <f>T("웹툰 &gt; 해외 순정")</f>
        <v>웹툰 &gt; 해외 순정</v>
      </c>
      <c r="AW381" t="str">
        <f>T("웹툰 &gt; 로맨스")</f>
        <v>웹툰 &gt; 로맨스</v>
      </c>
    </row>
    <row r="382" spans="1:49" x14ac:dyDescent="0.4">
      <c r="A382">
        <v>4421001568</v>
      </c>
      <c r="B382">
        <v>4421001581</v>
      </c>
      <c r="C382" t="str">
        <f>T("구름의 연인 14화")</f>
        <v>구름의 연인 14화</v>
      </c>
      <c r="D382" t="str">
        <f>T("14")</f>
        <v>14</v>
      </c>
      <c r="E382" t="str">
        <f>T("웹티")</f>
        <v>웹티</v>
      </c>
      <c r="H382" t="str">
        <f t="shared" si="63"/>
        <v>스토리위즈</v>
      </c>
      <c r="I382" t="str">
        <f>T("구름의 연인")</f>
        <v>구름의 연인</v>
      </c>
      <c r="J382">
        <v>500</v>
      </c>
      <c r="K382">
        <v>0</v>
      </c>
      <c r="L382">
        <v>0</v>
      </c>
      <c r="M382">
        <v>0</v>
      </c>
      <c r="N382">
        <v>200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 s="3">
        <v>200</v>
      </c>
      <c r="AH382" s="3">
        <v>1</v>
      </c>
      <c r="AI382" s="3">
        <v>0</v>
      </c>
      <c r="AJ382" s="3">
        <v>0</v>
      </c>
      <c r="AK382" s="3">
        <v>200</v>
      </c>
      <c r="AL382" s="3">
        <v>0</v>
      </c>
      <c r="AM382" s="3">
        <v>0</v>
      </c>
      <c r="AN382" s="3">
        <v>0</v>
      </c>
      <c r="AO382" s="3">
        <v>0</v>
      </c>
      <c r="AP382" s="3">
        <v>140</v>
      </c>
      <c r="AR382" t="str">
        <f t="shared" si="66"/>
        <v>0000000000000</v>
      </c>
      <c r="AT382" t="str">
        <f>T("9791196402730")</f>
        <v>9791196402730</v>
      </c>
      <c r="AV382" t="str">
        <f>T("웹툰 &gt; 로맨스")</f>
        <v>웹툰 &gt; 로맨스</v>
      </c>
    </row>
    <row r="383" spans="1:49" x14ac:dyDescent="0.4">
      <c r="A383">
        <v>4421000916</v>
      </c>
      <c r="B383">
        <v>4421001299</v>
      </c>
      <c r="C383" t="str">
        <f>T("별빛 아래 우리 67화")</f>
        <v>별빛 아래 우리 67화</v>
      </c>
      <c r="D383" t="str">
        <f>T("67")</f>
        <v>67</v>
      </c>
      <c r="E383" t="str">
        <f>T("건일")</f>
        <v>건일</v>
      </c>
      <c r="G383" t="str">
        <f>T("건일")</f>
        <v>건일</v>
      </c>
      <c r="H383" t="str">
        <f t="shared" si="63"/>
        <v>스토리위즈</v>
      </c>
      <c r="I383" t="str">
        <f>T("별빛 아래 우리")</f>
        <v>별빛 아래 우리</v>
      </c>
      <c r="J383">
        <v>400</v>
      </c>
      <c r="K383">
        <v>0</v>
      </c>
      <c r="L383">
        <v>0</v>
      </c>
      <c r="M383">
        <v>0</v>
      </c>
      <c r="N383">
        <v>1000</v>
      </c>
      <c r="O383">
        <v>5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s="3">
        <v>1000</v>
      </c>
      <c r="AH383" s="3">
        <v>5</v>
      </c>
      <c r="AI383" s="3">
        <v>0</v>
      </c>
      <c r="AJ383" s="3">
        <v>0</v>
      </c>
      <c r="AK383" s="3">
        <v>580</v>
      </c>
      <c r="AL383" s="3">
        <v>0</v>
      </c>
      <c r="AM383" s="3">
        <v>504.01</v>
      </c>
      <c r="AN383" s="3">
        <v>-151.19999999999999</v>
      </c>
      <c r="AO383" s="3">
        <v>0</v>
      </c>
      <c r="AP383" s="3">
        <v>652.97</v>
      </c>
      <c r="AR383" t="str">
        <f t="shared" si="66"/>
        <v>0000000000000</v>
      </c>
      <c r="AT383" t="str">
        <f>T("9791137601413")</f>
        <v>9791137601413</v>
      </c>
      <c r="AV383" t="str">
        <f>T("웹툰 &gt; 해외 순정")</f>
        <v>웹툰 &gt; 해외 순정</v>
      </c>
      <c r="AW383" t="str">
        <f>T("웹툰 &gt; 로맨스")</f>
        <v>웹툰 &gt; 로맨스</v>
      </c>
    </row>
    <row r="384" spans="1:49" x14ac:dyDescent="0.4">
      <c r="A384">
        <v>4421000198</v>
      </c>
      <c r="B384">
        <v>4421000857</v>
      </c>
      <c r="C384" t="str">
        <f>T("공주전쟁 58화")</f>
        <v>공주전쟁 58화</v>
      </c>
      <c r="D384" t="str">
        <f>T("58")</f>
        <v>58</v>
      </c>
      <c r="E384" t="str">
        <f>T("Hujing")</f>
        <v>Hujing</v>
      </c>
      <c r="G384" t="str">
        <f>T("Luojie")</f>
        <v>Luojie</v>
      </c>
      <c r="H384" t="str">
        <f t="shared" si="63"/>
        <v>스토리위즈</v>
      </c>
      <c r="I384" t="str">
        <f>T("공주전쟁")</f>
        <v>공주전쟁</v>
      </c>
      <c r="J384">
        <v>400</v>
      </c>
      <c r="K384">
        <v>0</v>
      </c>
      <c r="L384">
        <v>0</v>
      </c>
      <c r="M384">
        <v>0</v>
      </c>
      <c r="N384">
        <v>400</v>
      </c>
      <c r="O384">
        <v>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 s="3">
        <v>400</v>
      </c>
      <c r="AH384" s="3">
        <v>2</v>
      </c>
      <c r="AI384" s="3">
        <v>0</v>
      </c>
      <c r="AJ384" s="3">
        <v>0</v>
      </c>
      <c r="AK384" s="3">
        <v>200</v>
      </c>
      <c r="AL384" s="3">
        <v>0</v>
      </c>
      <c r="AM384" s="3">
        <v>240</v>
      </c>
      <c r="AN384" s="3">
        <v>-72</v>
      </c>
      <c r="AO384" s="3">
        <v>0</v>
      </c>
      <c r="AP384" s="3">
        <v>257.60000000000002</v>
      </c>
      <c r="AR384" t="str">
        <f t="shared" si="66"/>
        <v>0000000000000</v>
      </c>
      <c r="AT384" t="str">
        <f>T("9791166069666")</f>
        <v>9791166069666</v>
      </c>
      <c r="AV384" t="str">
        <f>T("웹툰 &gt; 해외 순정")</f>
        <v>웹툰 &gt; 해외 순정</v>
      </c>
      <c r="AW384" t="str">
        <f>T("웹툰 &gt; 로판")</f>
        <v>웹툰 &gt; 로판</v>
      </c>
    </row>
    <row r="385" spans="1:49" x14ac:dyDescent="0.4">
      <c r="A385">
        <v>4421000337</v>
      </c>
      <c r="B385">
        <v>4421000360</v>
      </c>
      <c r="C385" t="str">
        <f>T("계약연애, 오늘부터 1일 24화")</f>
        <v>계약연애, 오늘부터 1일 24화</v>
      </c>
      <c r="D385" t="str">
        <f>T("24")</f>
        <v>24</v>
      </c>
      <c r="E385" t="str">
        <f>T("원기공장")</f>
        <v>원기공장</v>
      </c>
      <c r="H385" t="str">
        <f t="shared" si="63"/>
        <v>스토리위즈</v>
      </c>
      <c r="I385" t="str">
        <f>T("계약연애, 오늘부터 1일")</f>
        <v>계약연애, 오늘부터 1일</v>
      </c>
      <c r="J385">
        <v>200</v>
      </c>
      <c r="K385">
        <v>0</v>
      </c>
      <c r="L385">
        <v>0</v>
      </c>
      <c r="M385">
        <v>0</v>
      </c>
      <c r="N385">
        <v>100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 s="3">
        <v>100</v>
      </c>
      <c r="AH385" s="3">
        <v>1</v>
      </c>
      <c r="AI385" s="3">
        <v>0</v>
      </c>
      <c r="AJ385" s="3">
        <v>0</v>
      </c>
      <c r="AK385" s="3">
        <v>100</v>
      </c>
      <c r="AL385" s="3">
        <v>0</v>
      </c>
      <c r="AM385" s="3">
        <v>0</v>
      </c>
      <c r="AN385" s="3">
        <v>0</v>
      </c>
      <c r="AO385" s="3">
        <v>0</v>
      </c>
      <c r="AP385" s="3">
        <v>70</v>
      </c>
      <c r="AR385" t="str">
        <f t="shared" si="66"/>
        <v>0000000000000</v>
      </c>
      <c r="AT385" t="str">
        <f>T("9791166068027")</f>
        <v>9791166068027</v>
      </c>
      <c r="AV385" t="str">
        <f>T("웹툰 &gt; 해외 순정")</f>
        <v>웹툰 &gt; 해외 순정</v>
      </c>
      <c r="AW385" t="str">
        <f>T("웹툰 &gt; 로맨스")</f>
        <v>웹툰 &gt; 로맨스</v>
      </c>
    </row>
    <row r="386" spans="1:49" x14ac:dyDescent="0.4">
      <c r="A386">
        <v>4421001325</v>
      </c>
      <c r="B386">
        <v>4421002867</v>
      </c>
      <c r="C386" t="str">
        <f>T("커피여우 김삼월 28화")</f>
        <v>커피여우 김삼월 28화</v>
      </c>
      <c r="D386" t="str">
        <f>T("28")</f>
        <v>28</v>
      </c>
      <c r="E386" t="str">
        <f>T("Nica")</f>
        <v>Nica</v>
      </c>
      <c r="G386" t="str">
        <f>T("A.Noa, RK Studio")</f>
        <v>A.Noa, RK Studio</v>
      </c>
      <c r="H386" t="str">
        <f t="shared" ref="H386:H449" si="67">T("스토리위즈")</f>
        <v>스토리위즈</v>
      </c>
      <c r="I386" t="str">
        <f>T("커피여우 김삼월")</f>
        <v>커피여우 김삼월</v>
      </c>
      <c r="J386">
        <v>500</v>
      </c>
      <c r="K386">
        <v>0</v>
      </c>
      <c r="L386">
        <v>0</v>
      </c>
      <c r="M386">
        <v>0</v>
      </c>
      <c r="N386">
        <v>400</v>
      </c>
      <c r="O386">
        <v>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s="3">
        <v>400</v>
      </c>
      <c r="AH386" s="3">
        <v>2</v>
      </c>
      <c r="AI386" s="3">
        <v>0</v>
      </c>
      <c r="AJ386" s="3">
        <v>0</v>
      </c>
      <c r="AK386" s="3">
        <v>400</v>
      </c>
      <c r="AL386" s="3">
        <v>0</v>
      </c>
      <c r="AM386" s="3">
        <v>0</v>
      </c>
      <c r="AN386" s="3">
        <v>0</v>
      </c>
      <c r="AO386" s="3">
        <v>0</v>
      </c>
      <c r="AP386" s="3">
        <v>280</v>
      </c>
      <c r="AR386" t="str">
        <f t="shared" si="66"/>
        <v>0000000000000</v>
      </c>
      <c r="AT386" t="str">
        <f>T("9791191241792")</f>
        <v>9791191241792</v>
      </c>
      <c r="AV386" t="str">
        <f>T("웹툰 &gt; 로맨스")</f>
        <v>웹툰 &gt; 로맨스</v>
      </c>
    </row>
    <row r="387" spans="1:49" x14ac:dyDescent="0.4">
      <c r="A387">
        <v>4421000887</v>
      </c>
      <c r="B387">
        <v>4421001258</v>
      </c>
      <c r="C387" t="str">
        <f>T("폭군의 눈물 47화")</f>
        <v>폭군의 눈물 47화</v>
      </c>
      <c r="D387" t="str">
        <f>T("47")</f>
        <v>47</v>
      </c>
      <c r="E387" t="str">
        <f>T("Ice×FANFAN COMIC")</f>
        <v>Ice×FANFAN COMIC</v>
      </c>
      <c r="G387" t="str">
        <f>T("Ice×FANFAN COMIC")</f>
        <v>Ice×FANFAN COMIC</v>
      </c>
      <c r="H387" t="str">
        <f t="shared" si="67"/>
        <v>스토리위즈</v>
      </c>
      <c r="I387" t="str">
        <f>T("폭군의 눈물")</f>
        <v>폭군의 눈물</v>
      </c>
      <c r="J387">
        <v>400</v>
      </c>
      <c r="K387">
        <v>0</v>
      </c>
      <c r="L387">
        <v>0</v>
      </c>
      <c r="M387">
        <v>0</v>
      </c>
      <c r="N387">
        <v>600</v>
      </c>
      <c r="O387">
        <v>3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 s="3">
        <v>600</v>
      </c>
      <c r="AH387" s="3">
        <v>3</v>
      </c>
      <c r="AI387" s="3">
        <v>0</v>
      </c>
      <c r="AJ387" s="3">
        <v>0</v>
      </c>
      <c r="AK387" s="3">
        <v>400</v>
      </c>
      <c r="AL387" s="3">
        <v>0</v>
      </c>
      <c r="AM387" s="3">
        <v>240</v>
      </c>
      <c r="AN387" s="3">
        <v>-72</v>
      </c>
      <c r="AO387" s="3">
        <v>0</v>
      </c>
      <c r="AP387" s="3">
        <v>397.6</v>
      </c>
      <c r="AR387" t="str">
        <f t="shared" si="66"/>
        <v>0000000000000</v>
      </c>
      <c r="AT387" t="str">
        <f>T("9791137601291")</f>
        <v>9791137601291</v>
      </c>
      <c r="AV387" t="str">
        <f>T("웹툰 &gt; 해외 순정")</f>
        <v>웹툰 &gt; 해외 순정</v>
      </c>
      <c r="AW387" t="str">
        <f>T("웹툰 &gt; 로판")</f>
        <v>웹툰 &gt; 로판</v>
      </c>
    </row>
    <row r="388" spans="1:49" x14ac:dyDescent="0.4">
      <c r="A388">
        <v>4421000069</v>
      </c>
      <c r="B388">
        <v>4421000097</v>
      </c>
      <c r="C388" t="str">
        <f>T("너랑 나랑 하면 28화")</f>
        <v>너랑 나랑 하면 28화</v>
      </c>
      <c r="D388" t="str">
        <f>T("28")</f>
        <v>28</v>
      </c>
      <c r="E388" t="str">
        <f>T("NISANSUI")</f>
        <v>NISANSUI</v>
      </c>
      <c r="G388" t="str">
        <f>T("ZIQUAN")</f>
        <v>ZIQUAN</v>
      </c>
      <c r="H388" t="str">
        <f t="shared" si="67"/>
        <v>스토리위즈</v>
      </c>
      <c r="I388" t="str">
        <f>T("너랑 나랑 하면")</f>
        <v>너랑 나랑 하면</v>
      </c>
      <c r="J388">
        <v>400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 s="3">
        <v>0</v>
      </c>
      <c r="AH388" s="3">
        <v>3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R388" t="str">
        <f t="shared" si="66"/>
        <v>0000000000000</v>
      </c>
      <c r="AT388" t="str">
        <f>T("9791166067884")</f>
        <v>9791166067884</v>
      </c>
      <c r="AV388" t="str">
        <f>T("BL 웹툰 &gt; 웹툰")</f>
        <v>BL 웹툰 &gt; 웹툰</v>
      </c>
    </row>
    <row r="389" spans="1:49" x14ac:dyDescent="0.4">
      <c r="A389">
        <v>4421000866</v>
      </c>
      <c r="B389">
        <v>4421001532</v>
      </c>
      <c r="C389" t="str">
        <f>T("최애에게 들켜버렸다 77화")</f>
        <v>최애에게 들켜버렸다 77화</v>
      </c>
      <c r="D389" t="str">
        <f>T("80")</f>
        <v>80</v>
      </c>
      <c r="E389" t="str">
        <f>T("Lv")</f>
        <v>Lv</v>
      </c>
      <c r="G389" t="str">
        <f>T("Lv")</f>
        <v>Lv</v>
      </c>
      <c r="H389" t="str">
        <f t="shared" si="67"/>
        <v>스토리위즈</v>
      </c>
      <c r="I389" t="str">
        <f>T("최애에게 들켜버렸다")</f>
        <v>최애에게 들켜버렸다</v>
      </c>
      <c r="J389">
        <v>400</v>
      </c>
      <c r="K389">
        <v>0</v>
      </c>
      <c r="L389">
        <v>0</v>
      </c>
      <c r="M389">
        <v>0</v>
      </c>
      <c r="N389">
        <v>400</v>
      </c>
      <c r="O389">
        <v>2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 s="3">
        <v>400</v>
      </c>
      <c r="AH389" s="3">
        <v>2</v>
      </c>
      <c r="AI389" s="3">
        <v>0</v>
      </c>
      <c r="AJ389" s="3">
        <v>0</v>
      </c>
      <c r="AK389" s="3">
        <v>225</v>
      </c>
      <c r="AL389" s="3">
        <v>0</v>
      </c>
      <c r="AM389" s="3">
        <v>210.18</v>
      </c>
      <c r="AN389" s="3">
        <v>-63.05</v>
      </c>
      <c r="AO389" s="3">
        <v>0</v>
      </c>
      <c r="AP389" s="3">
        <v>260.49</v>
      </c>
      <c r="AR389" t="str">
        <f t="shared" si="66"/>
        <v>0000000000000</v>
      </c>
      <c r="AT389" t="str">
        <f>T("9791137601253")</f>
        <v>9791137601253</v>
      </c>
      <c r="AV389" t="str">
        <f>T("웹툰 &gt; 해외 순정")</f>
        <v>웹툰 &gt; 해외 순정</v>
      </c>
      <c r="AW389" t="str">
        <f>T("웹툰 &gt; 로맨스")</f>
        <v>웹툰 &gt; 로맨스</v>
      </c>
    </row>
    <row r="390" spans="1:49" x14ac:dyDescent="0.4">
      <c r="A390">
        <v>4421000198</v>
      </c>
      <c r="B390">
        <v>4421000207</v>
      </c>
      <c r="C390" t="str">
        <f>T("공주전쟁 10화")</f>
        <v>공주전쟁 10화</v>
      </c>
      <c r="D390" t="str">
        <f>T("10")</f>
        <v>10</v>
      </c>
      <c r="E390" t="str">
        <f>T("Hujing")</f>
        <v>Hujing</v>
      </c>
      <c r="G390" t="str">
        <f>T("Luojie")</f>
        <v>Luojie</v>
      </c>
      <c r="H390" t="str">
        <f t="shared" si="67"/>
        <v>스토리위즈</v>
      </c>
      <c r="I390" t="str">
        <f>T("공주전쟁")</f>
        <v>공주전쟁</v>
      </c>
      <c r="J390">
        <v>400</v>
      </c>
      <c r="K390">
        <v>0</v>
      </c>
      <c r="L390">
        <v>0</v>
      </c>
      <c r="M390">
        <v>0</v>
      </c>
      <c r="N390">
        <v>600</v>
      </c>
      <c r="O390">
        <v>3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 s="3">
        <v>600</v>
      </c>
      <c r="AH390" s="3">
        <v>3</v>
      </c>
      <c r="AI390" s="3">
        <v>0</v>
      </c>
      <c r="AJ390" s="3">
        <v>0</v>
      </c>
      <c r="AK390" s="3">
        <v>400</v>
      </c>
      <c r="AL390" s="3">
        <v>0</v>
      </c>
      <c r="AM390" s="3">
        <v>240</v>
      </c>
      <c r="AN390" s="3">
        <v>-72</v>
      </c>
      <c r="AO390" s="3">
        <v>0</v>
      </c>
      <c r="AP390" s="3">
        <v>397.6</v>
      </c>
      <c r="AR390" t="str">
        <f t="shared" si="66"/>
        <v>0000000000000</v>
      </c>
      <c r="AT390" t="str">
        <f>T("9791166069666")</f>
        <v>9791166069666</v>
      </c>
      <c r="AV390" t="str">
        <f>T("웹툰 &gt; 해외 순정")</f>
        <v>웹툰 &gt; 해외 순정</v>
      </c>
      <c r="AW390" t="str">
        <f>T("웹툰 &gt; 로판")</f>
        <v>웹툰 &gt; 로판</v>
      </c>
    </row>
    <row r="391" spans="1:49" x14ac:dyDescent="0.4">
      <c r="A391">
        <v>4421001340</v>
      </c>
      <c r="B391">
        <v>4421001372</v>
      </c>
      <c r="C391" t="str">
        <f>T("가출천사 육성계약 33화")</f>
        <v>가출천사 육성계약 33화</v>
      </c>
      <c r="D391" t="str">
        <f>T("33")</f>
        <v>33</v>
      </c>
      <c r="E391" t="str">
        <f>T("Bae.C, IIAKI, 박제후")</f>
        <v>Bae.C, IIAKI, 박제후</v>
      </c>
      <c r="G391" t="str">
        <f>T("Bae.C, 조우")</f>
        <v>Bae.C, 조우</v>
      </c>
      <c r="H391" t="str">
        <f t="shared" si="67"/>
        <v>스토리위즈</v>
      </c>
      <c r="I391" t="str">
        <f>T("가출천사 육성계약")</f>
        <v>가출천사 육성계약</v>
      </c>
      <c r="J391">
        <v>400</v>
      </c>
      <c r="K391">
        <v>0</v>
      </c>
      <c r="L391">
        <v>0</v>
      </c>
      <c r="M391">
        <v>0</v>
      </c>
      <c r="N391">
        <v>200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 s="3">
        <v>200</v>
      </c>
      <c r="AH391" s="3">
        <v>1</v>
      </c>
      <c r="AI391" s="3">
        <v>0</v>
      </c>
      <c r="AJ391" s="3">
        <v>0</v>
      </c>
      <c r="AK391" s="3">
        <v>200</v>
      </c>
      <c r="AL391" s="3">
        <v>0</v>
      </c>
      <c r="AM391" s="3">
        <v>0</v>
      </c>
      <c r="AN391" s="3">
        <v>0</v>
      </c>
      <c r="AO391" s="3">
        <v>0</v>
      </c>
      <c r="AP391" s="3">
        <v>140</v>
      </c>
      <c r="AR391" t="str">
        <f t="shared" si="66"/>
        <v>0000000000000</v>
      </c>
      <c r="AT391" t="str">
        <f>T("9791191765663")</f>
        <v>9791191765663</v>
      </c>
      <c r="AV391" t="str">
        <f>T("웹툰 &gt; 판타지/SF")</f>
        <v>웹툰 &gt; 판타지/SF</v>
      </c>
    </row>
    <row r="392" spans="1:49" x14ac:dyDescent="0.4">
      <c r="A392">
        <v>4421000337</v>
      </c>
      <c r="B392">
        <v>4421000432</v>
      </c>
      <c r="C392" t="str">
        <f>T("계약연애, 오늘부터 1일 96화")</f>
        <v>계약연애, 오늘부터 1일 96화</v>
      </c>
      <c r="D392" t="str">
        <f>T("96")</f>
        <v>96</v>
      </c>
      <c r="E392" t="str">
        <f>T("원기공장")</f>
        <v>원기공장</v>
      </c>
      <c r="H392" t="str">
        <f t="shared" si="67"/>
        <v>스토리위즈</v>
      </c>
      <c r="I392" t="str">
        <f>T("계약연애, 오늘부터 1일")</f>
        <v>계약연애, 오늘부터 1일</v>
      </c>
      <c r="J392">
        <v>200</v>
      </c>
      <c r="K392">
        <v>0</v>
      </c>
      <c r="L392">
        <v>0</v>
      </c>
      <c r="M392">
        <v>0</v>
      </c>
      <c r="N392">
        <v>100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 s="3">
        <v>100</v>
      </c>
      <c r="AH392" s="3">
        <v>1</v>
      </c>
      <c r="AI392" s="3">
        <v>0</v>
      </c>
      <c r="AJ392" s="3">
        <v>0</v>
      </c>
      <c r="AK392" s="3">
        <v>100</v>
      </c>
      <c r="AL392" s="3">
        <v>0</v>
      </c>
      <c r="AM392" s="3">
        <v>0</v>
      </c>
      <c r="AN392" s="3">
        <v>0</v>
      </c>
      <c r="AO392" s="3">
        <v>0</v>
      </c>
      <c r="AP392" s="3">
        <v>70</v>
      </c>
      <c r="AR392" t="str">
        <f t="shared" si="66"/>
        <v>0000000000000</v>
      </c>
      <c r="AT392" t="str">
        <f>T("9791166068027")</f>
        <v>9791166068027</v>
      </c>
      <c r="AV392" t="str">
        <f>T("웹툰 &gt; 해외 순정")</f>
        <v>웹툰 &gt; 해외 순정</v>
      </c>
      <c r="AW392" t="str">
        <f>T("웹툰 &gt; 로맨스")</f>
        <v>웹툰 &gt; 로맨스</v>
      </c>
    </row>
    <row r="393" spans="1:49" x14ac:dyDescent="0.4">
      <c r="A393">
        <v>4421000916</v>
      </c>
      <c r="B393">
        <v>4421000935</v>
      </c>
      <c r="C393" t="str">
        <f>T("별빛 아래 우리 20화")</f>
        <v>별빛 아래 우리 20화</v>
      </c>
      <c r="D393" t="str">
        <f>T("20")</f>
        <v>20</v>
      </c>
      <c r="E393" t="str">
        <f>T("건일")</f>
        <v>건일</v>
      </c>
      <c r="G393" t="str">
        <f>T("건일")</f>
        <v>건일</v>
      </c>
      <c r="H393" t="str">
        <f t="shared" si="67"/>
        <v>스토리위즈</v>
      </c>
      <c r="I393" t="str">
        <f>T("별빛 아래 우리")</f>
        <v>별빛 아래 우리</v>
      </c>
      <c r="J393">
        <v>400</v>
      </c>
      <c r="K393">
        <v>0</v>
      </c>
      <c r="L393">
        <v>0</v>
      </c>
      <c r="M393">
        <v>0</v>
      </c>
      <c r="N393">
        <v>1400</v>
      </c>
      <c r="O393">
        <v>7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 s="3">
        <v>1400</v>
      </c>
      <c r="AH393" s="3">
        <v>7</v>
      </c>
      <c r="AI393" s="3">
        <v>0</v>
      </c>
      <c r="AJ393" s="3">
        <v>0</v>
      </c>
      <c r="AK393" s="3">
        <v>450</v>
      </c>
      <c r="AL393" s="3">
        <v>0</v>
      </c>
      <c r="AM393" s="3">
        <v>1138.92</v>
      </c>
      <c r="AN393" s="3">
        <v>-341.68</v>
      </c>
      <c r="AO393" s="3">
        <v>0</v>
      </c>
      <c r="AP393" s="3">
        <v>873.07</v>
      </c>
      <c r="AR393" t="str">
        <f t="shared" si="66"/>
        <v>0000000000000</v>
      </c>
      <c r="AT393" t="str">
        <f>T("9791137601413")</f>
        <v>9791137601413</v>
      </c>
      <c r="AV393" t="str">
        <f>T("웹툰 &gt; 해외 순정")</f>
        <v>웹툰 &gt; 해외 순정</v>
      </c>
      <c r="AW393" t="str">
        <f>T("웹툰 &gt; 로맨스")</f>
        <v>웹툰 &gt; 로맨스</v>
      </c>
    </row>
    <row r="394" spans="1:49" x14ac:dyDescent="0.4">
      <c r="A394">
        <v>4421001764</v>
      </c>
      <c r="B394">
        <v>4421001766</v>
      </c>
      <c r="C394" t="str">
        <f>T("예쁜 남자 잘생긴 여자 3화")</f>
        <v>예쁜 남자 잘생긴 여자 3화</v>
      </c>
      <c r="D394" t="str">
        <f>T("3")</f>
        <v>3</v>
      </c>
      <c r="E394" t="str">
        <f>T("웹티")</f>
        <v>웹티</v>
      </c>
      <c r="H394" t="str">
        <f t="shared" si="67"/>
        <v>스토리위즈</v>
      </c>
      <c r="I394" t="str">
        <f>T("예쁜 남자 잘생긴 여자")</f>
        <v>예쁜 남자 잘생긴 여자</v>
      </c>
      <c r="J394">
        <v>0</v>
      </c>
      <c r="K394">
        <v>0</v>
      </c>
      <c r="L394">
        <v>0</v>
      </c>
      <c r="M394">
        <v>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s="3">
        <v>0</v>
      </c>
      <c r="AH394" s="3">
        <v>2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R394" t="str">
        <f t="shared" si="66"/>
        <v>0000000000000</v>
      </c>
      <c r="AT394" t="str">
        <f>T("9791190702164")</f>
        <v>9791190702164</v>
      </c>
      <c r="AV394" t="str">
        <f>T("웹툰 &gt; 로맨스")</f>
        <v>웹툰 &gt; 로맨스</v>
      </c>
    </row>
    <row r="395" spans="1:49" x14ac:dyDescent="0.4">
      <c r="A395">
        <v>4421000337</v>
      </c>
      <c r="B395">
        <v>4421000392</v>
      </c>
      <c r="C395" t="str">
        <f>T("계약연애, 오늘부터 1일 56화")</f>
        <v>계약연애, 오늘부터 1일 56화</v>
      </c>
      <c r="D395" t="str">
        <f>T("56")</f>
        <v>56</v>
      </c>
      <c r="E395" t="str">
        <f>T("원기공장")</f>
        <v>원기공장</v>
      </c>
      <c r="H395" t="str">
        <f t="shared" si="67"/>
        <v>스토리위즈</v>
      </c>
      <c r="I395" t="str">
        <f>T("계약연애, 오늘부터 1일")</f>
        <v>계약연애, 오늘부터 1일</v>
      </c>
      <c r="J395">
        <v>200</v>
      </c>
      <c r="K395">
        <v>0</v>
      </c>
      <c r="L395">
        <v>0</v>
      </c>
      <c r="M395">
        <v>0</v>
      </c>
      <c r="N395">
        <v>100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 s="3">
        <v>100</v>
      </c>
      <c r="AH395" s="3">
        <v>1</v>
      </c>
      <c r="AI395" s="3">
        <v>0</v>
      </c>
      <c r="AJ395" s="3">
        <v>0</v>
      </c>
      <c r="AK395" s="3">
        <v>100</v>
      </c>
      <c r="AL395" s="3">
        <v>0</v>
      </c>
      <c r="AM395" s="3">
        <v>0</v>
      </c>
      <c r="AN395" s="3">
        <v>0</v>
      </c>
      <c r="AO395" s="3">
        <v>0</v>
      </c>
      <c r="AP395" s="3">
        <v>70</v>
      </c>
      <c r="AR395" t="str">
        <f t="shared" si="66"/>
        <v>0000000000000</v>
      </c>
      <c r="AT395" t="str">
        <f>T("9791166068027")</f>
        <v>9791166068027</v>
      </c>
      <c r="AV395" t="str">
        <f>T("웹툰 &gt; 해외 순정")</f>
        <v>웹툰 &gt; 해외 순정</v>
      </c>
      <c r="AW395" t="str">
        <f>T("웹툰 &gt; 로맨스")</f>
        <v>웹툰 &gt; 로맨스</v>
      </c>
    </row>
    <row r="396" spans="1:49" x14ac:dyDescent="0.4">
      <c r="A396">
        <v>4421001568</v>
      </c>
      <c r="B396">
        <v>4421001574</v>
      </c>
      <c r="C396" t="str">
        <f>T("구름의 연인 7화")</f>
        <v>구름의 연인 7화</v>
      </c>
      <c r="D396" t="str">
        <f>T("7")</f>
        <v>7</v>
      </c>
      <c r="E396" t="str">
        <f>T("웹티")</f>
        <v>웹티</v>
      </c>
      <c r="H396" t="str">
        <f t="shared" si="67"/>
        <v>스토리위즈</v>
      </c>
      <c r="I396" t="str">
        <f>T("구름의 연인")</f>
        <v>구름의 연인</v>
      </c>
      <c r="J396">
        <v>500</v>
      </c>
      <c r="K396">
        <v>0</v>
      </c>
      <c r="L396">
        <v>0</v>
      </c>
      <c r="M396">
        <v>0</v>
      </c>
      <c r="N396">
        <v>200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 s="3">
        <v>200</v>
      </c>
      <c r="AH396" s="3">
        <v>1</v>
      </c>
      <c r="AI396" s="3">
        <v>0</v>
      </c>
      <c r="AJ396" s="3">
        <v>0</v>
      </c>
      <c r="AK396" s="3">
        <v>200</v>
      </c>
      <c r="AL396" s="3">
        <v>0</v>
      </c>
      <c r="AM396" s="3">
        <v>0</v>
      </c>
      <c r="AN396" s="3">
        <v>0</v>
      </c>
      <c r="AO396" s="3">
        <v>0</v>
      </c>
      <c r="AP396" s="3">
        <v>140</v>
      </c>
      <c r="AR396" t="str">
        <f t="shared" si="66"/>
        <v>0000000000000</v>
      </c>
      <c r="AT396" t="str">
        <f>T("9791196402730")</f>
        <v>9791196402730</v>
      </c>
      <c r="AV396" t="str">
        <f>T("웹툰 &gt; 로맨스")</f>
        <v>웹툰 &gt; 로맨스</v>
      </c>
    </row>
    <row r="397" spans="1:49" x14ac:dyDescent="0.4">
      <c r="A397">
        <v>4421000866</v>
      </c>
      <c r="B397">
        <v>4421001292</v>
      </c>
      <c r="C397" t="str">
        <f>T("최애에게 들켜버렸다 66화")</f>
        <v>최애에게 들켜버렸다 66화</v>
      </c>
      <c r="D397" t="str">
        <f>T("69")</f>
        <v>69</v>
      </c>
      <c r="E397" t="str">
        <f>T("Lv")</f>
        <v>Lv</v>
      </c>
      <c r="G397" t="str">
        <f>T("Lv")</f>
        <v>Lv</v>
      </c>
      <c r="H397" t="str">
        <f t="shared" si="67"/>
        <v>스토리위즈</v>
      </c>
      <c r="I397" t="str">
        <f>T("최애에게 들켜버렸다")</f>
        <v>최애에게 들켜버렸다</v>
      </c>
      <c r="J397">
        <v>400</v>
      </c>
      <c r="K397">
        <v>0</v>
      </c>
      <c r="L397">
        <v>0</v>
      </c>
      <c r="M397">
        <v>0</v>
      </c>
      <c r="N397">
        <v>600</v>
      </c>
      <c r="O397">
        <v>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s="3">
        <v>600</v>
      </c>
      <c r="AH397" s="3">
        <v>3</v>
      </c>
      <c r="AI397" s="3">
        <v>0</v>
      </c>
      <c r="AJ397" s="3">
        <v>0</v>
      </c>
      <c r="AK397" s="3">
        <v>424</v>
      </c>
      <c r="AL397" s="3">
        <v>0</v>
      </c>
      <c r="AM397" s="3">
        <v>211.38</v>
      </c>
      <c r="AN397" s="3">
        <v>-63.41</v>
      </c>
      <c r="AO397" s="3">
        <v>0</v>
      </c>
      <c r="AP397" s="3">
        <v>400.38</v>
      </c>
      <c r="AR397" t="str">
        <f t="shared" si="66"/>
        <v>0000000000000</v>
      </c>
      <c r="AT397" t="str">
        <f>T("9791137601253")</f>
        <v>9791137601253</v>
      </c>
      <c r="AV397" t="str">
        <f>T("웹툰 &gt; 해외 순정")</f>
        <v>웹툰 &gt; 해외 순정</v>
      </c>
      <c r="AW397" t="str">
        <f>T("웹툰 &gt; 로맨스")</f>
        <v>웹툰 &gt; 로맨스</v>
      </c>
    </row>
    <row r="398" spans="1:49" x14ac:dyDescent="0.4">
      <c r="A398">
        <v>4421000916</v>
      </c>
      <c r="B398">
        <v>4421001189</v>
      </c>
      <c r="C398" t="str">
        <f>T("별빛 아래 우리 39화")</f>
        <v>별빛 아래 우리 39화</v>
      </c>
      <c r="D398" t="str">
        <f>T("39")</f>
        <v>39</v>
      </c>
      <c r="E398" t="str">
        <f>T("건일")</f>
        <v>건일</v>
      </c>
      <c r="G398" t="str">
        <f>T("건일")</f>
        <v>건일</v>
      </c>
      <c r="H398" t="str">
        <f t="shared" si="67"/>
        <v>스토리위즈</v>
      </c>
      <c r="I398" t="str">
        <f>T("별빛 아래 우리")</f>
        <v>별빛 아래 우리</v>
      </c>
      <c r="J398">
        <v>400</v>
      </c>
      <c r="K398">
        <v>0</v>
      </c>
      <c r="L398">
        <v>0</v>
      </c>
      <c r="M398">
        <v>0</v>
      </c>
      <c r="N398">
        <v>800</v>
      </c>
      <c r="O398">
        <v>4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 s="3">
        <v>800</v>
      </c>
      <c r="AH398" s="3">
        <v>4</v>
      </c>
      <c r="AI398" s="3">
        <v>0</v>
      </c>
      <c r="AJ398" s="3">
        <v>0</v>
      </c>
      <c r="AK398" s="3">
        <v>379</v>
      </c>
      <c r="AL398" s="3">
        <v>0</v>
      </c>
      <c r="AM398" s="3">
        <v>505.2</v>
      </c>
      <c r="AN398" s="3">
        <v>-151.56</v>
      </c>
      <c r="AO398" s="3">
        <v>0</v>
      </c>
      <c r="AP398" s="3">
        <v>512.85</v>
      </c>
      <c r="AR398" t="str">
        <f t="shared" si="66"/>
        <v>0000000000000</v>
      </c>
      <c r="AT398" t="str">
        <f>T("9791137601413")</f>
        <v>9791137601413</v>
      </c>
      <c r="AV398" t="str">
        <f>T("웹툰 &gt; 해외 순정")</f>
        <v>웹툰 &gt; 해외 순정</v>
      </c>
      <c r="AW398" t="str">
        <f>T("웹툰 &gt; 로맨스")</f>
        <v>웹툰 &gt; 로맨스</v>
      </c>
    </row>
    <row r="399" spans="1:49" x14ac:dyDescent="0.4">
      <c r="A399">
        <v>4421000450</v>
      </c>
      <c r="B399">
        <v>4421000464</v>
      </c>
      <c r="C399" t="str">
        <f>T("내 남편의 스토커 14화")</f>
        <v>내 남편의 스토커 14화</v>
      </c>
      <c r="D399" t="str">
        <f>T("14")</f>
        <v>14</v>
      </c>
      <c r="E399" t="str">
        <f>T("혜원")</f>
        <v>혜원</v>
      </c>
      <c r="G399" t="str">
        <f>T("혜원")</f>
        <v>혜원</v>
      </c>
      <c r="H399" t="str">
        <f t="shared" si="67"/>
        <v>스토리위즈</v>
      </c>
      <c r="I399" t="str">
        <f>T("내 남편의 스토커")</f>
        <v>내 남편의 스토커</v>
      </c>
      <c r="J399">
        <v>400</v>
      </c>
      <c r="K399">
        <v>0</v>
      </c>
      <c r="L399">
        <v>0</v>
      </c>
      <c r="M399">
        <v>0</v>
      </c>
      <c r="N399">
        <v>200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 s="3">
        <v>200</v>
      </c>
      <c r="AH399" s="3">
        <v>1</v>
      </c>
      <c r="AI399" s="3">
        <v>0</v>
      </c>
      <c r="AJ399" s="3">
        <v>0</v>
      </c>
      <c r="AK399" s="3">
        <v>200</v>
      </c>
      <c r="AL399" s="3">
        <v>0</v>
      </c>
      <c r="AM399" s="3">
        <v>0</v>
      </c>
      <c r="AN399" s="3">
        <v>0</v>
      </c>
      <c r="AO399" s="3">
        <v>0</v>
      </c>
      <c r="AP399" s="3">
        <v>140</v>
      </c>
      <c r="AR399" t="str">
        <f t="shared" si="66"/>
        <v>0000000000000</v>
      </c>
      <c r="AT399" t="str">
        <f>T("9791166068034")</f>
        <v>9791166068034</v>
      </c>
      <c r="AV399" t="str">
        <f>T("웹툰 &gt; 로맨스")</f>
        <v>웹툰 &gt; 로맨스</v>
      </c>
    </row>
    <row r="400" spans="1:49" x14ac:dyDescent="0.4">
      <c r="A400">
        <v>4421000450</v>
      </c>
      <c r="B400">
        <v>4421000472</v>
      </c>
      <c r="C400" t="str">
        <f>T("내 남편의 스토커 22화")</f>
        <v>내 남편의 스토커 22화</v>
      </c>
      <c r="D400" t="str">
        <f>T("22")</f>
        <v>22</v>
      </c>
      <c r="E400" t="str">
        <f>T("혜원")</f>
        <v>혜원</v>
      </c>
      <c r="G400" t="str">
        <f>T("혜원")</f>
        <v>혜원</v>
      </c>
      <c r="H400" t="str">
        <f t="shared" si="67"/>
        <v>스토리위즈</v>
      </c>
      <c r="I400" t="str">
        <f>T("내 남편의 스토커")</f>
        <v>내 남편의 스토커</v>
      </c>
      <c r="J400">
        <v>400</v>
      </c>
      <c r="K400">
        <v>0</v>
      </c>
      <c r="L400">
        <v>0</v>
      </c>
      <c r="M400">
        <v>0</v>
      </c>
      <c r="N400">
        <v>200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 s="3">
        <v>200</v>
      </c>
      <c r="AH400" s="3">
        <v>1</v>
      </c>
      <c r="AI400" s="3">
        <v>0</v>
      </c>
      <c r="AJ400" s="3">
        <v>0</v>
      </c>
      <c r="AK400" s="3">
        <v>200</v>
      </c>
      <c r="AL400" s="3">
        <v>0</v>
      </c>
      <c r="AM400" s="3">
        <v>0</v>
      </c>
      <c r="AN400" s="3">
        <v>0</v>
      </c>
      <c r="AO400" s="3">
        <v>0</v>
      </c>
      <c r="AP400" s="3">
        <v>140</v>
      </c>
      <c r="AR400" t="str">
        <f t="shared" si="66"/>
        <v>0000000000000</v>
      </c>
      <c r="AT400" t="str">
        <f>T("9791166068034")</f>
        <v>9791166068034</v>
      </c>
      <c r="AV400" t="str">
        <f>T("웹툰 &gt; 로맨스")</f>
        <v>웹툰 &gt; 로맨스</v>
      </c>
    </row>
    <row r="401" spans="1:49" x14ac:dyDescent="0.4">
      <c r="A401">
        <v>4421000198</v>
      </c>
      <c r="B401">
        <v>4421000239</v>
      </c>
      <c r="C401" t="str">
        <f>T("공주전쟁 42화")</f>
        <v>공주전쟁 42화</v>
      </c>
      <c r="D401" t="str">
        <f>T("42")</f>
        <v>42</v>
      </c>
      <c r="E401" t="str">
        <f>T("Hujing")</f>
        <v>Hujing</v>
      </c>
      <c r="G401" t="str">
        <f>T("Luojie")</f>
        <v>Luojie</v>
      </c>
      <c r="H401" t="str">
        <f t="shared" si="67"/>
        <v>스토리위즈</v>
      </c>
      <c r="I401" t="str">
        <f>T("공주전쟁")</f>
        <v>공주전쟁</v>
      </c>
      <c r="J401">
        <v>400</v>
      </c>
      <c r="K401">
        <v>0</v>
      </c>
      <c r="L401">
        <v>0</v>
      </c>
      <c r="M401">
        <v>0</v>
      </c>
      <c r="N401">
        <v>600</v>
      </c>
      <c r="O401">
        <v>3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 s="3">
        <v>600</v>
      </c>
      <c r="AH401" s="3">
        <v>3</v>
      </c>
      <c r="AI401" s="3">
        <v>0</v>
      </c>
      <c r="AJ401" s="3">
        <v>0</v>
      </c>
      <c r="AK401" s="3">
        <v>400</v>
      </c>
      <c r="AL401" s="3">
        <v>0</v>
      </c>
      <c r="AM401" s="3">
        <v>240</v>
      </c>
      <c r="AN401" s="3">
        <v>-72</v>
      </c>
      <c r="AO401" s="3">
        <v>0</v>
      </c>
      <c r="AP401" s="3">
        <v>397.6</v>
      </c>
      <c r="AR401" t="str">
        <f t="shared" si="66"/>
        <v>0000000000000</v>
      </c>
      <c r="AT401" t="str">
        <f>T("9791166069666")</f>
        <v>9791166069666</v>
      </c>
      <c r="AV401" t="str">
        <f>T("웹툰 &gt; 해외 순정")</f>
        <v>웹툰 &gt; 해외 순정</v>
      </c>
      <c r="AW401" t="str">
        <f>T("웹툰 &gt; 로판")</f>
        <v>웹툰 &gt; 로판</v>
      </c>
    </row>
    <row r="402" spans="1:49" x14ac:dyDescent="0.4">
      <c r="A402">
        <v>4421000887</v>
      </c>
      <c r="B402">
        <v>4421000982</v>
      </c>
      <c r="C402" t="str">
        <f>T("폭군의 눈물 30화")</f>
        <v>폭군의 눈물 30화</v>
      </c>
      <c r="D402" t="str">
        <f>T("30")</f>
        <v>30</v>
      </c>
      <c r="E402" t="str">
        <f>T("Ice×FANFAN COMIC")</f>
        <v>Ice×FANFAN COMIC</v>
      </c>
      <c r="G402" t="str">
        <f>T("Ice×FANFAN COMIC")</f>
        <v>Ice×FANFAN COMIC</v>
      </c>
      <c r="H402" t="str">
        <f t="shared" si="67"/>
        <v>스토리위즈</v>
      </c>
      <c r="I402" t="str">
        <f>T("폭군의 눈물")</f>
        <v>폭군의 눈물</v>
      </c>
      <c r="J402">
        <v>400</v>
      </c>
      <c r="K402">
        <v>0</v>
      </c>
      <c r="L402">
        <v>0</v>
      </c>
      <c r="M402">
        <v>0</v>
      </c>
      <c r="N402">
        <v>600</v>
      </c>
      <c r="O402">
        <v>3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 s="3">
        <v>600</v>
      </c>
      <c r="AH402" s="3">
        <v>3</v>
      </c>
      <c r="AI402" s="3">
        <v>0</v>
      </c>
      <c r="AJ402" s="3">
        <v>0</v>
      </c>
      <c r="AK402" s="3">
        <v>400</v>
      </c>
      <c r="AL402" s="3">
        <v>0</v>
      </c>
      <c r="AM402" s="3">
        <v>240</v>
      </c>
      <c r="AN402" s="3">
        <v>-72</v>
      </c>
      <c r="AO402" s="3">
        <v>0</v>
      </c>
      <c r="AP402" s="3">
        <v>397.6</v>
      </c>
      <c r="AR402" t="str">
        <f t="shared" si="66"/>
        <v>0000000000000</v>
      </c>
      <c r="AT402" t="str">
        <f>T("9791137601291")</f>
        <v>9791137601291</v>
      </c>
      <c r="AV402" t="str">
        <f>T("웹툰 &gt; 해외 순정")</f>
        <v>웹툰 &gt; 해외 순정</v>
      </c>
      <c r="AW402" t="str">
        <f>T("웹툰 &gt; 로판")</f>
        <v>웹툰 &gt; 로판</v>
      </c>
    </row>
    <row r="403" spans="1:49" x14ac:dyDescent="0.4">
      <c r="A403">
        <v>4421001936</v>
      </c>
      <c r="B403">
        <v>4421001939</v>
      </c>
      <c r="C403" t="str">
        <f>T("보스 오빠, 살살! 4화")</f>
        <v>보스 오빠, 살살! 4화</v>
      </c>
      <c r="D403" t="str">
        <f>T("4")</f>
        <v>4</v>
      </c>
      <c r="E403" t="str">
        <f>T("웹티")</f>
        <v>웹티</v>
      </c>
      <c r="H403" t="str">
        <f t="shared" si="67"/>
        <v>스토리위즈</v>
      </c>
      <c r="I403" t="str">
        <f>T("보스 오빠, 살살!")</f>
        <v>보스 오빠, 살살!</v>
      </c>
      <c r="J403">
        <v>500</v>
      </c>
      <c r="K403">
        <v>0</v>
      </c>
      <c r="L403">
        <v>0</v>
      </c>
      <c r="M403">
        <v>0</v>
      </c>
      <c r="N403">
        <v>200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 s="3">
        <v>200</v>
      </c>
      <c r="AH403" s="3">
        <v>1</v>
      </c>
      <c r="AI403" s="3">
        <v>0</v>
      </c>
      <c r="AJ403" s="3">
        <v>0</v>
      </c>
      <c r="AK403" s="3">
        <v>0</v>
      </c>
      <c r="AL403" s="3">
        <v>0</v>
      </c>
      <c r="AM403" s="3">
        <v>240</v>
      </c>
      <c r="AN403" s="3">
        <v>-72</v>
      </c>
      <c r="AO403" s="3">
        <v>0</v>
      </c>
      <c r="AP403" s="3">
        <v>117.6</v>
      </c>
      <c r="AT403" t="str">
        <f>T("9791190702331")</f>
        <v>9791190702331</v>
      </c>
      <c r="AV403" t="str">
        <f>T("웹툰 &gt; 로맨스")</f>
        <v>웹툰 &gt; 로맨스</v>
      </c>
    </row>
    <row r="404" spans="1:49" x14ac:dyDescent="0.4">
      <c r="A404">
        <v>4421000866</v>
      </c>
      <c r="B404">
        <v>4421000871</v>
      </c>
      <c r="C404" t="str">
        <f>T("최애에게 들켜버렸다 5화")</f>
        <v>최애에게 들켜버렸다 5화</v>
      </c>
      <c r="D404" t="str">
        <f>T("5")</f>
        <v>5</v>
      </c>
      <c r="E404" t="str">
        <f>T("Lv")</f>
        <v>Lv</v>
      </c>
      <c r="G404" t="str">
        <f>T("Lv")</f>
        <v>Lv</v>
      </c>
      <c r="H404" t="str">
        <f t="shared" si="67"/>
        <v>스토리위즈</v>
      </c>
      <c r="I404" t="str">
        <f>T("최애에게 들켜버렸다")</f>
        <v>최애에게 들켜버렸다</v>
      </c>
      <c r="J404">
        <v>400</v>
      </c>
      <c r="K404">
        <v>0</v>
      </c>
      <c r="L404">
        <v>0</v>
      </c>
      <c r="M404">
        <v>0</v>
      </c>
      <c r="N404">
        <v>1200</v>
      </c>
      <c r="O404">
        <v>6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s="3">
        <v>1200</v>
      </c>
      <c r="AH404" s="3">
        <v>6</v>
      </c>
      <c r="AI404" s="3">
        <v>0</v>
      </c>
      <c r="AJ404" s="3">
        <v>0</v>
      </c>
      <c r="AK404" s="3">
        <v>824</v>
      </c>
      <c r="AL404" s="3">
        <v>0</v>
      </c>
      <c r="AM404" s="3">
        <v>451.38</v>
      </c>
      <c r="AN404" s="3">
        <v>-135.41</v>
      </c>
      <c r="AO404" s="3">
        <v>0</v>
      </c>
      <c r="AP404" s="3">
        <v>797.98</v>
      </c>
      <c r="AR404" t="str">
        <f>T("0000000000000")</f>
        <v>0000000000000</v>
      </c>
      <c r="AT404" t="str">
        <f>T("9791137601253")</f>
        <v>9791137601253</v>
      </c>
      <c r="AV404" t="str">
        <f>T("웹툰 &gt; 해외 순정")</f>
        <v>웹툰 &gt; 해외 순정</v>
      </c>
      <c r="AW404" t="str">
        <f>T("웹툰 &gt; 로맨스")</f>
        <v>웹툰 &gt; 로맨스</v>
      </c>
    </row>
    <row r="405" spans="1:49" x14ac:dyDescent="0.4">
      <c r="A405">
        <v>4421001936</v>
      </c>
      <c r="B405">
        <v>4421001961</v>
      </c>
      <c r="C405" t="str">
        <f>T("보스 오빠, 살살! 26화")</f>
        <v>보스 오빠, 살살! 26화</v>
      </c>
      <c r="D405" t="str">
        <f>T("26")</f>
        <v>26</v>
      </c>
      <c r="E405" t="str">
        <f>T("웹티")</f>
        <v>웹티</v>
      </c>
      <c r="H405" t="str">
        <f t="shared" si="67"/>
        <v>스토리위즈</v>
      </c>
      <c r="I405" t="str">
        <f>T("보스 오빠, 살살!")</f>
        <v>보스 오빠, 살살!</v>
      </c>
      <c r="J405">
        <v>500</v>
      </c>
      <c r="K405">
        <v>0</v>
      </c>
      <c r="L405">
        <v>0</v>
      </c>
      <c r="M405">
        <v>0</v>
      </c>
      <c r="N405">
        <v>200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 s="3">
        <v>200</v>
      </c>
      <c r="AH405" s="3">
        <v>1</v>
      </c>
      <c r="AI405" s="3">
        <v>0</v>
      </c>
      <c r="AJ405" s="3">
        <v>0</v>
      </c>
      <c r="AK405" s="3">
        <v>0</v>
      </c>
      <c r="AL405" s="3">
        <v>0</v>
      </c>
      <c r="AM405" s="3">
        <v>240</v>
      </c>
      <c r="AN405" s="3">
        <v>-72</v>
      </c>
      <c r="AO405" s="3">
        <v>0</v>
      </c>
      <c r="AP405" s="3">
        <v>117.6</v>
      </c>
      <c r="AT405" t="str">
        <f>T("9791190702331")</f>
        <v>9791190702331</v>
      </c>
      <c r="AV405" t="str">
        <f>T("웹툰 &gt; 로맨스")</f>
        <v>웹툰 &gt; 로맨스</v>
      </c>
    </row>
    <row r="406" spans="1:49" x14ac:dyDescent="0.4">
      <c r="A406">
        <v>4421000001</v>
      </c>
      <c r="B406">
        <v>4421000025</v>
      </c>
      <c r="C406" t="str">
        <f>T("감옥실험 15화")</f>
        <v>감옥실험 15화</v>
      </c>
      <c r="D406" t="str">
        <f>T("15")</f>
        <v>15</v>
      </c>
      <c r="E406" t="str">
        <f>T("Kantetsu")</f>
        <v>Kantetsu</v>
      </c>
      <c r="G406" t="str">
        <f>T("Minase Chiho")</f>
        <v>Minase Chiho</v>
      </c>
      <c r="H406" t="str">
        <f t="shared" si="67"/>
        <v>스토리위즈</v>
      </c>
      <c r="I406" t="str">
        <f>T("감옥실험")</f>
        <v>감옥실험</v>
      </c>
      <c r="J406">
        <v>500</v>
      </c>
      <c r="K406">
        <v>0</v>
      </c>
      <c r="L406">
        <v>0</v>
      </c>
      <c r="M406">
        <v>0</v>
      </c>
      <c r="N406">
        <v>1200</v>
      </c>
      <c r="O406">
        <v>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 s="3">
        <v>1200</v>
      </c>
      <c r="AH406" s="3">
        <v>4</v>
      </c>
      <c r="AI406" s="3">
        <v>0</v>
      </c>
      <c r="AJ406" s="3">
        <v>0</v>
      </c>
      <c r="AK406" s="3">
        <v>900</v>
      </c>
      <c r="AL406" s="3">
        <v>0</v>
      </c>
      <c r="AM406" s="3">
        <v>360</v>
      </c>
      <c r="AN406" s="3">
        <v>-108</v>
      </c>
      <c r="AO406" s="3">
        <v>0</v>
      </c>
      <c r="AP406" s="3">
        <v>806.4</v>
      </c>
      <c r="AT406" t="str">
        <f>T("9791166069406")</f>
        <v>9791166069406</v>
      </c>
      <c r="AV406" t="str">
        <f>T("웹툰 &gt; 드라마")</f>
        <v>웹툰 &gt; 드라마</v>
      </c>
    </row>
    <row r="407" spans="1:49" x14ac:dyDescent="0.4">
      <c r="A407">
        <v>4421000518</v>
      </c>
      <c r="B407">
        <v>4421000544</v>
      </c>
      <c r="C407" t="str">
        <f>T("백스테이지 키스신 26화")</f>
        <v>백스테이지 키스신 26화</v>
      </c>
      <c r="D407" t="str">
        <f>T("26")</f>
        <v>26</v>
      </c>
      <c r="E407" t="str">
        <f>T("최도비")</f>
        <v>최도비</v>
      </c>
      <c r="G407" t="str">
        <f>T("수정과")</f>
        <v>수정과</v>
      </c>
      <c r="H407" t="str">
        <f t="shared" si="67"/>
        <v>스토리위즈</v>
      </c>
      <c r="I407" t="str">
        <f>T("백스테이지 키스신")</f>
        <v>백스테이지 키스신</v>
      </c>
      <c r="J407">
        <v>400</v>
      </c>
      <c r="K407">
        <v>0</v>
      </c>
      <c r="L407">
        <v>0</v>
      </c>
      <c r="M407">
        <v>0</v>
      </c>
      <c r="N407">
        <v>400</v>
      </c>
      <c r="O407">
        <v>2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 s="3">
        <v>400</v>
      </c>
      <c r="AH407" s="3">
        <v>2</v>
      </c>
      <c r="AI407" s="3">
        <v>0</v>
      </c>
      <c r="AJ407" s="3">
        <v>0</v>
      </c>
      <c r="AK407" s="3">
        <v>200</v>
      </c>
      <c r="AL407" s="3">
        <v>0</v>
      </c>
      <c r="AM407" s="3">
        <v>240</v>
      </c>
      <c r="AN407" s="3">
        <v>-72</v>
      </c>
      <c r="AO407" s="3">
        <v>0</v>
      </c>
      <c r="AP407" s="3">
        <v>257.60000000000002</v>
      </c>
      <c r="AR407" t="str">
        <f>T("0000000000000")</f>
        <v>0000000000000</v>
      </c>
      <c r="AT407" t="str">
        <f>T("9791166067990")</f>
        <v>9791166067990</v>
      </c>
      <c r="AV407" t="str">
        <f>T("웹툰 &gt; 로맨스")</f>
        <v>웹툰 &gt; 로맨스</v>
      </c>
    </row>
    <row r="408" spans="1:49" x14ac:dyDescent="0.4">
      <c r="A408">
        <v>4421000450</v>
      </c>
      <c r="B408">
        <v>4421000504</v>
      </c>
      <c r="C408" t="str">
        <f>T("내 남편의 스토커 54화")</f>
        <v>내 남편의 스토커 54화</v>
      </c>
      <c r="D408" t="str">
        <f>T("54")</f>
        <v>54</v>
      </c>
      <c r="E408" t="str">
        <f>T("혜원")</f>
        <v>혜원</v>
      </c>
      <c r="G408" t="str">
        <f>T("혜원")</f>
        <v>혜원</v>
      </c>
      <c r="H408" t="str">
        <f t="shared" si="67"/>
        <v>스토리위즈</v>
      </c>
      <c r="I408" t="str">
        <f>T("내 남편의 스토커")</f>
        <v>내 남편의 스토커</v>
      </c>
      <c r="J408">
        <v>400</v>
      </c>
      <c r="K408">
        <v>0</v>
      </c>
      <c r="L408">
        <v>0</v>
      </c>
      <c r="M408">
        <v>0</v>
      </c>
      <c r="N408">
        <v>200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s="3">
        <v>200</v>
      </c>
      <c r="AH408" s="3">
        <v>1</v>
      </c>
      <c r="AI408" s="3">
        <v>0</v>
      </c>
      <c r="AJ408" s="3">
        <v>0</v>
      </c>
      <c r="AK408" s="3">
        <v>200</v>
      </c>
      <c r="AL408" s="3">
        <v>0</v>
      </c>
      <c r="AM408" s="3">
        <v>0</v>
      </c>
      <c r="AN408" s="3">
        <v>0</v>
      </c>
      <c r="AO408" s="3">
        <v>0</v>
      </c>
      <c r="AP408" s="3">
        <v>140</v>
      </c>
      <c r="AR408" t="str">
        <f>T("0000000000000")</f>
        <v>0000000000000</v>
      </c>
      <c r="AT408" t="str">
        <f>T("9791166068034")</f>
        <v>9791166068034</v>
      </c>
      <c r="AV408" t="str">
        <f>T("웹툰 &gt; 로맨스")</f>
        <v>웹툰 &gt; 로맨스</v>
      </c>
    </row>
    <row r="409" spans="1:49" x14ac:dyDescent="0.4">
      <c r="A409">
        <v>4421000337</v>
      </c>
      <c r="B409">
        <v>4421000344</v>
      </c>
      <c r="C409" t="str">
        <f>T("계약연애, 오늘부터 1일 8화")</f>
        <v>계약연애, 오늘부터 1일 8화</v>
      </c>
      <c r="D409" t="str">
        <f>T("8")</f>
        <v>8</v>
      </c>
      <c r="E409" t="str">
        <f>T("원기공장")</f>
        <v>원기공장</v>
      </c>
      <c r="H409" t="str">
        <f t="shared" si="67"/>
        <v>스토리위즈</v>
      </c>
      <c r="I409" t="str">
        <f>T("계약연애, 오늘부터 1일")</f>
        <v>계약연애, 오늘부터 1일</v>
      </c>
      <c r="J409">
        <v>200</v>
      </c>
      <c r="K409">
        <v>0</v>
      </c>
      <c r="L409">
        <v>0</v>
      </c>
      <c r="M409">
        <v>0</v>
      </c>
      <c r="N409">
        <v>100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 s="3">
        <v>100</v>
      </c>
      <c r="AH409" s="3">
        <v>1</v>
      </c>
      <c r="AI409" s="3">
        <v>0</v>
      </c>
      <c r="AJ409" s="3">
        <v>0</v>
      </c>
      <c r="AK409" s="3">
        <v>100</v>
      </c>
      <c r="AL409" s="3">
        <v>0</v>
      </c>
      <c r="AM409" s="3">
        <v>0</v>
      </c>
      <c r="AN409" s="3">
        <v>0</v>
      </c>
      <c r="AO409" s="3">
        <v>0</v>
      </c>
      <c r="AP409" s="3">
        <v>70</v>
      </c>
      <c r="AR409" t="str">
        <f>T("0000000000000")</f>
        <v>0000000000000</v>
      </c>
      <c r="AT409" t="str">
        <f>T("9791166068027")</f>
        <v>9791166068027</v>
      </c>
      <c r="AV409" t="str">
        <f>T("웹툰 &gt; 해외 순정")</f>
        <v>웹툰 &gt; 해외 순정</v>
      </c>
      <c r="AW409" t="str">
        <f>T("웹툰 &gt; 로맨스")</f>
        <v>웹툰 &gt; 로맨스</v>
      </c>
    </row>
    <row r="410" spans="1:49" x14ac:dyDescent="0.4">
      <c r="A410">
        <v>4421000069</v>
      </c>
      <c r="B410">
        <v>4421001223</v>
      </c>
      <c r="C410" t="str">
        <f>T("너랑 나랑 하면 149화")</f>
        <v>너랑 나랑 하면 149화</v>
      </c>
      <c r="D410" t="str">
        <f>T("149")</f>
        <v>149</v>
      </c>
      <c r="E410" t="str">
        <f>T("NISANSUI")</f>
        <v>NISANSUI</v>
      </c>
      <c r="G410" t="str">
        <f>T("ZIQUAN")</f>
        <v>ZIQUAN</v>
      </c>
      <c r="H410" t="str">
        <f t="shared" si="67"/>
        <v>스토리위즈</v>
      </c>
      <c r="I410" t="str">
        <f>T("너랑 나랑 하면")</f>
        <v>너랑 나랑 하면</v>
      </c>
      <c r="J410">
        <v>400</v>
      </c>
      <c r="K410">
        <v>0</v>
      </c>
      <c r="L410">
        <v>0</v>
      </c>
      <c r="M410">
        <v>0</v>
      </c>
      <c r="N410">
        <v>200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 s="3">
        <v>200</v>
      </c>
      <c r="AH410" s="3">
        <v>1</v>
      </c>
      <c r="AI410" s="3">
        <v>0</v>
      </c>
      <c r="AJ410" s="3">
        <v>0</v>
      </c>
      <c r="AK410" s="3">
        <v>200</v>
      </c>
      <c r="AL410" s="3">
        <v>0</v>
      </c>
      <c r="AM410" s="3">
        <v>0</v>
      </c>
      <c r="AN410" s="3">
        <v>0</v>
      </c>
      <c r="AO410" s="3">
        <v>0</v>
      </c>
      <c r="AP410" s="3">
        <v>140</v>
      </c>
      <c r="AR410" t="str">
        <f>T("0000000000000")</f>
        <v>0000000000000</v>
      </c>
      <c r="AT410" t="str">
        <f>T("9791166067884")</f>
        <v>9791166067884</v>
      </c>
      <c r="AV410" t="str">
        <f>T("BL 웹툰 &gt; 웹툰")</f>
        <v>BL 웹툰 &gt; 웹툰</v>
      </c>
    </row>
    <row r="411" spans="1:49" x14ac:dyDescent="0.4">
      <c r="A411">
        <v>4421000001</v>
      </c>
      <c r="B411">
        <v>4421000065</v>
      </c>
      <c r="C411" t="str">
        <f>T("감옥실험 45화")</f>
        <v>감옥실험 45화</v>
      </c>
      <c r="D411" t="str">
        <f>T("45")</f>
        <v>45</v>
      </c>
      <c r="E411" t="str">
        <f>T("Kantetsu")</f>
        <v>Kantetsu</v>
      </c>
      <c r="G411" t="str">
        <f>T("Minase Chiho")</f>
        <v>Minase Chiho</v>
      </c>
      <c r="H411" t="str">
        <f t="shared" si="67"/>
        <v>스토리위즈</v>
      </c>
      <c r="I411" t="str">
        <f>T("감옥실험")</f>
        <v>감옥실험</v>
      </c>
      <c r="J411">
        <v>500</v>
      </c>
      <c r="K411">
        <v>0</v>
      </c>
      <c r="L411">
        <v>0</v>
      </c>
      <c r="M411">
        <v>0</v>
      </c>
      <c r="N411">
        <v>600</v>
      </c>
      <c r="O411">
        <v>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 s="3">
        <v>600</v>
      </c>
      <c r="AH411" s="3">
        <v>2</v>
      </c>
      <c r="AI411" s="3">
        <v>0</v>
      </c>
      <c r="AJ411" s="3">
        <v>0</v>
      </c>
      <c r="AK411" s="3">
        <v>300</v>
      </c>
      <c r="AL411" s="3">
        <v>0</v>
      </c>
      <c r="AM411" s="3">
        <v>360</v>
      </c>
      <c r="AN411" s="3">
        <v>-108</v>
      </c>
      <c r="AO411" s="3">
        <v>0</v>
      </c>
      <c r="AP411" s="3">
        <v>386.4</v>
      </c>
      <c r="AT411" t="str">
        <f>T("9791166069406")</f>
        <v>9791166069406</v>
      </c>
      <c r="AV411" t="str">
        <f>T("웹툰 &gt; 드라마")</f>
        <v>웹툰 &gt; 드라마</v>
      </c>
    </row>
    <row r="412" spans="1:49" x14ac:dyDescent="0.4">
      <c r="A412">
        <v>4421000887</v>
      </c>
      <c r="B412">
        <v>4421000903</v>
      </c>
      <c r="C412" t="str">
        <f>T("폭군의 눈물 17화")</f>
        <v>폭군의 눈물 17화</v>
      </c>
      <c r="D412" t="str">
        <f>T("17")</f>
        <v>17</v>
      </c>
      <c r="E412" t="str">
        <f>T("Ice×FANFAN COMIC")</f>
        <v>Ice×FANFAN COMIC</v>
      </c>
      <c r="G412" t="str">
        <f>T("Ice×FANFAN COMIC")</f>
        <v>Ice×FANFAN COMIC</v>
      </c>
      <c r="H412" t="str">
        <f t="shared" si="67"/>
        <v>스토리위즈</v>
      </c>
      <c r="I412" t="str">
        <f>T("폭군의 눈물")</f>
        <v>폭군의 눈물</v>
      </c>
      <c r="J412">
        <v>400</v>
      </c>
      <c r="K412">
        <v>0</v>
      </c>
      <c r="L412">
        <v>0</v>
      </c>
      <c r="M412">
        <v>0</v>
      </c>
      <c r="N412">
        <v>600</v>
      </c>
      <c r="O412">
        <v>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 s="3">
        <v>600</v>
      </c>
      <c r="AH412" s="3">
        <v>3</v>
      </c>
      <c r="AI412" s="3">
        <v>0</v>
      </c>
      <c r="AJ412" s="3">
        <v>0</v>
      </c>
      <c r="AK412" s="3">
        <v>400</v>
      </c>
      <c r="AL412" s="3">
        <v>0</v>
      </c>
      <c r="AM412" s="3">
        <v>240</v>
      </c>
      <c r="AN412" s="3">
        <v>-72</v>
      </c>
      <c r="AO412" s="3">
        <v>0</v>
      </c>
      <c r="AP412" s="3">
        <v>397.6</v>
      </c>
      <c r="AR412" t="str">
        <f>T("0000000000000")</f>
        <v>0000000000000</v>
      </c>
      <c r="AT412" t="str">
        <f>T("9791137601291")</f>
        <v>9791137601291</v>
      </c>
      <c r="AV412" t="str">
        <f>T("웹툰 &gt; 해외 순정")</f>
        <v>웹툰 &gt; 해외 순정</v>
      </c>
      <c r="AW412" t="str">
        <f>T("웹툰 &gt; 로판")</f>
        <v>웹툰 &gt; 로판</v>
      </c>
    </row>
    <row r="413" spans="1:49" x14ac:dyDescent="0.4">
      <c r="A413">
        <v>4421000069</v>
      </c>
      <c r="B413">
        <v>4421000114</v>
      </c>
      <c r="C413" t="str">
        <f>T("너랑 나랑 하면 44화")</f>
        <v>너랑 나랑 하면 44화</v>
      </c>
      <c r="D413" t="str">
        <f>T("44")</f>
        <v>44</v>
      </c>
      <c r="E413" t="str">
        <f>T("NISANSUI")</f>
        <v>NISANSUI</v>
      </c>
      <c r="G413" t="str">
        <f>T("ZIQUAN")</f>
        <v>ZIQUAN</v>
      </c>
      <c r="H413" t="str">
        <f t="shared" si="67"/>
        <v>스토리위즈</v>
      </c>
      <c r="I413" t="str">
        <f>T("너랑 나랑 하면")</f>
        <v>너랑 나랑 하면</v>
      </c>
      <c r="J413">
        <v>400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s="3">
        <v>0</v>
      </c>
      <c r="AH413" s="3">
        <v>3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R413" t="str">
        <f>T("0000000000000")</f>
        <v>0000000000000</v>
      </c>
      <c r="AT413" t="str">
        <f>T("9791166067884")</f>
        <v>9791166067884</v>
      </c>
      <c r="AV413" t="str">
        <f>T("BL 웹툰 &gt; 웹툰")</f>
        <v>BL 웹툰 &gt; 웹툰</v>
      </c>
    </row>
    <row r="414" spans="1:49" x14ac:dyDescent="0.4">
      <c r="A414">
        <v>4421001340</v>
      </c>
      <c r="B414">
        <v>4421001340</v>
      </c>
      <c r="C414" t="str">
        <f>T("가출천사 육성계약 1화")</f>
        <v>가출천사 육성계약 1화</v>
      </c>
      <c r="D414" t="str">
        <f>T("1")</f>
        <v>1</v>
      </c>
      <c r="E414" t="str">
        <f>T("Bae.C, IIAKI, 박제후")</f>
        <v>Bae.C, IIAKI, 박제후</v>
      </c>
      <c r="G414" t="str">
        <f>T("Bae.C, 조우")</f>
        <v>Bae.C, 조우</v>
      </c>
      <c r="H414" t="str">
        <f t="shared" si="67"/>
        <v>스토리위즈</v>
      </c>
      <c r="I414" t="str">
        <f>T("가출천사 육성계약")</f>
        <v>가출천사 육성계약</v>
      </c>
      <c r="J414">
        <v>400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 s="3">
        <v>0</v>
      </c>
      <c r="AH414" s="3">
        <v>5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R414" t="str">
        <f>T("0000000000000")</f>
        <v>0000000000000</v>
      </c>
      <c r="AT414" t="str">
        <f>T("9791191765663")</f>
        <v>9791191765663</v>
      </c>
      <c r="AV414" t="str">
        <f>T("웹툰 &gt; 판타지/SF")</f>
        <v>웹툰 &gt; 판타지/SF</v>
      </c>
    </row>
    <row r="415" spans="1:49" x14ac:dyDescent="0.4">
      <c r="A415">
        <v>4421001936</v>
      </c>
      <c r="B415">
        <v>4421002713</v>
      </c>
      <c r="C415" t="str">
        <f>T("보스 오빠, 살살! 54화")</f>
        <v>보스 오빠, 살살! 54화</v>
      </c>
      <c r="D415" t="str">
        <f>T("54")</f>
        <v>54</v>
      </c>
      <c r="E415" t="str">
        <f>T("웹티")</f>
        <v>웹티</v>
      </c>
      <c r="H415" t="str">
        <f t="shared" si="67"/>
        <v>스토리위즈</v>
      </c>
      <c r="I415" t="str">
        <f>T("보스 오빠, 살살!")</f>
        <v>보스 오빠, 살살!</v>
      </c>
      <c r="J415">
        <v>500</v>
      </c>
      <c r="K415">
        <v>0</v>
      </c>
      <c r="L415">
        <v>0</v>
      </c>
      <c r="M415">
        <v>0</v>
      </c>
      <c r="N415">
        <v>200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 s="3">
        <v>200</v>
      </c>
      <c r="AH415" s="3">
        <v>1</v>
      </c>
      <c r="AI415" s="3">
        <v>0</v>
      </c>
      <c r="AJ415" s="3">
        <v>0</v>
      </c>
      <c r="AK415" s="3">
        <v>0</v>
      </c>
      <c r="AL415" s="3">
        <v>0</v>
      </c>
      <c r="AM415" s="3">
        <v>240</v>
      </c>
      <c r="AN415" s="3">
        <v>-72</v>
      </c>
      <c r="AO415" s="3">
        <v>0</v>
      </c>
      <c r="AP415" s="3">
        <v>117.6</v>
      </c>
      <c r="AT415" t="str">
        <f>T("9791190702331")</f>
        <v>9791190702331</v>
      </c>
      <c r="AV415" t="str">
        <f>T("웹툰 &gt; 로맨스")</f>
        <v>웹툰 &gt; 로맨스</v>
      </c>
    </row>
    <row r="416" spans="1:49" x14ac:dyDescent="0.4">
      <c r="A416">
        <v>4421000198</v>
      </c>
      <c r="B416">
        <v>4421001181</v>
      </c>
      <c r="C416" t="str">
        <f>T("공주전쟁 66화")</f>
        <v>공주전쟁 66화</v>
      </c>
      <c r="D416" t="str">
        <f>T("66")</f>
        <v>66</v>
      </c>
      <c r="E416" t="str">
        <f>T("Hujing")</f>
        <v>Hujing</v>
      </c>
      <c r="G416" t="str">
        <f>T("Luojie")</f>
        <v>Luojie</v>
      </c>
      <c r="H416" t="str">
        <f t="shared" si="67"/>
        <v>스토리위즈</v>
      </c>
      <c r="I416" t="str">
        <f>T("공주전쟁")</f>
        <v>공주전쟁</v>
      </c>
      <c r="J416">
        <v>400</v>
      </c>
      <c r="K416">
        <v>0</v>
      </c>
      <c r="L416">
        <v>0</v>
      </c>
      <c r="M416">
        <v>0</v>
      </c>
      <c r="N416">
        <v>400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 s="3">
        <v>400</v>
      </c>
      <c r="AH416" s="3">
        <v>2</v>
      </c>
      <c r="AI416" s="3">
        <v>0</v>
      </c>
      <c r="AJ416" s="3">
        <v>0</v>
      </c>
      <c r="AK416" s="3">
        <v>200</v>
      </c>
      <c r="AL416" s="3">
        <v>0</v>
      </c>
      <c r="AM416" s="3">
        <v>240</v>
      </c>
      <c r="AN416" s="3">
        <v>-72</v>
      </c>
      <c r="AO416" s="3">
        <v>0</v>
      </c>
      <c r="AP416" s="3">
        <v>257.60000000000002</v>
      </c>
      <c r="AR416" t="str">
        <f>T("0000000000000")</f>
        <v>0000000000000</v>
      </c>
      <c r="AT416" t="str">
        <f>T("9791166069666")</f>
        <v>9791166069666</v>
      </c>
      <c r="AV416" t="str">
        <f>T("웹툰 &gt; 해외 순정")</f>
        <v>웹툰 &gt; 해외 순정</v>
      </c>
      <c r="AW416" t="str">
        <f>T("웹툰 &gt; 로판")</f>
        <v>웹툰 &gt; 로판</v>
      </c>
    </row>
    <row r="417" spans="1:49" x14ac:dyDescent="0.4">
      <c r="A417">
        <v>4421000450</v>
      </c>
      <c r="B417">
        <v>4421000457</v>
      </c>
      <c r="C417" t="str">
        <f>T("내 남편의 스토커 7화")</f>
        <v>내 남편의 스토커 7화</v>
      </c>
      <c r="D417" t="str">
        <f>T("7")</f>
        <v>7</v>
      </c>
      <c r="E417" t="str">
        <f>T("혜원")</f>
        <v>혜원</v>
      </c>
      <c r="G417" t="str">
        <f>T("혜원")</f>
        <v>혜원</v>
      </c>
      <c r="H417" t="str">
        <f t="shared" si="67"/>
        <v>스토리위즈</v>
      </c>
      <c r="I417" t="str">
        <f>T("내 남편의 스토커")</f>
        <v>내 남편의 스토커</v>
      </c>
      <c r="J417">
        <v>400</v>
      </c>
      <c r="K417">
        <v>0</v>
      </c>
      <c r="L417">
        <v>0</v>
      </c>
      <c r="M417">
        <v>0</v>
      </c>
      <c r="N417">
        <v>200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s="3">
        <v>200</v>
      </c>
      <c r="AH417" s="3">
        <v>1</v>
      </c>
      <c r="AI417" s="3">
        <v>0</v>
      </c>
      <c r="AJ417" s="3">
        <v>0</v>
      </c>
      <c r="AK417" s="3">
        <v>200</v>
      </c>
      <c r="AL417" s="3">
        <v>0</v>
      </c>
      <c r="AM417" s="3">
        <v>0</v>
      </c>
      <c r="AN417" s="3">
        <v>0</v>
      </c>
      <c r="AO417" s="3">
        <v>0</v>
      </c>
      <c r="AP417" s="3">
        <v>140</v>
      </c>
      <c r="AR417" t="str">
        <f>T("0000000000000")</f>
        <v>0000000000000</v>
      </c>
      <c r="AT417" t="str">
        <f>T("9791166068034")</f>
        <v>9791166068034</v>
      </c>
      <c r="AV417" t="str">
        <f>T("웹툰 &gt; 로맨스")</f>
        <v>웹툰 &gt; 로맨스</v>
      </c>
    </row>
    <row r="418" spans="1:49" x14ac:dyDescent="0.4">
      <c r="A418">
        <v>4421000198</v>
      </c>
      <c r="B418">
        <v>4421000232</v>
      </c>
      <c r="C418" t="str">
        <f>T("공주전쟁 35화")</f>
        <v>공주전쟁 35화</v>
      </c>
      <c r="D418" t="str">
        <f>T("35")</f>
        <v>35</v>
      </c>
      <c r="E418" t="str">
        <f>T("Hujing")</f>
        <v>Hujing</v>
      </c>
      <c r="G418" t="str">
        <f>T("Luojie")</f>
        <v>Luojie</v>
      </c>
      <c r="H418" t="str">
        <f t="shared" si="67"/>
        <v>스토리위즈</v>
      </c>
      <c r="I418" t="str">
        <f>T("공주전쟁")</f>
        <v>공주전쟁</v>
      </c>
      <c r="J418">
        <v>400</v>
      </c>
      <c r="K418">
        <v>0</v>
      </c>
      <c r="L418">
        <v>0</v>
      </c>
      <c r="M418">
        <v>0</v>
      </c>
      <c r="N418">
        <v>600</v>
      </c>
      <c r="O418">
        <v>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s="3">
        <v>600</v>
      </c>
      <c r="AH418" s="3">
        <v>3</v>
      </c>
      <c r="AI418" s="3">
        <v>0</v>
      </c>
      <c r="AJ418" s="3">
        <v>0</v>
      </c>
      <c r="AK418" s="3">
        <v>400</v>
      </c>
      <c r="AL418" s="3">
        <v>0</v>
      </c>
      <c r="AM418" s="3">
        <v>240</v>
      </c>
      <c r="AN418" s="3">
        <v>-72</v>
      </c>
      <c r="AO418" s="3">
        <v>0</v>
      </c>
      <c r="AP418" s="3">
        <v>397.6</v>
      </c>
      <c r="AR418" t="str">
        <f>T("0000000000000")</f>
        <v>0000000000000</v>
      </c>
      <c r="AT418" t="str">
        <f>T("9791166069666")</f>
        <v>9791166069666</v>
      </c>
      <c r="AV418" t="str">
        <f>T("웹툰 &gt; 해외 순정")</f>
        <v>웹툰 &gt; 해외 순정</v>
      </c>
      <c r="AW418" t="str">
        <f>T("웹툰 &gt; 로판")</f>
        <v>웹툰 &gt; 로판</v>
      </c>
    </row>
    <row r="419" spans="1:49" x14ac:dyDescent="0.4">
      <c r="A419">
        <v>4421000866</v>
      </c>
      <c r="B419">
        <v>4421000975</v>
      </c>
      <c r="C419" t="str">
        <f>T("최애에게 들켜버렸다 33화")</f>
        <v>최애에게 들켜버렸다 33화</v>
      </c>
      <c r="D419" t="str">
        <f>T("34")</f>
        <v>34</v>
      </c>
      <c r="E419" t="str">
        <f>T("Lv")</f>
        <v>Lv</v>
      </c>
      <c r="G419" t="str">
        <f>T("Lv")</f>
        <v>Lv</v>
      </c>
      <c r="H419" t="str">
        <f t="shared" si="67"/>
        <v>스토리위즈</v>
      </c>
      <c r="I419" t="str">
        <f>T("최애에게 들켜버렸다")</f>
        <v>최애에게 들켜버렸다</v>
      </c>
      <c r="J419">
        <v>400</v>
      </c>
      <c r="K419">
        <v>0</v>
      </c>
      <c r="L419">
        <v>0</v>
      </c>
      <c r="M419">
        <v>0</v>
      </c>
      <c r="N419">
        <v>600</v>
      </c>
      <c r="O419">
        <v>3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 s="3">
        <v>600</v>
      </c>
      <c r="AH419" s="3">
        <v>3</v>
      </c>
      <c r="AI419" s="3">
        <v>0</v>
      </c>
      <c r="AJ419" s="3">
        <v>0</v>
      </c>
      <c r="AK419" s="3">
        <v>424</v>
      </c>
      <c r="AL419" s="3">
        <v>0</v>
      </c>
      <c r="AM419" s="3">
        <v>211.38</v>
      </c>
      <c r="AN419" s="3">
        <v>-63.41</v>
      </c>
      <c r="AO419" s="3">
        <v>0</v>
      </c>
      <c r="AP419" s="3">
        <v>400.38</v>
      </c>
      <c r="AR419" t="str">
        <f>T("0000000000000")</f>
        <v>0000000000000</v>
      </c>
      <c r="AT419" t="str">
        <f>T("9791137601253")</f>
        <v>9791137601253</v>
      </c>
      <c r="AV419" t="str">
        <f>T("웹툰 &gt; 해외 순정")</f>
        <v>웹툰 &gt; 해외 순정</v>
      </c>
      <c r="AW419" t="str">
        <f>T("웹툰 &gt; 로맨스")</f>
        <v>웹툰 &gt; 로맨스</v>
      </c>
    </row>
    <row r="420" spans="1:49" x14ac:dyDescent="0.4">
      <c r="A420">
        <v>4421001836</v>
      </c>
      <c r="B420">
        <v>4421001838</v>
      </c>
      <c r="C420" t="str">
        <f>T("무령후 3화")</f>
        <v>무령후 3화</v>
      </c>
      <c r="D420" t="str">
        <f>T("3")</f>
        <v>3</v>
      </c>
      <c r="E420" t="str">
        <f>T("웹티")</f>
        <v>웹티</v>
      </c>
      <c r="H420" t="str">
        <f t="shared" si="67"/>
        <v>스토리위즈</v>
      </c>
      <c r="I420" t="str">
        <f>T("무령후")</f>
        <v>무령후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 s="3">
        <v>0</v>
      </c>
      <c r="AH420" s="3">
        <v>1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T420" t="str">
        <f>T("9791190622066")</f>
        <v>9791190622066</v>
      </c>
      <c r="AV420" t="str">
        <f>T("웹툰 &gt; 액션/무협")</f>
        <v>웹툰 &gt; 액션/무협</v>
      </c>
    </row>
    <row r="421" spans="1:49" x14ac:dyDescent="0.4">
      <c r="A421">
        <v>4421001936</v>
      </c>
      <c r="B421">
        <v>4421001948</v>
      </c>
      <c r="C421" t="str">
        <f>T("보스 오빠, 살살! 13화")</f>
        <v>보스 오빠, 살살! 13화</v>
      </c>
      <c r="D421" t="str">
        <f>T("13")</f>
        <v>13</v>
      </c>
      <c r="E421" t="str">
        <f>T("웹티")</f>
        <v>웹티</v>
      </c>
      <c r="H421" t="str">
        <f t="shared" si="67"/>
        <v>스토리위즈</v>
      </c>
      <c r="I421" t="str">
        <f>T("보스 오빠, 살살!")</f>
        <v>보스 오빠, 살살!</v>
      </c>
      <c r="J421">
        <v>500</v>
      </c>
      <c r="K421">
        <v>0</v>
      </c>
      <c r="L421">
        <v>0</v>
      </c>
      <c r="M421">
        <v>0</v>
      </c>
      <c r="N421">
        <v>200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 s="3">
        <v>200</v>
      </c>
      <c r="AH421" s="3">
        <v>1</v>
      </c>
      <c r="AI421" s="3">
        <v>0</v>
      </c>
      <c r="AJ421" s="3">
        <v>0</v>
      </c>
      <c r="AK421" s="3">
        <v>0</v>
      </c>
      <c r="AL421" s="3">
        <v>0</v>
      </c>
      <c r="AM421" s="3">
        <v>240</v>
      </c>
      <c r="AN421" s="3">
        <v>-72</v>
      </c>
      <c r="AO421" s="3">
        <v>0</v>
      </c>
      <c r="AP421" s="3">
        <v>117.6</v>
      </c>
      <c r="AT421" t="str">
        <f>T("9791190702331")</f>
        <v>9791190702331</v>
      </c>
      <c r="AV421" t="str">
        <f>T("웹툰 &gt; 로맨스")</f>
        <v>웹툰 &gt; 로맨스</v>
      </c>
    </row>
    <row r="422" spans="1:49" x14ac:dyDescent="0.4">
      <c r="A422">
        <v>4421000001</v>
      </c>
      <c r="B422">
        <v>4421000018</v>
      </c>
      <c r="C422" t="str">
        <f>T("감옥실험 8화")</f>
        <v>감옥실험 8화</v>
      </c>
      <c r="D422" t="str">
        <f>T("8")</f>
        <v>8</v>
      </c>
      <c r="E422" t="str">
        <f>T("Kantetsu")</f>
        <v>Kantetsu</v>
      </c>
      <c r="G422" t="str">
        <f>T("Minase Chiho")</f>
        <v>Minase Chiho</v>
      </c>
      <c r="H422" t="str">
        <f t="shared" si="67"/>
        <v>스토리위즈</v>
      </c>
      <c r="I422" t="str">
        <f>T("감옥실험")</f>
        <v>감옥실험</v>
      </c>
      <c r="J422">
        <v>500</v>
      </c>
      <c r="K422">
        <v>0</v>
      </c>
      <c r="L422">
        <v>0</v>
      </c>
      <c r="M422">
        <v>0</v>
      </c>
      <c r="N422">
        <v>2400</v>
      </c>
      <c r="O422">
        <v>8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 s="3">
        <v>2400</v>
      </c>
      <c r="AH422" s="3">
        <v>8</v>
      </c>
      <c r="AI422" s="3">
        <v>0</v>
      </c>
      <c r="AJ422" s="3">
        <v>0</v>
      </c>
      <c r="AK422" s="3">
        <v>2400</v>
      </c>
      <c r="AL422" s="3">
        <v>0</v>
      </c>
      <c r="AM422" s="3">
        <v>0</v>
      </c>
      <c r="AN422" s="3">
        <v>0</v>
      </c>
      <c r="AO422" s="3">
        <v>0</v>
      </c>
      <c r="AP422" s="3">
        <v>1680</v>
      </c>
      <c r="AT422" t="str">
        <f>T("9791166069406")</f>
        <v>9791166069406</v>
      </c>
      <c r="AV422" t="str">
        <f>T("웹툰 &gt; 드라마")</f>
        <v>웹툰 &gt; 드라마</v>
      </c>
    </row>
    <row r="423" spans="1:49" x14ac:dyDescent="0.4">
      <c r="A423">
        <v>4421000518</v>
      </c>
      <c r="B423">
        <v>4421000537</v>
      </c>
      <c r="C423" t="str">
        <f>T("백스테이지 키스신 19화")</f>
        <v>백스테이지 키스신 19화</v>
      </c>
      <c r="D423" t="str">
        <f>T("19")</f>
        <v>19</v>
      </c>
      <c r="E423" t="str">
        <f>T("최도비")</f>
        <v>최도비</v>
      </c>
      <c r="G423" t="str">
        <f>T("수정과")</f>
        <v>수정과</v>
      </c>
      <c r="H423" t="str">
        <f t="shared" si="67"/>
        <v>스토리위즈</v>
      </c>
      <c r="I423" t="str">
        <f>T("백스테이지 키스신")</f>
        <v>백스테이지 키스신</v>
      </c>
      <c r="J423">
        <v>400</v>
      </c>
      <c r="K423">
        <v>0</v>
      </c>
      <c r="L423">
        <v>0</v>
      </c>
      <c r="M423">
        <v>0</v>
      </c>
      <c r="N423">
        <v>200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 s="3">
        <v>200</v>
      </c>
      <c r="AH423" s="3">
        <v>1</v>
      </c>
      <c r="AI423" s="3">
        <v>0</v>
      </c>
      <c r="AJ423" s="3">
        <v>0</v>
      </c>
      <c r="AK423" s="3">
        <v>200</v>
      </c>
      <c r="AL423" s="3">
        <v>0</v>
      </c>
      <c r="AM423" s="3">
        <v>0</v>
      </c>
      <c r="AN423" s="3">
        <v>0</v>
      </c>
      <c r="AO423" s="3">
        <v>0</v>
      </c>
      <c r="AP423" s="3">
        <v>140</v>
      </c>
      <c r="AR423" t="str">
        <f>T("0000000000000")</f>
        <v>0000000000000</v>
      </c>
      <c r="AT423" t="str">
        <f>T("9791166067990")</f>
        <v>9791166067990</v>
      </c>
      <c r="AV423" t="str">
        <f>T("웹툰 &gt; 로맨스")</f>
        <v>웹툰 &gt; 로맨스</v>
      </c>
    </row>
    <row r="424" spans="1:49" x14ac:dyDescent="0.4">
      <c r="A424">
        <v>4421000887</v>
      </c>
      <c r="B424">
        <v>4421001214</v>
      </c>
      <c r="C424" t="str">
        <f>T("폭군의 눈물 41화")</f>
        <v>폭군의 눈물 41화</v>
      </c>
      <c r="D424" t="str">
        <f>T("41")</f>
        <v>41</v>
      </c>
      <c r="E424" t="str">
        <f>T("Ice×FANFAN COMIC")</f>
        <v>Ice×FANFAN COMIC</v>
      </c>
      <c r="G424" t="str">
        <f>T("Ice×FANFAN COMIC")</f>
        <v>Ice×FANFAN COMIC</v>
      </c>
      <c r="H424" t="str">
        <f t="shared" si="67"/>
        <v>스토리위즈</v>
      </c>
      <c r="I424" t="str">
        <f>T("폭군의 눈물")</f>
        <v>폭군의 눈물</v>
      </c>
      <c r="J424">
        <v>400</v>
      </c>
      <c r="K424">
        <v>0</v>
      </c>
      <c r="L424">
        <v>0</v>
      </c>
      <c r="M424">
        <v>0</v>
      </c>
      <c r="N424">
        <v>600</v>
      </c>
      <c r="O424">
        <v>3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 s="3">
        <v>600</v>
      </c>
      <c r="AH424" s="3">
        <v>3</v>
      </c>
      <c r="AI424" s="3">
        <v>0</v>
      </c>
      <c r="AJ424" s="3">
        <v>0</v>
      </c>
      <c r="AK424" s="3">
        <v>400</v>
      </c>
      <c r="AL424" s="3">
        <v>0</v>
      </c>
      <c r="AM424" s="3">
        <v>240</v>
      </c>
      <c r="AN424" s="3">
        <v>-72</v>
      </c>
      <c r="AO424" s="3">
        <v>0</v>
      </c>
      <c r="AP424" s="3">
        <v>397.6</v>
      </c>
      <c r="AR424" t="str">
        <f>T("0000000000000")</f>
        <v>0000000000000</v>
      </c>
      <c r="AT424" t="str">
        <f>T("9791137601291")</f>
        <v>9791137601291</v>
      </c>
      <c r="AV424" t="str">
        <f>T("웹툰 &gt; 해외 순정")</f>
        <v>웹툰 &gt; 해외 순정</v>
      </c>
      <c r="AW424" t="str">
        <f>T("웹툰 &gt; 로판")</f>
        <v>웹툰 &gt; 로판</v>
      </c>
    </row>
    <row r="425" spans="1:49" x14ac:dyDescent="0.4">
      <c r="A425">
        <v>4421000450</v>
      </c>
      <c r="B425">
        <v>4421000497</v>
      </c>
      <c r="C425" t="str">
        <f>T("내 남편의 스토커 47화")</f>
        <v>내 남편의 스토커 47화</v>
      </c>
      <c r="D425" t="str">
        <f>T("47")</f>
        <v>47</v>
      </c>
      <c r="E425" t="str">
        <f>T("혜원")</f>
        <v>혜원</v>
      </c>
      <c r="G425" t="str">
        <f>T("혜원")</f>
        <v>혜원</v>
      </c>
      <c r="H425" t="str">
        <f t="shared" si="67"/>
        <v>스토리위즈</v>
      </c>
      <c r="I425" t="str">
        <f>T("내 남편의 스토커")</f>
        <v>내 남편의 스토커</v>
      </c>
      <c r="J425">
        <v>400</v>
      </c>
      <c r="K425">
        <v>0</v>
      </c>
      <c r="L425">
        <v>0</v>
      </c>
      <c r="M425">
        <v>0</v>
      </c>
      <c r="N425">
        <v>200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 s="3">
        <v>200</v>
      </c>
      <c r="AH425" s="3">
        <v>1</v>
      </c>
      <c r="AI425" s="3">
        <v>0</v>
      </c>
      <c r="AJ425" s="3">
        <v>0</v>
      </c>
      <c r="AK425" s="3">
        <v>200</v>
      </c>
      <c r="AL425" s="3">
        <v>0</v>
      </c>
      <c r="AM425" s="3">
        <v>0</v>
      </c>
      <c r="AN425" s="3">
        <v>0</v>
      </c>
      <c r="AO425" s="3">
        <v>0</v>
      </c>
      <c r="AP425" s="3">
        <v>140</v>
      </c>
      <c r="AR425" t="str">
        <f>T("0000000000000")</f>
        <v>0000000000000</v>
      </c>
      <c r="AT425" t="str">
        <f>T("9791166068034")</f>
        <v>9791166068034</v>
      </c>
      <c r="AV425" t="str">
        <f>T("웹툰 &gt; 로맨스")</f>
        <v>웹툰 &gt; 로맨스</v>
      </c>
    </row>
    <row r="426" spans="1:49" x14ac:dyDescent="0.4">
      <c r="A426">
        <v>4421000337</v>
      </c>
      <c r="B426">
        <v>4421000337</v>
      </c>
      <c r="C426" t="str">
        <f>T("계약연애, 오늘부터 1일 1화")</f>
        <v>계약연애, 오늘부터 1일 1화</v>
      </c>
      <c r="D426" t="str">
        <f>T("1")</f>
        <v>1</v>
      </c>
      <c r="E426" t="str">
        <f>T("원기공장")</f>
        <v>원기공장</v>
      </c>
      <c r="H426" t="str">
        <f t="shared" si="67"/>
        <v>스토리위즈</v>
      </c>
      <c r="I426" t="str">
        <f>T("계약연애, 오늘부터 1일")</f>
        <v>계약연애, 오늘부터 1일</v>
      </c>
      <c r="J426">
        <v>200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8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 s="3">
        <v>0</v>
      </c>
      <c r="AH426" s="3">
        <v>8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R426" t="str">
        <f>T("0000000000000")</f>
        <v>0000000000000</v>
      </c>
      <c r="AT426" t="str">
        <f>T("9791166068027")</f>
        <v>9791166068027</v>
      </c>
      <c r="AV426" t="str">
        <f>T("웹툰 &gt; 해외 순정")</f>
        <v>웹툰 &gt; 해외 순정</v>
      </c>
      <c r="AW426" t="str">
        <f>T("웹툰 &gt; 로맨스")</f>
        <v>웹툰 &gt; 로맨스</v>
      </c>
    </row>
    <row r="427" spans="1:49" x14ac:dyDescent="0.4">
      <c r="A427">
        <v>4421000887</v>
      </c>
      <c r="B427">
        <v>4421000896</v>
      </c>
      <c r="C427" t="str">
        <f>T("폭군의 눈물 10화")</f>
        <v>폭군의 눈물 10화</v>
      </c>
      <c r="D427" t="str">
        <f>T("10")</f>
        <v>10</v>
      </c>
      <c r="E427" t="str">
        <f>T("Ice×FANFAN COMIC")</f>
        <v>Ice×FANFAN COMIC</v>
      </c>
      <c r="G427" t="str">
        <f>T("Ice×FANFAN COMIC")</f>
        <v>Ice×FANFAN COMIC</v>
      </c>
      <c r="H427" t="str">
        <f t="shared" si="67"/>
        <v>스토리위즈</v>
      </c>
      <c r="I427" t="str">
        <f>T("폭군의 눈물")</f>
        <v>폭군의 눈물</v>
      </c>
      <c r="J427">
        <v>400</v>
      </c>
      <c r="K427">
        <v>0</v>
      </c>
      <c r="L427">
        <v>0</v>
      </c>
      <c r="M427">
        <v>0</v>
      </c>
      <c r="N427">
        <v>600</v>
      </c>
      <c r="O427">
        <v>3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s="3">
        <v>600</v>
      </c>
      <c r="AH427" s="3">
        <v>3</v>
      </c>
      <c r="AI427" s="3">
        <v>0</v>
      </c>
      <c r="AJ427" s="3">
        <v>0</v>
      </c>
      <c r="AK427" s="3">
        <v>400</v>
      </c>
      <c r="AL427" s="3">
        <v>0</v>
      </c>
      <c r="AM427" s="3">
        <v>240</v>
      </c>
      <c r="AN427" s="3">
        <v>-72</v>
      </c>
      <c r="AO427" s="3">
        <v>0</v>
      </c>
      <c r="AP427" s="3">
        <v>397.6</v>
      </c>
      <c r="AR427" t="str">
        <f>T("0000000000000")</f>
        <v>0000000000000</v>
      </c>
      <c r="AT427" t="str">
        <f>T("9791137601291")</f>
        <v>9791137601291</v>
      </c>
      <c r="AV427" t="str">
        <f>T("웹툰 &gt; 해외 순정")</f>
        <v>웹툰 &gt; 해외 순정</v>
      </c>
      <c r="AW427" t="str">
        <f>T("웹툰 &gt; 로판")</f>
        <v>웹툰 &gt; 로판</v>
      </c>
    </row>
    <row r="428" spans="1:49" x14ac:dyDescent="0.4">
      <c r="A428">
        <v>4421002255</v>
      </c>
      <c r="B428">
        <v>4421002257</v>
      </c>
      <c r="C428" t="str">
        <f>T("역전의 샤이닝스타! 3화")</f>
        <v>역전의 샤이닝스타! 3화</v>
      </c>
      <c r="D428" t="str">
        <f>T("3")</f>
        <v>3</v>
      </c>
      <c r="E428" t="str">
        <f>T("웹티")</f>
        <v>웹티</v>
      </c>
      <c r="H428" t="str">
        <f t="shared" si="67"/>
        <v>스토리위즈</v>
      </c>
      <c r="I428" t="str">
        <f>T("역전의 샤이닝스타!")</f>
        <v>역전의 샤이닝스타!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 s="3">
        <v>0</v>
      </c>
      <c r="AH428" s="3">
        <v>1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T428" t="str">
        <f>T("9791196608330")</f>
        <v>9791196608330</v>
      </c>
      <c r="AV428" t="str">
        <f>T("웹툰 &gt; 로맨스")</f>
        <v>웹툰 &gt; 로맨스</v>
      </c>
    </row>
    <row r="429" spans="1:49" x14ac:dyDescent="0.4">
      <c r="A429">
        <v>4421000001</v>
      </c>
      <c r="B429">
        <v>4421000050</v>
      </c>
      <c r="C429" t="str">
        <f>T("감옥실험 30화")</f>
        <v>감옥실험 30화</v>
      </c>
      <c r="D429" t="str">
        <f>T("30")</f>
        <v>30</v>
      </c>
      <c r="E429" t="str">
        <f>T("Kantetsu")</f>
        <v>Kantetsu</v>
      </c>
      <c r="G429" t="str">
        <f>T("Minase Chiho")</f>
        <v>Minase Chiho</v>
      </c>
      <c r="H429" t="str">
        <f t="shared" si="67"/>
        <v>스토리위즈</v>
      </c>
      <c r="I429" t="str">
        <f>T("감옥실험")</f>
        <v>감옥실험</v>
      </c>
      <c r="J429">
        <v>500</v>
      </c>
      <c r="K429">
        <v>0</v>
      </c>
      <c r="L429">
        <v>0</v>
      </c>
      <c r="M429">
        <v>0</v>
      </c>
      <c r="N429">
        <v>900</v>
      </c>
      <c r="O429">
        <v>3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 s="3">
        <v>900</v>
      </c>
      <c r="AH429" s="3">
        <v>3</v>
      </c>
      <c r="AI429" s="3">
        <v>0</v>
      </c>
      <c r="AJ429" s="3">
        <v>0</v>
      </c>
      <c r="AK429" s="3">
        <v>606</v>
      </c>
      <c r="AL429" s="3">
        <v>0</v>
      </c>
      <c r="AM429" s="3">
        <v>352.8</v>
      </c>
      <c r="AN429" s="3">
        <v>-105.84</v>
      </c>
      <c r="AO429" s="3">
        <v>0</v>
      </c>
      <c r="AP429" s="3">
        <v>597.07000000000005</v>
      </c>
      <c r="AT429" t="str">
        <f>T("9791166069406")</f>
        <v>9791166069406</v>
      </c>
      <c r="AV429" t="str">
        <f>T("웹툰 &gt; 드라마")</f>
        <v>웹툰 &gt; 드라마</v>
      </c>
    </row>
    <row r="430" spans="1:49" x14ac:dyDescent="0.4">
      <c r="A430">
        <v>4421000518</v>
      </c>
      <c r="B430">
        <v>4421000569</v>
      </c>
      <c r="C430" t="str">
        <f>T("백스테이지 키스신 51화 (완결)")</f>
        <v>백스테이지 키스신 51화 (완결)</v>
      </c>
      <c r="D430" t="str">
        <f>T("51")</f>
        <v>51</v>
      </c>
      <c r="E430" t="str">
        <f>T("최도비")</f>
        <v>최도비</v>
      </c>
      <c r="G430" t="str">
        <f>T("수정과")</f>
        <v>수정과</v>
      </c>
      <c r="H430" t="str">
        <f t="shared" si="67"/>
        <v>스토리위즈</v>
      </c>
      <c r="I430" t="str">
        <f>T("백스테이지 키스신")</f>
        <v>백스테이지 키스신</v>
      </c>
      <c r="J430">
        <v>400</v>
      </c>
      <c r="K430">
        <v>0</v>
      </c>
      <c r="L430">
        <v>0</v>
      </c>
      <c r="M430">
        <v>0</v>
      </c>
      <c r="N430">
        <v>400</v>
      </c>
      <c r="O430">
        <v>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 s="3">
        <v>400</v>
      </c>
      <c r="AH430" s="3">
        <v>2</v>
      </c>
      <c r="AI430" s="3">
        <v>0</v>
      </c>
      <c r="AJ430" s="3">
        <v>0</v>
      </c>
      <c r="AK430" s="3">
        <v>200</v>
      </c>
      <c r="AL430" s="3">
        <v>0</v>
      </c>
      <c r="AM430" s="3">
        <v>240</v>
      </c>
      <c r="AN430" s="3">
        <v>-72</v>
      </c>
      <c r="AO430" s="3">
        <v>0</v>
      </c>
      <c r="AP430" s="3">
        <v>257.60000000000002</v>
      </c>
      <c r="AR430" t="str">
        <f t="shared" ref="AR430:AR437" si="68">T("0000000000000")</f>
        <v>0000000000000</v>
      </c>
      <c r="AT430" t="str">
        <f>T("9791166067990")</f>
        <v>9791166067990</v>
      </c>
      <c r="AV430" t="str">
        <f>T("웹툰 &gt; 로맨스")</f>
        <v>웹툰 &gt; 로맨스</v>
      </c>
    </row>
    <row r="431" spans="1:49" x14ac:dyDescent="0.4">
      <c r="A431">
        <v>4421000916</v>
      </c>
      <c r="B431">
        <v>4421002858</v>
      </c>
      <c r="C431" t="str">
        <f>T("별빛 아래 우리 79화")</f>
        <v>별빛 아래 우리 79화</v>
      </c>
      <c r="D431" t="str">
        <f>T("79")</f>
        <v>79</v>
      </c>
      <c r="E431" t="str">
        <f>T("건일")</f>
        <v>건일</v>
      </c>
      <c r="G431" t="str">
        <f>T("건일")</f>
        <v>건일</v>
      </c>
      <c r="H431" t="str">
        <f t="shared" si="67"/>
        <v>스토리위즈</v>
      </c>
      <c r="I431" t="str">
        <f>T("별빛 아래 우리")</f>
        <v>별빛 아래 우리</v>
      </c>
      <c r="J431">
        <v>400</v>
      </c>
      <c r="K431">
        <v>0</v>
      </c>
      <c r="L431">
        <v>0</v>
      </c>
      <c r="M431">
        <v>0</v>
      </c>
      <c r="N431">
        <v>2200</v>
      </c>
      <c r="O431">
        <v>11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 s="3">
        <v>2200</v>
      </c>
      <c r="AH431" s="3">
        <v>11</v>
      </c>
      <c r="AI431" s="3">
        <v>0</v>
      </c>
      <c r="AJ431" s="3">
        <v>0</v>
      </c>
      <c r="AK431" s="3">
        <v>1380</v>
      </c>
      <c r="AL431" s="3">
        <v>0</v>
      </c>
      <c r="AM431" s="3">
        <v>982.93</v>
      </c>
      <c r="AN431" s="3">
        <v>-294.88</v>
      </c>
      <c r="AO431" s="3">
        <v>0</v>
      </c>
      <c r="AP431" s="3">
        <v>1447.64</v>
      </c>
      <c r="AR431" t="str">
        <f t="shared" si="68"/>
        <v>0000000000000</v>
      </c>
      <c r="AT431" t="str">
        <f>T("9791137601413")</f>
        <v>9791137601413</v>
      </c>
      <c r="AV431" t="str">
        <f>T("웹툰 &gt; 해외 순정")</f>
        <v>웹툰 &gt; 해외 순정</v>
      </c>
      <c r="AW431" t="str">
        <f>T("웹툰 &gt; 로맨스")</f>
        <v>웹툰 &gt; 로맨스</v>
      </c>
    </row>
    <row r="432" spans="1:49" x14ac:dyDescent="0.4">
      <c r="A432">
        <v>4421000069</v>
      </c>
      <c r="B432">
        <v>4421001248</v>
      </c>
      <c r="C432" t="str">
        <f>T("너랑 나랑 하면 155화")</f>
        <v>너랑 나랑 하면 155화</v>
      </c>
      <c r="D432" t="str">
        <f>T("155")</f>
        <v>155</v>
      </c>
      <c r="E432" t="str">
        <f>T("NISANSUI")</f>
        <v>NISANSUI</v>
      </c>
      <c r="G432" t="str">
        <f>T("ZIQUAN")</f>
        <v>ZIQUAN</v>
      </c>
      <c r="H432" t="str">
        <f t="shared" si="67"/>
        <v>스토리위즈</v>
      </c>
      <c r="I432" t="str">
        <f>T("너랑 나랑 하면")</f>
        <v>너랑 나랑 하면</v>
      </c>
      <c r="J432">
        <v>400</v>
      </c>
      <c r="K432">
        <v>0</v>
      </c>
      <c r="L432">
        <v>0</v>
      </c>
      <c r="M432">
        <v>0</v>
      </c>
      <c r="N432">
        <v>200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 s="3">
        <v>200</v>
      </c>
      <c r="AH432" s="3">
        <v>1</v>
      </c>
      <c r="AI432" s="3">
        <v>0</v>
      </c>
      <c r="AJ432" s="3">
        <v>0</v>
      </c>
      <c r="AK432" s="3">
        <v>200</v>
      </c>
      <c r="AL432" s="3">
        <v>0</v>
      </c>
      <c r="AM432" s="3">
        <v>0</v>
      </c>
      <c r="AN432" s="3">
        <v>0</v>
      </c>
      <c r="AO432" s="3">
        <v>0</v>
      </c>
      <c r="AP432" s="3">
        <v>140</v>
      </c>
      <c r="AR432" t="str">
        <f t="shared" si="68"/>
        <v>0000000000000</v>
      </c>
      <c r="AT432" t="str">
        <f>T("9791166067884")</f>
        <v>9791166067884</v>
      </c>
      <c r="AV432" t="str">
        <f>T("BL 웹툰 &gt; 웹툰")</f>
        <v>BL 웹툰 &gt; 웹툰</v>
      </c>
    </row>
    <row r="433" spans="1:49" x14ac:dyDescent="0.4">
      <c r="A433">
        <v>4421000069</v>
      </c>
      <c r="B433">
        <v>4421000090</v>
      </c>
      <c r="C433" t="str">
        <f>T("너랑 나랑 하면 21화")</f>
        <v>너랑 나랑 하면 21화</v>
      </c>
      <c r="D433" t="str">
        <f>T("21")</f>
        <v>21</v>
      </c>
      <c r="E433" t="str">
        <f>T("NISANSUI")</f>
        <v>NISANSUI</v>
      </c>
      <c r="G433" t="str">
        <f>T("ZIQUAN")</f>
        <v>ZIQUAN</v>
      </c>
      <c r="H433" t="str">
        <f t="shared" si="67"/>
        <v>스토리위즈</v>
      </c>
      <c r="I433" t="str">
        <f>T("너랑 나랑 하면")</f>
        <v>너랑 나랑 하면</v>
      </c>
      <c r="J433">
        <v>400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 s="3">
        <v>0</v>
      </c>
      <c r="AH433" s="3">
        <v>3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R433" t="str">
        <f t="shared" si="68"/>
        <v>0000000000000</v>
      </c>
      <c r="AT433" t="str">
        <f>T("9791166067884")</f>
        <v>9791166067884</v>
      </c>
      <c r="AV433" t="str">
        <f>T("BL 웹툰 &gt; 웹툰")</f>
        <v>BL 웹툰 &gt; 웹툰</v>
      </c>
    </row>
    <row r="434" spans="1:49" x14ac:dyDescent="0.4">
      <c r="A434">
        <v>4421000198</v>
      </c>
      <c r="B434">
        <v>4421001525</v>
      </c>
      <c r="C434" t="str">
        <f>T("공주전쟁 96화")</f>
        <v>공주전쟁 96화</v>
      </c>
      <c r="D434" t="str">
        <f>T("96")</f>
        <v>96</v>
      </c>
      <c r="E434" t="str">
        <f>T("Hujing")</f>
        <v>Hujing</v>
      </c>
      <c r="G434" t="str">
        <f>T("Luojie")</f>
        <v>Luojie</v>
      </c>
      <c r="H434" t="str">
        <f t="shared" si="67"/>
        <v>스토리위즈</v>
      </c>
      <c r="I434" t="str">
        <f>T("공주전쟁")</f>
        <v>공주전쟁</v>
      </c>
      <c r="J434">
        <v>400</v>
      </c>
      <c r="K434">
        <v>0</v>
      </c>
      <c r="L434">
        <v>0</v>
      </c>
      <c r="M434">
        <v>0</v>
      </c>
      <c r="N434">
        <v>200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 s="3">
        <v>200</v>
      </c>
      <c r="AH434" s="3">
        <v>1</v>
      </c>
      <c r="AI434" s="3">
        <v>0</v>
      </c>
      <c r="AJ434" s="3">
        <v>0</v>
      </c>
      <c r="AK434" s="3">
        <v>0</v>
      </c>
      <c r="AL434" s="3">
        <v>0</v>
      </c>
      <c r="AM434" s="3">
        <v>240</v>
      </c>
      <c r="AN434" s="3">
        <v>-72</v>
      </c>
      <c r="AO434" s="3">
        <v>0</v>
      </c>
      <c r="AP434" s="3">
        <v>117.6</v>
      </c>
      <c r="AR434" t="str">
        <f t="shared" si="68"/>
        <v>0000000000000</v>
      </c>
      <c r="AT434" t="str">
        <f>T("9791166069666")</f>
        <v>9791166069666</v>
      </c>
      <c r="AV434" t="str">
        <f>T("웹툰 &gt; 해외 순정")</f>
        <v>웹툰 &gt; 해외 순정</v>
      </c>
      <c r="AW434" t="str">
        <f>T("웹툰 &gt; 로판")</f>
        <v>웹툰 &gt; 로판</v>
      </c>
    </row>
    <row r="435" spans="1:49" x14ac:dyDescent="0.4">
      <c r="A435">
        <v>4421001340</v>
      </c>
      <c r="B435">
        <v>4421001365</v>
      </c>
      <c r="C435" t="str">
        <f>T("가출천사 육성계약 26화")</f>
        <v>가출천사 육성계약 26화</v>
      </c>
      <c r="D435" t="str">
        <f>T("26")</f>
        <v>26</v>
      </c>
      <c r="E435" t="str">
        <f>T("Bae.C, IIAKI, 박제후")</f>
        <v>Bae.C, IIAKI, 박제후</v>
      </c>
      <c r="G435" t="str">
        <f>T("Bae.C, 조우")</f>
        <v>Bae.C, 조우</v>
      </c>
      <c r="H435" t="str">
        <f t="shared" si="67"/>
        <v>스토리위즈</v>
      </c>
      <c r="I435" t="str">
        <f>T("가출천사 육성계약")</f>
        <v>가출천사 육성계약</v>
      </c>
      <c r="J435">
        <v>400</v>
      </c>
      <c r="K435">
        <v>0</v>
      </c>
      <c r="L435">
        <v>0</v>
      </c>
      <c r="M435">
        <v>0</v>
      </c>
      <c r="N435">
        <v>200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 s="3">
        <v>200</v>
      </c>
      <c r="AH435" s="3">
        <v>1</v>
      </c>
      <c r="AI435" s="3">
        <v>0</v>
      </c>
      <c r="AJ435" s="3">
        <v>0</v>
      </c>
      <c r="AK435" s="3">
        <v>200</v>
      </c>
      <c r="AL435" s="3">
        <v>0</v>
      </c>
      <c r="AM435" s="3">
        <v>0</v>
      </c>
      <c r="AN435" s="3">
        <v>0</v>
      </c>
      <c r="AO435" s="3">
        <v>0</v>
      </c>
      <c r="AP435" s="3">
        <v>140</v>
      </c>
      <c r="AR435" t="str">
        <f t="shared" si="68"/>
        <v>0000000000000</v>
      </c>
      <c r="AT435" t="str">
        <f>T("9791191765663")</f>
        <v>9791191765663</v>
      </c>
      <c r="AV435" t="str">
        <f>T("웹툰 &gt; 판타지/SF")</f>
        <v>웹툰 &gt; 판타지/SF</v>
      </c>
    </row>
    <row r="436" spans="1:49" x14ac:dyDescent="0.4">
      <c r="A436">
        <v>4421000337</v>
      </c>
      <c r="B436">
        <v>4421000425</v>
      </c>
      <c r="C436" t="str">
        <f>T("계약연애, 오늘부터 1일 89화")</f>
        <v>계약연애, 오늘부터 1일 89화</v>
      </c>
      <c r="D436" t="str">
        <f>T("89")</f>
        <v>89</v>
      </c>
      <c r="E436" t="str">
        <f>T("원기공장")</f>
        <v>원기공장</v>
      </c>
      <c r="H436" t="str">
        <f t="shared" si="67"/>
        <v>스토리위즈</v>
      </c>
      <c r="I436" t="str">
        <f>T("계약연애, 오늘부터 1일")</f>
        <v>계약연애, 오늘부터 1일</v>
      </c>
      <c r="J436">
        <v>200</v>
      </c>
      <c r="K436">
        <v>0</v>
      </c>
      <c r="L436">
        <v>0</v>
      </c>
      <c r="M436">
        <v>0</v>
      </c>
      <c r="N436">
        <v>100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 s="3">
        <v>100</v>
      </c>
      <c r="AH436" s="3">
        <v>1</v>
      </c>
      <c r="AI436" s="3">
        <v>0</v>
      </c>
      <c r="AJ436" s="3">
        <v>0</v>
      </c>
      <c r="AK436" s="3">
        <v>100</v>
      </c>
      <c r="AL436" s="3">
        <v>0</v>
      </c>
      <c r="AM436" s="3">
        <v>0</v>
      </c>
      <c r="AN436" s="3">
        <v>0</v>
      </c>
      <c r="AO436" s="3">
        <v>0</v>
      </c>
      <c r="AP436" s="3">
        <v>70</v>
      </c>
      <c r="AR436" t="str">
        <f t="shared" si="68"/>
        <v>0000000000000</v>
      </c>
      <c r="AT436" t="str">
        <f>T("9791166068027")</f>
        <v>9791166068027</v>
      </c>
      <c r="AV436" t="str">
        <f>T("웹툰 &gt; 해외 순정")</f>
        <v>웹툰 &gt; 해외 순정</v>
      </c>
      <c r="AW436" t="str">
        <f>T("웹툰 &gt; 로맨스")</f>
        <v>웹툰 &gt; 로맨스</v>
      </c>
    </row>
    <row r="437" spans="1:49" x14ac:dyDescent="0.4">
      <c r="A437">
        <v>4421000916</v>
      </c>
      <c r="B437">
        <v>4421000928</v>
      </c>
      <c r="C437" t="str">
        <f>T("별빛 아래 우리 13화")</f>
        <v>별빛 아래 우리 13화</v>
      </c>
      <c r="D437" t="str">
        <f>T("13")</f>
        <v>13</v>
      </c>
      <c r="E437" t="str">
        <f>T("건일")</f>
        <v>건일</v>
      </c>
      <c r="G437" t="str">
        <f>T("건일")</f>
        <v>건일</v>
      </c>
      <c r="H437" t="str">
        <f t="shared" si="67"/>
        <v>스토리위즈</v>
      </c>
      <c r="I437" t="str">
        <f>T("별빛 아래 우리")</f>
        <v>별빛 아래 우리</v>
      </c>
      <c r="J437">
        <v>400</v>
      </c>
      <c r="K437">
        <v>0</v>
      </c>
      <c r="L437">
        <v>0</v>
      </c>
      <c r="M437">
        <v>0</v>
      </c>
      <c r="N437">
        <v>1000</v>
      </c>
      <c r="O437">
        <v>5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 s="3">
        <v>1000</v>
      </c>
      <c r="AH437" s="3">
        <v>5</v>
      </c>
      <c r="AI437" s="3">
        <v>0</v>
      </c>
      <c r="AJ437" s="3">
        <v>0</v>
      </c>
      <c r="AK437" s="3">
        <v>400</v>
      </c>
      <c r="AL437" s="3">
        <v>0</v>
      </c>
      <c r="AM437" s="3">
        <v>720.2</v>
      </c>
      <c r="AN437" s="3">
        <v>-216.06</v>
      </c>
      <c r="AO437" s="3">
        <v>0</v>
      </c>
      <c r="AP437" s="3">
        <v>632.9</v>
      </c>
      <c r="AR437" t="str">
        <f t="shared" si="68"/>
        <v>0000000000000</v>
      </c>
      <c r="AT437" t="str">
        <f>T("9791137601413")</f>
        <v>9791137601413</v>
      </c>
      <c r="AV437" t="str">
        <f>T("웹툰 &gt; 해외 순정")</f>
        <v>웹툰 &gt; 해외 순정</v>
      </c>
      <c r="AW437" t="str">
        <f>T("웹툰 &gt; 로맨스")</f>
        <v>웹툰 &gt; 로맨스</v>
      </c>
    </row>
    <row r="438" spans="1:49" x14ac:dyDescent="0.4">
      <c r="A438">
        <v>4421001684</v>
      </c>
      <c r="B438">
        <v>4421001685</v>
      </c>
      <c r="C438" t="str">
        <f>T("달콤한 키스 2화")</f>
        <v>달콤한 키스 2화</v>
      </c>
      <c r="D438" t="str">
        <f>T("2")</f>
        <v>2</v>
      </c>
      <c r="E438" t="str">
        <f>T("웹티")</f>
        <v>웹티</v>
      </c>
      <c r="H438" t="str">
        <f t="shared" si="67"/>
        <v>스토리위즈</v>
      </c>
      <c r="I438" t="str">
        <f>T("달콤한 키스")</f>
        <v>달콤한 키스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 s="3">
        <v>0</v>
      </c>
      <c r="AH438" s="3">
        <v>1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T438" t="str">
        <f>T("9791196608378")</f>
        <v>9791196608378</v>
      </c>
      <c r="AV438" t="str">
        <f>T("웹툰 &gt; 로맨스")</f>
        <v>웹툰 &gt; 로맨스</v>
      </c>
    </row>
    <row r="439" spans="1:49" x14ac:dyDescent="0.4">
      <c r="A439">
        <v>4421000337</v>
      </c>
      <c r="B439">
        <v>4421000385</v>
      </c>
      <c r="C439" t="str">
        <f>T("계약연애, 오늘부터 1일 49화")</f>
        <v>계약연애, 오늘부터 1일 49화</v>
      </c>
      <c r="D439" t="str">
        <f>T("49")</f>
        <v>49</v>
      </c>
      <c r="E439" t="str">
        <f>T("원기공장")</f>
        <v>원기공장</v>
      </c>
      <c r="H439" t="str">
        <f t="shared" si="67"/>
        <v>스토리위즈</v>
      </c>
      <c r="I439" t="str">
        <f>T("계약연애, 오늘부터 1일")</f>
        <v>계약연애, 오늘부터 1일</v>
      </c>
      <c r="J439">
        <v>200</v>
      </c>
      <c r="K439">
        <v>0</v>
      </c>
      <c r="L439">
        <v>0</v>
      </c>
      <c r="M439">
        <v>0</v>
      </c>
      <c r="N439">
        <v>100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 s="3">
        <v>100</v>
      </c>
      <c r="AH439" s="3">
        <v>1</v>
      </c>
      <c r="AI439" s="3">
        <v>0</v>
      </c>
      <c r="AJ439" s="3">
        <v>0</v>
      </c>
      <c r="AK439" s="3">
        <v>100</v>
      </c>
      <c r="AL439" s="3">
        <v>0</v>
      </c>
      <c r="AM439" s="3">
        <v>0</v>
      </c>
      <c r="AN439" s="3">
        <v>0</v>
      </c>
      <c r="AO439" s="3">
        <v>0</v>
      </c>
      <c r="AP439" s="3">
        <v>70</v>
      </c>
      <c r="AR439" t="str">
        <f>T("0000000000000")</f>
        <v>0000000000000</v>
      </c>
      <c r="AT439" t="str">
        <f>T("9791166068027")</f>
        <v>9791166068027</v>
      </c>
      <c r="AV439" t="str">
        <f>T("웹툰 &gt; 해외 순정")</f>
        <v>웹툰 &gt; 해외 순정</v>
      </c>
      <c r="AW439" t="str">
        <f>T("웹툰 &gt; 로맨스")</f>
        <v>웹툰 &gt; 로맨스</v>
      </c>
    </row>
    <row r="440" spans="1:49" x14ac:dyDescent="0.4">
      <c r="A440">
        <v>4421001340</v>
      </c>
      <c r="B440">
        <v>4421001567</v>
      </c>
      <c r="C440" t="str">
        <f>T("가출천사 육성계약 45화")</f>
        <v>가출천사 육성계약 45화</v>
      </c>
      <c r="D440" t="str">
        <f>T("45")</f>
        <v>45</v>
      </c>
      <c r="E440" t="str">
        <f>T("Bae.C, IIAKI, 박제후")</f>
        <v>Bae.C, IIAKI, 박제후</v>
      </c>
      <c r="G440" t="str">
        <f>T("Bae.C, 조우")</f>
        <v>Bae.C, 조우</v>
      </c>
      <c r="H440" t="str">
        <f t="shared" si="67"/>
        <v>스토리위즈</v>
      </c>
      <c r="I440" t="str">
        <f>T("가출천사 육성계약")</f>
        <v>가출천사 육성계약</v>
      </c>
      <c r="J440">
        <v>400</v>
      </c>
      <c r="K440">
        <v>0</v>
      </c>
      <c r="L440">
        <v>0</v>
      </c>
      <c r="M440">
        <v>0</v>
      </c>
      <c r="N440">
        <v>200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s="3">
        <v>200</v>
      </c>
      <c r="AH440" s="3">
        <v>1</v>
      </c>
      <c r="AI440" s="3">
        <v>0</v>
      </c>
      <c r="AJ440" s="3">
        <v>0</v>
      </c>
      <c r="AK440" s="3">
        <v>200</v>
      </c>
      <c r="AL440" s="3">
        <v>0</v>
      </c>
      <c r="AM440" s="3">
        <v>0</v>
      </c>
      <c r="AN440" s="3">
        <v>0</v>
      </c>
      <c r="AO440" s="3">
        <v>0</v>
      </c>
      <c r="AP440" s="3">
        <v>140</v>
      </c>
      <c r="AR440" t="str">
        <f>T("0000000000000")</f>
        <v>0000000000000</v>
      </c>
      <c r="AT440" t="str">
        <f>T("9791191765663")</f>
        <v>9791191765663</v>
      </c>
      <c r="AV440" t="str">
        <f>T("웹툰 &gt; 판타지/SF")</f>
        <v>웹툰 &gt; 판타지/SF</v>
      </c>
    </row>
    <row r="441" spans="1:49" x14ac:dyDescent="0.4">
      <c r="A441">
        <v>4421000198</v>
      </c>
      <c r="B441">
        <v>4421001285</v>
      </c>
      <c r="C441" t="str">
        <f>T("공주전쟁 85화")</f>
        <v>공주전쟁 85화</v>
      </c>
      <c r="D441" t="str">
        <f>T("85")</f>
        <v>85</v>
      </c>
      <c r="E441" t="str">
        <f>T("Hujing")</f>
        <v>Hujing</v>
      </c>
      <c r="G441" t="str">
        <f>T("Luojie")</f>
        <v>Luojie</v>
      </c>
      <c r="H441" t="str">
        <f t="shared" si="67"/>
        <v>스토리위즈</v>
      </c>
      <c r="I441" t="str">
        <f>T("공주전쟁")</f>
        <v>공주전쟁</v>
      </c>
      <c r="J441">
        <v>400</v>
      </c>
      <c r="K441">
        <v>0</v>
      </c>
      <c r="L441">
        <v>0</v>
      </c>
      <c r="M441">
        <v>0</v>
      </c>
      <c r="N441">
        <v>200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s="3">
        <v>200</v>
      </c>
      <c r="AH441" s="3">
        <v>1</v>
      </c>
      <c r="AI441" s="3">
        <v>0</v>
      </c>
      <c r="AJ441" s="3">
        <v>0</v>
      </c>
      <c r="AK441" s="3">
        <v>0</v>
      </c>
      <c r="AL441" s="3">
        <v>0</v>
      </c>
      <c r="AM441" s="3">
        <v>240</v>
      </c>
      <c r="AN441" s="3">
        <v>-72</v>
      </c>
      <c r="AO441" s="3">
        <v>0</v>
      </c>
      <c r="AP441" s="3">
        <v>117.6</v>
      </c>
      <c r="AR441" t="str">
        <f>T("0000000000000")</f>
        <v>0000000000000</v>
      </c>
      <c r="AT441" t="str">
        <f>T("9791166069666")</f>
        <v>9791166069666</v>
      </c>
      <c r="AV441" t="str">
        <f>T("웹툰 &gt; 해외 순정")</f>
        <v>웹툰 &gt; 해외 순정</v>
      </c>
      <c r="AW441" t="str">
        <f>T("웹툰 &gt; 로판")</f>
        <v>웹툰 &gt; 로판</v>
      </c>
    </row>
    <row r="442" spans="1:49" x14ac:dyDescent="0.4">
      <c r="A442">
        <v>4421000001</v>
      </c>
      <c r="B442">
        <v>4421000043</v>
      </c>
      <c r="C442" t="str">
        <f>T("감옥실험 23화")</f>
        <v>감옥실험 23화</v>
      </c>
      <c r="D442" t="str">
        <f>T("23")</f>
        <v>23</v>
      </c>
      <c r="E442" t="str">
        <f>T("Kantetsu")</f>
        <v>Kantetsu</v>
      </c>
      <c r="G442" t="str">
        <f>T("Minase Chiho")</f>
        <v>Minase Chiho</v>
      </c>
      <c r="H442" t="str">
        <f t="shared" si="67"/>
        <v>스토리위즈</v>
      </c>
      <c r="I442" t="str">
        <f>T("감옥실험")</f>
        <v>감옥실험</v>
      </c>
      <c r="J442">
        <v>500</v>
      </c>
      <c r="K442">
        <v>0</v>
      </c>
      <c r="L442">
        <v>0</v>
      </c>
      <c r="M442">
        <v>0</v>
      </c>
      <c r="N442">
        <v>900</v>
      </c>
      <c r="O442">
        <v>3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 s="3">
        <v>900</v>
      </c>
      <c r="AH442" s="3">
        <v>3</v>
      </c>
      <c r="AI442" s="3">
        <v>0</v>
      </c>
      <c r="AJ442" s="3">
        <v>0</v>
      </c>
      <c r="AK442" s="3">
        <v>600</v>
      </c>
      <c r="AL442" s="3">
        <v>0</v>
      </c>
      <c r="AM442" s="3">
        <v>360</v>
      </c>
      <c r="AN442" s="3">
        <v>-108</v>
      </c>
      <c r="AO442" s="3">
        <v>0</v>
      </c>
      <c r="AP442" s="3">
        <v>596.4</v>
      </c>
      <c r="AT442" t="str">
        <f>T("9791166069406")</f>
        <v>9791166069406</v>
      </c>
      <c r="AV442" t="str">
        <f>T("웹툰 &gt; 드라마")</f>
        <v>웹툰 &gt; 드라마</v>
      </c>
    </row>
    <row r="443" spans="1:49" x14ac:dyDescent="0.4">
      <c r="A443">
        <v>4421000518</v>
      </c>
      <c r="B443">
        <v>4421000562</v>
      </c>
      <c r="C443" t="str">
        <f>T("백스테이지 키스신 44화")</f>
        <v>백스테이지 키스신 44화</v>
      </c>
      <c r="D443" t="str">
        <f>T("44")</f>
        <v>44</v>
      </c>
      <c r="E443" t="str">
        <f>T("최도비")</f>
        <v>최도비</v>
      </c>
      <c r="G443" t="str">
        <f>T("수정과")</f>
        <v>수정과</v>
      </c>
      <c r="H443" t="str">
        <f t="shared" si="67"/>
        <v>스토리위즈</v>
      </c>
      <c r="I443" t="str">
        <f>T("백스테이지 키스신")</f>
        <v>백스테이지 키스신</v>
      </c>
      <c r="J443">
        <v>400</v>
      </c>
      <c r="K443">
        <v>0</v>
      </c>
      <c r="L443">
        <v>0</v>
      </c>
      <c r="M443">
        <v>0</v>
      </c>
      <c r="N443">
        <v>200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 s="3">
        <v>200</v>
      </c>
      <c r="AH443" s="3">
        <v>1</v>
      </c>
      <c r="AI443" s="3">
        <v>0</v>
      </c>
      <c r="AJ443" s="3">
        <v>0</v>
      </c>
      <c r="AK443" s="3">
        <v>200</v>
      </c>
      <c r="AL443" s="3">
        <v>0</v>
      </c>
      <c r="AM443" s="3">
        <v>0</v>
      </c>
      <c r="AN443" s="3">
        <v>0</v>
      </c>
      <c r="AO443" s="3">
        <v>0</v>
      </c>
      <c r="AP443" s="3">
        <v>140</v>
      </c>
      <c r="AR443" t="str">
        <f t="shared" ref="AR443:AR450" si="69">T("0000000000000")</f>
        <v>0000000000000</v>
      </c>
      <c r="AT443" t="str">
        <f>T("9791166067990")</f>
        <v>9791166067990</v>
      </c>
      <c r="AV443" t="str">
        <f>T("웹툰 &gt; 로맨스")</f>
        <v>웹툰 &gt; 로맨스</v>
      </c>
    </row>
    <row r="444" spans="1:49" x14ac:dyDescent="0.4">
      <c r="A444">
        <v>4421000518</v>
      </c>
      <c r="B444">
        <v>4421000522</v>
      </c>
      <c r="C444" t="str">
        <f>T("백스테이지 키스신 4화")</f>
        <v>백스테이지 키스신 4화</v>
      </c>
      <c r="D444" t="str">
        <f>T("4")</f>
        <v>4</v>
      </c>
      <c r="E444" t="str">
        <f>T("최도비")</f>
        <v>최도비</v>
      </c>
      <c r="G444" t="str">
        <f>T("수정과")</f>
        <v>수정과</v>
      </c>
      <c r="H444" t="str">
        <f t="shared" si="67"/>
        <v>스토리위즈</v>
      </c>
      <c r="I444" t="str">
        <f>T("백스테이지 키스신")</f>
        <v>백스테이지 키스신</v>
      </c>
      <c r="J444">
        <v>400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 s="3">
        <v>0</v>
      </c>
      <c r="AH444" s="3">
        <v>2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R444" t="str">
        <f t="shared" si="69"/>
        <v>0000000000000</v>
      </c>
      <c r="AT444" t="str">
        <f>T("9791166067990")</f>
        <v>9791166067990</v>
      </c>
      <c r="AV444" t="str">
        <f>T("웹툰 &gt; 로맨스")</f>
        <v>웹툰 &gt; 로맨스</v>
      </c>
    </row>
    <row r="445" spans="1:49" x14ac:dyDescent="0.4">
      <c r="A445">
        <v>4421000887</v>
      </c>
      <c r="B445">
        <v>4421001241</v>
      </c>
      <c r="C445" t="str">
        <f>T("폭군의 눈물 44화")</f>
        <v>폭군의 눈물 44화</v>
      </c>
      <c r="D445" t="str">
        <f>T("44")</f>
        <v>44</v>
      </c>
      <c r="E445" t="str">
        <f>T("Ice×FANFAN COMIC")</f>
        <v>Ice×FANFAN COMIC</v>
      </c>
      <c r="G445" t="str">
        <f>T("Ice×FANFAN COMIC")</f>
        <v>Ice×FANFAN COMIC</v>
      </c>
      <c r="H445" t="str">
        <f t="shared" si="67"/>
        <v>스토리위즈</v>
      </c>
      <c r="I445" t="str">
        <f>T("폭군의 눈물")</f>
        <v>폭군의 눈물</v>
      </c>
      <c r="J445">
        <v>400</v>
      </c>
      <c r="K445">
        <v>0</v>
      </c>
      <c r="L445">
        <v>0</v>
      </c>
      <c r="M445">
        <v>0</v>
      </c>
      <c r="N445">
        <v>600</v>
      </c>
      <c r="O445">
        <v>3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 s="3">
        <v>600</v>
      </c>
      <c r="AH445" s="3">
        <v>3</v>
      </c>
      <c r="AI445" s="3">
        <v>0</v>
      </c>
      <c r="AJ445" s="3">
        <v>0</v>
      </c>
      <c r="AK445" s="3">
        <v>400</v>
      </c>
      <c r="AL445" s="3">
        <v>0</v>
      </c>
      <c r="AM445" s="3">
        <v>240</v>
      </c>
      <c r="AN445" s="3">
        <v>-72</v>
      </c>
      <c r="AO445" s="3">
        <v>0</v>
      </c>
      <c r="AP445" s="3">
        <v>397.6</v>
      </c>
      <c r="AR445" t="str">
        <f t="shared" si="69"/>
        <v>0000000000000</v>
      </c>
      <c r="AT445" t="str">
        <f>T("9791137601291")</f>
        <v>9791137601291</v>
      </c>
      <c r="AV445" t="str">
        <f>T("웹툰 &gt; 해외 순정")</f>
        <v>웹툰 &gt; 해외 순정</v>
      </c>
      <c r="AW445" t="str">
        <f>T("웹툰 &gt; 로판")</f>
        <v>웹툰 &gt; 로판</v>
      </c>
    </row>
    <row r="446" spans="1:49" x14ac:dyDescent="0.4">
      <c r="A446">
        <v>4421000069</v>
      </c>
      <c r="B446">
        <v>4421000083</v>
      </c>
      <c r="C446" t="str">
        <f>T("너랑 나랑 하면 14화")</f>
        <v>너랑 나랑 하면 14화</v>
      </c>
      <c r="D446" t="str">
        <f>T("14")</f>
        <v>14</v>
      </c>
      <c r="E446" t="str">
        <f>T("NISANSUI")</f>
        <v>NISANSUI</v>
      </c>
      <c r="G446" t="str">
        <f>T("ZIQUAN")</f>
        <v>ZIQUAN</v>
      </c>
      <c r="H446" t="str">
        <f t="shared" si="67"/>
        <v>스토리위즈</v>
      </c>
      <c r="I446" t="str">
        <f>T("너랑 나랑 하면")</f>
        <v>너랑 나랑 하면</v>
      </c>
      <c r="J446">
        <v>400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 s="3">
        <v>0</v>
      </c>
      <c r="AH446" s="3">
        <v>3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R446" t="str">
        <f t="shared" si="69"/>
        <v>0000000000000</v>
      </c>
      <c r="AT446" t="str">
        <f>T("9791166067884")</f>
        <v>9791166067884</v>
      </c>
      <c r="AV446" t="str">
        <f>T("BL 웹툰 &gt; 웹툰")</f>
        <v>BL 웹툰 &gt; 웹툰</v>
      </c>
    </row>
    <row r="447" spans="1:49" x14ac:dyDescent="0.4">
      <c r="A447">
        <v>4421000916</v>
      </c>
      <c r="B447">
        <v>4421001470</v>
      </c>
      <c r="C447" t="str">
        <f>T("별빛 아래 우리 71화")</f>
        <v>별빛 아래 우리 71화</v>
      </c>
      <c r="D447" t="str">
        <f>T("71")</f>
        <v>71</v>
      </c>
      <c r="E447" t="str">
        <f>T("건일")</f>
        <v>건일</v>
      </c>
      <c r="G447" t="str">
        <f>T("건일")</f>
        <v>건일</v>
      </c>
      <c r="H447" t="str">
        <f t="shared" si="67"/>
        <v>스토리위즈</v>
      </c>
      <c r="I447" t="str">
        <f>T("별빛 아래 우리")</f>
        <v>별빛 아래 우리</v>
      </c>
      <c r="J447">
        <v>400</v>
      </c>
      <c r="K447">
        <v>0</v>
      </c>
      <c r="L447">
        <v>0</v>
      </c>
      <c r="M447">
        <v>0</v>
      </c>
      <c r="N447">
        <v>2000</v>
      </c>
      <c r="O447">
        <v>10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 s="3">
        <v>2000</v>
      </c>
      <c r="AH447" s="3">
        <v>10</v>
      </c>
      <c r="AI447" s="3">
        <v>0</v>
      </c>
      <c r="AJ447" s="3">
        <v>0</v>
      </c>
      <c r="AK447" s="3">
        <v>780</v>
      </c>
      <c r="AL447" s="3">
        <v>0</v>
      </c>
      <c r="AM447" s="3">
        <v>1464.83</v>
      </c>
      <c r="AN447" s="3">
        <v>-439.45</v>
      </c>
      <c r="AO447" s="3">
        <v>0</v>
      </c>
      <c r="AP447" s="3">
        <v>1263.77</v>
      </c>
      <c r="AR447" t="str">
        <f t="shared" si="69"/>
        <v>0000000000000</v>
      </c>
      <c r="AT447" t="str">
        <f>T("9791137601413")</f>
        <v>9791137601413</v>
      </c>
      <c r="AV447" t="str">
        <f>T("웹툰 &gt; 해외 순정")</f>
        <v>웹툰 &gt; 해외 순정</v>
      </c>
      <c r="AW447" t="str">
        <f>T("웹툰 &gt; 로맨스")</f>
        <v>웹툰 &gt; 로맨스</v>
      </c>
    </row>
    <row r="448" spans="1:49" x14ac:dyDescent="0.4">
      <c r="A448">
        <v>4421000916</v>
      </c>
      <c r="B448">
        <v>4421000921</v>
      </c>
      <c r="C448" t="str">
        <f>T("별빛 아래 우리 6화")</f>
        <v>별빛 아래 우리 6화</v>
      </c>
      <c r="D448" t="str">
        <f>T("6")</f>
        <v>6</v>
      </c>
      <c r="E448" t="str">
        <f>T("건일")</f>
        <v>건일</v>
      </c>
      <c r="G448" t="str">
        <f>T("건일")</f>
        <v>건일</v>
      </c>
      <c r="H448" t="str">
        <f t="shared" si="67"/>
        <v>스토리위즈</v>
      </c>
      <c r="I448" t="str">
        <f>T("별빛 아래 우리")</f>
        <v>별빛 아래 우리</v>
      </c>
      <c r="J448">
        <v>400</v>
      </c>
      <c r="K448">
        <v>0</v>
      </c>
      <c r="L448">
        <v>0</v>
      </c>
      <c r="M448">
        <v>0</v>
      </c>
      <c r="N448">
        <v>1000</v>
      </c>
      <c r="O448">
        <v>5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 s="3">
        <v>1000</v>
      </c>
      <c r="AH448" s="3">
        <v>5</v>
      </c>
      <c r="AI448" s="3">
        <v>0</v>
      </c>
      <c r="AJ448" s="3">
        <v>0</v>
      </c>
      <c r="AK448" s="3">
        <v>400</v>
      </c>
      <c r="AL448" s="3">
        <v>0</v>
      </c>
      <c r="AM448" s="3">
        <v>720.2</v>
      </c>
      <c r="AN448" s="3">
        <v>-216.06</v>
      </c>
      <c r="AO448" s="3">
        <v>0</v>
      </c>
      <c r="AP448" s="3">
        <v>632.9</v>
      </c>
      <c r="AR448" t="str">
        <f t="shared" si="69"/>
        <v>0000000000000</v>
      </c>
      <c r="AT448" t="str">
        <f>T("9791137601413")</f>
        <v>9791137601413</v>
      </c>
      <c r="AV448" t="str">
        <f>T("웹툰 &gt; 해외 순정")</f>
        <v>웹툰 &gt; 해외 순정</v>
      </c>
      <c r="AW448" t="str">
        <f>T("웹툰 &gt; 로맨스")</f>
        <v>웹툰 &gt; 로맨스</v>
      </c>
    </row>
    <row r="449" spans="1:49" x14ac:dyDescent="0.4">
      <c r="A449">
        <v>4421001340</v>
      </c>
      <c r="B449">
        <v>4421001358</v>
      </c>
      <c r="C449" t="str">
        <f>T("가출천사 육성계약 19화")</f>
        <v>가출천사 육성계약 19화</v>
      </c>
      <c r="D449" t="str">
        <f>T("19")</f>
        <v>19</v>
      </c>
      <c r="E449" t="str">
        <f>T("Bae.C, IIAKI, 박제후")</f>
        <v>Bae.C, IIAKI, 박제후</v>
      </c>
      <c r="G449" t="str">
        <f>T("Bae.C, 조우")</f>
        <v>Bae.C, 조우</v>
      </c>
      <c r="H449" t="str">
        <f t="shared" si="67"/>
        <v>스토리위즈</v>
      </c>
      <c r="I449" t="str">
        <f>T("가출천사 육성계약")</f>
        <v>가출천사 육성계약</v>
      </c>
      <c r="J449">
        <v>400</v>
      </c>
      <c r="K449">
        <v>0</v>
      </c>
      <c r="L449">
        <v>0</v>
      </c>
      <c r="M449">
        <v>0</v>
      </c>
      <c r="N449">
        <v>200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 s="3">
        <v>200</v>
      </c>
      <c r="AH449" s="3">
        <v>1</v>
      </c>
      <c r="AI449" s="3">
        <v>0</v>
      </c>
      <c r="AJ449" s="3">
        <v>0</v>
      </c>
      <c r="AK449" s="3">
        <v>200</v>
      </c>
      <c r="AL449" s="3">
        <v>0</v>
      </c>
      <c r="AM449" s="3">
        <v>0</v>
      </c>
      <c r="AN449" s="3">
        <v>0</v>
      </c>
      <c r="AO449" s="3">
        <v>0</v>
      </c>
      <c r="AP449" s="3">
        <v>140</v>
      </c>
      <c r="AR449" t="str">
        <f t="shared" si="69"/>
        <v>0000000000000</v>
      </c>
      <c r="AT449" t="str">
        <f>T("9791191765663")</f>
        <v>9791191765663</v>
      </c>
      <c r="AV449" t="str">
        <f>T("웹툰 &gt; 판타지/SF")</f>
        <v>웹툰 &gt; 판타지/SF</v>
      </c>
    </row>
    <row r="450" spans="1:49" x14ac:dyDescent="0.4">
      <c r="A450">
        <v>4421000337</v>
      </c>
      <c r="B450">
        <v>4421000418</v>
      </c>
      <c r="C450" t="str">
        <f>T("계약연애, 오늘부터 1일 82화")</f>
        <v>계약연애, 오늘부터 1일 82화</v>
      </c>
      <c r="D450" t="str">
        <f>T("82")</f>
        <v>82</v>
      </c>
      <c r="E450" t="str">
        <f>T("원기공장")</f>
        <v>원기공장</v>
      </c>
      <c r="H450" t="str">
        <f t="shared" ref="H450:H513" si="70">T("스토리위즈")</f>
        <v>스토리위즈</v>
      </c>
      <c r="I450" t="str">
        <f>T("계약연애, 오늘부터 1일")</f>
        <v>계약연애, 오늘부터 1일</v>
      </c>
      <c r="J450">
        <v>200</v>
      </c>
      <c r="K450">
        <v>0</v>
      </c>
      <c r="L450">
        <v>0</v>
      </c>
      <c r="M450">
        <v>0</v>
      </c>
      <c r="N450">
        <v>100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 s="3">
        <v>100</v>
      </c>
      <c r="AH450" s="3">
        <v>1</v>
      </c>
      <c r="AI450" s="3">
        <v>0</v>
      </c>
      <c r="AJ450" s="3">
        <v>0</v>
      </c>
      <c r="AK450" s="3">
        <v>100</v>
      </c>
      <c r="AL450" s="3">
        <v>0</v>
      </c>
      <c r="AM450" s="3">
        <v>0</v>
      </c>
      <c r="AN450" s="3">
        <v>0</v>
      </c>
      <c r="AO450" s="3">
        <v>0</v>
      </c>
      <c r="AP450" s="3">
        <v>70</v>
      </c>
      <c r="AR450" t="str">
        <f t="shared" si="69"/>
        <v>0000000000000</v>
      </c>
      <c r="AT450" t="str">
        <f>T("9791166068027")</f>
        <v>9791166068027</v>
      </c>
      <c r="AV450" t="str">
        <f>T("웹툰 &gt; 해외 순정")</f>
        <v>웹툰 &gt; 해외 순정</v>
      </c>
      <c r="AW450" t="str">
        <f>T("웹툰 &gt; 로맨스")</f>
        <v>웹툰 &gt; 로맨스</v>
      </c>
    </row>
    <row r="451" spans="1:49" x14ac:dyDescent="0.4">
      <c r="A451">
        <v>4421001584</v>
      </c>
      <c r="B451">
        <v>4421001584</v>
      </c>
      <c r="C451" t="str">
        <f>T("결혼전쟁 1화")</f>
        <v>결혼전쟁 1화</v>
      </c>
      <c r="D451" t="str">
        <f>T("1")</f>
        <v>1</v>
      </c>
      <c r="E451" t="str">
        <f>T("웹티")</f>
        <v>웹티</v>
      </c>
      <c r="H451" t="str">
        <f t="shared" si="70"/>
        <v>스토리위즈</v>
      </c>
      <c r="I451" t="str">
        <f>T("결혼전쟁")</f>
        <v>결혼전쟁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 s="3">
        <v>0</v>
      </c>
      <c r="AH451" s="3">
        <v>1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T451" t="str">
        <f>T("9791196333720")</f>
        <v>9791196333720</v>
      </c>
      <c r="AV451" t="str">
        <f>T("웹툰 &gt; 로맨스")</f>
        <v>웹툰 &gt; 로맨스</v>
      </c>
    </row>
    <row r="452" spans="1:49" x14ac:dyDescent="0.4">
      <c r="A452">
        <v>4421000337</v>
      </c>
      <c r="B452">
        <v>4421000378</v>
      </c>
      <c r="C452" t="str">
        <f>T("계약연애, 오늘부터 1일 42화")</f>
        <v>계약연애, 오늘부터 1일 42화</v>
      </c>
      <c r="D452" t="str">
        <f>T("42")</f>
        <v>42</v>
      </c>
      <c r="E452" t="str">
        <f>T("원기공장")</f>
        <v>원기공장</v>
      </c>
      <c r="H452" t="str">
        <f t="shared" si="70"/>
        <v>스토리위즈</v>
      </c>
      <c r="I452" t="str">
        <f>T("계약연애, 오늘부터 1일")</f>
        <v>계약연애, 오늘부터 1일</v>
      </c>
      <c r="J452">
        <v>200</v>
      </c>
      <c r="K452">
        <v>0</v>
      </c>
      <c r="L452">
        <v>0</v>
      </c>
      <c r="M452">
        <v>0</v>
      </c>
      <c r="N452">
        <v>100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 s="3">
        <v>100</v>
      </c>
      <c r="AH452" s="3">
        <v>1</v>
      </c>
      <c r="AI452" s="3">
        <v>0</v>
      </c>
      <c r="AJ452" s="3">
        <v>0</v>
      </c>
      <c r="AK452" s="3">
        <v>100</v>
      </c>
      <c r="AL452" s="3">
        <v>0</v>
      </c>
      <c r="AM452" s="3">
        <v>0</v>
      </c>
      <c r="AN452" s="3">
        <v>0</v>
      </c>
      <c r="AO452" s="3">
        <v>0</v>
      </c>
      <c r="AP452" s="3">
        <v>70</v>
      </c>
      <c r="AR452" t="str">
        <f t="shared" ref="AR452:AR465" si="71">T("0000000000000")</f>
        <v>0000000000000</v>
      </c>
      <c r="AT452" t="str">
        <f>T("9791166068027")</f>
        <v>9791166068027</v>
      </c>
      <c r="AV452" t="str">
        <f t="shared" ref="AV452:AV457" si="72">T("웹툰 &gt; 해외 순정")</f>
        <v>웹툰 &gt; 해외 순정</v>
      </c>
      <c r="AW452" t="str">
        <f>T("웹툰 &gt; 로맨스")</f>
        <v>웹툰 &gt; 로맨스</v>
      </c>
    </row>
    <row r="453" spans="1:49" x14ac:dyDescent="0.4">
      <c r="A453">
        <v>4421000198</v>
      </c>
      <c r="B453">
        <v>4421001278</v>
      </c>
      <c r="C453" t="str">
        <f>T("공주전쟁 84화")</f>
        <v>공주전쟁 84화</v>
      </c>
      <c r="D453" t="str">
        <f>T("84")</f>
        <v>84</v>
      </c>
      <c r="E453" t="str">
        <f>T("Hujing")</f>
        <v>Hujing</v>
      </c>
      <c r="G453" t="str">
        <f>T("Luojie")</f>
        <v>Luojie</v>
      </c>
      <c r="H453" t="str">
        <f t="shared" si="70"/>
        <v>스토리위즈</v>
      </c>
      <c r="I453" t="str">
        <f>T("공주전쟁")</f>
        <v>공주전쟁</v>
      </c>
      <c r="J453">
        <v>400</v>
      </c>
      <c r="K453">
        <v>0</v>
      </c>
      <c r="L453">
        <v>0</v>
      </c>
      <c r="M453">
        <v>0</v>
      </c>
      <c r="N453">
        <v>200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s="3">
        <v>200</v>
      </c>
      <c r="AH453" s="3">
        <v>1</v>
      </c>
      <c r="AI453" s="3">
        <v>0</v>
      </c>
      <c r="AJ453" s="3">
        <v>0</v>
      </c>
      <c r="AK453" s="3">
        <v>0</v>
      </c>
      <c r="AL453" s="3">
        <v>0</v>
      </c>
      <c r="AM453" s="3">
        <v>240</v>
      </c>
      <c r="AN453" s="3">
        <v>-72</v>
      </c>
      <c r="AO453" s="3">
        <v>0</v>
      </c>
      <c r="AP453" s="3">
        <v>117.6</v>
      </c>
      <c r="AR453" t="str">
        <f t="shared" si="71"/>
        <v>0000000000000</v>
      </c>
      <c r="AT453" t="str">
        <f>T("9791166069666")</f>
        <v>9791166069666</v>
      </c>
      <c r="AV453" t="str">
        <f t="shared" si="72"/>
        <v>웹툰 &gt; 해외 순정</v>
      </c>
      <c r="AW453" t="str">
        <f>T("웹툰 &gt; 로판")</f>
        <v>웹툰 &gt; 로판</v>
      </c>
    </row>
    <row r="454" spans="1:49" x14ac:dyDescent="0.4">
      <c r="A454">
        <v>4421000866</v>
      </c>
      <c r="B454">
        <v>4421001560</v>
      </c>
      <c r="C454" t="str">
        <f>T("최애에게 들켜버렸다 82화")</f>
        <v>최애에게 들켜버렸다 82화</v>
      </c>
      <c r="D454" t="str">
        <f>T("85")</f>
        <v>85</v>
      </c>
      <c r="E454" t="str">
        <f>T("Lv")</f>
        <v>Lv</v>
      </c>
      <c r="G454" t="str">
        <f>T("Lv")</f>
        <v>Lv</v>
      </c>
      <c r="H454" t="str">
        <f t="shared" si="70"/>
        <v>스토리위즈</v>
      </c>
      <c r="I454" t="str">
        <f>T("최애에게 들켜버렸다")</f>
        <v>최애에게 들켜버렸다</v>
      </c>
      <c r="J454">
        <v>400</v>
      </c>
      <c r="K454">
        <v>0</v>
      </c>
      <c r="L454">
        <v>0</v>
      </c>
      <c r="M454">
        <v>0</v>
      </c>
      <c r="N454">
        <v>800</v>
      </c>
      <c r="O454">
        <v>4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 s="3">
        <v>800</v>
      </c>
      <c r="AH454" s="3">
        <v>4</v>
      </c>
      <c r="AI454" s="3">
        <v>0</v>
      </c>
      <c r="AJ454" s="3">
        <v>0</v>
      </c>
      <c r="AK454" s="3">
        <v>625</v>
      </c>
      <c r="AL454" s="3">
        <v>0</v>
      </c>
      <c r="AM454" s="3">
        <v>210.18</v>
      </c>
      <c r="AN454" s="3">
        <v>-63.05</v>
      </c>
      <c r="AO454" s="3">
        <v>0</v>
      </c>
      <c r="AP454" s="3">
        <v>540.49</v>
      </c>
      <c r="AR454" t="str">
        <f t="shared" si="71"/>
        <v>0000000000000</v>
      </c>
      <c r="AT454" t="str">
        <f>T("9791137601253")</f>
        <v>9791137601253</v>
      </c>
      <c r="AV454" t="str">
        <f t="shared" si="72"/>
        <v>웹툰 &gt; 해외 순정</v>
      </c>
      <c r="AW454" t="str">
        <f>T("웹툰 &gt; 로맨스")</f>
        <v>웹툰 &gt; 로맨스</v>
      </c>
    </row>
    <row r="455" spans="1:49" x14ac:dyDescent="0.4">
      <c r="A455">
        <v>4421000198</v>
      </c>
      <c r="B455">
        <v>4421000225</v>
      </c>
      <c r="C455" t="str">
        <f>T("공주전쟁 28화")</f>
        <v>공주전쟁 28화</v>
      </c>
      <c r="D455" t="str">
        <f>T("28")</f>
        <v>28</v>
      </c>
      <c r="E455" t="str">
        <f>T("Hujing")</f>
        <v>Hujing</v>
      </c>
      <c r="G455" t="str">
        <f>T("Luojie")</f>
        <v>Luojie</v>
      </c>
      <c r="H455" t="str">
        <f t="shared" si="70"/>
        <v>스토리위즈</v>
      </c>
      <c r="I455" t="str">
        <f>T("공주전쟁")</f>
        <v>공주전쟁</v>
      </c>
      <c r="J455">
        <v>400</v>
      </c>
      <c r="K455">
        <v>0</v>
      </c>
      <c r="L455">
        <v>0</v>
      </c>
      <c r="M455">
        <v>0</v>
      </c>
      <c r="N455">
        <v>600</v>
      </c>
      <c r="O455">
        <v>3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 s="3">
        <v>600</v>
      </c>
      <c r="AH455" s="3">
        <v>3</v>
      </c>
      <c r="AI455" s="3">
        <v>0</v>
      </c>
      <c r="AJ455" s="3">
        <v>0</v>
      </c>
      <c r="AK455" s="3">
        <v>400</v>
      </c>
      <c r="AL455" s="3">
        <v>0</v>
      </c>
      <c r="AM455" s="3">
        <v>240</v>
      </c>
      <c r="AN455" s="3">
        <v>-72</v>
      </c>
      <c r="AO455" s="3">
        <v>0</v>
      </c>
      <c r="AP455" s="3">
        <v>397.6</v>
      </c>
      <c r="AR455" t="str">
        <f t="shared" si="71"/>
        <v>0000000000000</v>
      </c>
      <c r="AT455" t="str">
        <f>T("9791166069666")</f>
        <v>9791166069666</v>
      </c>
      <c r="AV455" t="str">
        <f t="shared" si="72"/>
        <v>웹툰 &gt; 해외 순정</v>
      </c>
      <c r="AW455" t="str">
        <f>T("웹툰 &gt; 로판")</f>
        <v>웹툰 &gt; 로판</v>
      </c>
    </row>
    <row r="456" spans="1:49" x14ac:dyDescent="0.4">
      <c r="A456">
        <v>4421000887</v>
      </c>
      <c r="B456">
        <v>4421001174</v>
      </c>
      <c r="C456" t="str">
        <f>T("폭군의 눈물 34화")</f>
        <v>폭군의 눈물 34화</v>
      </c>
      <c r="D456" t="str">
        <f>T("34")</f>
        <v>34</v>
      </c>
      <c r="E456" t="str">
        <f>T("Ice×FANFAN COMIC")</f>
        <v>Ice×FANFAN COMIC</v>
      </c>
      <c r="G456" t="str">
        <f>T("Ice×FANFAN COMIC")</f>
        <v>Ice×FANFAN COMIC</v>
      </c>
      <c r="H456" t="str">
        <f t="shared" si="70"/>
        <v>스토리위즈</v>
      </c>
      <c r="I456" t="str">
        <f>T("폭군의 눈물")</f>
        <v>폭군의 눈물</v>
      </c>
      <c r="J456">
        <v>400</v>
      </c>
      <c r="K456">
        <v>0</v>
      </c>
      <c r="L456">
        <v>0</v>
      </c>
      <c r="M456">
        <v>0</v>
      </c>
      <c r="N456">
        <v>600</v>
      </c>
      <c r="O456">
        <v>3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 s="3">
        <v>600</v>
      </c>
      <c r="AH456" s="3">
        <v>3</v>
      </c>
      <c r="AI456" s="3">
        <v>0</v>
      </c>
      <c r="AJ456" s="3">
        <v>0</v>
      </c>
      <c r="AK456" s="3">
        <v>400</v>
      </c>
      <c r="AL456" s="3">
        <v>0</v>
      </c>
      <c r="AM456" s="3">
        <v>240</v>
      </c>
      <c r="AN456" s="3">
        <v>-72</v>
      </c>
      <c r="AO456" s="3">
        <v>0</v>
      </c>
      <c r="AP456" s="3">
        <v>397.6</v>
      </c>
      <c r="AR456" t="str">
        <f t="shared" si="71"/>
        <v>0000000000000</v>
      </c>
      <c r="AT456" t="str">
        <f>T("9791137601291")</f>
        <v>9791137601291</v>
      </c>
      <c r="AV456" t="str">
        <f t="shared" si="72"/>
        <v>웹툰 &gt; 해외 순정</v>
      </c>
      <c r="AW456" t="str">
        <f>T("웹툰 &gt; 로판")</f>
        <v>웹툰 &gt; 로판</v>
      </c>
    </row>
    <row r="457" spans="1:49" x14ac:dyDescent="0.4">
      <c r="A457">
        <v>4421000198</v>
      </c>
      <c r="B457">
        <v>4421001460</v>
      </c>
      <c r="C457" t="str">
        <f>T("공주전쟁 93화")</f>
        <v>공주전쟁 93화</v>
      </c>
      <c r="D457" t="str">
        <f>T("93")</f>
        <v>93</v>
      </c>
      <c r="E457" t="str">
        <f>T("Hujing")</f>
        <v>Hujing</v>
      </c>
      <c r="G457" t="str">
        <f>T("Luojie")</f>
        <v>Luojie</v>
      </c>
      <c r="H457" t="str">
        <f t="shared" si="70"/>
        <v>스토리위즈</v>
      </c>
      <c r="I457" t="str">
        <f>T("공주전쟁")</f>
        <v>공주전쟁</v>
      </c>
      <c r="J457">
        <v>400</v>
      </c>
      <c r="K457">
        <v>0</v>
      </c>
      <c r="L457">
        <v>0</v>
      </c>
      <c r="M457">
        <v>0</v>
      </c>
      <c r="N457">
        <v>200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 s="3">
        <v>200</v>
      </c>
      <c r="AH457" s="3">
        <v>1</v>
      </c>
      <c r="AI457" s="3">
        <v>0</v>
      </c>
      <c r="AJ457" s="3">
        <v>0</v>
      </c>
      <c r="AK457" s="3">
        <v>0</v>
      </c>
      <c r="AL457" s="3">
        <v>0</v>
      </c>
      <c r="AM457" s="3">
        <v>240</v>
      </c>
      <c r="AN457" s="3">
        <v>-72</v>
      </c>
      <c r="AO457" s="3">
        <v>0</v>
      </c>
      <c r="AP457" s="3">
        <v>117.6</v>
      </c>
      <c r="AR457" t="str">
        <f t="shared" si="71"/>
        <v>0000000000000</v>
      </c>
      <c r="AT457" t="str">
        <f>T("9791166069666")</f>
        <v>9791166069666</v>
      </c>
      <c r="AV457" t="str">
        <f t="shared" si="72"/>
        <v>웹툰 &gt; 해외 순정</v>
      </c>
      <c r="AW457" t="str">
        <f>T("웹툰 &gt; 로판")</f>
        <v>웹툰 &gt; 로판</v>
      </c>
    </row>
    <row r="458" spans="1:49" x14ac:dyDescent="0.4">
      <c r="A458">
        <v>4421000450</v>
      </c>
      <c r="B458">
        <v>4421000450</v>
      </c>
      <c r="C458" t="str">
        <f>T("내 남편의 스토커 프롤로그")</f>
        <v>내 남편의 스토커 프롤로그</v>
      </c>
      <c r="E458" t="str">
        <f>T("혜원")</f>
        <v>혜원</v>
      </c>
      <c r="G458" t="str">
        <f>T("혜원")</f>
        <v>혜원</v>
      </c>
      <c r="H458" t="str">
        <f t="shared" si="70"/>
        <v>스토리위즈</v>
      </c>
      <c r="I458" t="str">
        <f>T("내 남편의 스토커")</f>
        <v>내 남편의 스토커</v>
      </c>
      <c r="J458">
        <v>400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 s="3">
        <v>0</v>
      </c>
      <c r="AH458" s="3">
        <v>1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R458" t="str">
        <f t="shared" si="71"/>
        <v>0000000000000</v>
      </c>
      <c r="AT458" t="str">
        <f>T("9791166068034")</f>
        <v>9791166068034</v>
      </c>
      <c r="AV458" t="str">
        <f>T("웹툰 &gt; 로맨스")</f>
        <v>웹툰 &gt; 로맨스</v>
      </c>
    </row>
    <row r="459" spans="1:49" x14ac:dyDescent="0.4">
      <c r="A459">
        <v>4421000866</v>
      </c>
      <c r="B459">
        <v>4421000960</v>
      </c>
      <c r="C459" t="str">
        <f>T("최애에게 들켜버렸다 26화")</f>
        <v>최애에게 들켜버렸다 26화</v>
      </c>
      <c r="D459" t="str">
        <f>T("27")</f>
        <v>27</v>
      </c>
      <c r="E459" t="str">
        <f>T("Lv")</f>
        <v>Lv</v>
      </c>
      <c r="G459" t="str">
        <f>T("Lv")</f>
        <v>Lv</v>
      </c>
      <c r="H459" t="str">
        <f t="shared" si="70"/>
        <v>스토리위즈</v>
      </c>
      <c r="I459" t="str">
        <f>T("최애에게 들켜버렸다")</f>
        <v>최애에게 들켜버렸다</v>
      </c>
      <c r="J459">
        <v>400</v>
      </c>
      <c r="K459">
        <v>0</v>
      </c>
      <c r="L459">
        <v>0</v>
      </c>
      <c r="M459">
        <v>0</v>
      </c>
      <c r="N459">
        <v>600</v>
      </c>
      <c r="O459">
        <v>3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 s="3">
        <v>600</v>
      </c>
      <c r="AH459" s="3">
        <v>3</v>
      </c>
      <c r="AI459" s="3">
        <v>0</v>
      </c>
      <c r="AJ459" s="3">
        <v>0</v>
      </c>
      <c r="AK459" s="3">
        <v>424</v>
      </c>
      <c r="AL459" s="3">
        <v>0</v>
      </c>
      <c r="AM459" s="3">
        <v>211.38</v>
      </c>
      <c r="AN459" s="3">
        <v>-63.41</v>
      </c>
      <c r="AO459" s="3">
        <v>0</v>
      </c>
      <c r="AP459" s="3">
        <v>400.38</v>
      </c>
      <c r="AR459" t="str">
        <f t="shared" si="71"/>
        <v>0000000000000</v>
      </c>
      <c r="AT459" t="str">
        <f>T("9791137601253")</f>
        <v>9791137601253</v>
      </c>
      <c r="AV459" t="str">
        <f>T("웹툰 &gt; 해외 순정")</f>
        <v>웹툰 &gt; 해외 순정</v>
      </c>
      <c r="AW459" t="str">
        <f>T("웹툰 &gt; 로맨스")</f>
        <v>웹툰 &gt; 로맨스</v>
      </c>
    </row>
    <row r="460" spans="1:49" x14ac:dyDescent="0.4">
      <c r="A460">
        <v>4421001764</v>
      </c>
      <c r="B460">
        <v>4421001784</v>
      </c>
      <c r="C460" t="str">
        <f>T("예쁜 남자 잘생긴 여자 21화")</f>
        <v>예쁜 남자 잘생긴 여자 21화</v>
      </c>
      <c r="D460" t="str">
        <f>T("21")</f>
        <v>21</v>
      </c>
      <c r="E460" t="str">
        <f>T("웹티")</f>
        <v>웹티</v>
      </c>
      <c r="H460" t="str">
        <f t="shared" si="70"/>
        <v>스토리위즈</v>
      </c>
      <c r="I460" t="str">
        <f>T("예쁜 남자 잘생긴 여자")</f>
        <v>예쁜 남자 잘생긴 여자</v>
      </c>
      <c r="J460">
        <v>500</v>
      </c>
      <c r="K460">
        <v>0</v>
      </c>
      <c r="L460">
        <v>0</v>
      </c>
      <c r="M460">
        <v>0</v>
      </c>
      <c r="N460">
        <v>200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s="3">
        <v>200</v>
      </c>
      <c r="AH460" s="3">
        <v>1</v>
      </c>
      <c r="AI460" s="3">
        <v>0</v>
      </c>
      <c r="AJ460" s="3">
        <v>0</v>
      </c>
      <c r="AK460" s="3">
        <v>0</v>
      </c>
      <c r="AL460" s="3">
        <v>0</v>
      </c>
      <c r="AM460" s="3">
        <v>240.82</v>
      </c>
      <c r="AN460" s="3">
        <v>-72.25</v>
      </c>
      <c r="AO460" s="3">
        <v>0</v>
      </c>
      <c r="AP460" s="3">
        <v>118</v>
      </c>
      <c r="AR460" t="str">
        <f t="shared" si="71"/>
        <v>0000000000000</v>
      </c>
      <c r="AT460" t="str">
        <f>T("9791190702164")</f>
        <v>9791190702164</v>
      </c>
      <c r="AV460" t="str">
        <f>T("웹툰 &gt; 로맨스")</f>
        <v>웹툰 &gt; 로맨스</v>
      </c>
    </row>
    <row r="461" spans="1:49" x14ac:dyDescent="0.4">
      <c r="A461">
        <v>4421000337</v>
      </c>
      <c r="B461">
        <v>4421000410</v>
      </c>
      <c r="C461" t="str">
        <f>T("계약연애, 오늘부터 1일 74화")</f>
        <v>계약연애, 오늘부터 1일 74화</v>
      </c>
      <c r="D461" t="str">
        <f>T("74")</f>
        <v>74</v>
      </c>
      <c r="E461" t="str">
        <f>T("원기공장")</f>
        <v>원기공장</v>
      </c>
      <c r="H461" t="str">
        <f t="shared" si="70"/>
        <v>스토리위즈</v>
      </c>
      <c r="I461" t="str">
        <f>T("계약연애, 오늘부터 1일")</f>
        <v>계약연애, 오늘부터 1일</v>
      </c>
      <c r="J461">
        <v>200</v>
      </c>
      <c r="K461">
        <v>0</v>
      </c>
      <c r="L461">
        <v>0</v>
      </c>
      <c r="M461">
        <v>0</v>
      </c>
      <c r="N461">
        <v>100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 s="3">
        <v>100</v>
      </c>
      <c r="AH461" s="3">
        <v>1</v>
      </c>
      <c r="AI461" s="3">
        <v>0</v>
      </c>
      <c r="AJ461" s="3">
        <v>0</v>
      </c>
      <c r="AK461" s="3">
        <v>100</v>
      </c>
      <c r="AL461" s="3">
        <v>0</v>
      </c>
      <c r="AM461" s="3">
        <v>0</v>
      </c>
      <c r="AN461" s="3">
        <v>0</v>
      </c>
      <c r="AO461" s="3">
        <v>0</v>
      </c>
      <c r="AP461" s="3">
        <v>70</v>
      </c>
      <c r="AR461" t="str">
        <f t="shared" si="71"/>
        <v>0000000000000</v>
      </c>
      <c r="AT461" t="str">
        <f>T("9791166068027")</f>
        <v>9791166068027</v>
      </c>
      <c r="AV461" t="str">
        <f>T("웹툰 &gt; 해외 순정")</f>
        <v>웹툰 &gt; 해외 순정</v>
      </c>
      <c r="AW461" t="str">
        <f>T("웹툰 &gt; 로맨스")</f>
        <v>웹툰 &gt; 로맨스</v>
      </c>
    </row>
    <row r="462" spans="1:49" x14ac:dyDescent="0.4">
      <c r="A462">
        <v>4421000518</v>
      </c>
      <c r="B462">
        <v>4421000530</v>
      </c>
      <c r="C462" t="str">
        <f>T("백스테이지 키스신 12화")</f>
        <v>백스테이지 키스신 12화</v>
      </c>
      <c r="D462" t="str">
        <f>T("12")</f>
        <v>12</v>
      </c>
      <c r="E462" t="str">
        <f>T("최도비")</f>
        <v>최도비</v>
      </c>
      <c r="G462" t="str">
        <f>T("수정과")</f>
        <v>수정과</v>
      </c>
      <c r="H462" t="str">
        <f t="shared" si="70"/>
        <v>스토리위즈</v>
      </c>
      <c r="I462" t="str">
        <f>T("백스테이지 키스신")</f>
        <v>백스테이지 키스신</v>
      </c>
      <c r="J462">
        <v>400</v>
      </c>
      <c r="K462">
        <v>0</v>
      </c>
      <c r="L462">
        <v>0</v>
      </c>
      <c r="M462">
        <v>0</v>
      </c>
      <c r="N462">
        <v>200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 s="3">
        <v>200</v>
      </c>
      <c r="AH462" s="3">
        <v>1</v>
      </c>
      <c r="AI462" s="3">
        <v>0</v>
      </c>
      <c r="AJ462" s="3">
        <v>0</v>
      </c>
      <c r="AK462" s="3">
        <v>200</v>
      </c>
      <c r="AL462" s="3">
        <v>0</v>
      </c>
      <c r="AM462" s="3">
        <v>0</v>
      </c>
      <c r="AN462" s="3">
        <v>0</v>
      </c>
      <c r="AO462" s="3">
        <v>0</v>
      </c>
      <c r="AP462" s="3">
        <v>140</v>
      </c>
      <c r="AR462" t="str">
        <f t="shared" si="71"/>
        <v>0000000000000</v>
      </c>
      <c r="AT462" t="str">
        <f>T("9791166067990")</f>
        <v>9791166067990</v>
      </c>
      <c r="AV462" t="str">
        <f>T("웹툰 &gt; 로맨스")</f>
        <v>웹툰 &gt; 로맨스</v>
      </c>
    </row>
    <row r="463" spans="1:49" x14ac:dyDescent="0.4">
      <c r="A463">
        <v>4421000198</v>
      </c>
      <c r="B463">
        <v>4421001207</v>
      </c>
      <c r="C463" t="str">
        <f>T("공주전쟁 72화")</f>
        <v>공주전쟁 72화</v>
      </c>
      <c r="D463" t="str">
        <f>T("72")</f>
        <v>72</v>
      </c>
      <c r="E463" t="str">
        <f>T("Hujing")</f>
        <v>Hujing</v>
      </c>
      <c r="G463" t="str">
        <f>T("Luojie")</f>
        <v>Luojie</v>
      </c>
      <c r="H463" t="str">
        <f t="shared" si="70"/>
        <v>스토리위즈</v>
      </c>
      <c r="I463" t="str">
        <f>T("공주전쟁")</f>
        <v>공주전쟁</v>
      </c>
      <c r="J463">
        <v>400</v>
      </c>
      <c r="K463">
        <v>0</v>
      </c>
      <c r="L463">
        <v>0</v>
      </c>
      <c r="M463">
        <v>0</v>
      </c>
      <c r="N463">
        <v>400</v>
      </c>
      <c r="O463">
        <v>2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 s="3">
        <v>400</v>
      </c>
      <c r="AH463" s="3">
        <v>2</v>
      </c>
      <c r="AI463" s="3">
        <v>0</v>
      </c>
      <c r="AJ463" s="3">
        <v>0</v>
      </c>
      <c r="AK463" s="3">
        <v>200</v>
      </c>
      <c r="AL463" s="3">
        <v>0</v>
      </c>
      <c r="AM463" s="3">
        <v>240</v>
      </c>
      <c r="AN463" s="3">
        <v>-72</v>
      </c>
      <c r="AO463" s="3">
        <v>0</v>
      </c>
      <c r="AP463" s="3">
        <v>257.60000000000002</v>
      </c>
      <c r="AR463" t="str">
        <f t="shared" si="71"/>
        <v>0000000000000</v>
      </c>
      <c r="AT463" t="str">
        <f>T("9791166069666")</f>
        <v>9791166069666</v>
      </c>
      <c r="AV463" t="str">
        <f>T("웹툰 &gt; 해외 순정")</f>
        <v>웹툰 &gt; 해외 순정</v>
      </c>
      <c r="AW463" t="str">
        <f>T("웹툰 &gt; 로판")</f>
        <v>웹툰 &gt; 로판</v>
      </c>
    </row>
    <row r="464" spans="1:49" x14ac:dyDescent="0.4">
      <c r="A464">
        <v>4421000450</v>
      </c>
      <c r="B464">
        <v>4421000490</v>
      </c>
      <c r="C464" t="str">
        <f>T("내 남편의 스토커 40화")</f>
        <v>내 남편의 스토커 40화</v>
      </c>
      <c r="D464" t="str">
        <f>T("40")</f>
        <v>40</v>
      </c>
      <c r="E464" t="str">
        <f>T("혜원")</f>
        <v>혜원</v>
      </c>
      <c r="G464" t="str">
        <f>T("혜원")</f>
        <v>혜원</v>
      </c>
      <c r="H464" t="str">
        <f t="shared" si="70"/>
        <v>스토리위즈</v>
      </c>
      <c r="I464" t="str">
        <f>T("내 남편의 스토커")</f>
        <v>내 남편의 스토커</v>
      </c>
      <c r="J464">
        <v>400</v>
      </c>
      <c r="K464">
        <v>0</v>
      </c>
      <c r="L464">
        <v>0</v>
      </c>
      <c r="M464">
        <v>0</v>
      </c>
      <c r="N464">
        <v>200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 s="3">
        <v>200</v>
      </c>
      <c r="AH464" s="3">
        <v>1</v>
      </c>
      <c r="AI464" s="3">
        <v>0</v>
      </c>
      <c r="AJ464" s="3">
        <v>0</v>
      </c>
      <c r="AK464" s="3">
        <v>200</v>
      </c>
      <c r="AL464" s="3">
        <v>0</v>
      </c>
      <c r="AM464" s="3">
        <v>0</v>
      </c>
      <c r="AN464" s="3">
        <v>0</v>
      </c>
      <c r="AO464" s="3">
        <v>0</v>
      </c>
      <c r="AP464" s="3">
        <v>140</v>
      </c>
      <c r="AR464" t="str">
        <f t="shared" si="71"/>
        <v>0000000000000</v>
      </c>
      <c r="AT464" t="str">
        <f>T("9791166068034")</f>
        <v>9791166068034</v>
      </c>
      <c r="AV464" t="str">
        <f>T("웹툰 &gt; 로맨스")</f>
        <v>웹툰 &gt; 로맨스</v>
      </c>
    </row>
    <row r="465" spans="1:49" x14ac:dyDescent="0.4">
      <c r="A465">
        <v>4421000887</v>
      </c>
      <c r="B465">
        <v>4421000889</v>
      </c>
      <c r="C465" t="str">
        <f>T("폭군의 눈물 3화")</f>
        <v>폭군의 눈물 3화</v>
      </c>
      <c r="D465" t="str">
        <f>T("3")</f>
        <v>3</v>
      </c>
      <c r="E465" t="str">
        <f>T("Ice×FANFAN COMIC")</f>
        <v>Ice×FANFAN COMIC</v>
      </c>
      <c r="G465" t="str">
        <f>T("Ice×FANFAN COMIC")</f>
        <v>Ice×FANFAN COMIC</v>
      </c>
      <c r="H465" t="str">
        <f t="shared" si="70"/>
        <v>스토리위즈</v>
      </c>
      <c r="I465" t="str">
        <f>T("폭군의 눈물")</f>
        <v>폭군의 눈물</v>
      </c>
      <c r="J465">
        <v>400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 s="3">
        <v>0</v>
      </c>
      <c r="AH465" s="3">
        <v>16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R465" t="str">
        <f t="shared" si="71"/>
        <v>0000000000000</v>
      </c>
      <c r="AT465" t="str">
        <f>T("9791137601291")</f>
        <v>9791137601291</v>
      </c>
      <c r="AV465" t="str">
        <f>T("웹툰 &gt; 해외 순정")</f>
        <v>웹툰 &gt; 해외 순정</v>
      </c>
      <c r="AW465" t="str">
        <f>T("웹툰 &gt; 로판")</f>
        <v>웹툰 &gt; 로판</v>
      </c>
    </row>
    <row r="466" spans="1:49" x14ac:dyDescent="0.4">
      <c r="A466">
        <v>4421002155</v>
      </c>
      <c r="B466">
        <v>4421002156</v>
      </c>
      <c r="C466" t="str">
        <f>T("달콤한 결혼 2화")</f>
        <v>달콤한 결혼 2화</v>
      </c>
      <c r="D466" t="str">
        <f>T("2")</f>
        <v>2</v>
      </c>
      <c r="E466" t="str">
        <f>T("웹티")</f>
        <v>웹티</v>
      </c>
      <c r="H466" t="str">
        <f t="shared" si="70"/>
        <v>스토리위즈</v>
      </c>
      <c r="I466" t="str">
        <f>T("달콤한 결혼")</f>
        <v>달콤한 결혼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 s="3">
        <v>0</v>
      </c>
      <c r="AH466" s="3">
        <v>1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T466" t="str">
        <f>T("9791190622028")</f>
        <v>9791190622028</v>
      </c>
      <c r="AV466" t="str">
        <f>T("웹툰 &gt; 로맨스")</f>
        <v>웹툰 &gt; 로맨스</v>
      </c>
    </row>
    <row r="467" spans="1:49" x14ac:dyDescent="0.4">
      <c r="A467">
        <v>4421001325</v>
      </c>
      <c r="B467">
        <v>4421001452</v>
      </c>
      <c r="C467" t="str">
        <f>T("커피여우 김삼월 16화")</f>
        <v>커피여우 김삼월 16화</v>
      </c>
      <c r="D467" t="str">
        <f>T("16")</f>
        <v>16</v>
      </c>
      <c r="E467" t="str">
        <f>T("Nica")</f>
        <v>Nica</v>
      </c>
      <c r="G467" t="str">
        <f>T("A.Noa, RK Studio")</f>
        <v>A.Noa, RK Studio</v>
      </c>
      <c r="H467" t="str">
        <f t="shared" si="70"/>
        <v>스토리위즈</v>
      </c>
      <c r="I467" t="str">
        <f>T("커피여우 김삼월")</f>
        <v>커피여우 김삼월</v>
      </c>
      <c r="J467">
        <v>500</v>
      </c>
      <c r="K467">
        <v>0</v>
      </c>
      <c r="L467">
        <v>0</v>
      </c>
      <c r="M467">
        <v>0</v>
      </c>
      <c r="N467">
        <v>200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 s="3">
        <v>200</v>
      </c>
      <c r="AH467" s="3">
        <v>1</v>
      </c>
      <c r="AI467" s="3">
        <v>0</v>
      </c>
      <c r="AJ467" s="3">
        <v>0</v>
      </c>
      <c r="AK467" s="3">
        <v>200</v>
      </c>
      <c r="AL467" s="3">
        <v>0</v>
      </c>
      <c r="AM467" s="3">
        <v>0</v>
      </c>
      <c r="AN467" s="3">
        <v>0</v>
      </c>
      <c r="AO467" s="3">
        <v>0</v>
      </c>
      <c r="AP467" s="3">
        <v>140</v>
      </c>
      <c r="AR467" t="str">
        <f t="shared" ref="AR467:AR484" si="73">T("0000000000000")</f>
        <v>0000000000000</v>
      </c>
      <c r="AT467" t="str">
        <f>T("9791191241792")</f>
        <v>9791191241792</v>
      </c>
      <c r="AV467" t="str">
        <f>T("웹툰 &gt; 로맨스")</f>
        <v>웹툰 &gt; 로맨스</v>
      </c>
    </row>
    <row r="468" spans="1:49" x14ac:dyDescent="0.4">
      <c r="A468">
        <v>4421000337</v>
      </c>
      <c r="B468">
        <v>4421000443</v>
      </c>
      <c r="C468" t="str">
        <f>T("계약연애, 오늘부터 1일 107화")</f>
        <v>계약연애, 오늘부터 1일 107화</v>
      </c>
      <c r="D468" t="str">
        <f>T("107")</f>
        <v>107</v>
      </c>
      <c r="E468" t="str">
        <f>T("원기공장")</f>
        <v>원기공장</v>
      </c>
      <c r="H468" t="str">
        <f t="shared" si="70"/>
        <v>스토리위즈</v>
      </c>
      <c r="I468" t="str">
        <f>T("계약연애, 오늘부터 1일")</f>
        <v>계약연애, 오늘부터 1일</v>
      </c>
      <c r="J468">
        <v>200</v>
      </c>
      <c r="K468">
        <v>0</v>
      </c>
      <c r="L468">
        <v>0</v>
      </c>
      <c r="M468">
        <v>0</v>
      </c>
      <c r="N468">
        <v>100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 s="3">
        <v>100</v>
      </c>
      <c r="AH468" s="3">
        <v>1</v>
      </c>
      <c r="AI468" s="3">
        <v>0</v>
      </c>
      <c r="AJ468" s="3">
        <v>0</v>
      </c>
      <c r="AK468" s="3">
        <v>100</v>
      </c>
      <c r="AL468" s="3">
        <v>0</v>
      </c>
      <c r="AM468" s="3">
        <v>0</v>
      </c>
      <c r="AN468" s="3">
        <v>0</v>
      </c>
      <c r="AO468" s="3">
        <v>0</v>
      </c>
      <c r="AP468" s="3">
        <v>70</v>
      </c>
      <c r="AR468" t="str">
        <f t="shared" si="73"/>
        <v>0000000000000</v>
      </c>
      <c r="AT468" t="str">
        <f>T("9791166068027")</f>
        <v>9791166068027</v>
      </c>
      <c r="AV468" t="str">
        <f>T("웹툰 &gt; 해외 순정")</f>
        <v>웹툰 &gt; 해외 순정</v>
      </c>
      <c r="AW468" t="str">
        <f>T("웹툰 &gt; 로맨스")</f>
        <v>웹툰 &gt; 로맨스</v>
      </c>
    </row>
    <row r="469" spans="1:49" x14ac:dyDescent="0.4">
      <c r="A469">
        <v>4421000198</v>
      </c>
      <c r="B469">
        <v>4421000953</v>
      </c>
      <c r="C469" t="str">
        <f>T("공주전쟁 65화")</f>
        <v>공주전쟁 65화</v>
      </c>
      <c r="D469" t="str">
        <f>T("65")</f>
        <v>65</v>
      </c>
      <c r="E469" t="str">
        <f>T("Hujing")</f>
        <v>Hujing</v>
      </c>
      <c r="G469" t="str">
        <f>T("Luojie")</f>
        <v>Luojie</v>
      </c>
      <c r="H469" t="str">
        <f t="shared" si="70"/>
        <v>스토리위즈</v>
      </c>
      <c r="I469" t="str">
        <f>T("공주전쟁")</f>
        <v>공주전쟁</v>
      </c>
      <c r="J469">
        <v>400</v>
      </c>
      <c r="K469">
        <v>0</v>
      </c>
      <c r="L469">
        <v>0</v>
      </c>
      <c r="M469">
        <v>0</v>
      </c>
      <c r="N469">
        <v>400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s="3">
        <v>400</v>
      </c>
      <c r="AH469" s="3">
        <v>2</v>
      </c>
      <c r="AI469" s="3">
        <v>0</v>
      </c>
      <c r="AJ469" s="3">
        <v>0</v>
      </c>
      <c r="AK469" s="3">
        <v>200</v>
      </c>
      <c r="AL469" s="3">
        <v>0</v>
      </c>
      <c r="AM469" s="3">
        <v>240</v>
      </c>
      <c r="AN469" s="3">
        <v>-72</v>
      </c>
      <c r="AO469" s="3">
        <v>0</v>
      </c>
      <c r="AP469" s="3">
        <v>257.60000000000002</v>
      </c>
      <c r="AR469" t="str">
        <f t="shared" si="73"/>
        <v>0000000000000</v>
      </c>
      <c r="AT469" t="str">
        <f>T("9791166069666")</f>
        <v>9791166069666</v>
      </c>
      <c r="AV469" t="str">
        <f>T("웹툰 &gt; 해외 순정")</f>
        <v>웹툰 &gt; 해외 순정</v>
      </c>
      <c r="AW469" t="str">
        <f>T("웹툰 &gt; 로판")</f>
        <v>웹툰 &gt; 로판</v>
      </c>
    </row>
    <row r="470" spans="1:49" x14ac:dyDescent="0.4">
      <c r="A470">
        <v>4421001764</v>
      </c>
      <c r="B470">
        <v>4421001777</v>
      </c>
      <c r="C470" t="str">
        <f>T("예쁜 남자 잘생긴 여자 14화")</f>
        <v>예쁜 남자 잘생긴 여자 14화</v>
      </c>
      <c r="D470" t="str">
        <f>T("14")</f>
        <v>14</v>
      </c>
      <c r="E470" t="str">
        <f>T("웹티")</f>
        <v>웹티</v>
      </c>
      <c r="H470" t="str">
        <f t="shared" si="70"/>
        <v>스토리위즈</v>
      </c>
      <c r="I470" t="str">
        <f>T("예쁜 남자 잘생긴 여자")</f>
        <v>예쁜 남자 잘생긴 여자</v>
      </c>
      <c r="J470">
        <v>500</v>
      </c>
      <c r="K470">
        <v>0</v>
      </c>
      <c r="L470">
        <v>0</v>
      </c>
      <c r="M470">
        <v>0</v>
      </c>
      <c r="N470">
        <v>200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 s="3">
        <v>200</v>
      </c>
      <c r="AH470" s="3">
        <v>1</v>
      </c>
      <c r="AI470" s="3">
        <v>0</v>
      </c>
      <c r="AJ470" s="3">
        <v>0</v>
      </c>
      <c r="AK470" s="3">
        <v>0</v>
      </c>
      <c r="AL470" s="3">
        <v>0</v>
      </c>
      <c r="AM470" s="3">
        <v>240.82</v>
      </c>
      <c r="AN470" s="3">
        <v>-72.25</v>
      </c>
      <c r="AO470" s="3">
        <v>0</v>
      </c>
      <c r="AP470" s="3">
        <v>118</v>
      </c>
      <c r="AR470" t="str">
        <f t="shared" si="73"/>
        <v>0000000000000</v>
      </c>
      <c r="AT470" t="str">
        <f>T("9791190702164")</f>
        <v>9791190702164</v>
      </c>
      <c r="AV470" t="str">
        <f>T("웹툰 &gt; 로맨스")</f>
        <v>웹툰 &gt; 로맨스</v>
      </c>
    </row>
    <row r="471" spans="1:49" x14ac:dyDescent="0.4">
      <c r="A471">
        <v>4421000337</v>
      </c>
      <c r="B471">
        <v>4421000403</v>
      </c>
      <c r="C471" t="str">
        <f>T("계약연애, 오늘부터 1일 67화")</f>
        <v>계약연애, 오늘부터 1일 67화</v>
      </c>
      <c r="D471" t="str">
        <f>T("67")</f>
        <v>67</v>
      </c>
      <c r="E471" t="str">
        <f>T("원기공장")</f>
        <v>원기공장</v>
      </c>
      <c r="H471" t="str">
        <f t="shared" si="70"/>
        <v>스토리위즈</v>
      </c>
      <c r="I471" t="str">
        <f>T("계약연애, 오늘부터 1일")</f>
        <v>계약연애, 오늘부터 1일</v>
      </c>
      <c r="J471">
        <v>200</v>
      </c>
      <c r="K471">
        <v>0</v>
      </c>
      <c r="L471">
        <v>0</v>
      </c>
      <c r="M471">
        <v>0</v>
      </c>
      <c r="N471">
        <v>100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 s="3">
        <v>100</v>
      </c>
      <c r="AH471" s="3">
        <v>1</v>
      </c>
      <c r="AI471" s="3">
        <v>0</v>
      </c>
      <c r="AJ471" s="3">
        <v>0</v>
      </c>
      <c r="AK471" s="3">
        <v>100</v>
      </c>
      <c r="AL471" s="3">
        <v>0</v>
      </c>
      <c r="AM471" s="3">
        <v>0</v>
      </c>
      <c r="AN471" s="3">
        <v>0</v>
      </c>
      <c r="AO471" s="3">
        <v>0</v>
      </c>
      <c r="AP471" s="3">
        <v>70</v>
      </c>
      <c r="AR471" t="str">
        <f t="shared" si="73"/>
        <v>0000000000000</v>
      </c>
      <c r="AT471" t="str">
        <f>T("9791166068027")</f>
        <v>9791166068027</v>
      </c>
      <c r="AV471" t="str">
        <f>T("웹툰 &gt; 해외 순정")</f>
        <v>웹툰 &gt; 해외 순정</v>
      </c>
      <c r="AW471" t="str">
        <f>T("웹툰 &gt; 로맨스")</f>
        <v>웹툰 &gt; 로맨스</v>
      </c>
    </row>
    <row r="472" spans="1:49" x14ac:dyDescent="0.4">
      <c r="A472">
        <v>4421000198</v>
      </c>
      <c r="B472">
        <v>4421001303</v>
      </c>
      <c r="C472" t="str">
        <f>T("공주전쟁 91화")</f>
        <v>공주전쟁 91화</v>
      </c>
      <c r="D472" t="str">
        <f>T("91")</f>
        <v>91</v>
      </c>
      <c r="E472" t="str">
        <f>T("Hujing")</f>
        <v>Hujing</v>
      </c>
      <c r="G472" t="str">
        <f>T("Luojie")</f>
        <v>Luojie</v>
      </c>
      <c r="H472" t="str">
        <f t="shared" si="70"/>
        <v>스토리위즈</v>
      </c>
      <c r="I472" t="str">
        <f>T("공주전쟁")</f>
        <v>공주전쟁</v>
      </c>
      <c r="J472">
        <v>400</v>
      </c>
      <c r="K472">
        <v>0</v>
      </c>
      <c r="L472">
        <v>0</v>
      </c>
      <c r="M472">
        <v>0</v>
      </c>
      <c r="N472">
        <v>200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 s="3">
        <v>200</v>
      </c>
      <c r="AH472" s="3">
        <v>1</v>
      </c>
      <c r="AI472" s="3">
        <v>0</v>
      </c>
      <c r="AJ472" s="3">
        <v>0</v>
      </c>
      <c r="AK472" s="3">
        <v>0</v>
      </c>
      <c r="AL472" s="3">
        <v>0</v>
      </c>
      <c r="AM472" s="3">
        <v>240</v>
      </c>
      <c r="AN472" s="3">
        <v>-72</v>
      </c>
      <c r="AO472" s="3">
        <v>0</v>
      </c>
      <c r="AP472" s="3">
        <v>117.6</v>
      </c>
      <c r="AR472" t="str">
        <f t="shared" si="73"/>
        <v>0000000000000</v>
      </c>
      <c r="AT472" t="str">
        <f>T("9791166069666")</f>
        <v>9791166069666</v>
      </c>
      <c r="AV472" t="str">
        <f>T("웹툰 &gt; 해외 순정")</f>
        <v>웹툰 &gt; 해외 순정</v>
      </c>
      <c r="AW472" t="str">
        <f>T("웹툰 &gt; 로판")</f>
        <v>웹툰 &gt; 로판</v>
      </c>
    </row>
    <row r="473" spans="1:49" x14ac:dyDescent="0.4">
      <c r="A473">
        <v>4421000916</v>
      </c>
      <c r="B473">
        <v>4421001200</v>
      </c>
      <c r="C473" t="str">
        <f>T("별빛 아래 우리 46화")</f>
        <v>별빛 아래 우리 46화</v>
      </c>
      <c r="D473" t="str">
        <f>T("46")</f>
        <v>46</v>
      </c>
      <c r="E473" t="str">
        <f>T("건일")</f>
        <v>건일</v>
      </c>
      <c r="G473" t="str">
        <f>T("건일")</f>
        <v>건일</v>
      </c>
      <c r="H473" t="str">
        <f t="shared" si="70"/>
        <v>스토리위즈</v>
      </c>
      <c r="I473" t="str">
        <f>T("별빛 아래 우리")</f>
        <v>별빛 아래 우리</v>
      </c>
      <c r="J473">
        <v>400</v>
      </c>
      <c r="K473">
        <v>0</v>
      </c>
      <c r="L473">
        <v>0</v>
      </c>
      <c r="M473">
        <v>0</v>
      </c>
      <c r="N473">
        <v>800</v>
      </c>
      <c r="O473">
        <v>4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s="3">
        <v>800</v>
      </c>
      <c r="AH473" s="3">
        <v>4</v>
      </c>
      <c r="AI473" s="3">
        <v>0</v>
      </c>
      <c r="AJ473" s="3">
        <v>0</v>
      </c>
      <c r="AK473" s="3">
        <v>379</v>
      </c>
      <c r="AL473" s="3">
        <v>0</v>
      </c>
      <c r="AM473" s="3">
        <v>505.2</v>
      </c>
      <c r="AN473" s="3">
        <v>-151.56</v>
      </c>
      <c r="AO473" s="3">
        <v>0</v>
      </c>
      <c r="AP473" s="3">
        <v>512.85</v>
      </c>
      <c r="AR473" t="str">
        <f t="shared" si="73"/>
        <v>0000000000000</v>
      </c>
      <c r="AT473" t="str">
        <f>T("9791137601413")</f>
        <v>9791137601413</v>
      </c>
      <c r="AV473" t="str">
        <f>T("웹툰 &gt; 해외 순정")</f>
        <v>웹툰 &gt; 해외 순정</v>
      </c>
      <c r="AW473" t="str">
        <f>T("웹툰 &gt; 로맨스")</f>
        <v>웹툰 &gt; 로맨스</v>
      </c>
    </row>
    <row r="474" spans="1:49" x14ac:dyDescent="0.4">
      <c r="A474">
        <v>4421000450</v>
      </c>
      <c r="B474">
        <v>4421000483</v>
      </c>
      <c r="C474" t="str">
        <f>T("내 남편의 스토커 33화")</f>
        <v>내 남편의 스토커 33화</v>
      </c>
      <c r="D474" t="str">
        <f>T("33")</f>
        <v>33</v>
      </c>
      <c r="E474" t="str">
        <f>T("혜원")</f>
        <v>혜원</v>
      </c>
      <c r="G474" t="str">
        <f>T("혜원")</f>
        <v>혜원</v>
      </c>
      <c r="H474" t="str">
        <f t="shared" si="70"/>
        <v>스토리위즈</v>
      </c>
      <c r="I474" t="str">
        <f>T("내 남편의 스토커")</f>
        <v>내 남편의 스토커</v>
      </c>
      <c r="J474">
        <v>400</v>
      </c>
      <c r="K474">
        <v>0</v>
      </c>
      <c r="L474">
        <v>0</v>
      </c>
      <c r="M474">
        <v>0</v>
      </c>
      <c r="N474">
        <v>200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 s="3">
        <v>200</v>
      </c>
      <c r="AH474" s="3">
        <v>1</v>
      </c>
      <c r="AI474" s="3">
        <v>0</v>
      </c>
      <c r="AJ474" s="3">
        <v>0</v>
      </c>
      <c r="AK474" s="3">
        <v>200</v>
      </c>
      <c r="AL474" s="3">
        <v>0</v>
      </c>
      <c r="AM474" s="3">
        <v>0</v>
      </c>
      <c r="AN474" s="3">
        <v>0</v>
      </c>
      <c r="AO474" s="3">
        <v>0</v>
      </c>
      <c r="AP474" s="3">
        <v>140</v>
      </c>
      <c r="AR474" t="str">
        <f t="shared" si="73"/>
        <v>0000000000000</v>
      </c>
      <c r="AT474" t="str">
        <f>T("9791166068034")</f>
        <v>9791166068034</v>
      </c>
      <c r="AV474" t="str">
        <f>T("웹툰 &gt; 로맨스")</f>
        <v>웹툰 &gt; 로맨스</v>
      </c>
    </row>
    <row r="475" spans="1:49" x14ac:dyDescent="0.4">
      <c r="A475">
        <v>4421001000</v>
      </c>
      <c r="B475">
        <v>4421001000</v>
      </c>
      <c r="C475" t="str">
        <f>T("로맨틱 시그널 1화")</f>
        <v>로맨틱 시그널 1화</v>
      </c>
      <c r="D475" t="str">
        <f>T("1")</f>
        <v>1</v>
      </c>
      <c r="E475" t="str">
        <f>T("Bless+cangshukou")</f>
        <v>Bless+cangshukou</v>
      </c>
      <c r="G475" t="str">
        <f>T("Bless+cangshukou")</f>
        <v>Bless+cangshukou</v>
      </c>
      <c r="H475" t="str">
        <f t="shared" si="70"/>
        <v>스토리위즈</v>
      </c>
      <c r="I475" t="str">
        <f>T("로맨틱 시그널")</f>
        <v>로맨틱 시그널</v>
      </c>
      <c r="J475">
        <v>200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3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 s="3">
        <v>0</v>
      </c>
      <c r="AH475" s="3">
        <v>3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R475" t="str">
        <f t="shared" si="73"/>
        <v>0000000000000</v>
      </c>
      <c r="AT475" t="str">
        <f>T("9791166068041")</f>
        <v>9791166068041</v>
      </c>
      <c r="AV475" t="str">
        <f>T("웹툰 &gt; 해외 순정")</f>
        <v>웹툰 &gt; 해외 순정</v>
      </c>
      <c r="AW475" t="str">
        <f>T("웹툰 &gt; 로맨스")</f>
        <v>웹툰 &gt; 로맨스</v>
      </c>
    </row>
    <row r="476" spans="1:49" x14ac:dyDescent="0.4">
      <c r="A476">
        <v>4421000866</v>
      </c>
      <c r="B476">
        <v>4421000882</v>
      </c>
      <c r="C476" t="str">
        <f>T("최애에게 들켜버렸다 16화")</f>
        <v>최애에게 들켜버렸다 16화</v>
      </c>
      <c r="D476" t="str">
        <f>T("16")</f>
        <v>16</v>
      </c>
      <c r="E476" t="str">
        <f>T("Lv")</f>
        <v>Lv</v>
      </c>
      <c r="G476" t="str">
        <f>T("Lv")</f>
        <v>Lv</v>
      </c>
      <c r="H476" t="str">
        <f t="shared" si="70"/>
        <v>스토리위즈</v>
      </c>
      <c r="I476" t="str">
        <f>T("최애에게 들켜버렸다")</f>
        <v>최애에게 들켜버렸다</v>
      </c>
      <c r="J476">
        <v>400</v>
      </c>
      <c r="K476">
        <v>0</v>
      </c>
      <c r="L476">
        <v>0</v>
      </c>
      <c r="M476">
        <v>0</v>
      </c>
      <c r="N476">
        <v>1000</v>
      </c>
      <c r="O476">
        <v>5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s="3">
        <v>1000</v>
      </c>
      <c r="AH476" s="3">
        <v>5</v>
      </c>
      <c r="AI476" s="3">
        <v>0</v>
      </c>
      <c r="AJ476" s="3">
        <v>0</v>
      </c>
      <c r="AK476" s="3">
        <v>824</v>
      </c>
      <c r="AL476" s="3">
        <v>0</v>
      </c>
      <c r="AM476" s="3">
        <v>211.38</v>
      </c>
      <c r="AN476" s="3">
        <v>-63.41</v>
      </c>
      <c r="AO476" s="3">
        <v>0</v>
      </c>
      <c r="AP476" s="3">
        <v>680.38</v>
      </c>
      <c r="AR476" t="str">
        <f t="shared" si="73"/>
        <v>0000000000000</v>
      </c>
      <c r="AT476" t="str">
        <f>T("9791137601253")</f>
        <v>9791137601253</v>
      </c>
      <c r="AV476" t="str">
        <f>T("웹툰 &gt; 해외 순정")</f>
        <v>웹툰 &gt; 해외 순정</v>
      </c>
      <c r="AW476" t="str">
        <f>T("웹툰 &gt; 로맨스")</f>
        <v>웹툰 &gt; 로맨스</v>
      </c>
    </row>
    <row r="477" spans="1:49" x14ac:dyDescent="0.4">
      <c r="A477">
        <v>4421002079</v>
      </c>
      <c r="B477">
        <v>4421002079</v>
      </c>
      <c r="C477" t="str">
        <f>T("황제의 사랑방식 1화")</f>
        <v>황제의 사랑방식 1화</v>
      </c>
      <c r="D477" t="str">
        <f>T("1")</f>
        <v>1</v>
      </c>
      <c r="E477" t="str">
        <f>T("웹티")</f>
        <v>웹티</v>
      </c>
      <c r="H477" t="str">
        <f t="shared" si="70"/>
        <v>스토리위즈</v>
      </c>
      <c r="I477" t="str">
        <f>T("황제의 사랑방식")</f>
        <v>황제의 사랑방식</v>
      </c>
      <c r="J477">
        <v>0</v>
      </c>
      <c r="K477">
        <v>0</v>
      </c>
      <c r="L477">
        <v>0</v>
      </c>
      <c r="M477">
        <v>3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s="3">
        <v>0</v>
      </c>
      <c r="AH477" s="3">
        <v>3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R477" t="str">
        <f t="shared" si="73"/>
        <v>0000000000000</v>
      </c>
      <c r="AT477" t="str">
        <f>T("9791196650131")</f>
        <v>9791196650131</v>
      </c>
      <c r="AV477" t="str">
        <f>T("BL 웹툰 &gt; 웹툰")</f>
        <v>BL 웹툰 &gt; 웹툰</v>
      </c>
    </row>
    <row r="478" spans="1:49" x14ac:dyDescent="0.4">
      <c r="A478">
        <v>4421000518</v>
      </c>
      <c r="B478">
        <v>4421000555</v>
      </c>
      <c r="C478" t="str">
        <f>T("백스테이지 키스신 37화")</f>
        <v>백스테이지 키스신 37화</v>
      </c>
      <c r="D478" t="str">
        <f>T("37")</f>
        <v>37</v>
      </c>
      <c r="E478" t="str">
        <f>T("최도비")</f>
        <v>최도비</v>
      </c>
      <c r="G478" t="str">
        <f>T("수정과")</f>
        <v>수정과</v>
      </c>
      <c r="H478" t="str">
        <f t="shared" si="70"/>
        <v>스토리위즈</v>
      </c>
      <c r="I478" t="str">
        <f>T("백스테이지 키스신")</f>
        <v>백스테이지 키스신</v>
      </c>
      <c r="J478">
        <v>400</v>
      </c>
      <c r="K478">
        <v>0</v>
      </c>
      <c r="L478">
        <v>0</v>
      </c>
      <c r="M478">
        <v>0</v>
      </c>
      <c r="N478">
        <v>200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 s="3">
        <v>200</v>
      </c>
      <c r="AH478" s="3">
        <v>1</v>
      </c>
      <c r="AI478" s="3">
        <v>0</v>
      </c>
      <c r="AJ478" s="3">
        <v>0</v>
      </c>
      <c r="AK478" s="3">
        <v>200</v>
      </c>
      <c r="AL478" s="3">
        <v>0</v>
      </c>
      <c r="AM478" s="3">
        <v>0</v>
      </c>
      <c r="AN478" s="3">
        <v>0</v>
      </c>
      <c r="AO478" s="3">
        <v>0</v>
      </c>
      <c r="AP478" s="3">
        <v>140</v>
      </c>
      <c r="AR478" t="str">
        <f t="shared" si="73"/>
        <v>0000000000000</v>
      </c>
      <c r="AT478" t="str">
        <f>T("9791166067990")</f>
        <v>9791166067990</v>
      </c>
      <c r="AV478" t="str">
        <f>T("웹툰 &gt; 로맨스")</f>
        <v>웹툰 &gt; 로맨스</v>
      </c>
    </row>
    <row r="479" spans="1:49" x14ac:dyDescent="0.4">
      <c r="A479">
        <v>4421001325</v>
      </c>
      <c r="B479">
        <v>4421001335</v>
      </c>
      <c r="C479" t="str">
        <f>T("커피여우 김삼월 11화")</f>
        <v>커피여우 김삼월 11화</v>
      </c>
      <c r="D479" t="str">
        <f>T("11")</f>
        <v>11</v>
      </c>
      <c r="E479" t="str">
        <f>T("Nica")</f>
        <v>Nica</v>
      </c>
      <c r="G479" t="str">
        <f>T("A.Noa, RK Studio")</f>
        <v>A.Noa, RK Studio</v>
      </c>
      <c r="H479" t="str">
        <f t="shared" si="70"/>
        <v>스토리위즈</v>
      </c>
      <c r="I479" t="str">
        <f>T("커피여우 김삼월")</f>
        <v>커피여우 김삼월</v>
      </c>
      <c r="J479">
        <v>500</v>
      </c>
      <c r="K479">
        <v>0</v>
      </c>
      <c r="L479">
        <v>0</v>
      </c>
      <c r="M479">
        <v>0</v>
      </c>
      <c r="N479">
        <v>200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s="3">
        <v>200</v>
      </c>
      <c r="AH479" s="3">
        <v>1</v>
      </c>
      <c r="AI479" s="3">
        <v>0</v>
      </c>
      <c r="AJ479" s="3">
        <v>0</v>
      </c>
      <c r="AK479" s="3">
        <v>200</v>
      </c>
      <c r="AL479" s="3">
        <v>0</v>
      </c>
      <c r="AM479" s="3">
        <v>0</v>
      </c>
      <c r="AN479" s="3">
        <v>0</v>
      </c>
      <c r="AO479" s="3">
        <v>0</v>
      </c>
      <c r="AP479" s="3">
        <v>140</v>
      </c>
      <c r="AR479" t="str">
        <f t="shared" si="73"/>
        <v>0000000000000</v>
      </c>
      <c r="AT479" t="str">
        <f>T("9791191241792")</f>
        <v>9791191241792</v>
      </c>
      <c r="AV479" t="str">
        <f>T("웹툰 &gt; 로맨스")</f>
        <v>웹툰 &gt; 로맨스</v>
      </c>
    </row>
    <row r="480" spans="1:49" x14ac:dyDescent="0.4">
      <c r="A480">
        <v>4421000450</v>
      </c>
      <c r="B480">
        <v>4421000515</v>
      </c>
      <c r="C480" t="str">
        <f>T("내 남편의 스토커 65화")</f>
        <v>내 남편의 스토커 65화</v>
      </c>
      <c r="D480" t="str">
        <f>T("65")</f>
        <v>65</v>
      </c>
      <c r="E480" t="str">
        <f>T("혜원")</f>
        <v>혜원</v>
      </c>
      <c r="G480" t="str">
        <f>T("혜원")</f>
        <v>혜원</v>
      </c>
      <c r="H480" t="str">
        <f t="shared" si="70"/>
        <v>스토리위즈</v>
      </c>
      <c r="I480" t="str">
        <f>T("내 남편의 스토커")</f>
        <v>내 남편의 스토커</v>
      </c>
      <c r="J480">
        <v>400</v>
      </c>
      <c r="K480">
        <v>0</v>
      </c>
      <c r="L480">
        <v>0</v>
      </c>
      <c r="M480">
        <v>0</v>
      </c>
      <c r="N480">
        <v>200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 s="3">
        <v>200</v>
      </c>
      <c r="AH480" s="3">
        <v>1</v>
      </c>
      <c r="AI480" s="3">
        <v>0</v>
      </c>
      <c r="AJ480" s="3">
        <v>0</v>
      </c>
      <c r="AK480" s="3">
        <v>200</v>
      </c>
      <c r="AL480" s="3">
        <v>0</v>
      </c>
      <c r="AM480" s="3">
        <v>0</v>
      </c>
      <c r="AN480" s="3">
        <v>0</v>
      </c>
      <c r="AO480" s="3">
        <v>0</v>
      </c>
      <c r="AP480" s="3">
        <v>140</v>
      </c>
      <c r="AR480" t="str">
        <f t="shared" si="73"/>
        <v>0000000000000</v>
      </c>
      <c r="AT480" t="str">
        <f>T("9791166068034")</f>
        <v>9791166068034</v>
      </c>
      <c r="AV480" t="str">
        <f>T("웹툰 &gt; 로맨스")</f>
        <v>웹툰 &gt; 로맨스</v>
      </c>
    </row>
    <row r="481" spans="1:49" x14ac:dyDescent="0.4">
      <c r="A481">
        <v>4421000337</v>
      </c>
      <c r="B481">
        <v>4421000355</v>
      </c>
      <c r="C481" t="str">
        <f>T("계약연애, 오늘부터 1일 19화")</f>
        <v>계약연애, 오늘부터 1일 19화</v>
      </c>
      <c r="D481" t="str">
        <f>T("19")</f>
        <v>19</v>
      </c>
      <c r="E481" t="str">
        <f>T("원기공장")</f>
        <v>원기공장</v>
      </c>
      <c r="H481" t="str">
        <f t="shared" si="70"/>
        <v>스토리위즈</v>
      </c>
      <c r="I481" t="str">
        <f>T("계약연애, 오늘부터 1일")</f>
        <v>계약연애, 오늘부터 1일</v>
      </c>
      <c r="J481">
        <v>200</v>
      </c>
      <c r="K481">
        <v>0</v>
      </c>
      <c r="L481">
        <v>0</v>
      </c>
      <c r="M481">
        <v>0</v>
      </c>
      <c r="N481">
        <v>100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 s="3">
        <v>100</v>
      </c>
      <c r="AH481" s="3">
        <v>1</v>
      </c>
      <c r="AI481" s="3">
        <v>0</v>
      </c>
      <c r="AJ481" s="3">
        <v>0</v>
      </c>
      <c r="AK481" s="3">
        <v>100</v>
      </c>
      <c r="AL481" s="3">
        <v>0</v>
      </c>
      <c r="AM481" s="3">
        <v>0</v>
      </c>
      <c r="AN481" s="3">
        <v>0</v>
      </c>
      <c r="AO481" s="3">
        <v>0</v>
      </c>
      <c r="AP481" s="3">
        <v>70</v>
      </c>
      <c r="AR481" t="str">
        <f t="shared" si="73"/>
        <v>0000000000000</v>
      </c>
      <c r="AT481" t="str">
        <f>T("9791166068027")</f>
        <v>9791166068027</v>
      </c>
      <c r="AV481" t="str">
        <f>T("웹툰 &gt; 해외 순정")</f>
        <v>웹툰 &gt; 해외 순정</v>
      </c>
      <c r="AW481" t="str">
        <f>T("웹툰 &gt; 로맨스")</f>
        <v>웹툰 &gt; 로맨스</v>
      </c>
    </row>
    <row r="482" spans="1:49" x14ac:dyDescent="0.4">
      <c r="A482">
        <v>4421000069</v>
      </c>
      <c r="B482">
        <v>4421001234</v>
      </c>
      <c r="C482" t="str">
        <f>T("너랑 나랑 하면 151화")</f>
        <v>너랑 나랑 하면 151화</v>
      </c>
      <c r="D482" t="str">
        <f>T("151")</f>
        <v>151</v>
      </c>
      <c r="E482" t="str">
        <f>T("NISANSUI")</f>
        <v>NISANSUI</v>
      </c>
      <c r="G482" t="str">
        <f>T("ZIQUAN")</f>
        <v>ZIQUAN</v>
      </c>
      <c r="H482" t="str">
        <f t="shared" si="70"/>
        <v>스토리위즈</v>
      </c>
      <c r="I482" t="str">
        <f>T("너랑 나랑 하면")</f>
        <v>너랑 나랑 하면</v>
      </c>
      <c r="J482">
        <v>400</v>
      </c>
      <c r="K482">
        <v>0</v>
      </c>
      <c r="L482">
        <v>0</v>
      </c>
      <c r="M482">
        <v>0</v>
      </c>
      <c r="N482">
        <v>200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 s="3">
        <v>200</v>
      </c>
      <c r="AH482" s="3">
        <v>1</v>
      </c>
      <c r="AI482" s="3">
        <v>0</v>
      </c>
      <c r="AJ482" s="3">
        <v>0</v>
      </c>
      <c r="AK482" s="3">
        <v>200</v>
      </c>
      <c r="AL482" s="3">
        <v>0</v>
      </c>
      <c r="AM482" s="3">
        <v>0</v>
      </c>
      <c r="AN482" s="3">
        <v>0</v>
      </c>
      <c r="AO482" s="3">
        <v>0</v>
      </c>
      <c r="AP482" s="3">
        <v>140</v>
      </c>
      <c r="AR482" t="str">
        <f t="shared" si="73"/>
        <v>0000000000000</v>
      </c>
      <c r="AT482" t="str">
        <f>T("9791166067884")</f>
        <v>9791166067884</v>
      </c>
      <c r="AV482" t="str">
        <f>T("BL 웹툰 &gt; 웹툰")</f>
        <v>BL 웹툰 &gt; 웹툰</v>
      </c>
    </row>
    <row r="483" spans="1:49" x14ac:dyDescent="0.4">
      <c r="A483">
        <v>4421000069</v>
      </c>
      <c r="B483">
        <v>4421000076</v>
      </c>
      <c r="C483" t="str">
        <f>T("너랑 나랑 하면 7화")</f>
        <v>너랑 나랑 하면 7화</v>
      </c>
      <c r="D483" t="str">
        <f>T("7")</f>
        <v>7</v>
      </c>
      <c r="E483" t="str">
        <f>T("NISANSUI")</f>
        <v>NISANSUI</v>
      </c>
      <c r="G483" t="str">
        <f>T("ZIQUAN")</f>
        <v>ZIQUAN</v>
      </c>
      <c r="H483" t="str">
        <f t="shared" si="70"/>
        <v>스토리위즈</v>
      </c>
      <c r="I483" t="str">
        <f>T("너랑 나랑 하면")</f>
        <v>너랑 나랑 하면</v>
      </c>
      <c r="J483">
        <v>400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 s="3">
        <v>0</v>
      </c>
      <c r="AH483" s="3">
        <v>3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R483" t="str">
        <f t="shared" si="73"/>
        <v>0000000000000</v>
      </c>
      <c r="AT483" t="str">
        <f>T("9791166067884")</f>
        <v>9791166067884</v>
      </c>
      <c r="AV483" t="str">
        <f>T("BL 웹툰 &gt; 웹툰")</f>
        <v>BL 웹툰 &gt; 웹툰</v>
      </c>
    </row>
    <row r="484" spans="1:49" x14ac:dyDescent="0.4">
      <c r="A484">
        <v>4421000866</v>
      </c>
      <c r="B484">
        <v>4421000914</v>
      </c>
      <c r="C484" t="str">
        <f>T("최애에게 들켜버렸다 23화")</f>
        <v>최애에게 들켜버렸다 23화</v>
      </c>
      <c r="D484" t="str">
        <f>T("24")</f>
        <v>24</v>
      </c>
      <c r="E484" t="str">
        <f>T("Lv")</f>
        <v>Lv</v>
      </c>
      <c r="G484" t="str">
        <f>T("Lv")</f>
        <v>Lv</v>
      </c>
      <c r="H484" t="str">
        <f t="shared" si="70"/>
        <v>스토리위즈</v>
      </c>
      <c r="I484" t="str">
        <f>T("최애에게 들켜버렸다")</f>
        <v>최애에게 들켜버렸다</v>
      </c>
      <c r="J484">
        <v>400</v>
      </c>
      <c r="K484">
        <v>0</v>
      </c>
      <c r="L484">
        <v>0</v>
      </c>
      <c r="M484">
        <v>0</v>
      </c>
      <c r="N484">
        <v>600</v>
      </c>
      <c r="O484">
        <v>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 s="3">
        <v>600</v>
      </c>
      <c r="AH484" s="3">
        <v>3</v>
      </c>
      <c r="AI484" s="3">
        <v>0</v>
      </c>
      <c r="AJ484" s="3">
        <v>0</v>
      </c>
      <c r="AK484" s="3">
        <v>424</v>
      </c>
      <c r="AL484" s="3">
        <v>0</v>
      </c>
      <c r="AM484" s="3">
        <v>211.38</v>
      </c>
      <c r="AN484" s="3">
        <v>-63.41</v>
      </c>
      <c r="AO484" s="3">
        <v>0</v>
      </c>
      <c r="AP484" s="3">
        <v>400.38</v>
      </c>
      <c r="AR484" t="str">
        <f t="shared" si="73"/>
        <v>0000000000000</v>
      </c>
      <c r="AT484" t="str">
        <f>T("9791137601253")</f>
        <v>9791137601253</v>
      </c>
      <c r="AV484" t="str">
        <f>T("웹툰 &gt; 해외 순정")</f>
        <v>웹툰 &gt; 해외 순정</v>
      </c>
      <c r="AW484" t="str">
        <f>T("웹툰 &gt; 로맨스")</f>
        <v>웹툰 &gt; 로맨스</v>
      </c>
    </row>
    <row r="485" spans="1:49" x14ac:dyDescent="0.4">
      <c r="A485">
        <v>4421000001</v>
      </c>
      <c r="B485">
        <v>4421000174</v>
      </c>
      <c r="C485" t="str">
        <f>T("감옥실험 53화")</f>
        <v>감옥실험 53화</v>
      </c>
      <c r="D485" t="str">
        <f>T("53")</f>
        <v>53</v>
      </c>
      <c r="E485" t="str">
        <f>T("Kantetsu")</f>
        <v>Kantetsu</v>
      </c>
      <c r="G485" t="str">
        <f>T("Minase Chiho")</f>
        <v>Minase Chiho</v>
      </c>
      <c r="H485" t="str">
        <f t="shared" si="70"/>
        <v>스토리위즈</v>
      </c>
      <c r="I485" t="str">
        <f>T("감옥실험")</f>
        <v>감옥실험</v>
      </c>
      <c r="J485">
        <v>500</v>
      </c>
      <c r="K485">
        <v>0</v>
      </c>
      <c r="L485">
        <v>0</v>
      </c>
      <c r="M485">
        <v>0</v>
      </c>
      <c r="N485">
        <v>900</v>
      </c>
      <c r="O485">
        <v>3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 s="3">
        <v>900</v>
      </c>
      <c r="AH485" s="3">
        <v>3</v>
      </c>
      <c r="AI485" s="3">
        <v>0</v>
      </c>
      <c r="AJ485" s="3">
        <v>0</v>
      </c>
      <c r="AK485" s="3">
        <v>600</v>
      </c>
      <c r="AL485" s="3">
        <v>0</v>
      </c>
      <c r="AM485" s="3">
        <v>360</v>
      </c>
      <c r="AN485" s="3">
        <v>-108</v>
      </c>
      <c r="AO485" s="3">
        <v>0</v>
      </c>
      <c r="AP485" s="3">
        <v>596.4</v>
      </c>
      <c r="AT485" t="str">
        <f>T("9791166069406")</f>
        <v>9791166069406</v>
      </c>
      <c r="AV485" t="str">
        <f>T("웹툰 &gt; 드라마")</f>
        <v>웹툰 &gt; 드라마</v>
      </c>
    </row>
    <row r="486" spans="1:49" x14ac:dyDescent="0.4">
      <c r="A486">
        <v>4421001340</v>
      </c>
      <c r="B486">
        <v>4421001351</v>
      </c>
      <c r="C486" t="str">
        <f>T("가출천사 육성계약 12화")</f>
        <v>가출천사 육성계약 12화</v>
      </c>
      <c r="D486" t="str">
        <f>T("12")</f>
        <v>12</v>
      </c>
      <c r="E486" t="str">
        <f>T("Bae.C, IIAKI, 박제후")</f>
        <v>Bae.C, IIAKI, 박제후</v>
      </c>
      <c r="G486" t="str">
        <f>T("Bae.C, 조우")</f>
        <v>Bae.C, 조우</v>
      </c>
      <c r="H486" t="str">
        <f t="shared" si="70"/>
        <v>스토리위즈</v>
      </c>
      <c r="I486" t="str">
        <f>T("가출천사 육성계약")</f>
        <v>가출천사 육성계약</v>
      </c>
      <c r="J486">
        <v>400</v>
      </c>
      <c r="K486">
        <v>0</v>
      </c>
      <c r="L486">
        <v>0</v>
      </c>
      <c r="M486">
        <v>0</v>
      </c>
      <c r="N486">
        <v>200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 s="3">
        <v>200</v>
      </c>
      <c r="AH486" s="3">
        <v>1</v>
      </c>
      <c r="AI486" s="3">
        <v>0</v>
      </c>
      <c r="AJ486" s="3">
        <v>0</v>
      </c>
      <c r="AK486" s="3">
        <v>200</v>
      </c>
      <c r="AL486" s="3">
        <v>0</v>
      </c>
      <c r="AM486" s="3">
        <v>0</v>
      </c>
      <c r="AN486" s="3">
        <v>0</v>
      </c>
      <c r="AO486" s="3">
        <v>0</v>
      </c>
      <c r="AP486" s="3">
        <v>140</v>
      </c>
      <c r="AR486" t="str">
        <f t="shared" ref="AR486:AR492" si="74">T("0000000000000")</f>
        <v>0000000000000</v>
      </c>
      <c r="AT486" t="str">
        <f>T("9791191765663")</f>
        <v>9791191765663</v>
      </c>
      <c r="AV486" t="str">
        <f>T("웹툰 &gt; 판타지/SF")</f>
        <v>웹툰 &gt; 판타지/SF</v>
      </c>
    </row>
    <row r="487" spans="1:49" x14ac:dyDescent="0.4">
      <c r="A487">
        <v>4421002774</v>
      </c>
      <c r="B487">
        <v>4421002774</v>
      </c>
      <c r="C487" t="str">
        <f>T("엔젤일진 프롤로그")</f>
        <v>엔젤일진 프롤로그</v>
      </c>
      <c r="E487" t="str">
        <f>T("대운")</f>
        <v>대운</v>
      </c>
      <c r="H487" t="str">
        <f t="shared" si="70"/>
        <v>스토리위즈</v>
      </c>
      <c r="I487" t="str">
        <f>T("엔젤일진")</f>
        <v>엔젤일진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s="3">
        <v>0</v>
      </c>
      <c r="AH487" s="3">
        <v>1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R487" t="str">
        <f t="shared" si="74"/>
        <v>0000000000000</v>
      </c>
      <c r="AT487" t="str">
        <f>T("9791188082087")</f>
        <v>9791188082087</v>
      </c>
      <c r="AV487" t="str">
        <f>T("웹툰 &gt; 액션/무협")</f>
        <v>웹툰 &gt; 액션/무협</v>
      </c>
    </row>
    <row r="488" spans="1:49" x14ac:dyDescent="0.4">
      <c r="A488">
        <v>4421000337</v>
      </c>
      <c r="B488">
        <v>4421000371</v>
      </c>
      <c r="C488" t="str">
        <f>T("계약연애, 오늘부터 1일 35화")</f>
        <v>계약연애, 오늘부터 1일 35화</v>
      </c>
      <c r="D488" t="str">
        <f>T("35")</f>
        <v>35</v>
      </c>
      <c r="E488" t="str">
        <f>T("원기공장")</f>
        <v>원기공장</v>
      </c>
      <c r="H488" t="str">
        <f t="shared" si="70"/>
        <v>스토리위즈</v>
      </c>
      <c r="I488" t="str">
        <f>T("계약연애, 오늘부터 1일")</f>
        <v>계약연애, 오늘부터 1일</v>
      </c>
      <c r="J488">
        <v>200</v>
      </c>
      <c r="K488">
        <v>0</v>
      </c>
      <c r="L488">
        <v>0</v>
      </c>
      <c r="M488">
        <v>0</v>
      </c>
      <c r="N488">
        <v>100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 s="3">
        <v>100</v>
      </c>
      <c r="AH488" s="3">
        <v>1</v>
      </c>
      <c r="AI488" s="3">
        <v>0</v>
      </c>
      <c r="AJ488" s="3">
        <v>0</v>
      </c>
      <c r="AK488" s="3">
        <v>100</v>
      </c>
      <c r="AL488" s="3">
        <v>0</v>
      </c>
      <c r="AM488" s="3">
        <v>0</v>
      </c>
      <c r="AN488" s="3">
        <v>0</v>
      </c>
      <c r="AO488" s="3">
        <v>0</v>
      </c>
      <c r="AP488" s="3">
        <v>70</v>
      </c>
      <c r="AR488" t="str">
        <f t="shared" si="74"/>
        <v>0000000000000</v>
      </c>
      <c r="AT488" t="str">
        <f>T("9791166068027")</f>
        <v>9791166068027</v>
      </c>
      <c r="AV488" t="str">
        <f>T("웹툰 &gt; 해외 순정")</f>
        <v>웹툰 &gt; 해외 순정</v>
      </c>
      <c r="AW488" t="str">
        <f>T("웹툰 &gt; 로맨스")</f>
        <v>웹툰 &gt; 로맨스</v>
      </c>
    </row>
    <row r="489" spans="1:49" x14ac:dyDescent="0.4">
      <c r="A489">
        <v>4421000916</v>
      </c>
      <c r="B489">
        <v>4421001271</v>
      </c>
      <c r="C489" t="str">
        <f>T("별빛 아래 우리 59화")</f>
        <v>별빛 아래 우리 59화</v>
      </c>
      <c r="D489" t="str">
        <f>T("59")</f>
        <v>59</v>
      </c>
      <c r="E489" t="str">
        <f>T("건일")</f>
        <v>건일</v>
      </c>
      <c r="G489" t="str">
        <f>T("건일")</f>
        <v>건일</v>
      </c>
      <c r="H489" t="str">
        <f t="shared" si="70"/>
        <v>스토리위즈</v>
      </c>
      <c r="I489" t="str">
        <f>T("별빛 아래 우리")</f>
        <v>별빛 아래 우리</v>
      </c>
      <c r="J489">
        <v>400</v>
      </c>
      <c r="K489">
        <v>0</v>
      </c>
      <c r="L489">
        <v>0</v>
      </c>
      <c r="M489">
        <v>0</v>
      </c>
      <c r="N489">
        <v>1000</v>
      </c>
      <c r="O489">
        <v>5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 s="3">
        <v>1000</v>
      </c>
      <c r="AH489" s="3">
        <v>5</v>
      </c>
      <c r="AI489" s="3">
        <v>0</v>
      </c>
      <c r="AJ489" s="3">
        <v>0</v>
      </c>
      <c r="AK489" s="3">
        <v>380</v>
      </c>
      <c r="AL489" s="3">
        <v>0</v>
      </c>
      <c r="AM489" s="3">
        <v>744.01</v>
      </c>
      <c r="AN489" s="3">
        <v>-223.2</v>
      </c>
      <c r="AO489" s="3">
        <v>0</v>
      </c>
      <c r="AP489" s="3">
        <v>630.57000000000005</v>
      </c>
      <c r="AR489" t="str">
        <f t="shared" si="74"/>
        <v>0000000000000</v>
      </c>
      <c r="AT489" t="str">
        <f>T("9791137601413")</f>
        <v>9791137601413</v>
      </c>
      <c r="AV489" t="str">
        <f>T("웹툰 &gt; 해외 순정")</f>
        <v>웹툰 &gt; 해외 순정</v>
      </c>
      <c r="AW489" t="str">
        <f>T("웹툰 &gt; 로맨스")</f>
        <v>웹툰 &gt; 로맨스</v>
      </c>
    </row>
    <row r="490" spans="1:49" x14ac:dyDescent="0.4">
      <c r="A490">
        <v>4421000069</v>
      </c>
      <c r="B490">
        <v>4421000109</v>
      </c>
      <c r="C490" t="str">
        <f>T("너랑 나랑 하면 39화")</f>
        <v>너랑 나랑 하면 39화</v>
      </c>
      <c r="D490" t="str">
        <f>T("39")</f>
        <v>39</v>
      </c>
      <c r="E490" t="str">
        <f>T("NISANSUI")</f>
        <v>NISANSUI</v>
      </c>
      <c r="G490" t="str">
        <f>T("ZIQUAN")</f>
        <v>ZIQUAN</v>
      </c>
      <c r="H490" t="str">
        <f t="shared" si="70"/>
        <v>스토리위즈</v>
      </c>
      <c r="I490" t="str">
        <f>T("너랑 나랑 하면")</f>
        <v>너랑 나랑 하면</v>
      </c>
      <c r="J490">
        <v>400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 s="3">
        <v>0</v>
      </c>
      <c r="AH490" s="3">
        <v>3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R490" t="str">
        <f t="shared" si="74"/>
        <v>0000000000000</v>
      </c>
      <c r="AT490" t="str">
        <f>T("9791166067884")</f>
        <v>9791166067884</v>
      </c>
      <c r="AV490" t="str">
        <f>T("BL 웹툰 &gt; 웹툰")</f>
        <v>BL 웹툰 &gt; 웹툰</v>
      </c>
    </row>
    <row r="491" spans="1:49" x14ac:dyDescent="0.4">
      <c r="A491">
        <v>4421001325</v>
      </c>
      <c r="B491">
        <v>4421001544</v>
      </c>
      <c r="C491" t="str">
        <f>T("커피여우 김삼월 23화")</f>
        <v>커피여우 김삼월 23화</v>
      </c>
      <c r="D491" t="str">
        <f>T("23")</f>
        <v>23</v>
      </c>
      <c r="E491" t="str">
        <f>T("Nica")</f>
        <v>Nica</v>
      </c>
      <c r="G491" t="str">
        <f>T("A.Noa, RK Studio")</f>
        <v>A.Noa, RK Studio</v>
      </c>
      <c r="H491" t="str">
        <f t="shared" si="70"/>
        <v>스토리위즈</v>
      </c>
      <c r="I491" t="str">
        <f>T("커피여우 김삼월")</f>
        <v>커피여우 김삼월</v>
      </c>
      <c r="J491">
        <v>500</v>
      </c>
      <c r="K491">
        <v>0</v>
      </c>
      <c r="L491">
        <v>0</v>
      </c>
      <c r="M491">
        <v>0</v>
      </c>
      <c r="N491">
        <v>600</v>
      </c>
      <c r="O491">
        <v>3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 s="3">
        <v>600</v>
      </c>
      <c r="AH491" s="3">
        <v>3</v>
      </c>
      <c r="AI491" s="3">
        <v>0</v>
      </c>
      <c r="AJ491" s="3">
        <v>0</v>
      </c>
      <c r="AK491" s="3">
        <v>600</v>
      </c>
      <c r="AL491" s="3">
        <v>0</v>
      </c>
      <c r="AM491" s="3">
        <v>0</v>
      </c>
      <c r="AN491" s="3">
        <v>0</v>
      </c>
      <c r="AO491" s="3">
        <v>0</v>
      </c>
      <c r="AP491" s="3">
        <v>420</v>
      </c>
      <c r="AR491" t="str">
        <f t="shared" si="74"/>
        <v>0000000000000</v>
      </c>
      <c r="AT491" t="str">
        <f>T("9791191241792")</f>
        <v>9791191241792</v>
      </c>
      <c r="AV491" t="str">
        <f>T("웹툰 &gt; 로맨스")</f>
        <v>웹툰 &gt; 로맨스</v>
      </c>
    </row>
    <row r="492" spans="1:49" x14ac:dyDescent="0.4">
      <c r="A492">
        <v>4421000198</v>
      </c>
      <c r="B492">
        <v>4421000218</v>
      </c>
      <c r="C492" t="str">
        <f>T("공주전쟁 21화")</f>
        <v>공주전쟁 21화</v>
      </c>
      <c r="D492" t="str">
        <f>T("21")</f>
        <v>21</v>
      </c>
      <c r="E492" t="str">
        <f>T("Hujing")</f>
        <v>Hujing</v>
      </c>
      <c r="G492" t="str">
        <f>T("Luojie")</f>
        <v>Luojie</v>
      </c>
      <c r="H492" t="str">
        <f t="shared" si="70"/>
        <v>스토리위즈</v>
      </c>
      <c r="I492" t="str">
        <f>T("공주전쟁")</f>
        <v>공주전쟁</v>
      </c>
      <c r="J492">
        <v>400</v>
      </c>
      <c r="K492">
        <v>0</v>
      </c>
      <c r="L492">
        <v>0</v>
      </c>
      <c r="M492">
        <v>0</v>
      </c>
      <c r="N492">
        <v>600</v>
      </c>
      <c r="O492">
        <v>3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 s="3">
        <v>600</v>
      </c>
      <c r="AH492" s="3">
        <v>3</v>
      </c>
      <c r="AI492" s="3">
        <v>0</v>
      </c>
      <c r="AJ492" s="3">
        <v>0</v>
      </c>
      <c r="AK492" s="3">
        <v>400</v>
      </c>
      <c r="AL492" s="3">
        <v>0</v>
      </c>
      <c r="AM492" s="3">
        <v>240</v>
      </c>
      <c r="AN492" s="3">
        <v>-72</v>
      </c>
      <c r="AO492" s="3">
        <v>0</v>
      </c>
      <c r="AP492" s="3">
        <v>397.6</v>
      </c>
      <c r="AR492" t="str">
        <f t="shared" si="74"/>
        <v>0000000000000</v>
      </c>
      <c r="AT492" t="str">
        <f>T("9791166069666")</f>
        <v>9791166069666</v>
      </c>
      <c r="AV492" t="str">
        <f>T("웹툰 &gt; 해외 순정")</f>
        <v>웹툰 &gt; 해외 순정</v>
      </c>
      <c r="AW492" t="str">
        <f>T("웹툰 &gt; 로판")</f>
        <v>웹툰 &gt; 로판</v>
      </c>
    </row>
    <row r="493" spans="1:49" x14ac:dyDescent="0.4">
      <c r="A493">
        <v>4421000001</v>
      </c>
      <c r="B493">
        <v>4421000029</v>
      </c>
      <c r="C493" t="str">
        <f>T("감옥실험 19화")</f>
        <v>감옥실험 19화</v>
      </c>
      <c r="D493" t="str">
        <f>T("19")</f>
        <v>19</v>
      </c>
      <c r="E493" t="str">
        <f>T("Kantetsu")</f>
        <v>Kantetsu</v>
      </c>
      <c r="G493" t="str">
        <f>T("Minase Chiho")</f>
        <v>Minase Chiho</v>
      </c>
      <c r="H493" t="str">
        <f t="shared" si="70"/>
        <v>스토리위즈</v>
      </c>
      <c r="I493" t="str">
        <f>T("감옥실험")</f>
        <v>감옥실험</v>
      </c>
      <c r="J493">
        <v>500</v>
      </c>
      <c r="K493">
        <v>0</v>
      </c>
      <c r="L493">
        <v>0</v>
      </c>
      <c r="M493">
        <v>0</v>
      </c>
      <c r="N493">
        <v>1200</v>
      </c>
      <c r="O493">
        <v>4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 s="3">
        <v>1200</v>
      </c>
      <c r="AH493" s="3">
        <v>4</v>
      </c>
      <c r="AI493" s="3">
        <v>0</v>
      </c>
      <c r="AJ493" s="3">
        <v>0</v>
      </c>
      <c r="AK493" s="3">
        <v>1100</v>
      </c>
      <c r="AL493" s="3">
        <v>0</v>
      </c>
      <c r="AM493" s="3">
        <v>120</v>
      </c>
      <c r="AN493" s="3">
        <v>-36</v>
      </c>
      <c r="AO493" s="3">
        <v>0</v>
      </c>
      <c r="AP493" s="3">
        <v>828.8</v>
      </c>
      <c r="AT493" t="str">
        <f>T("9791166069406")</f>
        <v>9791166069406</v>
      </c>
      <c r="AV493" t="str">
        <f>T("웹툰 &gt; 드라마")</f>
        <v>웹툰 &gt; 드라마</v>
      </c>
    </row>
    <row r="494" spans="1:49" x14ac:dyDescent="0.4">
      <c r="A494">
        <v>4421000518</v>
      </c>
      <c r="B494">
        <v>4421000548</v>
      </c>
      <c r="C494" t="str">
        <f>T("백스테이지 키스신 30화")</f>
        <v>백스테이지 키스신 30화</v>
      </c>
      <c r="D494" t="str">
        <f>T("30")</f>
        <v>30</v>
      </c>
      <c r="E494" t="str">
        <f>T("최도비")</f>
        <v>최도비</v>
      </c>
      <c r="G494" t="str">
        <f>T("수정과")</f>
        <v>수정과</v>
      </c>
      <c r="H494" t="str">
        <f t="shared" si="70"/>
        <v>스토리위즈</v>
      </c>
      <c r="I494" t="str">
        <f>T("백스테이지 키스신")</f>
        <v>백스테이지 키스신</v>
      </c>
      <c r="J494">
        <v>400</v>
      </c>
      <c r="K494">
        <v>0</v>
      </c>
      <c r="L494">
        <v>0</v>
      </c>
      <c r="M494">
        <v>0</v>
      </c>
      <c r="N494">
        <v>400</v>
      </c>
      <c r="O494">
        <v>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 s="3">
        <v>400</v>
      </c>
      <c r="AH494" s="3">
        <v>2</v>
      </c>
      <c r="AI494" s="3">
        <v>0</v>
      </c>
      <c r="AJ494" s="3">
        <v>0</v>
      </c>
      <c r="AK494" s="3">
        <v>200</v>
      </c>
      <c r="AL494" s="3">
        <v>0</v>
      </c>
      <c r="AM494" s="3">
        <v>240</v>
      </c>
      <c r="AN494" s="3">
        <v>-72</v>
      </c>
      <c r="AO494" s="3">
        <v>0</v>
      </c>
      <c r="AP494" s="3">
        <v>257.60000000000002</v>
      </c>
      <c r="AR494" t="str">
        <f t="shared" ref="AR494:AR502" si="75">T("0000000000000")</f>
        <v>0000000000000</v>
      </c>
      <c r="AT494" t="str">
        <f>T("9791166067990")</f>
        <v>9791166067990</v>
      </c>
      <c r="AV494" t="str">
        <f>T("웹툰 &gt; 로맨스")</f>
        <v>웹툰 &gt; 로맨스</v>
      </c>
    </row>
    <row r="495" spans="1:49" x14ac:dyDescent="0.4">
      <c r="A495">
        <v>4421001325</v>
      </c>
      <c r="B495">
        <v>4421001328</v>
      </c>
      <c r="C495" t="str">
        <f>T("커피여우 김삼월 4화")</f>
        <v>커피여우 김삼월 4화</v>
      </c>
      <c r="D495" t="str">
        <f>T("4")</f>
        <v>4</v>
      </c>
      <c r="E495" t="str">
        <f>T("Nica")</f>
        <v>Nica</v>
      </c>
      <c r="G495" t="str">
        <f>T("A.Noa, RK Studio")</f>
        <v>A.Noa, RK Studio</v>
      </c>
      <c r="H495" t="str">
        <f t="shared" si="70"/>
        <v>스토리위즈</v>
      </c>
      <c r="I495" t="str">
        <f>T("커피여우 김삼월")</f>
        <v>커피여우 김삼월</v>
      </c>
      <c r="J495">
        <v>500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 s="3">
        <v>0</v>
      </c>
      <c r="AH495" s="3">
        <v>5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R495" t="str">
        <f t="shared" si="75"/>
        <v>0000000000000</v>
      </c>
      <c r="AT495" t="str">
        <f>T("9791191241792")</f>
        <v>9791191241792</v>
      </c>
      <c r="AV495" t="str">
        <f>T("웹툰 &gt; 로맨스")</f>
        <v>웹툰 &gt; 로맨스</v>
      </c>
    </row>
    <row r="496" spans="1:49" x14ac:dyDescent="0.4">
      <c r="A496">
        <v>4421000450</v>
      </c>
      <c r="B496">
        <v>4421000508</v>
      </c>
      <c r="C496" t="str">
        <f>T("내 남편의 스토커 58화")</f>
        <v>내 남편의 스토커 58화</v>
      </c>
      <c r="D496" t="str">
        <f>T("58")</f>
        <v>58</v>
      </c>
      <c r="E496" t="str">
        <f>T("혜원")</f>
        <v>혜원</v>
      </c>
      <c r="G496" t="str">
        <f>T("혜원")</f>
        <v>혜원</v>
      </c>
      <c r="H496" t="str">
        <f t="shared" si="70"/>
        <v>스토리위즈</v>
      </c>
      <c r="I496" t="str">
        <f>T("내 남편의 스토커")</f>
        <v>내 남편의 스토커</v>
      </c>
      <c r="J496">
        <v>400</v>
      </c>
      <c r="K496">
        <v>0</v>
      </c>
      <c r="L496">
        <v>0</v>
      </c>
      <c r="M496">
        <v>0</v>
      </c>
      <c r="N496">
        <v>200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 s="3">
        <v>200</v>
      </c>
      <c r="AH496" s="3">
        <v>1</v>
      </c>
      <c r="AI496" s="3">
        <v>0</v>
      </c>
      <c r="AJ496" s="3">
        <v>0</v>
      </c>
      <c r="AK496" s="3">
        <v>200</v>
      </c>
      <c r="AL496" s="3">
        <v>0</v>
      </c>
      <c r="AM496" s="3">
        <v>0</v>
      </c>
      <c r="AN496" s="3">
        <v>0</v>
      </c>
      <c r="AO496" s="3">
        <v>0</v>
      </c>
      <c r="AP496" s="3">
        <v>140</v>
      </c>
      <c r="AR496" t="str">
        <f t="shared" si="75"/>
        <v>0000000000000</v>
      </c>
      <c r="AT496" t="str">
        <f>T("9791166068034")</f>
        <v>9791166068034</v>
      </c>
      <c r="AV496" t="str">
        <f>T("웹툰 &gt; 로맨스")</f>
        <v>웹툰 &gt; 로맨스</v>
      </c>
    </row>
    <row r="497" spans="1:49" x14ac:dyDescent="0.4">
      <c r="A497">
        <v>4421000337</v>
      </c>
      <c r="B497">
        <v>4421000348</v>
      </c>
      <c r="C497" t="str">
        <f>T("계약연애, 오늘부터 1일 12화")</f>
        <v>계약연애, 오늘부터 1일 12화</v>
      </c>
      <c r="D497" t="str">
        <f>T("12")</f>
        <v>12</v>
      </c>
      <c r="E497" t="str">
        <f>T("원기공장")</f>
        <v>원기공장</v>
      </c>
      <c r="H497" t="str">
        <f t="shared" si="70"/>
        <v>스토리위즈</v>
      </c>
      <c r="I497" t="str">
        <f>T("계약연애, 오늘부터 1일")</f>
        <v>계약연애, 오늘부터 1일</v>
      </c>
      <c r="J497">
        <v>200</v>
      </c>
      <c r="K497">
        <v>0</v>
      </c>
      <c r="L497">
        <v>0</v>
      </c>
      <c r="M497">
        <v>0</v>
      </c>
      <c r="N497">
        <v>100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 s="3">
        <v>100</v>
      </c>
      <c r="AH497" s="3">
        <v>1</v>
      </c>
      <c r="AI497" s="3">
        <v>0</v>
      </c>
      <c r="AJ497" s="3">
        <v>0</v>
      </c>
      <c r="AK497" s="3">
        <v>100</v>
      </c>
      <c r="AL497" s="3">
        <v>0</v>
      </c>
      <c r="AM497" s="3">
        <v>0</v>
      </c>
      <c r="AN497" s="3">
        <v>0</v>
      </c>
      <c r="AO497" s="3">
        <v>0</v>
      </c>
      <c r="AP497" s="3">
        <v>70</v>
      </c>
      <c r="AR497" t="str">
        <f t="shared" si="75"/>
        <v>0000000000000</v>
      </c>
      <c r="AT497" t="str">
        <f>T("9791166068027")</f>
        <v>9791166068027</v>
      </c>
      <c r="AV497" t="str">
        <f>T("웹툰 &gt; 해외 순정")</f>
        <v>웹툰 &gt; 해외 순정</v>
      </c>
      <c r="AW497" t="str">
        <f>T("웹툰 &gt; 로맨스")</f>
        <v>웹툰 &gt; 로맨스</v>
      </c>
    </row>
    <row r="498" spans="1:49" x14ac:dyDescent="0.4">
      <c r="A498">
        <v>4421000198</v>
      </c>
      <c r="B498">
        <v>4421001227</v>
      </c>
      <c r="C498" t="str">
        <f>T("공주전쟁 75화")</f>
        <v>공주전쟁 75화</v>
      </c>
      <c r="D498" t="str">
        <f>T("75")</f>
        <v>75</v>
      </c>
      <c r="E498" t="str">
        <f>T("Hujing")</f>
        <v>Hujing</v>
      </c>
      <c r="G498" t="str">
        <f>T("Luojie")</f>
        <v>Luojie</v>
      </c>
      <c r="H498" t="str">
        <f t="shared" si="70"/>
        <v>스토리위즈</v>
      </c>
      <c r="I498" t="str">
        <f>T("공주전쟁")</f>
        <v>공주전쟁</v>
      </c>
      <c r="J498">
        <v>400</v>
      </c>
      <c r="K498">
        <v>0</v>
      </c>
      <c r="L498">
        <v>0</v>
      </c>
      <c r="M498">
        <v>0</v>
      </c>
      <c r="N498">
        <v>400</v>
      </c>
      <c r="O498">
        <v>2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 s="3">
        <v>400</v>
      </c>
      <c r="AH498" s="3">
        <v>2</v>
      </c>
      <c r="AI498" s="3">
        <v>0</v>
      </c>
      <c r="AJ498" s="3">
        <v>0</v>
      </c>
      <c r="AK498" s="3">
        <v>200</v>
      </c>
      <c r="AL498" s="3">
        <v>0</v>
      </c>
      <c r="AM498" s="3">
        <v>240</v>
      </c>
      <c r="AN498" s="3">
        <v>-72</v>
      </c>
      <c r="AO498" s="3">
        <v>0</v>
      </c>
      <c r="AP498" s="3">
        <v>257.60000000000002</v>
      </c>
      <c r="AR498" t="str">
        <f t="shared" si="75"/>
        <v>0000000000000</v>
      </c>
      <c r="AT498" t="str">
        <f>T("9791166069666")</f>
        <v>9791166069666</v>
      </c>
      <c r="AV498" t="str">
        <f>T("웹툰 &gt; 해외 순정")</f>
        <v>웹툰 &gt; 해외 순정</v>
      </c>
      <c r="AW498" t="str">
        <f>T("웹툰 &gt; 로판")</f>
        <v>웹툰 &gt; 로판</v>
      </c>
    </row>
    <row r="499" spans="1:49" x14ac:dyDescent="0.4">
      <c r="A499">
        <v>4421000069</v>
      </c>
      <c r="B499">
        <v>4421000069</v>
      </c>
      <c r="C499" t="str">
        <f>T("너랑 나랑 하면 프롤로그")</f>
        <v>너랑 나랑 하면 프롤로그</v>
      </c>
      <c r="E499" t="str">
        <f>T("NISANSUI")</f>
        <v>NISANSUI</v>
      </c>
      <c r="G499" t="str">
        <f>T("ZIQUAN")</f>
        <v>ZIQUAN</v>
      </c>
      <c r="H499" t="str">
        <f t="shared" si="70"/>
        <v>스토리위즈</v>
      </c>
      <c r="I499" t="str">
        <f>T("너랑 나랑 하면")</f>
        <v>너랑 나랑 하면</v>
      </c>
      <c r="J499">
        <v>400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 s="3">
        <v>0</v>
      </c>
      <c r="AH499" s="3">
        <v>6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R499" t="str">
        <f t="shared" si="75"/>
        <v>0000000000000</v>
      </c>
      <c r="AT499" t="str">
        <f>T("9791166067884")</f>
        <v>9791166067884</v>
      </c>
      <c r="AV499" t="str">
        <f>T("BL 웹툰 &gt; 웹툰")</f>
        <v>BL 웹툰 &gt; 웹툰</v>
      </c>
    </row>
    <row r="500" spans="1:49" x14ac:dyDescent="0.4">
      <c r="A500">
        <v>4421000887</v>
      </c>
      <c r="B500">
        <v>4421000907</v>
      </c>
      <c r="C500" t="str">
        <f>T("폭군의 눈물 21화")</f>
        <v>폭군의 눈물 21화</v>
      </c>
      <c r="D500" t="str">
        <f>T("21")</f>
        <v>21</v>
      </c>
      <c r="E500" t="str">
        <f>T("Ice×FANFAN COMIC")</f>
        <v>Ice×FANFAN COMIC</v>
      </c>
      <c r="G500" t="str">
        <f>T("Ice×FANFAN COMIC")</f>
        <v>Ice×FANFAN COMIC</v>
      </c>
      <c r="H500" t="str">
        <f t="shared" si="70"/>
        <v>스토리위즈</v>
      </c>
      <c r="I500" t="str">
        <f>T("폭군의 눈물")</f>
        <v>폭군의 눈물</v>
      </c>
      <c r="J500">
        <v>400</v>
      </c>
      <c r="K500">
        <v>0</v>
      </c>
      <c r="L500">
        <v>0</v>
      </c>
      <c r="M500">
        <v>0</v>
      </c>
      <c r="N500">
        <v>600</v>
      </c>
      <c r="O500">
        <v>3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 s="3">
        <v>600</v>
      </c>
      <c r="AH500" s="3">
        <v>3</v>
      </c>
      <c r="AI500" s="3">
        <v>0</v>
      </c>
      <c r="AJ500" s="3">
        <v>0</v>
      </c>
      <c r="AK500" s="3">
        <v>400</v>
      </c>
      <c r="AL500" s="3">
        <v>0</v>
      </c>
      <c r="AM500" s="3">
        <v>240</v>
      </c>
      <c r="AN500" s="3">
        <v>-72</v>
      </c>
      <c r="AO500" s="3">
        <v>0</v>
      </c>
      <c r="AP500" s="3">
        <v>397.6</v>
      </c>
      <c r="AR500" t="str">
        <f t="shared" si="75"/>
        <v>0000000000000</v>
      </c>
      <c r="AT500" t="str">
        <f>T("9791137601291")</f>
        <v>9791137601291</v>
      </c>
      <c r="AV500" t="str">
        <f>T("웹툰 &gt; 해외 순정")</f>
        <v>웹툰 &gt; 해외 순정</v>
      </c>
      <c r="AW500" t="str">
        <f>T("웹툰 &gt; 로판")</f>
        <v>웹툰 &gt; 로판</v>
      </c>
    </row>
    <row r="501" spans="1:49" x14ac:dyDescent="0.4">
      <c r="A501">
        <v>4421000069</v>
      </c>
      <c r="B501">
        <v>4421000118</v>
      </c>
      <c r="C501" t="str">
        <f>T("너랑 나랑 하면 48화")</f>
        <v>너랑 나랑 하면 48화</v>
      </c>
      <c r="D501" t="str">
        <f>T("48")</f>
        <v>48</v>
      </c>
      <c r="E501" t="str">
        <f>T("NISANSUI")</f>
        <v>NISANSUI</v>
      </c>
      <c r="G501" t="str">
        <f>T("ZIQUAN")</f>
        <v>ZIQUAN</v>
      </c>
      <c r="H501" t="str">
        <f t="shared" si="70"/>
        <v>스토리위즈</v>
      </c>
      <c r="I501" t="str">
        <f>T("너랑 나랑 하면")</f>
        <v>너랑 나랑 하면</v>
      </c>
      <c r="J501">
        <v>400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s="3">
        <v>0</v>
      </c>
      <c r="AH501" s="3">
        <v>3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R501" t="str">
        <f t="shared" si="75"/>
        <v>0000000000000</v>
      </c>
      <c r="AT501" t="str">
        <f>T("9791166067884")</f>
        <v>9791166067884</v>
      </c>
      <c r="AV501" t="str">
        <f>T("BL 웹툰 &gt; 웹툰")</f>
        <v>BL 웹툰 &gt; 웹툰</v>
      </c>
    </row>
    <row r="502" spans="1:49" x14ac:dyDescent="0.4">
      <c r="A502">
        <v>4421001340</v>
      </c>
      <c r="B502">
        <v>4421001344</v>
      </c>
      <c r="C502" t="str">
        <f>T("가출천사 육성계약 5화")</f>
        <v>가출천사 육성계약 5화</v>
      </c>
      <c r="D502" t="str">
        <f>T("5")</f>
        <v>5</v>
      </c>
      <c r="E502" t="str">
        <f>T("Bae.C, IIAKI, 박제후")</f>
        <v>Bae.C, IIAKI, 박제후</v>
      </c>
      <c r="G502" t="str">
        <f>T("Bae.C, 조우")</f>
        <v>Bae.C, 조우</v>
      </c>
      <c r="H502" t="str">
        <f t="shared" si="70"/>
        <v>스토리위즈</v>
      </c>
      <c r="I502" t="str">
        <f>T("가출천사 육성계약")</f>
        <v>가출천사 육성계약</v>
      </c>
      <c r="J502">
        <v>400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 s="3">
        <v>0</v>
      </c>
      <c r="AH502" s="3">
        <v>2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R502" t="str">
        <f t="shared" si="75"/>
        <v>0000000000000</v>
      </c>
      <c r="AT502" t="str">
        <f>T("9791191765663")</f>
        <v>9791191765663</v>
      </c>
      <c r="AV502" t="str">
        <f>T("웹툰 &gt; 판타지/SF")</f>
        <v>웹툰 &gt; 판타지/SF</v>
      </c>
    </row>
    <row r="503" spans="1:49" x14ac:dyDescent="0.4">
      <c r="A503">
        <v>4421001936</v>
      </c>
      <c r="B503">
        <v>4421002717</v>
      </c>
      <c r="C503" t="str">
        <f>T("보스 오빠, 살살! 58화")</f>
        <v>보스 오빠, 살살! 58화</v>
      </c>
      <c r="D503" t="str">
        <f>T("58")</f>
        <v>58</v>
      </c>
      <c r="E503" t="str">
        <f>T("웹티")</f>
        <v>웹티</v>
      </c>
      <c r="H503" t="str">
        <f t="shared" si="70"/>
        <v>스토리위즈</v>
      </c>
      <c r="I503" t="str">
        <f>T("보스 오빠, 살살!")</f>
        <v>보스 오빠, 살살!</v>
      </c>
      <c r="J503">
        <v>500</v>
      </c>
      <c r="K503">
        <v>0</v>
      </c>
      <c r="L503">
        <v>0</v>
      </c>
      <c r="M503">
        <v>0</v>
      </c>
      <c r="N503">
        <v>200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 s="3">
        <v>200</v>
      </c>
      <c r="AH503" s="3">
        <v>1</v>
      </c>
      <c r="AI503" s="3">
        <v>0</v>
      </c>
      <c r="AJ503" s="3">
        <v>0</v>
      </c>
      <c r="AK503" s="3">
        <v>0</v>
      </c>
      <c r="AL503" s="3">
        <v>0</v>
      </c>
      <c r="AM503" s="3">
        <v>240</v>
      </c>
      <c r="AN503" s="3">
        <v>-72</v>
      </c>
      <c r="AO503" s="3">
        <v>0</v>
      </c>
      <c r="AP503" s="3">
        <v>117.6</v>
      </c>
      <c r="AT503" t="str">
        <f>T("9791190702331")</f>
        <v>9791190702331</v>
      </c>
      <c r="AV503" t="str">
        <f>T("웹툰 &gt; 로맨스")</f>
        <v>웹툰 &gt; 로맨스</v>
      </c>
    </row>
    <row r="504" spans="1:49" x14ac:dyDescent="0.4">
      <c r="A504">
        <v>4421000866</v>
      </c>
      <c r="B504">
        <v>4421000867</v>
      </c>
      <c r="C504" t="str">
        <f>T("최애에게 들켜버렸다 1화")</f>
        <v>최애에게 들켜버렸다 1화</v>
      </c>
      <c r="D504" t="str">
        <f>T("1")</f>
        <v>1</v>
      </c>
      <c r="E504" t="str">
        <f>T("Lv")</f>
        <v>Lv</v>
      </c>
      <c r="G504" t="str">
        <f>T("Lv")</f>
        <v>Lv</v>
      </c>
      <c r="H504" t="str">
        <f t="shared" si="70"/>
        <v>스토리위즈</v>
      </c>
      <c r="I504" t="str">
        <f>T("최애에게 들켜버렸다")</f>
        <v>최애에게 들켜버렸다</v>
      </c>
      <c r="J504">
        <v>400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112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 s="3">
        <v>0</v>
      </c>
      <c r="AH504" s="3">
        <v>112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R504" t="str">
        <f t="shared" ref="AR504:AR521" si="76">T("0000000000000")</f>
        <v>0000000000000</v>
      </c>
      <c r="AT504" t="str">
        <f>T("9791137601253")</f>
        <v>9791137601253</v>
      </c>
      <c r="AV504" t="str">
        <f>T("웹툰 &gt; 해외 순정")</f>
        <v>웹툰 &gt; 해외 순정</v>
      </c>
      <c r="AW504" t="str">
        <f>T("웹툰 &gt; 로맨스")</f>
        <v>웹툰 &gt; 로맨스</v>
      </c>
    </row>
    <row r="505" spans="1:49" x14ac:dyDescent="0.4">
      <c r="A505">
        <v>4421000337</v>
      </c>
      <c r="B505">
        <v>4421000364</v>
      </c>
      <c r="C505" t="str">
        <f>T("계약연애, 오늘부터 1일 28화")</f>
        <v>계약연애, 오늘부터 1일 28화</v>
      </c>
      <c r="D505" t="str">
        <f>T("28")</f>
        <v>28</v>
      </c>
      <c r="E505" t="str">
        <f>T("원기공장")</f>
        <v>원기공장</v>
      </c>
      <c r="H505" t="str">
        <f t="shared" si="70"/>
        <v>스토리위즈</v>
      </c>
      <c r="I505" t="str">
        <f>T("계약연애, 오늘부터 1일")</f>
        <v>계약연애, 오늘부터 1일</v>
      </c>
      <c r="J505">
        <v>200</v>
      </c>
      <c r="K505">
        <v>0</v>
      </c>
      <c r="L505">
        <v>0</v>
      </c>
      <c r="M505">
        <v>0</v>
      </c>
      <c r="N505">
        <v>100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 s="3">
        <v>100</v>
      </c>
      <c r="AH505" s="3">
        <v>1</v>
      </c>
      <c r="AI505" s="3">
        <v>0</v>
      </c>
      <c r="AJ505" s="3">
        <v>0</v>
      </c>
      <c r="AK505" s="3">
        <v>100</v>
      </c>
      <c r="AL505" s="3">
        <v>0</v>
      </c>
      <c r="AM505" s="3">
        <v>0</v>
      </c>
      <c r="AN505" s="3">
        <v>0</v>
      </c>
      <c r="AO505" s="3">
        <v>0</v>
      </c>
      <c r="AP505" s="3">
        <v>70</v>
      </c>
      <c r="AR505" t="str">
        <f t="shared" si="76"/>
        <v>0000000000000</v>
      </c>
      <c r="AT505" t="str">
        <f>T("9791166068027")</f>
        <v>9791166068027</v>
      </c>
      <c r="AV505" t="str">
        <f>T("웹툰 &gt; 해외 순정")</f>
        <v>웹툰 &gt; 해외 순정</v>
      </c>
      <c r="AW505" t="str">
        <f>T("웹툰 &gt; 로맨스")</f>
        <v>웹툰 &gt; 로맨스</v>
      </c>
    </row>
    <row r="506" spans="1:49" x14ac:dyDescent="0.4">
      <c r="A506">
        <v>4421001325</v>
      </c>
      <c r="B506">
        <v>4421002891</v>
      </c>
      <c r="C506" t="str">
        <f>T("커피여우 김삼월 30화")</f>
        <v>커피여우 김삼월 30화</v>
      </c>
      <c r="D506" t="str">
        <f>T("30")</f>
        <v>30</v>
      </c>
      <c r="E506" t="str">
        <f>T("Nica")</f>
        <v>Nica</v>
      </c>
      <c r="G506" t="str">
        <f>T("A.Noa, RK Studio")</f>
        <v>A.Noa, RK Studio</v>
      </c>
      <c r="H506" t="str">
        <f t="shared" si="70"/>
        <v>스토리위즈</v>
      </c>
      <c r="I506" t="str">
        <f>T("커피여우 김삼월")</f>
        <v>커피여우 김삼월</v>
      </c>
      <c r="J506">
        <v>500</v>
      </c>
      <c r="K506">
        <v>0</v>
      </c>
      <c r="L506">
        <v>0</v>
      </c>
      <c r="M506">
        <v>0</v>
      </c>
      <c r="N506">
        <v>200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 s="3">
        <v>200</v>
      </c>
      <c r="AH506" s="3">
        <v>1</v>
      </c>
      <c r="AI506" s="3">
        <v>0</v>
      </c>
      <c r="AJ506" s="3">
        <v>0</v>
      </c>
      <c r="AK506" s="3">
        <v>200</v>
      </c>
      <c r="AL506" s="3">
        <v>0</v>
      </c>
      <c r="AM506" s="3">
        <v>0</v>
      </c>
      <c r="AN506" s="3">
        <v>0</v>
      </c>
      <c r="AO506" s="3">
        <v>0</v>
      </c>
      <c r="AP506" s="3">
        <v>140</v>
      </c>
      <c r="AR506" t="str">
        <f t="shared" si="76"/>
        <v>0000000000000</v>
      </c>
      <c r="AT506" t="str">
        <f>T("9791191241792")</f>
        <v>9791191241792</v>
      </c>
      <c r="AV506" t="str">
        <f>T("웹툰 &gt; 로맨스")</f>
        <v>웹툰 &gt; 로맨스</v>
      </c>
    </row>
    <row r="507" spans="1:49" x14ac:dyDescent="0.4">
      <c r="A507">
        <v>4421000069</v>
      </c>
      <c r="B507">
        <v>4421001262</v>
      </c>
      <c r="C507" t="str">
        <f>T("너랑 나랑 하면 158화")</f>
        <v>너랑 나랑 하면 158화</v>
      </c>
      <c r="D507" t="str">
        <f>T("158")</f>
        <v>158</v>
      </c>
      <c r="E507" t="str">
        <f>T("NISANSUI")</f>
        <v>NISANSUI</v>
      </c>
      <c r="G507" t="str">
        <f>T("ZIQUAN")</f>
        <v>ZIQUAN</v>
      </c>
      <c r="H507" t="str">
        <f t="shared" si="70"/>
        <v>스토리위즈</v>
      </c>
      <c r="I507" t="str">
        <f>T("너랑 나랑 하면")</f>
        <v>너랑 나랑 하면</v>
      </c>
      <c r="J507">
        <v>400</v>
      </c>
      <c r="K507">
        <v>0</v>
      </c>
      <c r="L507">
        <v>0</v>
      </c>
      <c r="M507">
        <v>0</v>
      </c>
      <c r="N507">
        <v>200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 s="3">
        <v>200</v>
      </c>
      <c r="AH507" s="3">
        <v>1</v>
      </c>
      <c r="AI507" s="3">
        <v>0</v>
      </c>
      <c r="AJ507" s="3">
        <v>0</v>
      </c>
      <c r="AK507" s="3">
        <v>200</v>
      </c>
      <c r="AL507" s="3">
        <v>0</v>
      </c>
      <c r="AM507" s="3">
        <v>0</v>
      </c>
      <c r="AN507" s="3">
        <v>0</v>
      </c>
      <c r="AO507" s="3">
        <v>0</v>
      </c>
      <c r="AP507" s="3">
        <v>140</v>
      </c>
      <c r="AR507" t="str">
        <f t="shared" si="76"/>
        <v>0000000000000</v>
      </c>
      <c r="AT507" t="str">
        <f>T("9791166067884")</f>
        <v>9791166067884</v>
      </c>
      <c r="AV507" t="str">
        <f>T("BL 웹툰 &gt; 웹툰")</f>
        <v>BL 웹툰 &gt; 웹툰</v>
      </c>
    </row>
    <row r="508" spans="1:49" x14ac:dyDescent="0.4">
      <c r="A508">
        <v>4421000069</v>
      </c>
      <c r="B508">
        <v>4421000102</v>
      </c>
      <c r="C508" t="str">
        <f>T("너랑 나랑 하면 32화")</f>
        <v>너랑 나랑 하면 32화</v>
      </c>
      <c r="D508" t="str">
        <f>T("32")</f>
        <v>32</v>
      </c>
      <c r="E508" t="str">
        <f>T("NISANSUI")</f>
        <v>NISANSUI</v>
      </c>
      <c r="G508" t="str">
        <f>T("ZIQUAN")</f>
        <v>ZIQUAN</v>
      </c>
      <c r="H508" t="str">
        <f t="shared" si="70"/>
        <v>스토리위즈</v>
      </c>
      <c r="I508" t="str">
        <f>T("너랑 나랑 하면")</f>
        <v>너랑 나랑 하면</v>
      </c>
      <c r="J508">
        <v>400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 s="3">
        <v>0</v>
      </c>
      <c r="AH508" s="3">
        <v>3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R508" t="str">
        <f t="shared" si="76"/>
        <v>0000000000000</v>
      </c>
      <c r="AT508" t="str">
        <f>T("9791166067884")</f>
        <v>9791166067884</v>
      </c>
      <c r="AV508" t="str">
        <f>T("BL 웹툰 &gt; 웹툰")</f>
        <v>BL 웹툰 &gt; 웹툰</v>
      </c>
    </row>
    <row r="509" spans="1:49" x14ac:dyDescent="0.4">
      <c r="A509">
        <v>4421000916</v>
      </c>
      <c r="B509">
        <v>4421001536</v>
      </c>
      <c r="C509" t="str">
        <f>T("별빛 아래 우리 74화")</f>
        <v>별빛 아래 우리 74화</v>
      </c>
      <c r="D509" t="str">
        <f>T("74")</f>
        <v>74</v>
      </c>
      <c r="E509" t="str">
        <f>T("건일")</f>
        <v>건일</v>
      </c>
      <c r="G509" t="str">
        <f>T("건일")</f>
        <v>건일</v>
      </c>
      <c r="H509" t="str">
        <f t="shared" si="70"/>
        <v>스토리위즈</v>
      </c>
      <c r="I509" t="str">
        <f>T("별빛 아래 우리")</f>
        <v>별빛 아래 우리</v>
      </c>
      <c r="J509">
        <v>400</v>
      </c>
      <c r="K509">
        <v>0</v>
      </c>
      <c r="L509">
        <v>0</v>
      </c>
      <c r="M509">
        <v>0</v>
      </c>
      <c r="N509">
        <v>1400</v>
      </c>
      <c r="O509">
        <v>7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 s="3">
        <v>1400</v>
      </c>
      <c r="AH509" s="3">
        <v>7</v>
      </c>
      <c r="AI509" s="3">
        <v>0</v>
      </c>
      <c r="AJ509" s="3">
        <v>0</v>
      </c>
      <c r="AK509" s="3">
        <v>780</v>
      </c>
      <c r="AL509" s="3">
        <v>0</v>
      </c>
      <c r="AM509" s="3">
        <v>744.83</v>
      </c>
      <c r="AN509" s="3">
        <v>-223.45</v>
      </c>
      <c r="AO509" s="3">
        <v>0</v>
      </c>
      <c r="AP509" s="3">
        <v>910.97</v>
      </c>
      <c r="AR509" t="str">
        <f t="shared" si="76"/>
        <v>0000000000000</v>
      </c>
      <c r="AT509" t="str">
        <f>T("9791137601413")</f>
        <v>9791137601413</v>
      </c>
      <c r="AV509" t="str">
        <f>T("웹툰 &gt; 해외 순정")</f>
        <v>웹툰 &gt; 해외 순정</v>
      </c>
      <c r="AW509" t="str">
        <f>T("웹툰 &gt; 로맨스")</f>
        <v>웹툰 &gt; 로맨스</v>
      </c>
    </row>
    <row r="510" spans="1:49" x14ac:dyDescent="0.4">
      <c r="A510">
        <v>4421000198</v>
      </c>
      <c r="B510">
        <v>4421000211</v>
      </c>
      <c r="C510" t="str">
        <f>T("공주전쟁 14화")</f>
        <v>공주전쟁 14화</v>
      </c>
      <c r="D510" t="str">
        <f>T("14")</f>
        <v>14</v>
      </c>
      <c r="E510" t="str">
        <f>T("Hujing")</f>
        <v>Hujing</v>
      </c>
      <c r="G510" t="str">
        <f>T("Luojie")</f>
        <v>Luojie</v>
      </c>
      <c r="H510" t="str">
        <f t="shared" si="70"/>
        <v>스토리위즈</v>
      </c>
      <c r="I510" t="str">
        <f>T("공주전쟁")</f>
        <v>공주전쟁</v>
      </c>
      <c r="J510">
        <v>400</v>
      </c>
      <c r="K510">
        <v>0</v>
      </c>
      <c r="L510">
        <v>0</v>
      </c>
      <c r="M510">
        <v>0</v>
      </c>
      <c r="N510">
        <v>600</v>
      </c>
      <c r="O510">
        <v>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 s="3">
        <v>600</v>
      </c>
      <c r="AH510" s="3">
        <v>3</v>
      </c>
      <c r="AI510" s="3">
        <v>0</v>
      </c>
      <c r="AJ510" s="3">
        <v>0</v>
      </c>
      <c r="AK510" s="3">
        <v>400</v>
      </c>
      <c r="AL510" s="3">
        <v>0</v>
      </c>
      <c r="AM510" s="3">
        <v>240</v>
      </c>
      <c r="AN510" s="3">
        <v>-72</v>
      </c>
      <c r="AO510" s="3">
        <v>0</v>
      </c>
      <c r="AP510" s="3">
        <v>397.6</v>
      </c>
      <c r="AR510" t="str">
        <f t="shared" si="76"/>
        <v>0000000000000</v>
      </c>
      <c r="AT510" t="str">
        <f>T("9791166069666")</f>
        <v>9791166069666</v>
      </c>
      <c r="AV510" t="str">
        <f>T("웹툰 &gt; 해외 순정")</f>
        <v>웹툰 &gt; 해외 순정</v>
      </c>
      <c r="AW510" t="str">
        <f>T("웹툰 &gt; 로판")</f>
        <v>웹툰 &gt; 로판</v>
      </c>
    </row>
    <row r="511" spans="1:49" x14ac:dyDescent="0.4">
      <c r="A511">
        <v>4421000866</v>
      </c>
      <c r="B511">
        <v>4421001376</v>
      </c>
      <c r="C511" t="str">
        <f>T("최애에게 들켜버렸다 71화")</f>
        <v>최애에게 들켜버렸다 71화</v>
      </c>
      <c r="D511" t="str">
        <f>T("74")</f>
        <v>74</v>
      </c>
      <c r="E511" t="str">
        <f>T("Lv")</f>
        <v>Lv</v>
      </c>
      <c r="G511" t="str">
        <f>T("Lv")</f>
        <v>Lv</v>
      </c>
      <c r="H511" t="str">
        <f t="shared" si="70"/>
        <v>스토리위즈</v>
      </c>
      <c r="I511" t="str">
        <f>T("최애에게 들켜버렸다")</f>
        <v>최애에게 들켜버렸다</v>
      </c>
      <c r="J511">
        <v>400</v>
      </c>
      <c r="K511">
        <v>0</v>
      </c>
      <c r="L511">
        <v>0</v>
      </c>
      <c r="M511">
        <v>0</v>
      </c>
      <c r="N511">
        <v>600</v>
      </c>
      <c r="O511">
        <v>3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 s="3">
        <v>600</v>
      </c>
      <c r="AH511" s="3">
        <v>3</v>
      </c>
      <c r="AI511" s="3">
        <v>0</v>
      </c>
      <c r="AJ511" s="3">
        <v>0</v>
      </c>
      <c r="AK511" s="3">
        <v>424</v>
      </c>
      <c r="AL511" s="3">
        <v>0</v>
      </c>
      <c r="AM511" s="3">
        <v>211.38</v>
      </c>
      <c r="AN511" s="3">
        <v>-63.41</v>
      </c>
      <c r="AO511" s="3">
        <v>0</v>
      </c>
      <c r="AP511" s="3">
        <v>400.38</v>
      </c>
      <c r="AR511" t="str">
        <f t="shared" si="76"/>
        <v>0000000000000</v>
      </c>
      <c r="AT511" t="str">
        <f>T("9791137601253")</f>
        <v>9791137601253</v>
      </c>
      <c r="AV511" t="str">
        <f>T("웹툰 &gt; 해외 순정")</f>
        <v>웹툰 &gt; 해외 순정</v>
      </c>
      <c r="AW511" t="str">
        <f>T("웹툰 &gt; 로맨스")</f>
        <v>웹툰 &gt; 로맨스</v>
      </c>
    </row>
    <row r="512" spans="1:49" x14ac:dyDescent="0.4">
      <c r="A512">
        <v>4421000337</v>
      </c>
      <c r="B512">
        <v>4421000436</v>
      </c>
      <c r="C512" t="str">
        <f>T("계약연애, 오늘부터 1일 100화")</f>
        <v>계약연애, 오늘부터 1일 100화</v>
      </c>
      <c r="D512" t="str">
        <f>T("100")</f>
        <v>100</v>
      </c>
      <c r="E512" t="str">
        <f>T("원기공장")</f>
        <v>원기공장</v>
      </c>
      <c r="H512" t="str">
        <f t="shared" si="70"/>
        <v>스토리위즈</v>
      </c>
      <c r="I512" t="str">
        <f>T("계약연애, 오늘부터 1일")</f>
        <v>계약연애, 오늘부터 1일</v>
      </c>
      <c r="J512">
        <v>200</v>
      </c>
      <c r="K512">
        <v>0</v>
      </c>
      <c r="L512">
        <v>0</v>
      </c>
      <c r="M512">
        <v>0</v>
      </c>
      <c r="N512">
        <v>100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 s="3">
        <v>100</v>
      </c>
      <c r="AH512" s="3">
        <v>1</v>
      </c>
      <c r="AI512" s="3">
        <v>0</v>
      </c>
      <c r="AJ512" s="3">
        <v>0</v>
      </c>
      <c r="AK512" s="3">
        <v>100</v>
      </c>
      <c r="AL512" s="3">
        <v>0</v>
      </c>
      <c r="AM512" s="3">
        <v>0</v>
      </c>
      <c r="AN512" s="3">
        <v>0</v>
      </c>
      <c r="AO512" s="3">
        <v>0</v>
      </c>
      <c r="AP512" s="3">
        <v>70</v>
      </c>
      <c r="AR512" t="str">
        <f t="shared" si="76"/>
        <v>0000000000000</v>
      </c>
      <c r="AT512" t="str">
        <f>T("9791166068027")</f>
        <v>9791166068027</v>
      </c>
      <c r="AV512" t="str">
        <f>T("웹툰 &gt; 해외 순정")</f>
        <v>웹툰 &gt; 해외 순정</v>
      </c>
      <c r="AW512" t="str">
        <f>T("웹툰 &gt; 로맨스")</f>
        <v>웹툰 &gt; 로맨스</v>
      </c>
    </row>
    <row r="513" spans="1:49" x14ac:dyDescent="0.4">
      <c r="A513">
        <v>4421001764</v>
      </c>
      <c r="B513">
        <v>4421001770</v>
      </c>
      <c r="C513" t="str">
        <f>T("예쁜 남자 잘생긴 여자 7화")</f>
        <v>예쁜 남자 잘생긴 여자 7화</v>
      </c>
      <c r="D513" t="str">
        <f>T("7")</f>
        <v>7</v>
      </c>
      <c r="E513" t="str">
        <f>T("웹티")</f>
        <v>웹티</v>
      </c>
      <c r="H513" t="str">
        <f t="shared" si="70"/>
        <v>스토리위즈</v>
      </c>
      <c r="I513" t="str">
        <f>T("예쁜 남자 잘생긴 여자")</f>
        <v>예쁜 남자 잘생긴 여자</v>
      </c>
      <c r="J513">
        <v>500</v>
      </c>
      <c r="K513">
        <v>0</v>
      </c>
      <c r="L513">
        <v>0</v>
      </c>
      <c r="M513">
        <v>0</v>
      </c>
      <c r="N513">
        <v>200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 s="3">
        <v>200</v>
      </c>
      <c r="AH513" s="3">
        <v>1</v>
      </c>
      <c r="AI513" s="3">
        <v>0</v>
      </c>
      <c r="AJ513" s="3">
        <v>0</v>
      </c>
      <c r="AK513" s="3">
        <v>0</v>
      </c>
      <c r="AL513" s="3">
        <v>0</v>
      </c>
      <c r="AM513" s="3">
        <v>240.82</v>
      </c>
      <c r="AN513" s="3">
        <v>-72.25</v>
      </c>
      <c r="AO513" s="3">
        <v>0</v>
      </c>
      <c r="AP513" s="3">
        <v>118</v>
      </c>
      <c r="AR513" t="str">
        <f t="shared" si="76"/>
        <v>0000000000000</v>
      </c>
      <c r="AT513" t="str">
        <f>T("9791190702164")</f>
        <v>9791190702164</v>
      </c>
      <c r="AV513" t="str">
        <f>T("웹툰 &gt; 로맨스")</f>
        <v>웹툰 &gt; 로맨스</v>
      </c>
    </row>
    <row r="514" spans="1:49" x14ac:dyDescent="0.4">
      <c r="A514">
        <v>4421000337</v>
      </c>
      <c r="B514">
        <v>4421000396</v>
      </c>
      <c r="C514" t="str">
        <f>T("계약연애, 오늘부터 1일 60화")</f>
        <v>계약연애, 오늘부터 1일 60화</v>
      </c>
      <c r="D514" t="str">
        <f>T("60")</f>
        <v>60</v>
      </c>
      <c r="E514" t="str">
        <f>T("원기공장")</f>
        <v>원기공장</v>
      </c>
      <c r="H514" t="str">
        <f t="shared" ref="H514:H577" si="77">T("스토리위즈")</f>
        <v>스토리위즈</v>
      </c>
      <c r="I514" t="str">
        <f>T("계약연애, 오늘부터 1일")</f>
        <v>계약연애, 오늘부터 1일</v>
      </c>
      <c r="J514">
        <v>200</v>
      </c>
      <c r="K514">
        <v>0</v>
      </c>
      <c r="L514">
        <v>0</v>
      </c>
      <c r="M514">
        <v>0</v>
      </c>
      <c r="N514">
        <v>100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 s="3">
        <v>100</v>
      </c>
      <c r="AH514" s="3">
        <v>1</v>
      </c>
      <c r="AI514" s="3">
        <v>0</v>
      </c>
      <c r="AJ514" s="3">
        <v>0</v>
      </c>
      <c r="AK514" s="3">
        <v>100</v>
      </c>
      <c r="AL514" s="3">
        <v>0</v>
      </c>
      <c r="AM514" s="3">
        <v>0</v>
      </c>
      <c r="AN514" s="3">
        <v>0</v>
      </c>
      <c r="AO514" s="3">
        <v>0</v>
      </c>
      <c r="AP514" s="3">
        <v>70</v>
      </c>
      <c r="AR514" t="str">
        <f t="shared" si="76"/>
        <v>0000000000000</v>
      </c>
      <c r="AT514" t="str">
        <f>T("9791166068027")</f>
        <v>9791166068027</v>
      </c>
      <c r="AV514" t="str">
        <f>T("웹툰 &gt; 해외 순정")</f>
        <v>웹툰 &gt; 해외 순정</v>
      </c>
      <c r="AW514" t="str">
        <f>T("웹툰 &gt; 로맨스")</f>
        <v>웹툰 &gt; 로맨스</v>
      </c>
    </row>
    <row r="515" spans="1:49" x14ac:dyDescent="0.4">
      <c r="A515">
        <v>4421001568</v>
      </c>
      <c r="B515">
        <v>4421001578</v>
      </c>
      <c r="C515" t="str">
        <f>T("구름의 연인 11화")</f>
        <v>구름의 연인 11화</v>
      </c>
      <c r="D515" t="str">
        <f>T("11")</f>
        <v>11</v>
      </c>
      <c r="E515" t="str">
        <f>T("웹티")</f>
        <v>웹티</v>
      </c>
      <c r="H515" t="str">
        <f t="shared" si="77"/>
        <v>스토리위즈</v>
      </c>
      <c r="I515" t="str">
        <f>T("구름의 연인")</f>
        <v>구름의 연인</v>
      </c>
      <c r="J515">
        <v>500</v>
      </c>
      <c r="K515">
        <v>0</v>
      </c>
      <c r="L515">
        <v>0</v>
      </c>
      <c r="M515">
        <v>0</v>
      </c>
      <c r="N515">
        <v>200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 s="3">
        <v>200</v>
      </c>
      <c r="AH515" s="3">
        <v>1</v>
      </c>
      <c r="AI515" s="3">
        <v>0</v>
      </c>
      <c r="AJ515" s="3">
        <v>0</v>
      </c>
      <c r="AK515" s="3">
        <v>200</v>
      </c>
      <c r="AL515" s="3">
        <v>0</v>
      </c>
      <c r="AM515" s="3">
        <v>0</v>
      </c>
      <c r="AN515" s="3">
        <v>0</v>
      </c>
      <c r="AO515" s="3">
        <v>0</v>
      </c>
      <c r="AP515" s="3">
        <v>140</v>
      </c>
      <c r="AR515" t="str">
        <f t="shared" si="76"/>
        <v>0000000000000</v>
      </c>
      <c r="AT515" t="str">
        <f>T("9791196402730")</f>
        <v>9791196402730</v>
      </c>
      <c r="AV515" t="str">
        <f>T("웹툰 &gt; 로맨스")</f>
        <v>웹툰 &gt; 로맨스</v>
      </c>
    </row>
    <row r="516" spans="1:49" x14ac:dyDescent="0.4">
      <c r="A516">
        <v>4421000916</v>
      </c>
      <c r="B516">
        <v>4421001296</v>
      </c>
      <c r="C516" t="str">
        <f>T("별빛 아래 우리 66화")</f>
        <v>별빛 아래 우리 66화</v>
      </c>
      <c r="D516" t="str">
        <f>T("66")</f>
        <v>66</v>
      </c>
      <c r="E516" t="str">
        <f>T("건일")</f>
        <v>건일</v>
      </c>
      <c r="G516" t="str">
        <f>T("건일")</f>
        <v>건일</v>
      </c>
      <c r="H516" t="str">
        <f t="shared" si="77"/>
        <v>스토리위즈</v>
      </c>
      <c r="I516" t="str">
        <f>T("별빛 아래 우리")</f>
        <v>별빛 아래 우리</v>
      </c>
      <c r="J516">
        <v>400</v>
      </c>
      <c r="K516">
        <v>0</v>
      </c>
      <c r="L516">
        <v>0</v>
      </c>
      <c r="M516">
        <v>0</v>
      </c>
      <c r="N516">
        <v>1000</v>
      </c>
      <c r="O516">
        <v>5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 s="3">
        <v>1000</v>
      </c>
      <c r="AH516" s="3">
        <v>5</v>
      </c>
      <c r="AI516" s="3">
        <v>0</v>
      </c>
      <c r="AJ516" s="3">
        <v>0</v>
      </c>
      <c r="AK516" s="3">
        <v>580</v>
      </c>
      <c r="AL516" s="3">
        <v>0</v>
      </c>
      <c r="AM516" s="3">
        <v>504.01</v>
      </c>
      <c r="AN516" s="3">
        <v>-151.19999999999999</v>
      </c>
      <c r="AO516" s="3">
        <v>0</v>
      </c>
      <c r="AP516" s="3">
        <v>652.97</v>
      </c>
      <c r="AR516" t="str">
        <f t="shared" si="76"/>
        <v>0000000000000</v>
      </c>
      <c r="AT516" t="str">
        <f>T("9791137601413")</f>
        <v>9791137601413</v>
      </c>
      <c r="AV516" t="str">
        <f>T("웹툰 &gt; 해외 순정")</f>
        <v>웹툰 &gt; 해외 순정</v>
      </c>
      <c r="AW516" t="str">
        <f>T("웹툰 &gt; 로맨스")</f>
        <v>웹툰 &gt; 로맨스</v>
      </c>
    </row>
    <row r="517" spans="1:49" x14ac:dyDescent="0.4">
      <c r="A517">
        <v>4421000916</v>
      </c>
      <c r="B517">
        <v>4421001193</v>
      </c>
      <c r="C517" t="str">
        <f>T("별빛 아래 우리 41화")</f>
        <v>별빛 아래 우리 41화</v>
      </c>
      <c r="D517" t="str">
        <f>T("41")</f>
        <v>41</v>
      </c>
      <c r="E517" t="str">
        <f>T("건일")</f>
        <v>건일</v>
      </c>
      <c r="G517" t="str">
        <f>T("건일")</f>
        <v>건일</v>
      </c>
      <c r="H517" t="str">
        <f t="shared" si="77"/>
        <v>스토리위즈</v>
      </c>
      <c r="I517" t="str">
        <f>T("별빛 아래 우리")</f>
        <v>별빛 아래 우리</v>
      </c>
      <c r="J517">
        <v>400</v>
      </c>
      <c r="K517">
        <v>0</v>
      </c>
      <c r="L517">
        <v>0</v>
      </c>
      <c r="M517">
        <v>0</v>
      </c>
      <c r="N517">
        <v>800</v>
      </c>
      <c r="O517">
        <v>4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 s="3">
        <v>800</v>
      </c>
      <c r="AH517" s="3">
        <v>4</v>
      </c>
      <c r="AI517" s="3">
        <v>0</v>
      </c>
      <c r="AJ517" s="3">
        <v>0</v>
      </c>
      <c r="AK517" s="3">
        <v>379</v>
      </c>
      <c r="AL517" s="3">
        <v>0</v>
      </c>
      <c r="AM517" s="3">
        <v>505.2</v>
      </c>
      <c r="AN517" s="3">
        <v>-151.56</v>
      </c>
      <c r="AO517" s="3">
        <v>0</v>
      </c>
      <c r="AP517" s="3">
        <v>512.85</v>
      </c>
      <c r="AR517" t="str">
        <f t="shared" si="76"/>
        <v>0000000000000</v>
      </c>
      <c r="AT517" t="str">
        <f>T("9791137601413")</f>
        <v>9791137601413</v>
      </c>
      <c r="AV517" t="str">
        <f>T("웹툰 &gt; 해외 순정")</f>
        <v>웹툰 &gt; 해외 순정</v>
      </c>
      <c r="AW517" t="str">
        <f>T("웹툰 &gt; 로맨스")</f>
        <v>웹툰 &gt; 로맨스</v>
      </c>
    </row>
    <row r="518" spans="1:49" x14ac:dyDescent="0.4">
      <c r="A518">
        <v>4421000450</v>
      </c>
      <c r="B518">
        <v>4421000468</v>
      </c>
      <c r="C518" t="str">
        <f>T("내 남편의 스토커 18화")</f>
        <v>내 남편의 스토커 18화</v>
      </c>
      <c r="D518" t="str">
        <f>T("18")</f>
        <v>18</v>
      </c>
      <c r="E518" t="str">
        <f>T("혜원")</f>
        <v>혜원</v>
      </c>
      <c r="G518" t="str">
        <f>T("혜원")</f>
        <v>혜원</v>
      </c>
      <c r="H518" t="str">
        <f t="shared" si="77"/>
        <v>스토리위즈</v>
      </c>
      <c r="I518" t="str">
        <f>T("내 남편의 스토커")</f>
        <v>내 남편의 스토커</v>
      </c>
      <c r="J518">
        <v>400</v>
      </c>
      <c r="K518">
        <v>0</v>
      </c>
      <c r="L518">
        <v>0</v>
      </c>
      <c r="M518">
        <v>0</v>
      </c>
      <c r="N518">
        <v>200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 s="3">
        <v>200</v>
      </c>
      <c r="AH518" s="3">
        <v>1</v>
      </c>
      <c r="AI518" s="3">
        <v>0</v>
      </c>
      <c r="AJ518" s="3">
        <v>0</v>
      </c>
      <c r="AK518" s="3">
        <v>200</v>
      </c>
      <c r="AL518" s="3">
        <v>0</v>
      </c>
      <c r="AM518" s="3">
        <v>0</v>
      </c>
      <c r="AN518" s="3">
        <v>0</v>
      </c>
      <c r="AO518" s="3">
        <v>0</v>
      </c>
      <c r="AP518" s="3">
        <v>140</v>
      </c>
      <c r="AR518" t="str">
        <f t="shared" si="76"/>
        <v>0000000000000</v>
      </c>
      <c r="AT518" t="str">
        <f>T("9791166068034")</f>
        <v>9791166068034</v>
      </c>
      <c r="AV518" t="str">
        <f>T("웹툰 &gt; 로맨스")</f>
        <v>웹툰 &gt; 로맨스</v>
      </c>
    </row>
    <row r="519" spans="1:49" x14ac:dyDescent="0.4">
      <c r="A519">
        <v>4421000450</v>
      </c>
      <c r="B519">
        <v>4421000476</v>
      </c>
      <c r="C519" t="str">
        <f>T("내 남편의 스토커 26화")</f>
        <v>내 남편의 스토커 26화</v>
      </c>
      <c r="D519" t="str">
        <f>T("26")</f>
        <v>26</v>
      </c>
      <c r="E519" t="str">
        <f>T("혜원")</f>
        <v>혜원</v>
      </c>
      <c r="G519" t="str">
        <f>T("혜원")</f>
        <v>혜원</v>
      </c>
      <c r="H519" t="str">
        <f t="shared" si="77"/>
        <v>스토리위즈</v>
      </c>
      <c r="I519" t="str">
        <f>T("내 남편의 스토커")</f>
        <v>내 남편의 스토커</v>
      </c>
      <c r="J519">
        <v>400</v>
      </c>
      <c r="K519">
        <v>0</v>
      </c>
      <c r="L519">
        <v>0</v>
      </c>
      <c r="M519">
        <v>0</v>
      </c>
      <c r="N519">
        <v>200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 s="3">
        <v>200</v>
      </c>
      <c r="AH519" s="3">
        <v>1</v>
      </c>
      <c r="AI519" s="3">
        <v>0</v>
      </c>
      <c r="AJ519" s="3">
        <v>0</v>
      </c>
      <c r="AK519" s="3">
        <v>200</v>
      </c>
      <c r="AL519" s="3">
        <v>0</v>
      </c>
      <c r="AM519" s="3">
        <v>0</v>
      </c>
      <c r="AN519" s="3">
        <v>0</v>
      </c>
      <c r="AO519" s="3">
        <v>0</v>
      </c>
      <c r="AP519" s="3">
        <v>140</v>
      </c>
      <c r="AR519" t="str">
        <f t="shared" si="76"/>
        <v>0000000000000</v>
      </c>
      <c r="AT519" t="str">
        <f>T("9791166068034")</f>
        <v>9791166068034</v>
      </c>
      <c r="AV519" t="str">
        <f>T("웹툰 &gt; 로맨스")</f>
        <v>웹툰 &gt; 로맨스</v>
      </c>
    </row>
    <row r="520" spans="1:49" x14ac:dyDescent="0.4">
      <c r="A520">
        <v>4421000198</v>
      </c>
      <c r="B520">
        <v>4421000243</v>
      </c>
      <c r="C520" t="str">
        <f>T("공주전쟁 46화")</f>
        <v>공주전쟁 46화</v>
      </c>
      <c r="D520" t="str">
        <f>T("46")</f>
        <v>46</v>
      </c>
      <c r="E520" t="str">
        <f>T("Hujing")</f>
        <v>Hujing</v>
      </c>
      <c r="G520" t="str">
        <f>T("Luojie")</f>
        <v>Luojie</v>
      </c>
      <c r="H520" t="str">
        <f t="shared" si="77"/>
        <v>스토리위즈</v>
      </c>
      <c r="I520" t="str">
        <f>T("공주전쟁")</f>
        <v>공주전쟁</v>
      </c>
      <c r="J520">
        <v>400</v>
      </c>
      <c r="K520">
        <v>0</v>
      </c>
      <c r="L520">
        <v>0</v>
      </c>
      <c r="M520">
        <v>0</v>
      </c>
      <c r="N520">
        <v>400</v>
      </c>
      <c r="O520">
        <v>2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 s="3">
        <v>400</v>
      </c>
      <c r="AH520" s="3">
        <v>2</v>
      </c>
      <c r="AI520" s="3">
        <v>0</v>
      </c>
      <c r="AJ520" s="3">
        <v>0</v>
      </c>
      <c r="AK520" s="3">
        <v>200</v>
      </c>
      <c r="AL520" s="3">
        <v>0</v>
      </c>
      <c r="AM520" s="3">
        <v>240</v>
      </c>
      <c r="AN520" s="3">
        <v>-72</v>
      </c>
      <c r="AO520" s="3">
        <v>0</v>
      </c>
      <c r="AP520" s="3">
        <v>257.60000000000002</v>
      </c>
      <c r="AR520" t="str">
        <f t="shared" si="76"/>
        <v>0000000000000</v>
      </c>
      <c r="AT520" t="str">
        <f>T("9791166069666")</f>
        <v>9791166069666</v>
      </c>
      <c r="AV520" t="str">
        <f>T("웹툰 &gt; 해외 순정")</f>
        <v>웹툰 &gt; 해외 순정</v>
      </c>
      <c r="AW520" t="str">
        <f>T("웹툰 &gt; 로판")</f>
        <v>웹툰 &gt; 로판</v>
      </c>
    </row>
    <row r="521" spans="1:49" x14ac:dyDescent="0.4">
      <c r="A521">
        <v>4421000866</v>
      </c>
      <c r="B521">
        <v>4421000992</v>
      </c>
      <c r="C521" t="str">
        <f>T("최애에게 들켜버렸다 34화")</f>
        <v>최애에게 들켜버렸다 34화</v>
      </c>
      <c r="D521" t="str">
        <f>T("35")</f>
        <v>35</v>
      </c>
      <c r="E521" t="str">
        <f>T("Lv")</f>
        <v>Lv</v>
      </c>
      <c r="G521" t="str">
        <f>T("Lv")</f>
        <v>Lv</v>
      </c>
      <c r="H521" t="str">
        <f t="shared" si="77"/>
        <v>스토리위즈</v>
      </c>
      <c r="I521" t="str">
        <f>T("최애에게 들켜버렸다")</f>
        <v>최애에게 들켜버렸다</v>
      </c>
      <c r="J521">
        <v>400</v>
      </c>
      <c r="K521">
        <v>0</v>
      </c>
      <c r="L521">
        <v>0</v>
      </c>
      <c r="M521">
        <v>0</v>
      </c>
      <c r="N521">
        <v>800</v>
      </c>
      <c r="O521">
        <v>4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 s="3">
        <v>800</v>
      </c>
      <c r="AH521" s="3">
        <v>4</v>
      </c>
      <c r="AI521" s="3">
        <v>0</v>
      </c>
      <c r="AJ521" s="3">
        <v>0</v>
      </c>
      <c r="AK521" s="3">
        <v>624</v>
      </c>
      <c r="AL521" s="3">
        <v>0</v>
      </c>
      <c r="AM521" s="3">
        <v>211.38</v>
      </c>
      <c r="AN521" s="3">
        <v>-63.41</v>
      </c>
      <c r="AO521" s="3">
        <v>0</v>
      </c>
      <c r="AP521" s="3">
        <v>540.38</v>
      </c>
      <c r="AR521" t="str">
        <f t="shared" si="76"/>
        <v>0000000000000</v>
      </c>
      <c r="AT521" t="str">
        <f>T("9791137601253")</f>
        <v>9791137601253</v>
      </c>
      <c r="AV521" t="str">
        <f>T("웹툰 &gt; 해외 순정")</f>
        <v>웹툰 &gt; 해외 순정</v>
      </c>
      <c r="AW521" t="str">
        <f>T("웹툰 &gt; 로맨스")</f>
        <v>웹툰 &gt; 로맨스</v>
      </c>
    </row>
    <row r="522" spans="1:49" x14ac:dyDescent="0.4">
      <c r="A522">
        <v>4421001936</v>
      </c>
      <c r="B522">
        <v>4421001943</v>
      </c>
      <c r="C522" t="str">
        <f>T("보스 오빠, 살살! 8화")</f>
        <v>보스 오빠, 살살! 8화</v>
      </c>
      <c r="D522" t="str">
        <f>T("8")</f>
        <v>8</v>
      </c>
      <c r="E522" t="str">
        <f>T("웹티")</f>
        <v>웹티</v>
      </c>
      <c r="H522" t="str">
        <f t="shared" si="77"/>
        <v>스토리위즈</v>
      </c>
      <c r="I522" t="str">
        <f>T("보스 오빠, 살살!")</f>
        <v>보스 오빠, 살살!</v>
      </c>
      <c r="J522">
        <v>500</v>
      </c>
      <c r="K522">
        <v>0</v>
      </c>
      <c r="L522">
        <v>0</v>
      </c>
      <c r="M522">
        <v>0</v>
      </c>
      <c r="N522">
        <v>200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 s="3">
        <v>200</v>
      </c>
      <c r="AH522" s="3">
        <v>1</v>
      </c>
      <c r="AI522" s="3">
        <v>0</v>
      </c>
      <c r="AJ522" s="3">
        <v>0</v>
      </c>
      <c r="AK522" s="3">
        <v>0</v>
      </c>
      <c r="AL522" s="3">
        <v>0</v>
      </c>
      <c r="AM522" s="3">
        <v>240</v>
      </c>
      <c r="AN522" s="3">
        <v>-72</v>
      </c>
      <c r="AO522" s="3">
        <v>0</v>
      </c>
      <c r="AP522" s="3">
        <v>117.6</v>
      </c>
      <c r="AT522" t="str">
        <f>T("9791190702331")</f>
        <v>9791190702331</v>
      </c>
      <c r="AV522" t="str">
        <f>T("웹툰 &gt; 로맨스")</f>
        <v>웹툰 &gt; 로맨스</v>
      </c>
    </row>
    <row r="523" spans="1:49" x14ac:dyDescent="0.4">
      <c r="A523">
        <v>4421000866</v>
      </c>
      <c r="B523">
        <v>4421000875</v>
      </c>
      <c r="C523" t="str">
        <f>T("최애에게 들켜버렸다 9화")</f>
        <v>최애에게 들켜버렸다 9화</v>
      </c>
      <c r="D523" t="str">
        <f>T("9")</f>
        <v>9</v>
      </c>
      <c r="E523" t="str">
        <f>T("Lv")</f>
        <v>Lv</v>
      </c>
      <c r="G523" t="str">
        <f>T("Lv")</f>
        <v>Lv</v>
      </c>
      <c r="H523" t="str">
        <f t="shared" si="77"/>
        <v>스토리위즈</v>
      </c>
      <c r="I523" t="str">
        <f>T("최애에게 들켜버렸다")</f>
        <v>최애에게 들켜버렸다</v>
      </c>
      <c r="J523">
        <v>400</v>
      </c>
      <c r="K523">
        <v>0</v>
      </c>
      <c r="L523">
        <v>0</v>
      </c>
      <c r="M523">
        <v>0</v>
      </c>
      <c r="N523">
        <v>1000</v>
      </c>
      <c r="O523">
        <v>5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 s="3">
        <v>1000</v>
      </c>
      <c r="AH523" s="3">
        <v>5</v>
      </c>
      <c r="AI523" s="3">
        <v>0</v>
      </c>
      <c r="AJ523" s="3">
        <v>0</v>
      </c>
      <c r="AK523" s="3">
        <v>624</v>
      </c>
      <c r="AL523" s="3">
        <v>0</v>
      </c>
      <c r="AM523" s="3">
        <v>451.38</v>
      </c>
      <c r="AN523" s="3">
        <v>-135.41</v>
      </c>
      <c r="AO523" s="3">
        <v>0</v>
      </c>
      <c r="AP523" s="3">
        <v>657.98</v>
      </c>
      <c r="AR523" t="str">
        <f>T("0000000000000")</f>
        <v>0000000000000</v>
      </c>
      <c r="AT523" t="str">
        <f>T("9791137601253")</f>
        <v>9791137601253</v>
      </c>
      <c r="AV523" t="str">
        <f>T("웹툰 &gt; 해외 순정")</f>
        <v>웹툰 &gt; 해외 순정</v>
      </c>
      <c r="AW523" t="str">
        <f>T("웹툰 &gt; 로맨스")</f>
        <v>웹툰 &gt; 로맨스</v>
      </c>
    </row>
    <row r="524" spans="1:49" x14ac:dyDescent="0.4">
      <c r="A524">
        <v>4421001936</v>
      </c>
      <c r="B524">
        <v>4421001977</v>
      </c>
      <c r="C524" t="str">
        <f>T("보스 오빠, 살살! 42화")</f>
        <v>보스 오빠, 살살! 42화</v>
      </c>
      <c r="D524" t="str">
        <f>T("42")</f>
        <v>42</v>
      </c>
      <c r="E524" t="str">
        <f>T("웹티")</f>
        <v>웹티</v>
      </c>
      <c r="H524" t="str">
        <f t="shared" si="77"/>
        <v>스토리위즈</v>
      </c>
      <c r="I524" t="str">
        <f>T("보스 오빠, 살살!")</f>
        <v>보스 오빠, 살살!</v>
      </c>
      <c r="J524">
        <v>500</v>
      </c>
      <c r="K524">
        <v>0</v>
      </c>
      <c r="L524">
        <v>0</v>
      </c>
      <c r="M524">
        <v>0</v>
      </c>
      <c r="N524">
        <v>200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 s="3">
        <v>200</v>
      </c>
      <c r="AH524" s="3">
        <v>1</v>
      </c>
      <c r="AI524" s="3">
        <v>0</v>
      </c>
      <c r="AJ524" s="3">
        <v>0</v>
      </c>
      <c r="AK524" s="3">
        <v>0</v>
      </c>
      <c r="AL524" s="3">
        <v>0</v>
      </c>
      <c r="AM524" s="3">
        <v>240</v>
      </c>
      <c r="AN524" s="3">
        <v>-72</v>
      </c>
      <c r="AO524" s="3">
        <v>0</v>
      </c>
      <c r="AP524" s="3">
        <v>117.6</v>
      </c>
      <c r="AT524" t="str">
        <f>T("9791190702331")</f>
        <v>9791190702331</v>
      </c>
      <c r="AV524" t="str">
        <f>T("웹툰 &gt; 로맨스")</f>
        <v>웹툰 &gt; 로맨스</v>
      </c>
    </row>
    <row r="525" spans="1:49" x14ac:dyDescent="0.4">
      <c r="A525">
        <v>4421001340</v>
      </c>
      <c r="B525">
        <v>4421001369</v>
      </c>
      <c r="C525" t="str">
        <f>T("가출천사 육성계약 30화")</f>
        <v>가출천사 육성계약 30화</v>
      </c>
      <c r="D525" t="str">
        <f>T("30")</f>
        <v>30</v>
      </c>
      <c r="E525" t="str">
        <f>T("Bae.C, IIAKI, 박제후")</f>
        <v>Bae.C, IIAKI, 박제후</v>
      </c>
      <c r="G525" t="str">
        <f>T("Bae.C, 조우")</f>
        <v>Bae.C, 조우</v>
      </c>
      <c r="H525" t="str">
        <f t="shared" si="77"/>
        <v>스토리위즈</v>
      </c>
      <c r="I525" t="str">
        <f>T("가출천사 육성계약")</f>
        <v>가출천사 육성계약</v>
      </c>
      <c r="J525">
        <v>400</v>
      </c>
      <c r="K525">
        <v>0</v>
      </c>
      <c r="L525">
        <v>0</v>
      </c>
      <c r="M525">
        <v>0</v>
      </c>
      <c r="N525">
        <v>200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 s="3">
        <v>200</v>
      </c>
      <c r="AH525" s="3">
        <v>1</v>
      </c>
      <c r="AI525" s="3">
        <v>0</v>
      </c>
      <c r="AJ525" s="3">
        <v>0</v>
      </c>
      <c r="AK525" s="3">
        <v>200</v>
      </c>
      <c r="AL525" s="3">
        <v>0</v>
      </c>
      <c r="AM525" s="3">
        <v>0</v>
      </c>
      <c r="AN525" s="3">
        <v>0</v>
      </c>
      <c r="AO525" s="3">
        <v>0</v>
      </c>
      <c r="AP525" s="3">
        <v>140</v>
      </c>
      <c r="AR525" t="str">
        <f t="shared" ref="AR525:AR535" si="78">T("0000000000000")</f>
        <v>0000000000000</v>
      </c>
      <c r="AT525" t="str">
        <f>T("9791191765663")</f>
        <v>9791191765663</v>
      </c>
      <c r="AV525" t="str">
        <f>T("웹툰 &gt; 판타지/SF")</f>
        <v>웹툰 &gt; 판타지/SF</v>
      </c>
    </row>
    <row r="526" spans="1:49" x14ac:dyDescent="0.4">
      <c r="A526">
        <v>4421000337</v>
      </c>
      <c r="B526">
        <v>4421000429</v>
      </c>
      <c r="C526" t="str">
        <f>T("계약연애, 오늘부터 1일 93화")</f>
        <v>계약연애, 오늘부터 1일 93화</v>
      </c>
      <c r="D526" t="str">
        <f>T("93")</f>
        <v>93</v>
      </c>
      <c r="E526" t="str">
        <f>T("원기공장")</f>
        <v>원기공장</v>
      </c>
      <c r="H526" t="str">
        <f t="shared" si="77"/>
        <v>스토리위즈</v>
      </c>
      <c r="I526" t="str">
        <f>T("계약연애, 오늘부터 1일")</f>
        <v>계약연애, 오늘부터 1일</v>
      </c>
      <c r="J526">
        <v>200</v>
      </c>
      <c r="K526">
        <v>0</v>
      </c>
      <c r="L526">
        <v>0</v>
      </c>
      <c r="M526">
        <v>0</v>
      </c>
      <c r="N526">
        <v>100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 s="3">
        <v>100</v>
      </c>
      <c r="AH526" s="3">
        <v>1</v>
      </c>
      <c r="AI526" s="3">
        <v>0</v>
      </c>
      <c r="AJ526" s="3">
        <v>0</v>
      </c>
      <c r="AK526" s="3">
        <v>100</v>
      </c>
      <c r="AL526" s="3">
        <v>0</v>
      </c>
      <c r="AM526" s="3">
        <v>0</v>
      </c>
      <c r="AN526" s="3">
        <v>0</v>
      </c>
      <c r="AO526" s="3">
        <v>0</v>
      </c>
      <c r="AP526" s="3">
        <v>70</v>
      </c>
      <c r="AR526" t="str">
        <f t="shared" si="78"/>
        <v>0000000000000</v>
      </c>
      <c r="AT526" t="str">
        <f>T("9791166068027")</f>
        <v>9791166068027</v>
      </c>
      <c r="AV526" t="str">
        <f>T("웹툰 &gt; 해외 순정")</f>
        <v>웹툰 &gt; 해외 순정</v>
      </c>
      <c r="AW526" t="str">
        <f>T("웹툰 &gt; 로맨스")</f>
        <v>웹툰 &gt; 로맨스</v>
      </c>
    </row>
    <row r="527" spans="1:49" x14ac:dyDescent="0.4">
      <c r="A527">
        <v>4421000916</v>
      </c>
      <c r="B527">
        <v>4421000932</v>
      </c>
      <c r="C527" t="str">
        <f>T("별빛 아래 우리 17화")</f>
        <v>별빛 아래 우리 17화</v>
      </c>
      <c r="D527" t="str">
        <f>T("17")</f>
        <v>17</v>
      </c>
      <c r="E527" t="str">
        <f>T("건일")</f>
        <v>건일</v>
      </c>
      <c r="G527" t="str">
        <f>T("건일")</f>
        <v>건일</v>
      </c>
      <c r="H527" t="str">
        <f t="shared" si="77"/>
        <v>스토리위즈</v>
      </c>
      <c r="I527" t="str">
        <f>T("별빛 아래 우리")</f>
        <v>별빛 아래 우리</v>
      </c>
      <c r="J527">
        <v>400</v>
      </c>
      <c r="K527">
        <v>0</v>
      </c>
      <c r="L527">
        <v>0</v>
      </c>
      <c r="M527">
        <v>0</v>
      </c>
      <c r="N527">
        <v>1600</v>
      </c>
      <c r="O527">
        <v>8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 s="3">
        <v>1600</v>
      </c>
      <c r="AH527" s="3">
        <v>8</v>
      </c>
      <c r="AI527" s="3">
        <v>0</v>
      </c>
      <c r="AJ527" s="3">
        <v>0</v>
      </c>
      <c r="AK527" s="3">
        <v>400</v>
      </c>
      <c r="AL527" s="3">
        <v>0</v>
      </c>
      <c r="AM527" s="3">
        <v>1441.02</v>
      </c>
      <c r="AN527" s="3">
        <v>-432.31</v>
      </c>
      <c r="AO527" s="3">
        <v>0</v>
      </c>
      <c r="AP527" s="3">
        <v>986.1</v>
      </c>
      <c r="AR527" t="str">
        <f t="shared" si="78"/>
        <v>0000000000000</v>
      </c>
      <c r="AT527" t="str">
        <f>T("9791137601413")</f>
        <v>9791137601413</v>
      </c>
      <c r="AV527" t="str">
        <f>T("웹툰 &gt; 해외 순정")</f>
        <v>웹툰 &gt; 해외 순정</v>
      </c>
      <c r="AW527" t="str">
        <f>T("웹툰 &gt; 로맨스")</f>
        <v>웹툰 &gt; 로맨스</v>
      </c>
    </row>
    <row r="528" spans="1:49" x14ac:dyDescent="0.4">
      <c r="A528">
        <v>4421001734</v>
      </c>
      <c r="B528">
        <v>4421001736</v>
      </c>
      <c r="C528" t="str">
        <f>T("이웃집 아이돌 3화")</f>
        <v>이웃집 아이돌 3화</v>
      </c>
      <c r="D528" t="str">
        <f>T("3")</f>
        <v>3</v>
      </c>
      <c r="E528" t="str">
        <f>T("웹티")</f>
        <v>웹티</v>
      </c>
      <c r="H528" t="str">
        <f t="shared" si="77"/>
        <v>스토리위즈</v>
      </c>
      <c r="I528" t="str">
        <f>T("이웃집 아이돌")</f>
        <v>이웃집 아이돌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 s="3">
        <v>0</v>
      </c>
      <c r="AH528" s="3">
        <v>1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R528" t="str">
        <f t="shared" si="78"/>
        <v>0000000000000</v>
      </c>
      <c r="AT528" t="str">
        <f>T("9791196660499")</f>
        <v>9791196660499</v>
      </c>
      <c r="AV528" t="str">
        <f>T("웹툰 &gt; 로맨스")</f>
        <v>웹툰 &gt; 로맨스</v>
      </c>
    </row>
    <row r="529" spans="1:49" x14ac:dyDescent="0.4">
      <c r="A529">
        <v>4421000337</v>
      </c>
      <c r="B529">
        <v>4421000389</v>
      </c>
      <c r="C529" t="str">
        <f>T("계약연애, 오늘부터 1일 53화")</f>
        <v>계약연애, 오늘부터 1일 53화</v>
      </c>
      <c r="D529" t="str">
        <f>T("53")</f>
        <v>53</v>
      </c>
      <c r="E529" t="str">
        <f>T("원기공장")</f>
        <v>원기공장</v>
      </c>
      <c r="H529" t="str">
        <f t="shared" si="77"/>
        <v>스토리위즈</v>
      </c>
      <c r="I529" t="str">
        <f>T("계약연애, 오늘부터 1일")</f>
        <v>계약연애, 오늘부터 1일</v>
      </c>
      <c r="J529">
        <v>200</v>
      </c>
      <c r="K529">
        <v>0</v>
      </c>
      <c r="L529">
        <v>0</v>
      </c>
      <c r="M529">
        <v>0</v>
      </c>
      <c r="N529">
        <v>100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 s="3">
        <v>100</v>
      </c>
      <c r="AH529" s="3">
        <v>1</v>
      </c>
      <c r="AI529" s="3">
        <v>0</v>
      </c>
      <c r="AJ529" s="3">
        <v>0</v>
      </c>
      <c r="AK529" s="3">
        <v>100</v>
      </c>
      <c r="AL529" s="3">
        <v>0</v>
      </c>
      <c r="AM529" s="3">
        <v>0</v>
      </c>
      <c r="AN529" s="3">
        <v>0</v>
      </c>
      <c r="AO529" s="3">
        <v>0</v>
      </c>
      <c r="AP529" s="3">
        <v>70</v>
      </c>
      <c r="AR529" t="str">
        <f t="shared" si="78"/>
        <v>0000000000000</v>
      </c>
      <c r="AT529" t="str">
        <f>T("9791166068027")</f>
        <v>9791166068027</v>
      </c>
      <c r="AV529" t="str">
        <f>T("웹툰 &gt; 해외 순정")</f>
        <v>웹툰 &gt; 해외 순정</v>
      </c>
      <c r="AW529" t="str">
        <f>T("웹툰 &gt; 로맨스")</f>
        <v>웹툰 &gt; 로맨스</v>
      </c>
    </row>
    <row r="530" spans="1:49" x14ac:dyDescent="0.4">
      <c r="A530">
        <v>4421001568</v>
      </c>
      <c r="B530">
        <v>4421001571</v>
      </c>
      <c r="C530" t="str">
        <f>T("구름의 연인 4화")</f>
        <v>구름의 연인 4화</v>
      </c>
      <c r="D530" t="str">
        <f>T("4")</f>
        <v>4</v>
      </c>
      <c r="E530" t="str">
        <f>T("웹티")</f>
        <v>웹티</v>
      </c>
      <c r="H530" t="str">
        <f t="shared" si="77"/>
        <v>스토리위즈</v>
      </c>
      <c r="I530" t="str">
        <f>T("구름의 연인")</f>
        <v>구름의 연인</v>
      </c>
      <c r="J530">
        <v>500</v>
      </c>
      <c r="K530">
        <v>0</v>
      </c>
      <c r="L530">
        <v>0</v>
      </c>
      <c r="M530">
        <v>0</v>
      </c>
      <c r="N530">
        <v>200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 s="3">
        <v>200</v>
      </c>
      <c r="AH530" s="3">
        <v>1</v>
      </c>
      <c r="AI530" s="3">
        <v>0</v>
      </c>
      <c r="AJ530" s="3">
        <v>0</v>
      </c>
      <c r="AK530" s="3">
        <v>200</v>
      </c>
      <c r="AL530" s="3">
        <v>0</v>
      </c>
      <c r="AM530" s="3">
        <v>0</v>
      </c>
      <c r="AN530" s="3">
        <v>0</v>
      </c>
      <c r="AO530" s="3">
        <v>0</v>
      </c>
      <c r="AP530" s="3">
        <v>140</v>
      </c>
      <c r="AR530" t="str">
        <f t="shared" si="78"/>
        <v>0000000000000</v>
      </c>
      <c r="AT530" t="str">
        <f>T("9791196402730")</f>
        <v>9791196402730</v>
      </c>
      <c r="AV530" t="str">
        <f>T("웹툰 &gt; 로맨스")</f>
        <v>웹툰 &gt; 로맨스</v>
      </c>
    </row>
    <row r="531" spans="1:49" x14ac:dyDescent="0.4">
      <c r="A531">
        <v>4421000198</v>
      </c>
      <c r="B531">
        <v>4421001289</v>
      </c>
      <c r="C531" t="str">
        <f>T("공주전쟁 87화")</f>
        <v>공주전쟁 87화</v>
      </c>
      <c r="D531" t="str">
        <f>T("87")</f>
        <v>87</v>
      </c>
      <c r="E531" t="str">
        <f>T("Hujing")</f>
        <v>Hujing</v>
      </c>
      <c r="G531" t="str">
        <f>T("Luojie")</f>
        <v>Luojie</v>
      </c>
      <c r="H531" t="str">
        <f t="shared" si="77"/>
        <v>스토리위즈</v>
      </c>
      <c r="I531" t="str">
        <f>T("공주전쟁")</f>
        <v>공주전쟁</v>
      </c>
      <c r="J531">
        <v>400</v>
      </c>
      <c r="K531">
        <v>0</v>
      </c>
      <c r="L531">
        <v>0</v>
      </c>
      <c r="M531">
        <v>0</v>
      </c>
      <c r="N531">
        <v>200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 s="3">
        <v>200</v>
      </c>
      <c r="AH531" s="3">
        <v>1</v>
      </c>
      <c r="AI531" s="3">
        <v>0</v>
      </c>
      <c r="AJ531" s="3">
        <v>0</v>
      </c>
      <c r="AK531" s="3">
        <v>0</v>
      </c>
      <c r="AL531" s="3">
        <v>0</v>
      </c>
      <c r="AM531" s="3">
        <v>240</v>
      </c>
      <c r="AN531" s="3">
        <v>-72</v>
      </c>
      <c r="AO531" s="3">
        <v>0</v>
      </c>
      <c r="AP531" s="3">
        <v>117.6</v>
      </c>
      <c r="AR531" t="str">
        <f t="shared" si="78"/>
        <v>0000000000000</v>
      </c>
      <c r="AT531" t="str">
        <f>T("9791166069666")</f>
        <v>9791166069666</v>
      </c>
      <c r="AV531" t="str">
        <f>T("웹툰 &gt; 해외 순정")</f>
        <v>웹툰 &gt; 해외 순정</v>
      </c>
      <c r="AW531" t="str">
        <f>T("웹툰 &gt; 로판")</f>
        <v>웹툰 &gt; 로판</v>
      </c>
    </row>
    <row r="532" spans="1:49" x14ac:dyDescent="0.4">
      <c r="A532">
        <v>4421000198</v>
      </c>
      <c r="B532">
        <v>4421001185</v>
      </c>
      <c r="C532" t="str">
        <f>T("공주전쟁 70화")</f>
        <v>공주전쟁 70화</v>
      </c>
      <c r="D532" t="str">
        <f>T("70")</f>
        <v>70</v>
      </c>
      <c r="E532" t="str">
        <f>T("Hujing")</f>
        <v>Hujing</v>
      </c>
      <c r="G532" t="str">
        <f>T("Luojie")</f>
        <v>Luojie</v>
      </c>
      <c r="H532" t="str">
        <f t="shared" si="77"/>
        <v>스토리위즈</v>
      </c>
      <c r="I532" t="str">
        <f>T("공주전쟁")</f>
        <v>공주전쟁</v>
      </c>
      <c r="J532">
        <v>400</v>
      </c>
      <c r="K532">
        <v>0</v>
      </c>
      <c r="L532">
        <v>0</v>
      </c>
      <c r="M532">
        <v>0</v>
      </c>
      <c r="N532">
        <v>400</v>
      </c>
      <c r="O532">
        <v>2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 s="3">
        <v>400</v>
      </c>
      <c r="AH532" s="3">
        <v>2</v>
      </c>
      <c r="AI532" s="3">
        <v>0</v>
      </c>
      <c r="AJ532" s="3">
        <v>0</v>
      </c>
      <c r="AK532" s="3">
        <v>200</v>
      </c>
      <c r="AL532" s="3">
        <v>0</v>
      </c>
      <c r="AM532" s="3">
        <v>240</v>
      </c>
      <c r="AN532" s="3">
        <v>-72</v>
      </c>
      <c r="AO532" s="3">
        <v>0</v>
      </c>
      <c r="AP532" s="3">
        <v>257.60000000000002</v>
      </c>
      <c r="AR532" t="str">
        <f t="shared" si="78"/>
        <v>0000000000000</v>
      </c>
      <c r="AT532" t="str">
        <f>T("9791166069666")</f>
        <v>9791166069666</v>
      </c>
      <c r="AV532" t="str">
        <f>T("웹툰 &gt; 해외 순정")</f>
        <v>웹툰 &gt; 해외 순정</v>
      </c>
      <c r="AW532" t="str">
        <f>T("웹툰 &gt; 로판")</f>
        <v>웹툰 &gt; 로판</v>
      </c>
    </row>
    <row r="533" spans="1:49" x14ac:dyDescent="0.4">
      <c r="A533">
        <v>4421000450</v>
      </c>
      <c r="B533">
        <v>4421000461</v>
      </c>
      <c r="C533" t="str">
        <f>T("내 남편의 스토커 11화")</f>
        <v>내 남편의 스토커 11화</v>
      </c>
      <c r="D533" t="str">
        <f>T("11")</f>
        <v>11</v>
      </c>
      <c r="E533" t="str">
        <f>T("혜원")</f>
        <v>혜원</v>
      </c>
      <c r="G533" t="str">
        <f>T("혜원")</f>
        <v>혜원</v>
      </c>
      <c r="H533" t="str">
        <f t="shared" si="77"/>
        <v>스토리위즈</v>
      </c>
      <c r="I533" t="str">
        <f>T("내 남편의 스토커")</f>
        <v>내 남편의 스토커</v>
      </c>
      <c r="J533">
        <v>400</v>
      </c>
      <c r="K533">
        <v>0</v>
      </c>
      <c r="L533">
        <v>0</v>
      </c>
      <c r="M533">
        <v>0</v>
      </c>
      <c r="N533">
        <v>200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 s="3">
        <v>200</v>
      </c>
      <c r="AH533" s="3">
        <v>1</v>
      </c>
      <c r="AI533" s="3">
        <v>0</v>
      </c>
      <c r="AJ533" s="3">
        <v>0</v>
      </c>
      <c r="AK533" s="3">
        <v>200</v>
      </c>
      <c r="AL533" s="3">
        <v>0</v>
      </c>
      <c r="AM533" s="3">
        <v>0</v>
      </c>
      <c r="AN533" s="3">
        <v>0</v>
      </c>
      <c r="AO533" s="3">
        <v>0</v>
      </c>
      <c r="AP533" s="3">
        <v>140</v>
      </c>
      <c r="AR533" t="str">
        <f t="shared" si="78"/>
        <v>0000000000000</v>
      </c>
      <c r="AT533" t="str">
        <f>T("9791166068034")</f>
        <v>9791166068034</v>
      </c>
      <c r="AV533" t="str">
        <f>T("웹툰 &gt; 로맨스")</f>
        <v>웹툰 &gt; 로맨스</v>
      </c>
    </row>
    <row r="534" spans="1:49" x14ac:dyDescent="0.4">
      <c r="A534">
        <v>4421000198</v>
      </c>
      <c r="B534">
        <v>4421000236</v>
      </c>
      <c r="C534" t="str">
        <f>T("공주전쟁 39화")</f>
        <v>공주전쟁 39화</v>
      </c>
      <c r="D534" t="str">
        <f>T("39")</f>
        <v>39</v>
      </c>
      <c r="E534" t="str">
        <f>T("Hujing")</f>
        <v>Hujing</v>
      </c>
      <c r="G534" t="str">
        <f>T("Luojie")</f>
        <v>Luojie</v>
      </c>
      <c r="H534" t="str">
        <f t="shared" si="77"/>
        <v>스토리위즈</v>
      </c>
      <c r="I534" t="str">
        <f>T("공주전쟁")</f>
        <v>공주전쟁</v>
      </c>
      <c r="J534">
        <v>400</v>
      </c>
      <c r="K534">
        <v>0</v>
      </c>
      <c r="L534">
        <v>0</v>
      </c>
      <c r="M534">
        <v>0</v>
      </c>
      <c r="N534">
        <v>600</v>
      </c>
      <c r="O534">
        <v>3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 s="3">
        <v>600</v>
      </c>
      <c r="AH534" s="3">
        <v>3</v>
      </c>
      <c r="AI534" s="3">
        <v>0</v>
      </c>
      <c r="AJ534" s="3">
        <v>0</v>
      </c>
      <c r="AK534" s="3">
        <v>400</v>
      </c>
      <c r="AL534" s="3">
        <v>0</v>
      </c>
      <c r="AM534" s="3">
        <v>240</v>
      </c>
      <c r="AN534" s="3">
        <v>-72</v>
      </c>
      <c r="AO534" s="3">
        <v>0</v>
      </c>
      <c r="AP534" s="3">
        <v>397.6</v>
      </c>
      <c r="AR534" t="str">
        <f t="shared" si="78"/>
        <v>0000000000000</v>
      </c>
      <c r="AT534" t="str">
        <f>T("9791166069666")</f>
        <v>9791166069666</v>
      </c>
      <c r="AV534" t="str">
        <f>T("웹툰 &gt; 해외 순정")</f>
        <v>웹툰 &gt; 해외 순정</v>
      </c>
      <c r="AW534" t="str">
        <f>T("웹툰 &gt; 로판")</f>
        <v>웹툰 &gt; 로판</v>
      </c>
    </row>
    <row r="535" spans="1:49" x14ac:dyDescent="0.4">
      <c r="A535">
        <v>4421000916</v>
      </c>
      <c r="B535">
        <v>4421000979</v>
      </c>
      <c r="C535" t="str">
        <f>T("별빛 아래 우리 30화")</f>
        <v>별빛 아래 우리 30화</v>
      </c>
      <c r="D535" t="str">
        <f>T("30")</f>
        <v>30</v>
      </c>
      <c r="E535" t="str">
        <f>T("건일")</f>
        <v>건일</v>
      </c>
      <c r="G535" t="str">
        <f>T("건일")</f>
        <v>건일</v>
      </c>
      <c r="H535" t="str">
        <f t="shared" si="77"/>
        <v>스토리위즈</v>
      </c>
      <c r="I535" t="str">
        <f>T("별빛 아래 우리")</f>
        <v>별빛 아래 우리</v>
      </c>
      <c r="J535">
        <v>400</v>
      </c>
      <c r="K535">
        <v>0</v>
      </c>
      <c r="L535">
        <v>0</v>
      </c>
      <c r="M535">
        <v>0</v>
      </c>
      <c r="N535">
        <v>1200</v>
      </c>
      <c r="O535">
        <v>6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 s="3">
        <v>1200</v>
      </c>
      <c r="AH535" s="3">
        <v>6</v>
      </c>
      <c r="AI535" s="3">
        <v>0</v>
      </c>
      <c r="AJ535" s="3">
        <v>0</v>
      </c>
      <c r="AK535" s="3">
        <v>579</v>
      </c>
      <c r="AL535" s="3">
        <v>0</v>
      </c>
      <c r="AM535" s="3">
        <v>745.2</v>
      </c>
      <c r="AN535" s="3">
        <v>-223.56</v>
      </c>
      <c r="AO535" s="3">
        <v>0</v>
      </c>
      <c r="AP535" s="3">
        <v>770.45</v>
      </c>
      <c r="AR535" t="str">
        <f t="shared" si="78"/>
        <v>0000000000000</v>
      </c>
      <c r="AT535" t="str">
        <f>T("9791137601413")</f>
        <v>9791137601413</v>
      </c>
      <c r="AV535" t="str">
        <f>T("웹툰 &gt; 해외 순정")</f>
        <v>웹툰 &gt; 해외 순정</v>
      </c>
      <c r="AW535" t="str">
        <f>T("웹툰 &gt; 로맨스")</f>
        <v>웹툰 &gt; 로맨스</v>
      </c>
    </row>
    <row r="536" spans="1:49" x14ac:dyDescent="0.4">
      <c r="A536">
        <v>4421001936</v>
      </c>
      <c r="B536">
        <v>4421001936</v>
      </c>
      <c r="C536" t="str">
        <f>T("보스 오빠, 살살! 1화")</f>
        <v>보스 오빠, 살살! 1화</v>
      </c>
      <c r="D536" t="str">
        <f>T("1")</f>
        <v>1</v>
      </c>
      <c r="E536" t="str">
        <f>T("웹티")</f>
        <v>웹티</v>
      </c>
      <c r="H536" t="str">
        <f t="shared" si="77"/>
        <v>스토리위즈</v>
      </c>
      <c r="I536" t="str">
        <f>T("보스 오빠, 살살!")</f>
        <v>보스 오빠, 살살!</v>
      </c>
      <c r="J536">
        <v>0</v>
      </c>
      <c r="K536">
        <v>0</v>
      </c>
      <c r="L536">
        <v>0</v>
      </c>
      <c r="M536">
        <v>2</v>
      </c>
      <c r="N536">
        <v>0</v>
      </c>
      <c r="O536">
        <v>0</v>
      </c>
      <c r="P536">
        <v>10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 s="3">
        <v>0</v>
      </c>
      <c r="AH536" s="3">
        <v>12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T536" t="str">
        <f>T("9791190702331")</f>
        <v>9791190702331</v>
      </c>
      <c r="AV536" t="str">
        <f>T("웹툰 &gt; 로맨스")</f>
        <v>웹툰 &gt; 로맨스</v>
      </c>
    </row>
    <row r="537" spans="1:49" x14ac:dyDescent="0.4">
      <c r="A537">
        <v>4421001936</v>
      </c>
      <c r="B537">
        <v>4421001952</v>
      </c>
      <c r="C537" t="str">
        <f>T("보스 오빠, 살살! 17화")</f>
        <v>보스 오빠, 살살! 17화</v>
      </c>
      <c r="D537" t="str">
        <f>T("17")</f>
        <v>17</v>
      </c>
      <c r="E537" t="str">
        <f>T("웹티")</f>
        <v>웹티</v>
      </c>
      <c r="H537" t="str">
        <f t="shared" si="77"/>
        <v>스토리위즈</v>
      </c>
      <c r="I537" t="str">
        <f>T("보스 오빠, 살살!")</f>
        <v>보스 오빠, 살살!</v>
      </c>
      <c r="J537">
        <v>500</v>
      </c>
      <c r="K537">
        <v>0</v>
      </c>
      <c r="L537">
        <v>0</v>
      </c>
      <c r="M537">
        <v>0</v>
      </c>
      <c r="N537">
        <v>200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 s="3">
        <v>200</v>
      </c>
      <c r="AH537" s="3">
        <v>1</v>
      </c>
      <c r="AI537" s="3">
        <v>0</v>
      </c>
      <c r="AJ537" s="3">
        <v>0</v>
      </c>
      <c r="AK537" s="3">
        <v>0</v>
      </c>
      <c r="AL537" s="3">
        <v>0</v>
      </c>
      <c r="AM537" s="3">
        <v>240</v>
      </c>
      <c r="AN537" s="3">
        <v>-72</v>
      </c>
      <c r="AO537" s="3">
        <v>0</v>
      </c>
      <c r="AP537" s="3">
        <v>117.6</v>
      </c>
      <c r="AT537" t="str">
        <f>T("9791190702331")</f>
        <v>9791190702331</v>
      </c>
      <c r="AV537" t="str">
        <f>T("웹툰 &gt; 로맨스")</f>
        <v>웹툰 &gt; 로맨스</v>
      </c>
    </row>
    <row r="538" spans="1:49" x14ac:dyDescent="0.4">
      <c r="A538">
        <v>4421000001</v>
      </c>
      <c r="B538">
        <v>4421000022</v>
      </c>
      <c r="C538" t="str">
        <f>T("감옥실험 12화")</f>
        <v>감옥실험 12화</v>
      </c>
      <c r="D538" t="str">
        <f>T("12")</f>
        <v>12</v>
      </c>
      <c r="E538" t="str">
        <f>T("Kantetsu")</f>
        <v>Kantetsu</v>
      </c>
      <c r="G538" t="str">
        <f>T("Minase Chiho")</f>
        <v>Minase Chiho</v>
      </c>
      <c r="H538" t="str">
        <f t="shared" si="77"/>
        <v>스토리위즈</v>
      </c>
      <c r="I538" t="str">
        <f>T("감옥실험")</f>
        <v>감옥실험</v>
      </c>
      <c r="J538">
        <v>500</v>
      </c>
      <c r="K538">
        <v>0</v>
      </c>
      <c r="L538">
        <v>0</v>
      </c>
      <c r="M538">
        <v>0</v>
      </c>
      <c r="N538">
        <v>900</v>
      </c>
      <c r="O538">
        <v>3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 s="3">
        <v>900</v>
      </c>
      <c r="AH538" s="3">
        <v>3</v>
      </c>
      <c r="AI538" s="3">
        <v>0</v>
      </c>
      <c r="AJ538" s="3">
        <v>0</v>
      </c>
      <c r="AK538" s="3">
        <v>900</v>
      </c>
      <c r="AL538" s="3">
        <v>0</v>
      </c>
      <c r="AM538" s="3">
        <v>0</v>
      </c>
      <c r="AN538" s="3">
        <v>0</v>
      </c>
      <c r="AO538" s="3">
        <v>0</v>
      </c>
      <c r="AP538" s="3">
        <v>630</v>
      </c>
      <c r="AT538" t="str">
        <f>T("9791166069406")</f>
        <v>9791166069406</v>
      </c>
      <c r="AV538" t="str">
        <f>T("웹툰 &gt; 드라마")</f>
        <v>웹툰 &gt; 드라마</v>
      </c>
    </row>
    <row r="539" spans="1:49" x14ac:dyDescent="0.4">
      <c r="A539">
        <v>4421000518</v>
      </c>
      <c r="B539">
        <v>4421000541</v>
      </c>
      <c r="C539" t="str">
        <f>T("백스테이지 키스신 23화")</f>
        <v>백스테이지 키스신 23화</v>
      </c>
      <c r="D539" t="str">
        <f>T("23")</f>
        <v>23</v>
      </c>
      <c r="E539" t="str">
        <f>T("최도비")</f>
        <v>최도비</v>
      </c>
      <c r="G539" t="str">
        <f>T("수정과")</f>
        <v>수정과</v>
      </c>
      <c r="H539" t="str">
        <f t="shared" si="77"/>
        <v>스토리위즈</v>
      </c>
      <c r="I539" t="str">
        <f>T("백스테이지 키스신")</f>
        <v>백스테이지 키스신</v>
      </c>
      <c r="J539">
        <v>400</v>
      </c>
      <c r="K539">
        <v>0</v>
      </c>
      <c r="L539">
        <v>0</v>
      </c>
      <c r="M539">
        <v>0</v>
      </c>
      <c r="N539">
        <v>200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 s="3">
        <v>200</v>
      </c>
      <c r="AH539" s="3">
        <v>1</v>
      </c>
      <c r="AI539" s="3">
        <v>0</v>
      </c>
      <c r="AJ539" s="3">
        <v>0</v>
      </c>
      <c r="AK539" s="3">
        <v>200</v>
      </c>
      <c r="AL539" s="3">
        <v>0</v>
      </c>
      <c r="AM539" s="3">
        <v>0</v>
      </c>
      <c r="AN539" s="3">
        <v>0</v>
      </c>
      <c r="AO539" s="3">
        <v>0</v>
      </c>
      <c r="AP539" s="3">
        <v>140</v>
      </c>
      <c r="AR539" t="str">
        <f t="shared" ref="AR539:AR544" si="79">T("0000000000000")</f>
        <v>0000000000000</v>
      </c>
      <c r="AT539" t="str">
        <f>T("9791166067990")</f>
        <v>9791166067990</v>
      </c>
      <c r="AV539" t="str">
        <f>T("웹툰 &gt; 로맨스")</f>
        <v>웹툰 &gt; 로맨스</v>
      </c>
    </row>
    <row r="540" spans="1:49" x14ac:dyDescent="0.4">
      <c r="A540">
        <v>4421000866</v>
      </c>
      <c r="B540">
        <v>4421001218</v>
      </c>
      <c r="C540" t="str">
        <f>T("최애에게 들켜버렸다 52화")</f>
        <v>최애에게 들켜버렸다 52화</v>
      </c>
      <c r="D540" t="str">
        <f>T("55")</f>
        <v>55</v>
      </c>
      <c r="E540" t="str">
        <f>T("Lv")</f>
        <v>Lv</v>
      </c>
      <c r="G540" t="str">
        <f>T("Lv")</f>
        <v>Lv</v>
      </c>
      <c r="H540" t="str">
        <f t="shared" si="77"/>
        <v>스토리위즈</v>
      </c>
      <c r="I540" t="str">
        <f>T("최애에게 들켜버렸다")</f>
        <v>최애에게 들켜버렸다</v>
      </c>
      <c r="J540">
        <v>400</v>
      </c>
      <c r="K540">
        <v>0</v>
      </c>
      <c r="L540">
        <v>0</v>
      </c>
      <c r="M540">
        <v>0</v>
      </c>
      <c r="N540">
        <v>600</v>
      </c>
      <c r="O540">
        <v>3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 s="3">
        <v>600</v>
      </c>
      <c r="AH540" s="3">
        <v>3</v>
      </c>
      <c r="AI540" s="3">
        <v>0</v>
      </c>
      <c r="AJ540" s="3">
        <v>0</v>
      </c>
      <c r="AK540" s="3">
        <v>424</v>
      </c>
      <c r="AL540" s="3">
        <v>0</v>
      </c>
      <c r="AM540" s="3">
        <v>211.38</v>
      </c>
      <c r="AN540" s="3">
        <v>-63.41</v>
      </c>
      <c r="AO540" s="3">
        <v>0</v>
      </c>
      <c r="AP540" s="3">
        <v>400.38</v>
      </c>
      <c r="AR540" t="str">
        <f t="shared" si="79"/>
        <v>0000000000000</v>
      </c>
      <c r="AT540" t="str">
        <f>T("9791137601253")</f>
        <v>9791137601253</v>
      </c>
      <c r="AV540" t="str">
        <f>T("웹툰 &gt; 해외 순정")</f>
        <v>웹툰 &gt; 해외 순정</v>
      </c>
      <c r="AW540" t="str">
        <f>T("웹툰 &gt; 로맨스")</f>
        <v>웹툰 &gt; 로맨스</v>
      </c>
    </row>
    <row r="541" spans="1:49" x14ac:dyDescent="0.4">
      <c r="A541">
        <v>4421000450</v>
      </c>
      <c r="B541">
        <v>4421000501</v>
      </c>
      <c r="C541" t="str">
        <f>T("내 남편의 스토커 51화")</f>
        <v>내 남편의 스토커 51화</v>
      </c>
      <c r="D541" t="str">
        <f>T("51")</f>
        <v>51</v>
      </c>
      <c r="E541" t="str">
        <f>T("혜원")</f>
        <v>혜원</v>
      </c>
      <c r="G541" t="str">
        <f>T("혜원")</f>
        <v>혜원</v>
      </c>
      <c r="H541" t="str">
        <f t="shared" si="77"/>
        <v>스토리위즈</v>
      </c>
      <c r="I541" t="str">
        <f>T("내 남편의 스토커")</f>
        <v>내 남편의 스토커</v>
      </c>
      <c r="J541">
        <v>400</v>
      </c>
      <c r="K541">
        <v>0</v>
      </c>
      <c r="L541">
        <v>0</v>
      </c>
      <c r="M541">
        <v>0</v>
      </c>
      <c r="N541">
        <v>200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s="3">
        <v>200</v>
      </c>
      <c r="AH541" s="3">
        <v>1</v>
      </c>
      <c r="AI541" s="3">
        <v>0</v>
      </c>
      <c r="AJ541" s="3">
        <v>0</v>
      </c>
      <c r="AK541" s="3">
        <v>200</v>
      </c>
      <c r="AL541" s="3">
        <v>0</v>
      </c>
      <c r="AM541" s="3">
        <v>0</v>
      </c>
      <c r="AN541" s="3">
        <v>0</v>
      </c>
      <c r="AO541" s="3">
        <v>0</v>
      </c>
      <c r="AP541" s="3">
        <v>140</v>
      </c>
      <c r="AR541" t="str">
        <f t="shared" si="79"/>
        <v>0000000000000</v>
      </c>
      <c r="AT541" t="str">
        <f>T("9791166068034")</f>
        <v>9791166068034</v>
      </c>
      <c r="AV541" t="str">
        <f>T("웹툰 &gt; 로맨스")</f>
        <v>웹툰 &gt; 로맨스</v>
      </c>
    </row>
    <row r="542" spans="1:49" x14ac:dyDescent="0.4">
      <c r="A542">
        <v>4421000337</v>
      </c>
      <c r="B542">
        <v>4421000341</v>
      </c>
      <c r="C542" t="str">
        <f>T("계약연애, 오늘부터 1일 5화")</f>
        <v>계약연애, 오늘부터 1일 5화</v>
      </c>
      <c r="D542" t="str">
        <f>T("5")</f>
        <v>5</v>
      </c>
      <c r="E542" t="str">
        <f>T("원기공장")</f>
        <v>원기공장</v>
      </c>
      <c r="H542" t="str">
        <f t="shared" si="77"/>
        <v>스토리위즈</v>
      </c>
      <c r="I542" t="str">
        <f>T("계약연애, 오늘부터 1일")</f>
        <v>계약연애, 오늘부터 1일</v>
      </c>
      <c r="J542">
        <v>200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 s="3">
        <v>0</v>
      </c>
      <c r="AH542" s="3">
        <v>7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R542" t="str">
        <f t="shared" si="79"/>
        <v>0000000000000</v>
      </c>
      <c r="AT542" t="str">
        <f>T("9791166068027")</f>
        <v>9791166068027</v>
      </c>
      <c r="AV542" t="str">
        <f>T("웹툰 &gt; 해외 순정")</f>
        <v>웹툰 &gt; 해외 순정</v>
      </c>
      <c r="AW542" t="str">
        <f>T("웹툰 &gt; 로맨스")</f>
        <v>웹툰 &gt; 로맨스</v>
      </c>
    </row>
    <row r="543" spans="1:49" x14ac:dyDescent="0.4">
      <c r="A543">
        <v>4421000887</v>
      </c>
      <c r="B543">
        <v>4421000900</v>
      </c>
      <c r="C543" t="str">
        <f>T("폭군의 눈물 14화")</f>
        <v>폭군의 눈물 14화</v>
      </c>
      <c r="D543" t="str">
        <f>T("14")</f>
        <v>14</v>
      </c>
      <c r="E543" t="str">
        <f>T("Ice×FANFAN COMIC")</f>
        <v>Ice×FANFAN COMIC</v>
      </c>
      <c r="G543" t="str">
        <f>T("Ice×FANFAN COMIC")</f>
        <v>Ice×FANFAN COMIC</v>
      </c>
      <c r="H543" t="str">
        <f t="shared" si="77"/>
        <v>스토리위즈</v>
      </c>
      <c r="I543" t="str">
        <f>T("폭군의 눈물")</f>
        <v>폭군의 눈물</v>
      </c>
      <c r="J543">
        <v>400</v>
      </c>
      <c r="K543">
        <v>0</v>
      </c>
      <c r="L543">
        <v>0</v>
      </c>
      <c r="M543">
        <v>0</v>
      </c>
      <c r="N543">
        <v>600</v>
      </c>
      <c r="O543">
        <v>3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 s="3">
        <v>600</v>
      </c>
      <c r="AH543" s="3">
        <v>3</v>
      </c>
      <c r="AI543" s="3">
        <v>0</v>
      </c>
      <c r="AJ543" s="3">
        <v>0</v>
      </c>
      <c r="AK543" s="3">
        <v>400</v>
      </c>
      <c r="AL543" s="3">
        <v>0</v>
      </c>
      <c r="AM543" s="3">
        <v>240</v>
      </c>
      <c r="AN543" s="3">
        <v>-72</v>
      </c>
      <c r="AO543" s="3">
        <v>0</v>
      </c>
      <c r="AP543" s="3">
        <v>397.6</v>
      </c>
      <c r="AR543" t="str">
        <f t="shared" si="79"/>
        <v>0000000000000</v>
      </c>
      <c r="AT543" t="str">
        <f>T("9791137601291")</f>
        <v>9791137601291</v>
      </c>
      <c r="AV543" t="str">
        <f>T("웹툰 &gt; 해외 순정")</f>
        <v>웹툰 &gt; 해외 순정</v>
      </c>
      <c r="AW543" t="str">
        <f>T("웹툰 &gt; 로판")</f>
        <v>웹툰 &gt; 로판</v>
      </c>
    </row>
    <row r="544" spans="1:49" x14ac:dyDescent="0.4">
      <c r="A544">
        <v>4421002305</v>
      </c>
      <c r="B544">
        <v>4421002308</v>
      </c>
      <c r="C544" t="str">
        <f>T("천년의 사랑 3화")</f>
        <v>천년의 사랑 3화</v>
      </c>
      <c r="D544" t="str">
        <f>T("3")</f>
        <v>3</v>
      </c>
      <c r="E544" t="str">
        <f>T("웹티")</f>
        <v>웹티</v>
      </c>
      <c r="H544" t="str">
        <f t="shared" si="77"/>
        <v>스토리위즈</v>
      </c>
      <c r="I544" t="str">
        <f>T("천년의 사랑")</f>
        <v>천년의 사랑</v>
      </c>
      <c r="J544">
        <v>0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 s="3">
        <v>0</v>
      </c>
      <c r="AH544" s="3">
        <v>1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R544" t="str">
        <f t="shared" si="79"/>
        <v>0000000000000</v>
      </c>
      <c r="AT544" t="str">
        <f>T("9791190622011")</f>
        <v>9791190622011</v>
      </c>
      <c r="AV544" t="str">
        <f>T("웹툰 &gt; 로맨스")</f>
        <v>웹툰 &gt; 로맨스</v>
      </c>
    </row>
    <row r="545" spans="1:49" x14ac:dyDescent="0.4">
      <c r="A545">
        <v>4421000001</v>
      </c>
      <c r="B545">
        <v>4421000054</v>
      </c>
      <c r="C545" t="str">
        <f>T("감옥실험 34화")</f>
        <v>감옥실험 34화</v>
      </c>
      <c r="D545" t="str">
        <f>T("34")</f>
        <v>34</v>
      </c>
      <c r="E545" t="str">
        <f>T("Kantetsu")</f>
        <v>Kantetsu</v>
      </c>
      <c r="G545" t="str">
        <f>T("Minase Chiho")</f>
        <v>Minase Chiho</v>
      </c>
      <c r="H545" t="str">
        <f t="shared" si="77"/>
        <v>스토리위즈</v>
      </c>
      <c r="I545" t="str">
        <f>T("감옥실험")</f>
        <v>감옥실험</v>
      </c>
      <c r="J545">
        <v>500</v>
      </c>
      <c r="K545">
        <v>0</v>
      </c>
      <c r="L545">
        <v>0</v>
      </c>
      <c r="M545">
        <v>0</v>
      </c>
      <c r="N545">
        <v>900</v>
      </c>
      <c r="O545">
        <v>3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 s="3">
        <v>900</v>
      </c>
      <c r="AH545" s="3">
        <v>3</v>
      </c>
      <c r="AI545" s="3">
        <v>0</v>
      </c>
      <c r="AJ545" s="3">
        <v>0</v>
      </c>
      <c r="AK545" s="3">
        <v>606</v>
      </c>
      <c r="AL545" s="3">
        <v>0</v>
      </c>
      <c r="AM545" s="3">
        <v>352.8</v>
      </c>
      <c r="AN545" s="3">
        <v>-105.84</v>
      </c>
      <c r="AO545" s="3">
        <v>0</v>
      </c>
      <c r="AP545" s="3">
        <v>597.07000000000005</v>
      </c>
      <c r="AT545" t="str">
        <f>T("9791166069406")</f>
        <v>9791166069406</v>
      </c>
      <c r="AV545" t="str">
        <f>T("웹툰 &gt; 드라마")</f>
        <v>웹툰 &gt; 드라마</v>
      </c>
    </row>
    <row r="546" spans="1:49" x14ac:dyDescent="0.4">
      <c r="A546">
        <v>4421000742</v>
      </c>
      <c r="B546">
        <v>4421000744</v>
      </c>
      <c r="C546" t="str">
        <f>T("연애 2분의 1 3화")</f>
        <v>연애 2분의 1 3화</v>
      </c>
      <c r="D546" t="str">
        <f>T("3")</f>
        <v>3</v>
      </c>
      <c r="E546" t="str">
        <f>T("Zhupi&amp;Yangxuetu")</f>
        <v>Zhupi&amp;Yangxuetu</v>
      </c>
      <c r="H546" t="str">
        <f t="shared" si="77"/>
        <v>스토리위즈</v>
      </c>
      <c r="I546" t="str">
        <f>T("연애 2분의 1")</f>
        <v>연애 2분의 1</v>
      </c>
      <c r="J546">
        <v>200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 s="3">
        <v>0</v>
      </c>
      <c r="AH546" s="3">
        <v>1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R546" t="str">
        <f>T("0000000000000")</f>
        <v>0000000000000</v>
      </c>
      <c r="AT546" t="str">
        <f>T("9791166067891")</f>
        <v>9791166067891</v>
      </c>
      <c r="AV546" t="str">
        <f>T("웹툰 &gt; 해외 순정")</f>
        <v>웹툰 &gt; 해외 순정</v>
      </c>
      <c r="AW546" t="str">
        <f>T("웹툰 &gt; 로맨스")</f>
        <v>웹툰 &gt; 로맨스</v>
      </c>
    </row>
    <row r="547" spans="1:49" x14ac:dyDescent="0.4">
      <c r="A547">
        <v>4421001325</v>
      </c>
      <c r="B547">
        <v>4421002864</v>
      </c>
      <c r="C547" t="str">
        <f>T("커피여우 김삼월 25화")</f>
        <v>커피여우 김삼월 25화</v>
      </c>
      <c r="D547" t="str">
        <f>T("25")</f>
        <v>25</v>
      </c>
      <c r="E547" t="str">
        <f>T("Nica")</f>
        <v>Nica</v>
      </c>
      <c r="G547" t="str">
        <f>T("A.Noa, RK Studio")</f>
        <v>A.Noa, RK Studio</v>
      </c>
      <c r="H547" t="str">
        <f t="shared" si="77"/>
        <v>스토리위즈</v>
      </c>
      <c r="I547" t="str">
        <f>T("커피여우 김삼월")</f>
        <v>커피여우 김삼월</v>
      </c>
      <c r="J547">
        <v>500</v>
      </c>
      <c r="K547">
        <v>0</v>
      </c>
      <c r="L547">
        <v>0</v>
      </c>
      <c r="M547">
        <v>0</v>
      </c>
      <c r="N547">
        <v>400</v>
      </c>
      <c r="O547">
        <v>2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 s="3">
        <v>400</v>
      </c>
      <c r="AH547" s="3">
        <v>2</v>
      </c>
      <c r="AI547" s="3">
        <v>0</v>
      </c>
      <c r="AJ547" s="3">
        <v>0</v>
      </c>
      <c r="AK547" s="3">
        <v>400</v>
      </c>
      <c r="AL547" s="3">
        <v>0</v>
      </c>
      <c r="AM547" s="3">
        <v>0</v>
      </c>
      <c r="AN547" s="3">
        <v>0</v>
      </c>
      <c r="AO547" s="3">
        <v>0</v>
      </c>
      <c r="AP547" s="3">
        <v>280</v>
      </c>
      <c r="AR547" t="str">
        <f>T("0000000000000")</f>
        <v>0000000000000</v>
      </c>
      <c r="AT547" t="str">
        <f>T("9791191241792")</f>
        <v>9791191241792</v>
      </c>
      <c r="AV547" t="str">
        <f>T("웹툰 &gt; 로맨스")</f>
        <v>웹툰 &gt; 로맨스</v>
      </c>
    </row>
    <row r="548" spans="1:49" x14ac:dyDescent="0.4">
      <c r="A548">
        <v>4421000887</v>
      </c>
      <c r="B548">
        <v>4421001252</v>
      </c>
      <c r="C548" t="str">
        <f>T("폭군의 눈물 46화")</f>
        <v>폭군의 눈물 46화</v>
      </c>
      <c r="D548" t="str">
        <f>T("46")</f>
        <v>46</v>
      </c>
      <c r="E548" t="str">
        <f>T("Ice×FANFAN COMIC")</f>
        <v>Ice×FANFAN COMIC</v>
      </c>
      <c r="G548" t="str">
        <f>T("Ice×FANFAN COMIC")</f>
        <v>Ice×FANFAN COMIC</v>
      </c>
      <c r="H548" t="str">
        <f t="shared" si="77"/>
        <v>스토리위즈</v>
      </c>
      <c r="I548" t="str">
        <f>T("폭군의 눈물")</f>
        <v>폭군의 눈물</v>
      </c>
      <c r="J548">
        <v>400</v>
      </c>
      <c r="K548">
        <v>0</v>
      </c>
      <c r="L548">
        <v>0</v>
      </c>
      <c r="M548">
        <v>0</v>
      </c>
      <c r="N548">
        <v>600</v>
      </c>
      <c r="O548">
        <v>3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 s="3">
        <v>600</v>
      </c>
      <c r="AH548" s="3">
        <v>3</v>
      </c>
      <c r="AI548" s="3">
        <v>0</v>
      </c>
      <c r="AJ548" s="3">
        <v>0</v>
      </c>
      <c r="AK548" s="3">
        <v>400</v>
      </c>
      <c r="AL548" s="3">
        <v>0</v>
      </c>
      <c r="AM548" s="3">
        <v>240</v>
      </c>
      <c r="AN548" s="3">
        <v>-72</v>
      </c>
      <c r="AO548" s="3">
        <v>0</v>
      </c>
      <c r="AP548" s="3">
        <v>397.6</v>
      </c>
      <c r="AR548" t="str">
        <f>T("0000000000000")</f>
        <v>0000000000000</v>
      </c>
      <c r="AT548" t="str">
        <f>T("9791137601291")</f>
        <v>9791137601291</v>
      </c>
      <c r="AV548" t="str">
        <f>T("웹툰 &gt; 해외 순정")</f>
        <v>웹툰 &gt; 해외 순정</v>
      </c>
      <c r="AW548" t="str">
        <f>T("웹툰 &gt; 로판")</f>
        <v>웹툰 &gt; 로판</v>
      </c>
    </row>
    <row r="549" spans="1:49" x14ac:dyDescent="0.4">
      <c r="A549">
        <v>4421000069</v>
      </c>
      <c r="B549">
        <v>4421000094</v>
      </c>
      <c r="C549" t="str">
        <f>T("너랑 나랑 하면 25화")</f>
        <v>너랑 나랑 하면 25화</v>
      </c>
      <c r="D549" t="str">
        <f>T("25")</f>
        <v>25</v>
      </c>
      <c r="E549" t="str">
        <f>T("NISANSUI")</f>
        <v>NISANSUI</v>
      </c>
      <c r="G549" t="str">
        <f>T("ZIQUAN")</f>
        <v>ZIQUAN</v>
      </c>
      <c r="H549" t="str">
        <f t="shared" si="77"/>
        <v>스토리위즈</v>
      </c>
      <c r="I549" t="str">
        <f>T("너랑 나랑 하면")</f>
        <v>너랑 나랑 하면</v>
      </c>
      <c r="J549">
        <v>400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 s="3">
        <v>0</v>
      </c>
      <c r="AH549" s="3">
        <v>3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R549" t="str">
        <f>T("0000000000000")</f>
        <v>0000000000000</v>
      </c>
      <c r="AT549" t="str">
        <f>T("9791166067884")</f>
        <v>9791166067884</v>
      </c>
      <c r="AV549" t="str">
        <f>T("BL 웹툰 &gt; 웹툰")</f>
        <v>BL 웹툰 &gt; 웹툰</v>
      </c>
    </row>
    <row r="550" spans="1:49" x14ac:dyDescent="0.4">
      <c r="A550">
        <v>4421001340</v>
      </c>
      <c r="B550">
        <v>4421001529</v>
      </c>
      <c r="C550" t="str">
        <f>T("가출천사 육성계약 39화")</f>
        <v>가출천사 육성계약 39화</v>
      </c>
      <c r="D550" t="str">
        <f>T("39")</f>
        <v>39</v>
      </c>
      <c r="E550" t="str">
        <f>T("Bae.C, IIAKI, 박제후")</f>
        <v>Bae.C, IIAKI, 박제후</v>
      </c>
      <c r="G550" t="str">
        <f>T("Bae.C, 조우")</f>
        <v>Bae.C, 조우</v>
      </c>
      <c r="H550" t="str">
        <f t="shared" si="77"/>
        <v>스토리위즈</v>
      </c>
      <c r="I550" t="str">
        <f>T("가출천사 육성계약")</f>
        <v>가출천사 육성계약</v>
      </c>
      <c r="J550">
        <v>400</v>
      </c>
      <c r="K550">
        <v>0</v>
      </c>
      <c r="L550">
        <v>0</v>
      </c>
      <c r="M550">
        <v>0</v>
      </c>
      <c r="N550">
        <v>200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 s="3">
        <v>200</v>
      </c>
      <c r="AH550" s="3">
        <v>1</v>
      </c>
      <c r="AI550" s="3">
        <v>0</v>
      </c>
      <c r="AJ550" s="3">
        <v>0</v>
      </c>
      <c r="AK550" s="3">
        <v>200</v>
      </c>
      <c r="AL550" s="3">
        <v>0</v>
      </c>
      <c r="AM550" s="3">
        <v>0</v>
      </c>
      <c r="AN550" s="3">
        <v>0</v>
      </c>
      <c r="AO550" s="3">
        <v>0</v>
      </c>
      <c r="AP550" s="3">
        <v>140</v>
      </c>
      <c r="AR550" t="str">
        <f>T("0000000000000")</f>
        <v>0000000000000</v>
      </c>
      <c r="AT550" t="str">
        <f>T("9791191765663")</f>
        <v>9791191765663</v>
      </c>
      <c r="AV550" t="str">
        <f>T("웹툰 &gt; 판타지/SF")</f>
        <v>웹툰 &gt; 판타지/SF</v>
      </c>
    </row>
    <row r="551" spans="1:49" x14ac:dyDescent="0.4">
      <c r="A551">
        <v>4421000001</v>
      </c>
      <c r="B551">
        <v>4421000015</v>
      </c>
      <c r="C551" t="str">
        <f>T("감옥실험 5화")</f>
        <v>감옥실험 5화</v>
      </c>
      <c r="D551" t="str">
        <f>T("5")</f>
        <v>5</v>
      </c>
      <c r="E551" t="str">
        <f>T("Kantetsu")</f>
        <v>Kantetsu</v>
      </c>
      <c r="G551" t="str">
        <f>T("Minase Chiho")</f>
        <v>Minase Chiho</v>
      </c>
      <c r="H551" t="str">
        <f t="shared" si="77"/>
        <v>스토리위즈</v>
      </c>
      <c r="I551" t="str">
        <f>T("감옥실험")</f>
        <v>감옥실험</v>
      </c>
      <c r="J551">
        <v>500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20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 s="3">
        <v>0</v>
      </c>
      <c r="AH551" s="3">
        <v>20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T551" t="str">
        <f>T("9791166069406")</f>
        <v>9791166069406</v>
      </c>
      <c r="AV551" t="str">
        <f>T("웹툰 &gt; 드라마")</f>
        <v>웹툰 &gt; 드라마</v>
      </c>
    </row>
    <row r="552" spans="1:49" x14ac:dyDescent="0.4">
      <c r="A552">
        <v>4421000518</v>
      </c>
      <c r="B552">
        <v>4421000534</v>
      </c>
      <c r="C552" t="str">
        <f>T("백스테이지 키스신 16화")</f>
        <v>백스테이지 키스신 16화</v>
      </c>
      <c r="D552" t="str">
        <f>T("16")</f>
        <v>16</v>
      </c>
      <c r="E552" t="str">
        <f>T("최도비")</f>
        <v>최도비</v>
      </c>
      <c r="G552" t="str">
        <f>T("수정과")</f>
        <v>수정과</v>
      </c>
      <c r="H552" t="str">
        <f t="shared" si="77"/>
        <v>스토리위즈</v>
      </c>
      <c r="I552" t="str">
        <f>T("백스테이지 키스신")</f>
        <v>백스테이지 키스신</v>
      </c>
      <c r="J552">
        <v>400</v>
      </c>
      <c r="K552">
        <v>0</v>
      </c>
      <c r="L552">
        <v>0</v>
      </c>
      <c r="M552">
        <v>0</v>
      </c>
      <c r="N552">
        <v>200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 s="3">
        <v>200</v>
      </c>
      <c r="AH552" s="3">
        <v>1</v>
      </c>
      <c r="AI552" s="3">
        <v>0</v>
      </c>
      <c r="AJ552" s="3">
        <v>0</v>
      </c>
      <c r="AK552" s="3">
        <v>200</v>
      </c>
      <c r="AL552" s="3">
        <v>0</v>
      </c>
      <c r="AM552" s="3">
        <v>0</v>
      </c>
      <c r="AN552" s="3">
        <v>0</v>
      </c>
      <c r="AO552" s="3">
        <v>0</v>
      </c>
      <c r="AP552" s="3">
        <v>140</v>
      </c>
      <c r="AR552" t="str">
        <f>T("0000000000000")</f>
        <v>0000000000000</v>
      </c>
      <c r="AT552" t="str">
        <f>T("9791166067990")</f>
        <v>9791166067990</v>
      </c>
      <c r="AV552" t="str">
        <f>T("웹툰 &gt; 로맨스")</f>
        <v>웹툰 &gt; 로맨스</v>
      </c>
    </row>
    <row r="553" spans="1:49" x14ac:dyDescent="0.4">
      <c r="A553">
        <v>4421000916</v>
      </c>
      <c r="B553">
        <v>4421001211</v>
      </c>
      <c r="C553" t="str">
        <f>T("별빛 아래 우리 48화")</f>
        <v>별빛 아래 우리 48화</v>
      </c>
      <c r="D553" t="str">
        <f>T("48")</f>
        <v>48</v>
      </c>
      <c r="E553" t="str">
        <f>T("건일")</f>
        <v>건일</v>
      </c>
      <c r="G553" t="str">
        <f>T("건일")</f>
        <v>건일</v>
      </c>
      <c r="H553" t="str">
        <f t="shared" si="77"/>
        <v>스토리위즈</v>
      </c>
      <c r="I553" t="str">
        <f>T("별빛 아래 우리")</f>
        <v>별빛 아래 우리</v>
      </c>
      <c r="J553">
        <v>400</v>
      </c>
      <c r="K553">
        <v>0</v>
      </c>
      <c r="L553">
        <v>0</v>
      </c>
      <c r="M553">
        <v>0</v>
      </c>
      <c r="N553">
        <v>800</v>
      </c>
      <c r="O553">
        <v>4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 s="3">
        <v>800</v>
      </c>
      <c r="AH553" s="3">
        <v>4</v>
      </c>
      <c r="AI553" s="3">
        <v>0</v>
      </c>
      <c r="AJ553" s="3">
        <v>0</v>
      </c>
      <c r="AK553" s="3">
        <v>379</v>
      </c>
      <c r="AL553" s="3">
        <v>0</v>
      </c>
      <c r="AM553" s="3">
        <v>505.2</v>
      </c>
      <c r="AN553" s="3">
        <v>-151.56</v>
      </c>
      <c r="AO553" s="3">
        <v>0</v>
      </c>
      <c r="AP553" s="3">
        <v>512.85</v>
      </c>
      <c r="AR553" t="str">
        <f>T("0000000000000")</f>
        <v>0000000000000</v>
      </c>
      <c r="AT553" t="str">
        <f>T("9791137601413")</f>
        <v>9791137601413</v>
      </c>
      <c r="AV553" t="str">
        <f>T("웹툰 &gt; 해외 순정")</f>
        <v>웹툰 &gt; 해외 순정</v>
      </c>
      <c r="AW553" t="str">
        <f>T("웹툰 &gt; 로맨스")</f>
        <v>웹툰 &gt; 로맨스</v>
      </c>
    </row>
    <row r="554" spans="1:49" x14ac:dyDescent="0.4">
      <c r="A554">
        <v>4421000450</v>
      </c>
      <c r="B554">
        <v>4421000494</v>
      </c>
      <c r="C554" t="str">
        <f>T("내 남편의 스토커 44화")</f>
        <v>내 남편의 스토커 44화</v>
      </c>
      <c r="D554" t="str">
        <f>T("44")</f>
        <v>44</v>
      </c>
      <c r="E554" t="str">
        <f>T("혜원")</f>
        <v>혜원</v>
      </c>
      <c r="G554" t="str">
        <f>T("혜원")</f>
        <v>혜원</v>
      </c>
      <c r="H554" t="str">
        <f t="shared" si="77"/>
        <v>스토리위즈</v>
      </c>
      <c r="I554" t="str">
        <f>T("내 남편의 스토커")</f>
        <v>내 남편의 스토커</v>
      </c>
      <c r="J554">
        <v>400</v>
      </c>
      <c r="K554">
        <v>0</v>
      </c>
      <c r="L554">
        <v>0</v>
      </c>
      <c r="M554">
        <v>0</v>
      </c>
      <c r="N554">
        <v>200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 s="3">
        <v>200</v>
      </c>
      <c r="AH554" s="3">
        <v>1</v>
      </c>
      <c r="AI554" s="3">
        <v>0</v>
      </c>
      <c r="AJ554" s="3">
        <v>0</v>
      </c>
      <c r="AK554" s="3">
        <v>200</v>
      </c>
      <c r="AL554" s="3">
        <v>0</v>
      </c>
      <c r="AM554" s="3">
        <v>0</v>
      </c>
      <c r="AN554" s="3">
        <v>0</v>
      </c>
      <c r="AO554" s="3">
        <v>0</v>
      </c>
      <c r="AP554" s="3">
        <v>140</v>
      </c>
      <c r="AR554" t="str">
        <f>T("0000000000000")</f>
        <v>0000000000000</v>
      </c>
      <c r="AT554" t="str">
        <f>T("9791166068034")</f>
        <v>9791166068034</v>
      </c>
      <c r="AV554" t="str">
        <f>T("웹툰 &gt; 로맨스")</f>
        <v>웹툰 &gt; 로맨스</v>
      </c>
    </row>
    <row r="555" spans="1:49" x14ac:dyDescent="0.4">
      <c r="A555">
        <v>4421000198</v>
      </c>
      <c r="B555">
        <v>4421000261</v>
      </c>
      <c r="C555" t="str">
        <f>T("공주전쟁 53화")</f>
        <v>공주전쟁 53화</v>
      </c>
      <c r="D555" t="str">
        <f>T("53")</f>
        <v>53</v>
      </c>
      <c r="E555" t="str">
        <f>T("Hujing")</f>
        <v>Hujing</v>
      </c>
      <c r="G555" t="str">
        <f>T("Luojie")</f>
        <v>Luojie</v>
      </c>
      <c r="H555" t="str">
        <f t="shared" si="77"/>
        <v>스토리위즈</v>
      </c>
      <c r="I555" t="str">
        <f>T("공주전쟁")</f>
        <v>공주전쟁</v>
      </c>
      <c r="J555">
        <v>400</v>
      </c>
      <c r="K555">
        <v>0</v>
      </c>
      <c r="L555">
        <v>0</v>
      </c>
      <c r="M555">
        <v>0</v>
      </c>
      <c r="N555">
        <v>400</v>
      </c>
      <c r="O555">
        <v>2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 s="3">
        <v>400</v>
      </c>
      <c r="AH555" s="3">
        <v>2</v>
      </c>
      <c r="AI555" s="3">
        <v>0</v>
      </c>
      <c r="AJ555" s="3">
        <v>0</v>
      </c>
      <c r="AK555" s="3">
        <v>200</v>
      </c>
      <c r="AL555" s="3">
        <v>0</v>
      </c>
      <c r="AM555" s="3">
        <v>240</v>
      </c>
      <c r="AN555" s="3">
        <v>-72</v>
      </c>
      <c r="AO555" s="3">
        <v>0</v>
      </c>
      <c r="AP555" s="3">
        <v>257.60000000000002</v>
      </c>
      <c r="AR555" t="str">
        <f>T("0000000000000")</f>
        <v>0000000000000</v>
      </c>
      <c r="AT555" t="str">
        <f>T("9791166069666")</f>
        <v>9791166069666</v>
      </c>
      <c r="AV555" t="str">
        <f>T("웹툰 &gt; 해외 순정")</f>
        <v>웹툰 &gt; 해외 순정</v>
      </c>
      <c r="AW555" t="str">
        <f>T("웹툰 &gt; 로판")</f>
        <v>웹툰 &gt; 로판</v>
      </c>
    </row>
    <row r="556" spans="1:49" x14ac:dyDescent="0.4">
      <c r="A556">
        <v>4421000887</v>
      </c>
      <c r="B556">
        <v>4421000893</v>
      </c>
      <c r="C556" t="str">
        <f>T("폭군의 눈물 7화")</f>
        <v>폭군의 눈물 7화</v>
      </c>
      <c r="D556" t="str">
        <f>T("7")</f>
        <v>7</v>
      </c>
      <c r="E556" t="str">
        <f>T("Ice×FANFAN COMIC")</f>
        <v>Ice×FANFAN COMIC</v>
      </c>
      <c r="G556" t="str">
        <f>T("Ice×FANFAN COMIC")</f>
        <v>Ice×FANFAN COMIC</v>
      </c>
      <c r="H556" t="str">
        <f t="shared" si="77"/>
        <v>스토리위즈</v>
      </c>
      <c r="I556" t="str">
        <f>T("폭군의 눈물")</f>
        <v>폭군의 눈물</v>
      </c>
      <c r="J556">
        <v>400</v>
      </c>
      <c r="K556">
        <v>0</v>
      </c>
      <c r="L556">
        <v>0</v>
      </c>
      <c r="M556">
        <v>0</v>
      </c>
      <c r="N556">
        <v>800</v>
      </c>
      <c r="O556">
        <v>4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 s="3">
        <v>800</v>
      </c>
      <c r="AH556" s="3">
        <v>4</v>
      </c>
      <c r="AI556" s="3">
        <v>0</v>
      </c>
      <c r="AJ556" s="3">
        <v>0</v>
      </c>
      <c r="AK556" s="3">
        <v>200</v>
      </c>
      <c r="AL556" s="3">
        <v>0</v>
      </c>
      <c r="AM556" s="3">
        <v>720</v>
      </c>
      <c r="AN556" s="3">
        <v>-216</v>
      </c>
      <c r="AO556" s="3">
        <v>0</v>
      </c>
      <c r="AP556" s="3">
        <v>492.8</v>
      </c>
      <c r="AR556" t="str">
        <f>T("0000000000000")</f>
        <v>0000000000000</v>
      </c>
      <c r="AT556" t="str">
        <f>T("9791137601291")</f>
        <v>9791137601291</v>
      </c>
      <c r="AV556" t="str">
        <f>T("웹툰 &gt; 해외 순정")</f>
        <v>웹툰 &gt; 해외 순정</v>
      </c>
      <c r="AW556" t="str">
        <f>T("웹툰 &gt; 로판")</f>
        <v>웹툰 &gt; 로판</v>
      </c>
    </row>
    <row r="557" spans="1:49" x14ac:dyDescent="0.4">
      <c r="A557">
        <v>4421002205</v>
      </c>
      <c r="B557">
        <v>4421002207</v>
      </c>
      <c r="C557" t="str">
        <f>T("승부 3화")</f>
        <v>승부 3화</v>
      </c>
      <c r="D557" t="str">
        <f>T("3")</f>
        <v>3</v>
      </c>
      <c r="E557" t="str">
        <f>T("웹티")</f>
        <v>웹티</v>
      </c>
      <c r="H557" t="str">
        <f t="shared" si="77"/>
        <v>스토리위즈</v>
      </c>
      <c r="I557" t="str">
        <f>T("승부")</f>
        <v>승부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s="3">
        <v>0</v>
      </c>
      <c r="AH557" s="3">
        <v>1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T557" t="str">
        <f>T("9791190622059")</f>
        <v>9791190622059</v>
      </c>
      <c r="AV557" t="str">
        <f>T("웹툰 &gt; 드라마")</f>
        <v>웹툰 &gt; 드라마</v>
      </c>
    </row>
    <row r="558" spans="1:49" x14ac:dyDescent="0.4">
      <c r="A558">
        <v>4421000001</v>
      </c>
      <c r="B558">
        <v>4421000047</v>
      </c>
      <c r="C558" t="str">
        <f>T("감옥실험 27화")</f>
        <v>감옥실험 27화</v>
      </c>
      <c r="D558" t="str">
        <f>T("27")</f>
        <v>27</v>
      </c>
      <c r="E558" t="str">
        <f>T("Kantetsu")</f>
        <v>Kantetsu</v>
      </c>
      <c r="G558" t="str">
        <f>T("Minase Chiho")</f>
        <v>Minase Chiho</v>
      </c>
      <c r="H558" t="str">
        <f t="shared" si="77"/>
        <v>스토리위즈</v>
      </c>
      <c r="I558" t="str">
        <f>T("감옥실험")</f>
        <v>감옥실험</v>
      </c>
      <c r="J558">
        <v>500</v>
      </c>
      <c r="K558">
        <v>0</v>
      </c>
      <c r="L558">
        <v>0</v>
      </c>
      <c r="M558">
        <v>0</v>
      </c>
      <c r="N558">
        <v>900</v>
      </c>
      <c r="O558">
        <v>3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s="3">
        <v>900</v>
      </c>
      <c r="AH558" s="3">
        <v>3</v>
      </c>
      <c r="AI558" s="3">
        <v>0</v>
      </c>
      <c r="AJ558" s="3">
        <v>0</v>
      </c>
      <c r="AK558" s="3">
        <v>605</v>
      </c>
      <c r="AL558" s="3">
        <v>0</v>
      </c>
      <c r="AM558" s="3">
        <v>354</v>
      </c>
      <c r="AN558" s="3">
        <v>-106.2</v>
      </c>
      <c r="AO558" s="3">
        <v>0</v>
      </c>
      <c r="AP558" s="3">
        <v>596.96</v>
      </c>
      <c r="AT558" t="str">
        <f>T("9791166069406")</f>
        <v>9791166069406</v>
      </c>
      <c r="AV558" t="str">
        <f>T("웹툰 &gt; 드라마")</f>
        <v>웹툰 &gt; 드라마</v>
      </c>
    </row>
    <row r="559" spans="1:49" x14ac:dyDescent="0.4">
      <c r="A559">
        <v>4421000518</v>
      </c>
      <c r="B559">
        <v>4421000566</v>
      </c>
      <c r="C559" t="str">
        <f>T("백스테이지 키스신 48화")</f>
        <v>백스테이지 키스신 48화</v>
      </c>
      <c r="D559" t="str">
        <f>T("48")</f>
        <v>48</v>
      </c>
      <c r="E559" t="str">
        <f>T("최도비")</f>
        <v>최도비</v>
      </c>
      <c r="G559" t="str">
        <f>T("수정과")</f>
        <v>수정과</v>
      </c>
      <c r="H559" t="str">
        <f t="shared" si="77"/>
        <v>스토리위즈</v>
      </c>
      <c r="I559" t="str">
        <f>T("백스테이지 키스신")</f>
        <v>백스테이지 키스신</v>
      </c>
      <c r="J559">
        <v>400</v>
      </c>
      <c r="K559">
        <v>0</v>
      </c>
      <c r="L559">
        <v>0</v>
      </c>
      <c r="M559">
        <v>0</v>
      </c>
      <c r="N559">
        <v>400</v>
      </c>
      <c r="O559">
        <v>2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 s="3">
        <v>400</v>
      </c>
      <c r="AH559" s="3">
        <v>2</v>
      </c>
      <c r="AI559" s="3">
        <v>0</v>
      </c>
      <c r="AJ559" s="3">
        <v>0</v>
      </c>
      <c r="AK559" s="3">
        <v>200</v>
      </c>
      <c r="AL559" s="3">
        <v>0</v>
      </c>
      <c r="AM559" s="3">
        <v>240</v>
      </c>
      <c r="AN559" s="3">
        <v>-72</v>
      </c>
      <c r="AO559" s="3">
        <v>0</v>
      </c>
      <c r="AP559" s="3">
        <v>257.60000000000002</v>
      </c>
      <c r="AR559" t="str">
        <f t="shared" ref="AR559:AR567" si="80">T("0000000000000")</f>
        <v>0000000000000</v>
      </c>
      <c r="AT559" t="str">
        <f>T("9791166067990")</f>
        <v>9791166067990</v>
      </c>
      <c r="AV559" t="str">
        <f>T("웹툰 &gt; 로맨스")</f>
        <v>웹툰 &gt; 로맨스</v>
      </c>
    </row>
    <row r="560" spans="1:49" x14ac:dyDescent="0.4">
      <c r="A560">
        <v>4421000866</v>
      </c>
      <c r="B560">
        <v>4421002855</v>
      </c>
      <c r="C560" t="str">
        <f>T("최애에게 들켜버렸다 86화")</f>
        <v>최애에게 들켜버렸다 86화</v>
      </c>
      <c r="D560" t="str">
        <f>T("89")</f>
        <v>89</v>
      </c>
      <c r="E560" t="str">
        <f>T("Lv")</f>
        <v>Lv</v>
      </c>
      <c r="G560" t="str">
        <f>T("Lv")</f>
        <v>Lv</v>
      </c>
      <c r="H560" t="str">
        <f t="shared" si="77"/>
        <v>스토리위즈</v>
      </c>
      <c r="I560" t="str">
        <f>T("최애에게 들켜버렸다")</f>
        <v>최애에게 들켜버렸다</v>
      </c>
      <c r="J560">
        <v>400</v>
      </c>
      <c r="K560">
        <v>0</v>
      </c>
      <c r="L560">
        <v>0</v>
      </c>
      <c r="M560">
        <v>0</v>
      </c>
      <c r="N560">
        <v>600</v>
      </c>
      <c r="O560">
        <v>3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 s="3">
        <v>600</v>
      </c>
      <c r="AH560" s="3">
        <v>3</v>
      </c>
      <c r="AI560" s="3">
        <v>0</v>
      </c>
      <c r="AJ560" s="3">
        <v>0</v>
      </c>
      <c r="AK560" s="3">
        <v>600</v>
      </c>
      <c r="AL560" s="3">
        <v>0</v>
      </c>
      <c r="AM560" s="3">
        <v>0</v>
      </c>
      <c r="AN560" s="3">
        <v>0</v>
      </c>
      <c r="AO560" s="3">
        <v>0</v>
      </c>
      <c r="AP560" s="3">
        <v>420</v>
      </c>
      <c r="AR560" t="str">
        <f t="shared" si="80"/>
        <v>0000000000000</v>
      </c>
      <c r="AT560" t="str">
        <f>T("9791137601253")</f>
        <v>9791137601253</v>
      </c>
      <c r="AV560" t="str">
        <f>T("웹툰 &gt; 해외 순정")</f>
        <v>웹툰 &gt; 해외 순정</v>
      </c>
      <c r="AW560" t="str">
        <f>T("웹툰 &gt; 로맨스")</f>
        <v>웹툰 &gt; 로맨스</v>
      </c>
    </row>
    <row r="561" spans="1:49" x14ac:dyDescent="0.4">
      <c r="A561">
        <v>4421000518</v>
      </c>
      <c r="B561">
        <v>4421000526</v>
      </c>
      <c r="C561" t="str">
        <f>T("백스테이지 키스신 8화")</f>
        <v>백스테이지 키스신 8화</v>
      </c>
      <c r="D561" t="str">
        <f>T("8")</f>
        <v>8</v>
      </c>
      <c r="E561" t="str">
        <f>T("최도비")</f>
        <v>최도비</v>
      </c>
      <c r="G561" t="str">
        <f>T("수정과")</f>
        <v>수정과</v>
      </c>
      <c r="H561" t="str">
        <f t="shared" si="77"/>
        <v>스토리위즈</v>
      </c>
      <c r="I561" t="str">
        <f>T("백스테이지 키스신")</f>
        <v>백스테이지 키스신</v>
      </c>
      <c r="J561">
        <v>400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 s="3">
        <v>0</v>
      </c>
      <c r="AH561" s="3">
        <v>2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R561" t="str">
        <f t="shared" si="80"/>
        <v>0000000000000</v>
      </c>
      <c r="AT561" t="str">
        <f>T("9791166067990")</f>
        <v>9791166067990</v>
      </c>
      <c r="AV561" t="str">
        <f>T("웹툰 &gt; 로맨스")</f>
        <v>웹툰 &gt; 로맨스</v>
      </c>
    </row>
    <row r="562" spans="1:49" x14ac:dyDescent="0.4">
      <c r="A562">
        <v>4421000916</v>
      </c>
      <c r="B562">
        <v>4421001245</v>
      </c>
      <c r="C562" t="str">
        <f>T("별빛 아래 우리 56화")</f>
        <v>별빛 아래 우리 56화</v>
      </c>
      <c r="D562" t="str">
        <f>T("56")</f>
        <v>56</v>
      </c>
      <c r="E562" t="str">
        <f>T("건일")</f>
        <v>건일</v>
      </c>
      <c r="G562" t="str">
        <f>T("건일")</f>
        <v>건일</v>
      </c>
      <c r="H562" t="str">
        <f t="shared" si="77"/>
        <v>스토리위즈</v>
      </c>
      <c r="I562" t="str">
        <f>T("별빛 아래 우리")</f>
        <v>별빛 아래 우리</v>
      </c>
      <c r="J562">
        <v>400</v>
      </c>
      <c r="K562">
        <v>0</v>
      </c>
      <c r="L562">
        <v>0</v>
      </c>
      <c r="M562">
        <v>0</v>
      </c>
      <c r="N562">
        <v>1000</v>
      </c>
      <c r="O562">
        <v>5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 s="3">
        <v>1000</v>
      </c>
      <c r="AH562" s="3">
        <v>5</v>
      </c>
      <c r="AI562" s="3">
        <v>0</v>
      </c>
      <c r="AJ562" s="3">
        <v>0</v>
      </c>
      <c r="AK562" s="3">
        <v>380</v>
      </c>
      <c r="AL562" s="3">
        <v>0</v>
      </c>
      <c r="AM562" s="3">
        <v>744.01</v>
      </c>
      <c r="AN562" s="3">
        <v>-223.2</v>
      </c>
      <c r="AO562" s="3">
        <v>0</v>
      </c>
      <c r="AP562" s="3">
        <v>630.57000000000005</v>
      </c>
      <c r="AR562" t="str">
        <f t="shared" si="80"/>
        <v>0000000000000</v>
      </c>
      <c r="AT562" t="str">
        <f>T("9791137601413")</f>
        <v>9791137601413</v>
      </c>
      <c r="AV562" t="str">
        <f>T("웹툰 &gt; 해외 순정")</f>
        <v>웹툰 &gt; 해외 순정</v>
      </c>
      <c r="AW562" t="str">
        <f>T("웹툰 &gt; 로맨스")</f>
        <v>웹툰 &gt; 로맨스</v>
      </c>
    </row>
    <row r="563" spans="1:49" x14ac:dyDescent="0.4">
      <c r="A563">
        <v>4421000069</v>
      </c>
      <c r="B563">
        <v>4421000087</v>
      </c>
      <c r="C563" t="str">
        <f>T("너랑 나랑 하면 18화")</f>
        <v>너랑 나랑 하면 18화</v>
      </c>
      <c r="D563" t="str">
        <f>T("18")</f>
        <v>18</v>
      </c>
      <c r="E563" t="str">
        <f>T("NISANSUI")</f>
        <v>NISANSUI</v>
      </c>
      <c r="G563" t="str">
        <f>T("ZIQUAN")</f>
        <v>ZIQUAN</v>
      </c>
      <c r="H563" t="str">
        <f t="shared" si="77"/>
        <v>스토리위즈</v>
      </c>
      <c r="I563" t="str">
        <f>T("너랑 나랑 하면")</f>
        <v>너랑 나랑 하면</v>
      </c>
      <c r="J563">
        <v>400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 s="3">
        <v>0</v>
      </c>
      <c r="AH563" s="3">
        <v>3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R563" t="str">
        <f t="shared" si="80"/>
        <v>0000000000000</v>
      </c>
      <c r="AT563" t="str">
        <f>T("9791166067884")</f>
        <v>9791166067884</v>
      </c>
      <c r="AV563" t="str">
        <f>T("BL 웹툰 &gt; 웹툰")</f>
        <v>BL 웹툰 &gt; 웹툰</v>
      </c>
    </row>
    <row r="564" spans="1:49" x14ac:dyDescent="0.4">
      <c r="A564">
        <v>4421000866</v>
      </c>
      <c r="B564">
        <v>4421001477</v>
      </c>
      <c r="C564" t="str">
        <f>T("최애에게 들켜버렸다 73화")</f>
        <v>최애에게 들켜버렸다 73화</v>
      </c>
      <c r="D564" t="str">
        <f>T("76")</f>
        <v>76</v>
      </c>
      <c r="E564" t="str">
        <f>T("Lv")</f>
        <v>Lv</v>
      </c>
      <c r="G564" t="str">
        <f>T("Lv")</f>
        <v>Lv</v>
      </c>
      <c r="H564" t="str">
        <f t="shared" si="77"/>
        <v>스토리위즈</v>
      </c>
      <c r="I564" t="str">
        <f>T("최애에게 들켜버렸다")</f>
        <v>최애에게 들켜버렸다</v>
      </c>
      <c r="J564">
        <v>400</v>
      </c>
      <c r="K564">
        <v>0</v>
      </c>
      <c r="L564">
        <v>0</v>
      </c>
      <c r="M564">
        <v>0</v>
      </c>
      <c r="N564">
        <v>600</v>
      </c>
      <c r="O564">
        <v>3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 s="3">
        <v>600</v>
      </c>
      <c r="AH564" s="3">
        <v>3</v>
      </c>
      <c r="AI564" s="3">
        <v>0</v>
      </c>
      <c r="AJ564" s="3">
        <v>0</v>
      </c>
      <c r="AK564" s="3">
        <v>424</v>
      </c>
      <c r="AL564" s="3">
        <v>0</v>
      </c>
      <c r="AM564" s="3">
        <v>211.38</v>
      </c>
      <c r="AN564" s="3">
        <v>-63.41</v>
      </c>
      <c r="AO564" s="3">
        <v>0</v>
      </c>
      <c r="AP564" s="3">
        <v>400.38</v>
      </c>
      <c r="AR564" t="str">
        <f t="shared" si="80"/>
        <v>0000000000000</v>
      </c>
      <c r="AT564" t="str">
        <f>T("9791137601253")</f>
        <v>9791137601253</v>
      </c>
      <c r="AV564" t="str">
        <f>T("웹툰 &gt; 해외 순정")</f>
        <v>웹툰 &gt; 해외 순정</v>
      </c>
      <c r="AW564" t="str">
        <f>T("웹툰 &gt; 로맨스")</f>
        <v>웹툰 &gt; 로맨스</v>
      </c>
    </row>
    <row r="565" spans="1:49" x14ac:dyDescent="0.4">
      <c r="A565">
        <v>4421000916</v>
      </c>
      <c r="B565">
        <v>4421000925</v>
      </c>
      <c r="C565" t="str">
        <f>T("별빛 아래 우리 10화")</f>
        <v>별빛 아래 우리 10화</v>
      </c>
      <c r="D565" t="str">
        <f>T("10")</f>
        <v>10</v>
      </c>
      <c r="E565" t="str">
        <f>T("건일")</f>
        <v>건일</v>
      </c>
      <c r="G565" t="str">
        <f>T("건일")</f>
        <v>건일</v>
      </c>
      <c r="H565" t="str">
        <f t="shared" si="77"/>
        <v>스토리위즈</v>
      </c>
      <c r="I565" t="str">
        <f>T("별빛 아래 우리")</f>
        <v>별빛 아래 우리</v>
      </c>
      <c r="J565">
        <v>400</v>
      </c>
      <c r="K565">
        <v>0</v>
      </c>
      <c r="L565">
        <v>0</v>
      </c>
      <c r="M565">
        <v>0</v>
      </c>
      <c r="N565">
        <v>1200</v>
      </c>
      <c r="O565">
        <v>6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 s="3">
        <v>1200</v>
      </c>
      <c r="AH565" s="3">
        <v>6</v>
      </c>
      <c r="AI565" s="3">
        <v>0</v>
      </c>
      <c r="AJ565" s="3">
        <v>0</v>
      </c>
      <c r="AK565" s="3">
        <v>400</v>
      </c>
      <c r="AL565" s="3">
        <v>0</v>
      </c>
      <c r="AM565" s="3">
        <v>960.2</v>
      </c>
      <c r="AN565" s="3">
        <v>-288.06</v>
      </c>
      <c r="AO565" s="3">
        <v>0</v>
      </c>
      <c r="AP565" s="3">
        <v>750.5</v>
      </c>
      <c r="AR565" t="str">
        <f t="shared" si="80"/>
        <v>0000000000000</v>
      </c>
      <c r="AT565" t="str">
        <f>T("9791137601413")</f>
        <v>9791137601413</v>
      </c>
      <c r="AV565" t="str">
        <f>T("웹툰 &gt; 해외 순정")</f>
        <v>웹툰 &gt; 해외 순정</v>
      </c>
      <c r="AW565" t="str">
        <f>T("웹툰 &gt; 로맨스")</f>
        <v>웹툰 &gt; 로맨스</v>
      </c>
    </row>
    <row r="566" spans="1:49" x14ac:dyDescent="0.4">
      <c r="A566">
        <v>4421001340</v>
      </c>
      <c r="B566">
        <v>4421001362</v>
      </c>
      <c r="C566" t="str">
        <f>T("가출천사 육성계약 23화")</f>
        <v>가출천사 육성계약 23화</v>
      </c>
      <c r="D566" t="str">
        <f>T("23")</f>
        <v>23</v>
      </c>
      <c r="E566" t="str">
        <f>T("Bae.C, IIAKI, 박제후")</f>
        <v>Bae.C, IIAKI, 박제후</v>
      </c>
      <c r="G566" t="str">
        <f>T("Bae.C, 조우")</f>
        <v>Bae.C, 조우</v>
      </c>
      <c r="H566" t="str">
        <f t="shared" si="77"/>
        <v>스토리위즈</v>
      </c>
      <c r="I566" t="str">
        <f>T("가출천사 육성계약")</f>
        <v>가출천사 육성계약</v>
      </c>
      <c r="J566">
        <v>400</v>
      </c>
      <c r="K566">
        <v>0</v>
      </c>
      <c r="L566">
        <v>0</v>
      </c>
      <c r="M566">
        <v>0</v>
      </c>
      <c r="N566">
        <v>200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 s="3">
        <v>200</v>
      </c>
      <c r="AH566" s="3">
        <v>1</v>
      </c>
      <c r="AI566" s="3">
        <v>0</v>
      </c>
      <c r="AJ566" s="3">
        <v>0</v>
      </c>
      <c r="AK566" s="3">
        <v>200</v>
      </c>
      <c r="AL566" s="3">
        <v>0</v>
      </c>
      <c r="AM566" s="3">
        <v>0</v>
      </c>
      <c r="AN566" s="3">
        <v>0</v>
      </c>
      <c r="AO566" s="3">
        <v>0</v>
      </c>
      <c r="AP566" s="3">
        <v>140</v>
      </c>
      <c r="AR566" t="str">
        <f t="shared" si="80"/>
        <v>0000000000000</v>
      </c>
      <c r="AT566" t="str">
        <f>T("9791191765663")</f>
        <v>9791191765663</v>
      </c>
      <c r="AV566" t="str">
        <f>T("웹툰 &gt; 판타지/SF")</f>
        <v>웹툰 &gt; 판타지/SF</v>
      </c>
    </row>
    <row r="567" spans="1:49" x14ac:dyDescent="0.4">
      <c r="A567">
        <v>4421000337</v>
      </c>
      <c r="B567">
        <v>4421000422</v>
      </c>
      <c r="C567" t="str">
        <f>T("계약연애, 오늘부터 1일 86화")</f>
        <v>계약연애, 오늘부터 1일 86화</v>
      </c>
      <c r="D567" t="str">
        <f>T("86")</f>
        <v>86</v>
      </c>
      <c r="E567" t="str">
        <f>T("원기공장")</f>
        <v>원기공장</v>
      </c>
      <c r="H567" t="str">
        <f t="shared" si="77"/>
        <v>스토리위즈</v>
      </c>
      <c r="I567" t="str">
        <f>T("계약연애, 오늘부터 1일")</f>
        <v>계약연애, 오늘부터 1일</v>
      </c>
      <c r="J567">
        <v>200</v>
      </c>
      <c r="K567">
        <v>0</v>
      </c>
      <c r="L567">
        <v>0</v>
      </c>
      <c r="M567">
        <v>0</v>
      </c>
      <c r="N567">
        <v>100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s="3">
        <v>100</v>
      </c>
      <c r="AH567" s="3">
        <v>1</v>
      </c>
      <c r="AI567" s="3">
        <v>0</v>
      </c>
      <c r="AJ567" s="3">
        <v>0</v>
      </c>
      <c r="AK567" s="3">
        <v>100</v>
      </c>
      <c r="AL567" s="3">
        <v>0</v>
      </c>
      <c r="AM567" s="3">
        <v>0</v>
      </c>
      <c r="AN567" s="3">
        <v>0</v>
      </c>
      <c r="AO567" s="3">
        <v>0</v>
      </c>
      <c r="AP567" s="3">
        <v>70</v>
      </c>
      <c r="AR567" t="str">
        <f t="shared" si="80"/>
        <v>0000000000000</v>
      </c>
      <c r="AT567" t="str">
        <f>T("9791166068027")</f>
        <v>9791166068027</v>
      </c>
      <c r="AV567" t="str">
        <f>T("웹툰 &gt; 해외 순정")</f>
        <v>웹툰 &gt; 해외 순정</v>
      </c>
      <c r="AW567" t="str">
        <f>T("웹툰 &gt; 로맨스")</f>
        <v>웹툰 &gt; 로맨스</v>
      </c>
    </row>
    <row r="568" spans="1:49" x14ac:dyDescent="0.4">
      <c r="A568">
        <v>4421001634</v>
      </c>
      <c r="B568">
        <v>4421001635</v>
      </c>
      <c r="C568" t="str">
        <f>T("그남자의 사랑방식 2화")</f>
        <v>그남자의 사랑방식 2화</v>
      </c>
      <c r="D568" t="str">
        <f>T("2")</f>
        <v>2</v>
      </c>
      <c r="E568" t="str">
        <f>T("웹티")</f>
        <v>웹티</v>
      </c>
      <c r="H568" t="str">
        <f t="shared" si="77"/>
        <v>스토리위즈</v>
      </c>
      <c r="I568" t="str">
        <f>T("그남자의 사랑방식")</f>
        <v>그남자의 사랑방식</v>
      </c>
      <c r="J568">
        <v>0</v>
      </c>
      <c r="K568">
        <v>0</v>
      </c>
      <c r="L568">
        <v>0</v>
      </c>
      <c r="M568">
        <v>4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 s="3">
        <v>0</v>
      </c>
      <c r="AH568" s="3">
        <v>4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T568" t="str">
        <f>T("9791190622004")</f>
        <v>9791190622004</v>
      </c>
      <c r="AV568" t="str">
        <f>T("BL 웹툰 &gt; 웹툰")</f>
        <v>BL 웹툰 &gt; 웹툰</v>
      </c>
    </row>
    <row r="569" spans="1:49" x14ac:dyDescent="0.4">
      <c r="A569">
        <v>4421000337</v>
      </c>
      <c r="B569">
        <v>4421000382</v>
      </c>
      <c r="C569" t="str">
        <f>T("계약연애, 오늘부터 1일 46화")</f>
        <v>계약연애, 오늘부터 1일 46화</v>
      </c>
      <c r="D569" t="str">
        <f>T("46")</f>
        <v>46</v>
      </c>
      <c r="E569" t="str">
        <f>T("원기공장")</f>
        <v>원기공장</v>
      </c>
      <c r="H569" t="str">
        <f t="shared" si="77"/>
        <v>스토리위즈</v>
      </c>
      <c r="I569" t="str">
        <f>T("계약연애, 오늘부터 1일")</f>
        <v>계약연애, 오늘부터 1일</v>
      </c>
      <c r="J569">
        <v>200</v>
      </c>
      <c r="K569">
        <v>0</v>
      </c>
      <c r="L569">
        <v>0</v>
      </c>
      <c r="M569">
        <v>0</v>
      </c>
      <c r="N569">
        <v>100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 s="3">
        <v>100</v>
      </c>
      <c r="AH569" s="3">
        <v>1</v>
      </c>
      <c r="AI569" s="3">
        <v>0</v>
      </c>
      <c r="AJ569" s="3">
        <v>0</v>
      </c>
      <c r="AK569" s="3">
        <v>100</v>
      </c>
      <c r="AL569" s="3">
        <v>0</v>
      </c>
      <c r="AM569" s="3">
        <v>0</v>
      </c>
      <c r="AN569" s="3">
        <v>0</v>
      </c>
      <c r="AO569" s="3">
        <v>0</v>
      </c>
      <c r="AP569" s="3">
        <v>70</v>
      </c>
      <c r="AR569" t="str">
        <f t="shared" ref="AR569:AR603" si="81">T("0000000000000")</f>
        <v>0000000000000</v>
      </c>
      <c r="AT569" t="str">
        <f>T("9791166068027")</f>
        <v>9791166068027</v>
      </c>
      <c r="AV569" t="str">
        <f>T("웹툰 &gt; 해외 순정")</f>
        <v>웹툰 &gt; 해외 순정</v>
      </c>
      <c r="AW569" t="str">
        <f>T("웹툰 &gt; 로맨스")</f>
        <v>웹툰 &gt; 로맨스</v>
      </c>
    </row>
    <row r="570" spans="1:49" x14ac:dyDescent="0.4">
      <c r="A570">
        <v>4421000887</v>
      </c>
      <c r="B570">
        <v>4421001282</v>
      </c>
      <c r="C570" t="str">
        <f>T("폭군의 눈물 52화")</f>
        <v>폭군의 눈물 52화</v>
      </c>
      <c r="D570" t="str">
        <f>T("52")</f>
        <v>52</v>
      </c>
      <c r="E570" t="str">
        <f>T("Ice×FANFAN COMIC")</f>
        <v>Ice×FANFAN COMIC</v>
      </c>
      <c r="G570" t="str">
        <f>T("Ice×FANFAN COMIC")</f>
        <v>Ice×FANFAN COMIC</v>
      </c>
      <c r="H570" t="str">
        <f t="shared" si="77"/>
        <v>스토리위즈</v>
      </c>
      <c r="I570" t="str">
        <f>T("폭군의 눈물")</f>
        <v>폭군의 눈물</v>
      </c>
      <c r="J570">
        <v>400</v>
      </c>
      <c r="K570">
        <v>0</v>
      </c>
      <c r="L570">
        <v>0</v>
      </c>
      <c r="M570">
        <v>0</v>
      </c>
      <c r="N570">
        <v>600</v>
      </c>
      <c r="O570">
        <v>3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 s="3">
        <v>600</v>
      </c>
      <c r="AH570" s="3">
        <v>3</v>
      </c>
      <c r="AI570" s="3">
        <v>0</v>
      </c>
      <c r="AJ570" s="3">
        <v>0</v>
      </c>
      <c r="AK570" s="3">
        <v>400</v>
      </c>
      <c r="AL570" s="3">
        <v>0</v>
      </c>
      <c r="AM570" s="3">
        <v>240</v>
      </c>
      <c r="AN570" s="3">
        <v>-72</v>
      </c>
      <c r="AO570" s="3">
        <v>0</v>
      </c>
      <c r="AP570" s="3">
        <v>397.6</v>
      </c>
      <c r="AR570" t="str">
        <f t="shared" si="81"/>
        <v>0000000000000</v>
      </c>
      <c r="AT570" t="str">
        <f>T("9791137601291")</f>
        <v>9791137601291</v>
      </c>
      <c r="AV570" t="str">
        <f>T("웹툰 &gt; 해외 순정")</f>
        <v>웹툰 &gt; 해외 순정</v>
      </c>
      <c r="AW570" t="str">
        <f>T("웹툰 &gt; 로판")</f>
        <v>웹툰 &gt; 로판</v>
      </c>
    </row>
    <row r="571" spans="1:49" x14ac:dyDescent="0.4">
      <c r="A571">
        <v>4421001340</v>
      </c>
      <c r="B571">
        <v>4421001564</v>
      </c>
      <c r="C571" t="str">
        <f>T("가출천사 육성계약 42화")</f>
        <v>가출천사 육성계약 42화</v>
      </c>
      <c r="D571" t="str">
        <f>T("42")</f>
        <v>42</v>
      </c>
      <c r="E571" t="str">
        <f>T("Bae.C, IIAKI, 박제후")</f>
        <v>Bae.C, IIAKI, 박제후</v>
      </c>
      <c r="G571" t="str">
        <f>T("Bae.C, 조우")</f>
        <v>Bae.C, 조우</v>
      </c>
      <c r="H571" t="str">
        <f t="shared" si="77"/>
        <v>스토리위즈</v>
      </c>
      <c r="I571" t="str">
        <f>T("가출천사 육성계약")</f>
        <v>가출천사 육성계약</v>
      </c>
      <c r="J571">
        <v>400</v>
      </c>
      <c r="K571">
        <v>0</v>
      </c>
      <c r="L571">
        <v>0</v>
      </c>
      <c r="M571">
        <v>0</v>
      </c>
      <c r="N571">
        <v>200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 s="3">
        <v>200</v>
      </c>
      <c r="AH571" s="3">
        <v>1</v>
      </c>
      <c r="AI571" s="3">
        <v>0</v>
      </c>
      <c r="AJ571" s="3">
        <v>0</v>
      </c>
      <c r="AK571" s="3">
        <v>200</v>
      </c>
      <c r="AL571" s="3">
        <v>0</v>
      </c>
      <c r="AM571" s="3">
        <v>0</v>
      </c>
      <c r="AN571" s="3">
        <v>0</v>
      </c>
      <c r="AO571" s="3">
        <v>0</v>
      </c>
      <c r="AP571" s="3">
        <v>140</v>
      </c>
      <c r="AR571" t="str">
        <f t="shared" si="81"/>
        <v>0000000000000</v>
      </c>
      <c r="AT571" t="str">
        <f>T("9791191765663")</f>
        <v>9791191765663</v>
      </c>
      <c r="AV571" t="str">
        <f>T("웹툰 &gt; 판타지/SF")</f>
        <v>웹툰 &gt; 판타지/SF</v>
      </c>
    </row>
    <row r="572" spans="1:49" x14ac:dyDescent="0.4">
      <c r="A572">
        <v>4421000198</v>
      </c>
      <c r="B572">
        <v>4421000229</v>
      </c>
      <c r="C572" t="str">
        <f>T("공주전쟁 32화")</f>
        <v>공주전쟁 32화</v>
      </c>
      <c r="D572" t="str">
        <f>T("32")</f>
        <v>32</v>
      </c>
      <c r="E572" t="str">
        <f>T("Hujing")</f>
        <v>Hujing</v>
      </c>
      <c r="G572" t="str">
        <f>T("Luojie")</f>
        <v>Luojie</v>
      </c>
      <c r="H572" t="str">
        <f t="shared" si="77"/>
        <v>스토리위즈</v>
      </c>
      <c r="I572" t="str">
        <f>T("공주전쟁")</f>
        <v>공주전쟁</v>
      </c>
      <c r="J572">
        <v>400</v>
      </c>
      <c r="K572">
        <v>0</v>
      </c>
      <c r="L572">
        <v>0</v>
      </c>
      <c r="M572">
        <v>0</v>
      </c>
      <c r="N572">
        <v>600</v>
      </c>
      <c r="O572">
        <v>3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 s="3">
        <v>600</v>
      </c>
      <c r="AH572" s="3">
        <v>3</v>
      </c>
      <c r="AI572" s="3">
        <v>0</v>
      </c>
      <c r="AJ572" s="3">
        <v>0</v>
      </c>
      <c r="AK572" s="3">
        <v>400</v>
      </c>
      <c r="AL572" s="3">
        <v>0</v>
      </c>
      <c r="AM572" s="3">
        <v>240</v>
      </c>
      <c r="AN572" s="3">
        <v>-72</v>
      </c>
      <c r="AO572" s="3">
        <v>0</v>
      </c>
      <c r="AP572" s="3">
        <v>397.6</v>
      </c>
      <c r="AR572" t="str">
        <f t="shared" si="81"/>
        <v>0000000000000</v>
      </c>
      <c r="AT572" t="str">
        <f>T("9791166069666")</f>
        <v>9791166069666</v>
      </c>
      <c r="AV572" t="str">
        <f>T("웹툰 &gt; 해외 순정")</f>
        <v>웹툰 &gt; 해외 순정</v>
      </c>
      <c r="AW572" t="str">
        <f>T("웹툰 &gt; 로판")</f>
        <v>웹툰 &gt; 로판</v>
      </c>
    </row>
    <row r="573" spans="1:49" x14ac:dyDescent="0.4">
      <c r="A573">
        <v>4421000887</v>
      </c>
      <c r="B573">
        <v>4421001178</v>
      </c>
      <c r="C573" t="str">
        <f>T("폭군의 눈물 38화")</f>
        <v>폭군의 눈물 38화</v>
      </c>
      <c r="D573" t="str">
        <f>T("38")</f>
        <v>38</v>
      </c>
      <c r="E573" t="str">
        <f>T("Ice×FANFAN COMIC")</f>
        <v>Ice×FANFAN COMIC</v>
      </c>
      <c r="G573" t="str">
        <f>T("Ice×FANFAN COMIC")</f>
        <v>Ice×FANFAN COMIC</v>
      </c>
      <c r="H573" t="str">
        <f t="shared" si="77"/>
        <v>스토리위즈</v>
      </c>
      <c r="I573" t="str">
        <f>T("폭군의 눈물")</f>
        <v>폭군의 눈물</v>
      </c>
      <c r="J573">
        <v>400</v>
      </c>
      <c r="K573">
        <v>0</v>
      </c>
      <c r="L573">
        <v>0</v>
      </c>
      <c r="M573">
        <v>0</v>
      </c>
      <c r="N573">
        <v>600</v>
      </c>
      <c r="O573">
        <v>3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 s="3">
        <v>600</v>
      </c>
      <c r="AH573" s="3">
        <v>3</v>
      </c>
      <c r="AI573" s="3">
        <v>0</v>
      </c>
      <c r="AJ573" s="3">
        <v>0</v>
      </c>
      <c r="AK573" s="3">
        <v>400</v>
      </c>
      <c r="AL573" s="3">
        <v>0</v>
      </c>
      <c r="AM573" s="3">
        <v>240</v>
      </c>
      <c r="AN573" s="3">
        <v>-72</v>
      </c>
      <c r="AO573" s="3">
        <v>0</v>
      </c>
      <c r="AP573" s="3">
        <v>397.6</v>
      </c>
      <c r="AR573" t="str">
        <f t="shared" si="81"/>
        <v>0000000000000</v>
      </c>
      <c r="AT573" t="str">
        <f>T("9791137601291")</f>
        <v>9791137601291</v>
      </c>
      <c r="AV573" t="str">
        <f>T("웹툰 &gt; 해외 순정")</f>
        <v>웹툰 &gt; 해외 순정</v>
      </c>
      <c r="AW573" t="str">
        <f>T("웹툰 &gt; 로판")</f>
        <v>웹툰 &gt; 로판</v>
      </c>
    </row>
    <row r="574" spans="1:49" x14ac:dyDescent="0.4">
      <c r="A574">
        <v>4421000866</v>
      </c>
      <c r="B574">
        <v>4421001466</v>
      </c>
      <c r="C574" t="str">
        <f>T("최애에게 들켜버렸다 72화")</f>
        <v>최애에게 들켜버렸다 72화</v>
      </c>
      <c r="D574" t="str">
        <f>T("75")</f>
        <v>75</v>
      </c>
      <c r="E574" t="str">
        <f>T("Lv")</f>
        <v>Lv</v>
      </c>
      <c r="G574" t="str">
        <f>T("Lv")</f>
        <v>Lv</v>
      </c>
      <c r="H574" t="str">
        <f t="shared" si="77"/>
        <v>스토리위즈</v>
      </c>
      <c r="I574" t="str">
        <f>T("최애에게 들켜버렸다")</f>
        <v>최애에게 들켜버렸다</v>
      </c>
      <c r="J574">
        <v>400</v>
      </c>
      <c r="K574">
        <v>0</v>
      </c>
      <c r="L574">
        <v>0</v>
      </c>
      <c r="M574">
        <v>0</v>
      </c>
      <c r="N574">
        <v>600</v>
      </c>
      <c r="O574">
        <v>3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 s="3">
        <v>600</v>
      </c>
      <c r="AH574" s="3">
        <v>3</v>
      </c>
      <c r="AI574" s="3">
        <v>0</v>
      </c>
      <c r="AJ574" s="3">
        <v>0</v>
      </c>
      <c r="AK574" s="3">
        <v>424</v>
      </c>
      <c r="AL574" s="3">
        <v>0</v>
      </c>
      <c r="AM574" s="3">
        <v>211.38</v>
      </c>
      <c r="AN574" s="3">
        <v>-63.41</v>
      </c>
      <c r="AO574" s="3">
        <v>0</v>
      </c>
      <c r="AP574" s="3">
        <v>400.38</v>
      </c>
      <c r="AR574" t="str">
        <f t="shared" si="81"/>
        <v>0000000000000</v>
      </c>
      <c r="AT574" t="str">
        <f>T("9791137601253")</f>
        <v>9791137601253</v>
      </c>
      <c r="AV574" t="str">
        <f>T("웹툰 &gt; 해외 순정")</f>
        <v>웹툰 &gt; 해외 순정</v>
      </c>
      <c r="AW574" t="str">
        <f>T("웹툰 &gt; 로맨스")</f>
        <v>웹툰 &gt; 로맨스</v>
      </c>
    </row>
    <row r="575" spans="1:49" x14ac:dyDescent="0.4">
      <c r="A575">
        <v>4421000450</v>
      </c>
      <c r="B575">
        <v>4421000454</v>
      </c>
      <c r="C575" t="str">
        <f>T("내 남편의 스토커 4화")</f>
        <v>내 남편의 스토커 4화</v>
      </c>
      <c r="D575" t="str">
        <f>T("4")</f>
        <v>4</v>
      </c>
      <c r="E575" t="str">
        <f>T("혜원")</f>
        <v>혜원</v>
      </c>
      <c r="G575" t="str">
        <f>T("혜원")</f>
        <v>혜원</v>
      </c>
      <c r="H575" t="str">
        <f t="shared" si="77"/>
        <v>스토리위즈</v>
      </c>
      <c r="I575" t="str">
        <f>T("내 남편의 스토커")</f>
        <v>내 남편의 스토커</v>
      </c>
      <c r="J575">
        <v>400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 s="3">
        <v>0</v>
      </c>
      <c r="AH575" s="3">
        <v>1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R575" t="str">
        <f t="shared" si="81"/>
        <v>0000000000000</v>
      </c>
      <c r="AT575" t="str">
        <f>T("9791166068034")</f>
        <v>9791166068034</v>
      </c>
      <c r="AV575" t="str">
        <f>T("웹툰 &gt; 로맨스")</f>
        <v>웹툰 &gt; 로맨스</v>
      </c>
    </row>
    <row r="576" spans="1:49" x14ac:dyDescent="0.4">
      <c r="A576">
        <v>4421000866</v>
      </c>
      <c r="B576">
        <v>4421000972</v>
      </c>
      <c r="C576" t="str">
        <f>T("최애에게 들켜버렸다 30화")</f>
        <v>최애에게 들켜버렸다 30화</v>
      </c>
      <c r="D576" t="str">
        <f>T("31")</f>
        <v>31</v>
      </c>
      <c r="E576" t="str">
        <f>T("Lv")</f>
        <v>Lv</v>
      </c>
      <c r="G576" t="str">
        <f>T("Lv")</f>
        <v>Lv</v>
      </c>
      <c r="H576" t="str">
        <f t="shared" si="77"/>
        <v>스토리위즈</v>
      </c>
      <c r="I576" t="str">
        <f>T("최애에게 들켜버렸다")</f>
        <v>최애에게 들켜버렸다</v>
      </c>
      <c r="J576">
        <v>400</v>
      </c>
      <c r="K576">
        <v>0</v>
      </c>
      <c r="L576">
        <v>0</v>
      </c>
      <c r="M576">
        <v>0</v>
      </c>
      <c r="N576">
        <v>600</v>
      </c>
      <c r="O576">
        <v>3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 s="3">
        <v>600</v>
      </c>
      <c r="AH576" s="3">
        <v>3</v>
      </c>
      <c r="AI576" s="3">
        <v>0</v>
      </c>
      <c r="AJ576" s="3">
        <v>0</v>
      </c>
      <c r="AK576" s="3">
        <v>424</v>
      </c>
      <c r="AL576" s="3">
        <v>0</v>
      </c>
      <c r="AM576" s="3">
        <v>211.38</v>
      </c>
      <c r="AN576" s="3">
        <v>-63.41</v>
      </c>
      <c r="AO576" s="3">
        <v>0</v>
      </c>
      <c r="AP576" s="3">
        <v>400.38</v>
      </c>
      <c r="AR576" t="str">
        <f t="shared" si="81"/>
        <v>0000000000000</v>
      </c>
      <c r="AT576" t="str">
        <f>T("9791137601253")</f>
        <v>9791137601253</v>
      </c>
      <c r="AV576" t="str">
        <f>T("웹툰 &gt; 해외 순정")</f>
        <v>웹툰 &gt; 해외 순정</v>
      </c>
      <c r="AW576" t="str">
        <f>T("웹툰 &gt; 로맨스")</f>
        <v>웹툰 &gt; 로맨스</v>
      </c>
    </row>
    <row r="577" spans="1:49" x14ac:dyDescent="0.4">
      <c r="A577">
        <v>4421001786</v>
      </c>
      <c r="B577">
        <v>4421001788</v>
      </c>
      <c r="C577" t="str">
        <f>T("사랑을 찾아서 3화")</f>
        <v>사랑을 찾아서 3화</v>
      </c>
      <c r="D577" t="str">
        <f>T("3")</f>
        <v>3</v>
      </c>
      <c r="E577" t="str">
        <f>T("웹티")</f>
        <v>웹티</v>
      </c>
      <c r="H577" t="str">
        <f t="shared" si="77"/>
        <v>스토리위즈</v>
      </c>
      <c r="I577" t="str">
        <f>T("사랑을 찾아서")</f>
        <v>사랑을 찾아서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 s="3">
        <v>0</v>
      </c>
      <c r="AH577" s="3">
        <v>1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R577" t="str">
        <f t="shared" si="81"/>
        <v>0000000000000</v>
      </c>
      <c r="AT577" t="str">
        <f>T("9791196402709")</f>
        <v>9791196402709</v>
      </c>
      <c r="AV577" t="str">
        <f>T("웹툰 &gt; 로맨스")</f>
        <v>웹툰 &gt; 로맨스</v>
      </c>
    </row>
    <row r="578" spans="1:49" x14ac:dyDescent="0.4">
      <c r="A578">
        <v>4421000337</v>
      </c>
      <c r="B578">
        <v>4421000414</v>
      </c>
      <c r="C578" t="str">
        <f>T("계약연애, 오늘부터 1일 78화")</f>
        <v>계약연애, 오늘부터 1일 78화</v>
      </c>
      <c r="D578" t="str">
        <f>T("78")</f>
        <v>78</v>
      </c>
      <c r="E578" t="str">
        <f>T("원기공장")</f>
        <v>원기공장</v>
      </c>
      <c r="H578" t="str">
        <f t="shared" ref="H578:H641" si="82">T("스토리위즈")</f>
        <v>스토리위즈</v>
      </c>
      <c r="I578" t="str">
        <f>T("계약연애, 오늘부터 1일")</f>
        <v>계약연애, 오늘부터 1일</v>
      </c>
      <c r="J578">
        <v>200</v>
      </c>
      <c r="K578">
        <v>0</v>
      </c>
      <c r="L578">
        <v>0</v>
      </c>
      <c r="M578">
        <v>0</v>
      </c>
      <c r="N578">
        <v>100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 s="3">
        <v>100</v>
      </c>
      <c r="AH578" s="3">
        <v>1</v>
      </c>
      <c r="AI578" s="3">
        <v>0</v>
      </c>
      <c r="AJ578" s="3">
        <v>0</v>
      </c>
      <c r="AK578" s="3">
        <v>100</v>
      </c>
      <c r="AL578" s="3">
        <v>0</v>
      </c>
      <c r="AM578" s="3">
        <v>0</v>
      </c>
      <c r="AN578" s="3">
        <v>0</v>
      </c>
      <c r="AO578" s="3">
        <v>0</v>
      </c>
      <c r="AP578" s="3">
        <v>70</v>
      </c>
      <c r="AR578" t="str">
        <f t="shared" si="81"/>
        <v>0000000000000</v>
      </c>
      <c r="AT578" t="str">
        <f>T("9791166068027")</f>
        <v>9791166068027</v>
      </c>
      <c r="AV578" t="str">
        <f>T("웹툰 &gt; 해외 순정")</f>
        <v>웹툰 &gt; 해외 순정</v>
      </c>
      <c r="AW578" t="str">
        <f>T("웹툰 &gt; 로맨스")</f>
        <v>웹툰 &gt; 로맨스</v>
      </c>
    </row>
    <row r="579" spans="1:49" x14ac:dyDescent="0.4">
      <c r="A579">
        <v>4421001340</v>
      </c>
      <c r="B579">
        <v>4421001355</v>
      </c>
      <c r="C579" t="str">
        <f>T("가출천사 육성계약 16화")</f>
        <v>가출천사 육성계약 16화</v>
      </c>
      <c r="D579" t="str">
        <f>T("16")</f>
        <v>16</v>
      </c>
      <c r="E579" t="str">
        <f>T("Bae.C, IIAKI, 박제후")</f>
        <v>Bae.C, IIAKI, 박제후</v>
      </c>
      <c r="G579" t="str">
        <f>T("Bae.C, 조우")</f>
        <v>Bae.C, 조우</v>
      </c>
      <c r="H579" t="str">
        <f t="shared" si="82"/>
        <v>스토리위즈</v>
      </c>
      <c r="I579" t="str">
        <f>T("가출천사 육성계약")</f>
        <v>가출천사 육성계약</v>
      </c>
      <c r="J579">
        <v>400</v>
      </c>
      <c r="K579">
        <v>0</v>
      </c>
      <c r="L579">
        <v>0</v>
      </c>
      <c r="M579">
        <v>0</v>
      </c>
      <c r="N579">
        <v>200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 s="3">
        <v>200</v>
      </c>
      <c r="AH579" s="3">
        <v>1</v>
      </c>
      <c r="AI579" s="3">
        <v>0</v>
      </c>
      <c r="AJ579" s="3">
        <v>0</v>
      </c>
      <c r="AK579" s="3">
        <v>200</v>
      </c>
      <c r="AL579" s="3">
        <v>0</v>
      </c>
      <c r="AM579" s="3">
        <v>0</v>
      </c>
      <c r="AN579" s="3">
        <v>0</v>
      </c>
      <c r="AO579" s="3">
        <v>0</v>
      </c>
      <c r="AP579" s="3">
        <v>140</v>
      </c>
      <c r="AR579" t="str">
        <f t="shared" si="81"/>
        <v>0000000000000</v>
      </c>
      <c r="AT579" t="str">
        <f>T("9791191765663")</f>
        <v>9791191765663</v>
      </c>
      <c r="AV579" t="str">
        <f>T("웹툰 &gt; 판타지/SF")</f>
        <v>웹툰 &gt; 판타지/SF</v>
      </c>
    </row>
    <row r="580" spans="1:49" x14ac:dyDescent="0.4">
      <c r="A580">
        <v>4421002795</v>
      </c>
      <c r="B580">
        <v>4421002796</v>
      </c>
      <c r="C580" t="str">
        <f>T("심연의 눈 2화")</f>
        <v>심연의 눈 2화</v>
      </c>
      <c r="D580" t="str">
        <f>T("2")</f>
        <v>2</v>
      </c>
      <c r="E580" t="str">
        <f>T("M.C.K")</f>
        <v>M.C.K</v>
      </c>
      <c r="H580" t="str">
        <f t="shared" si="82"/>
        <v>스토리위즈</v>
      </c>
      <c r="I580" t="str">
        <f>T("심연의 눈")</f>
        <v>심연의 눈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 s="3">
        <v>0</v>
      </c>
      <c r="AH580" s="3">
        <v>1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R580" t="str">
        <f t="shared" si="81"/>
        <v>0000000000000</v>
      </c>
      <c r="AT580" t="str">
        <f>T("9791190622226")</f>
        <v>9791190622226</v>
      </c>
      <c r="AV580" t="str">
        <f>T("웹툰 &gt; 판타지/SF")</f>
        <v>웹툰 &gt; 판타지/SF</v>
      </c>
    </row>
    <row r="581" spans="1:49" x14ac:dyDescent="0.4">
      <c r="A581">
        <v>4421000337</v>
      </c>
      <c r="B581">
        <v>4421000375</v>
      </c>
      <c r="C581" t="str">
        <f>T("계약연애, 오늘부터 1일 39화")</f>
        <v>계약연애, 오늘부터 1일 39화</v>
      </c>
      <c r="D581" t="str">
        <f>T("39")</f>
        <v>39</v>
      </c>
      <c r="E581" t="str">
        <f>T("원기공장")</f>
        <v>원기공장</v>
      </c>
      <c r="H581" t="str">
        <f t="shared" si="82"/>
        <v>스토리위즈</v>
      </c>
      <c r="I581" t="str">
        <f>T("계약연애, 오늘부터 1일")</f>
        <v>계약연애, 오늘부터 1일</v>
      </c>
      <c r="J581">
        <v>200</v>
      </c>
      <c r="K581">
        <v>0</v>
      </c>
      <c r="L581">
        <v>0</v>
      </c>
      <c r="M581">
        <v>0</v>
      </c>
      <c r="N581">
        <v>100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 s="3">
        <v>100</v>
      </c>
      <c r="AH581" s="3">
        <v>1</v>
      </c>
      <c r="AI581" s="3">
        <v>0</v>
      </c>
      <c r="AJ581" s="3">
        <v>0</v>
      </c>
      <c r="AK581" s="3">
        <v>100</v>
      </c>
      <c r="AL581" s="3">
        <v>0</v>
      </c>
      <c r="AM581" s="3">
        <v>0</v>
      </c>
      <c r="AN581" s="3">
        <v>0</v>
      </c>
      <c r="AO581" s="3">
        <v>0</v>
      </c>
      <c r="AP581" s="3">
        <v>70</v>
      </c>
      <c r="AR581" t="str">
        <f t="shared" si="81"/>
        <v>0000000000000</v>
      </c>
      <c r="AT581" t="str">
        <f>T("9791166068027")</f>
        <v>9791166068027</v>
      </c>
      <c r="AV581" t="str">
        <f>T("웹툰 &gt; 해외 순정")</f>
        <v>웹툰 &gt; 해외 순정</v>
      </c>
      <c r="AW581" t="str">
        <f>T("웹툰 &gt; 로맨스")</f>
        <v>웹툰 &gt; 로맨스</v>
      </c>
    </row>
    <row r="582" spans="1:49" x14ac:dyDescent="0.4">
      <c r="A582">
        <v>4421000887</v>
      </c>
      <c r="B582">
        <v>4421001275</v>
      </c>
      <c r="C582" t="str">
        <f>T("폭군의 눈물 51화")</f>
        <v>폭군의 눈물 51화</v>
      </c>
      <c r="D582" t="str">
        <f>T("51")</f>
        <v>51</v>
      </c>
      <c r="E582" t="str">
        <f>T("Ice×FANFAN COMIC")</f>
        <v>Ice×FANFAN COMIC</v>
      </c>
      <c r="G582" t="str">
        <f>T("Ice×FANFAN COMIC")</f>
        <v>Ice×FANFAN COMIC</v>
      </c>
      <c r="H582" t="str">
        <f t="shared" si="82"/>
        <v>스토리위즈</v>
      </c>
      <c r="I582" t="str">
        <f>T("폭군의 눈물")</f>
        <v>폭군의 눈물</v>
      </c>
      <c r="J582">
        <v>400</v>
      </c>
      <c r="K582">
        <v>0</v>
      </c>
      <c r="L582">
        <v>0</v>
      </c>
      <c r="M582">
        <v>0</v>
      </c>
      <c r="N582">
        <v>600</v>
      </c>
      <c r="O582">
        <v>3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 s="3">
        <v>600</v>
      </c>
      <c r="AH582" s="3">
        <v>3</v>
      </c>
      <c r="AI582" s="3">
        <v>0</v>
      </c>
      <c r="AJ582" s="3">
        <v>0</v>
      </c>
      <c r="AK582" s="3">
        <v>400</v>
      </c>
      <c r="AL582" s="3">
        <v>0</v>
      </c>
      <c r="AM582" s="3">
        <v>240</v>
      </c>
      <c r="AN582" s="3">
        <v>-72</v>
      </c>
      <c r="AO582" s="3">
        <v>0</v>
      </c>
      <c r="AP582" s="3">
        <v>397.6</v>
      </c>
      <c r="AR582" t="str">
        <f t="shared" si="81"/>
        <v>0000000000000</v>
      </c>
      <c r="AT582" t="str">
        <f>T("9791137601291")</f>
        <v>9791137601291</v>
      </c>
      <c r="AV582" t="str">
        <f>T("웹툰 &gt; 해외 순정")</f>
        <v>웹툰 &gt; 해외 순정</v>
      </c>
      <c r="AW582" t="str">
        <f>T("웹툰 &gt; 로판")</f>
        <v>웹툰 &gt; 로판</v>
      </c>
    </row>
    <row r="583" spans="1:49" x14ac:dyDescent="0.4">
      <c r="A583">
        <v>4421000069</v>
      </c>
      <c r="B583">
        <v>4421000113</v>
      </c>
      <c r="C583" t="str">
        <f>T("너랑 나랑 하면 43화")</f>
        <v>너랑 나랑 하면 43화</v>
      </c>
      <c r="D583" t="str">
        <f>T("43")</f>
        <v>43</v>
      </c>
      <c r="E583" t="str">
        <f>T("NISANSUI")</f>
        <v>NISANSUI</v>
      </c>
      <c r="G583" t="str">
        <f>T("ZIQUAN")</f>
        <v>ZIQUAN</v>
      </c>
      <c r="H583" t="str">
        <f t="shared" si="82"/>
        <v>스토리위즈</v>
      </c>
      <c r="I583" t="str">
        <f>T("너랑 나랑 하면")</f>
        <v>너랑 나랑 하면</v>
      </c>
      <c r="J583">
        <v>400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 s="3">
        <v>0</v>
      </c>
      <c r="AH583" s="3">
        <v>3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R583" t="str">
        <f t="shared" si="81"/>
        <v>0000000000000</v>
      </c>
      <c r="AT583" t="str">
        <f>T("9791166067884")</f>
        <v>9791166067884</v>
      </c>
      <c r="AV583" t="str">
        <f>T("BL 웹툰 &gt; 웹툰")</f>
        <v>BL 웹툰 &gt; 웹툰</v>
      </c>
    </row>
    <row r="584" spans="1:49" x14ac:dyDescent="0.4">
      <c r="A584">
        <v>4421000198</v>
      </c>
      <c r="B584">
        <v>4421000222</v>
      </c>
      <c r="C584" t="str">
        <f>T("공주전쟁 25화")</f>
        <v>공주전쟁 25화</v>
      </c>
      <c r="D584" t="str">
        <f>T("25")</f>
        <v>25</v>
      </c>
      <c r="E584" t="str">
        <f>T("Hujing")</f>
        <v>Hujing</v>
      </c>
      <c r="G584" t="str">
        <f>T("Luojie")</f>
        <v>Luojie</v>
      </c>
      <c r="H584" t="str">
        <f t="shared" si="82"/>
        <v>스토리위즈</v>
      </c>
      <c r="I584" t="str">
        <f>T("공주전쟁")</f>
        <v>공주전쟁</v>
      </c>
      <c r="J584">
        <v>400</v>
      </c>
      <c r="K584">
        <v>0</v>
      </c>
      <c r="L584">
        <v>0</v>
      </c>
      <c r="M584">
        <v>0</v>
      </c>
      <c r="N584">
        <v>600</v>
      </c>
      <c r="O584">
        <v>3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 s="3">
        <v>600</v>
      </c>
      <c r="AH584" s="3">
        <v>3</v>
      </c>
      <c r="AI584" s="3">
        <v>0</v>
      </c>
      <c r="AJ584" s="3">
        <v>0</v>
      </c>
      <c r="AK584" s="3">
        <v>400</v>
      </c>
      <c r="AL584" s="3">
        <v>0</v>
      </c>
      <c r="AM584" s="3">
        <v>240</v>
      </c>
      <c r="AN584" s="3">
        <v>-72</v>
      </c>
      <c r="AO584" s="3">
        <v>0</v>
      </c>
      <c r="AP584" s="3">
        <v>397.6</v>
      </c>
      <c r="AR584" t="str">
        <f t="shared" si="81"/>
        <v>0000000000000</v>
      </c>
      <c r="AT584" t="str">
        <f>T("9791166069666")</f>
        <v>9791166069666</v>
      </c>
      <c r="AV584" t="str">
        <f>T("웹툰 &gt; 해외 순정")</f>
        <v>웹툰 &gt; 해외 순정</v>
      </c>
      <c r="AW584" t="str">
        <f>T("웹툰 &gt; 로판")</f>
        <v>웹툰 &gt; 로판</v>
      </c>
    </row>
    <row r="585" spans="1:49" x14ac:dyDescent="0.4">
      <c r="A585">
        <v>4421000866</v>
      </c>
      <c r="B585">
        <v>4421001171</v>
      </c>
      <c r="C585" t="str">
        <f>T("최애에게 들켜버렸다 42화")</f>
        <v>최애에게 들켜버렸다 42화</v>
      </c>
      <c r="D585" t="str">
        <f>T("43")</f>
        <v>43</v>
      </c>
      <c r="E585" t="str">
        <f>T("Lv")</f>
        <v>Lv</v>
      </c>
      <c r="G585" t="str">
        <f>T("Lv")</f>
        <v>Lv</v>
      </c>
      <c r="H585" t="str">
        <f t="shared" si="82"/>
        <v>스토리위즈</v>
      </c>
      <c r="I585" t="str">
        <f>T("최애에게 들켜버렸다")</f>
        <v>최애에게 들켜버렸다</v>
      </c>
      <c r="J585">
        <v>400</v>
      </c>
      <c r="K585">
        <v>0</v>
      </c>
      <c r="L585">
        <v>0</v>
      </c>
      <c r="M585">
        <v>0</v>
      </c>
      <c r="N585">
        <v>600</v>
      </c>
      <c r="O585">
        <v>3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 s="3">
        <v>600</v>
      </c>
      <c r="AH585" s="3">
        <v>3</v>
      </c>
      <c r="AI585" s="3">
        <v>0</v>
      </c>
      <c r="AJ585" s="3">
        <v>0</v>
      </c>
      <c r="AK585" s="3">
        <v>424</v>
      </c>
      <c r="AL585" s="3">
        <v>0</v>
      </c>
      <c r="AM585" s="3">
        <v>211.38</v>
      </c>
      <c r="AN585" s="3">
        <v>-63.41</v>
      </c>
      <c r="AO585" s="3">
        <v>0</v>
      </c>
      <c r="AP585" s="3">
        <v>400.38</v>
      </c>
      <c r="AR585" t="str">
        <f t="shared" si="81"/>
        <v>0000000000000</v>
      </c>
      <c r="AT585" t="str">
        <f>T("9791137601253")</f>
        <v>9791137601253</v>
      </c>
      <c r="AV585" t="str">
        <f>T("웹툰 &gt; 해외 순정")</f>
        <v>웹툰 &gt; 해외 순정</v>
      </c>
      <c r="AW585" t="str">
        <f>T("웹툰 &gt; 로맨스")</f>
        <v>웹툰 &gt; 로맨스</v>
      </c>
    </row>
    <row r="586" spans="1:49" x14ac:dyDescent="0.4">
      <c r="A586">
        <v>4421001325</v>
      </c>
      <c r="B586">
        <v>4421001456</v>
      </c>
      <c r="C586" t="str">
        <f>T("커피여우 김삼월 20화")</f>
        <v>커피여우 김삼월 20화</v>
      </c>
      <c r="D586" t="str">
        <f>T("20")</f>
        <v>20</v>
      </c>
      <c r="E586" t="str">
        <f>T("Nica")</f>
        <v>Nica</v>
      </c>
      <c r="G586" t="str">
        <f>T("A.Noa, RK Studio")</f>
        <v>A.Noa, RK Studio</v>
      </c>
      <c r="H586" t="str">
        <f t="shared" si="82"/>
        <v>스토리위즈</v>
      </c>
      <c r="I586" t="str">
        <f>T("커피여우 김삼월")</f>
        <v>커피여우 김삼월</v>
      </c>
      <c r="J586">
        <v>500</v>
      </c>
      <c r="K586">
        <v>0</v>
      </c>
      <c r="L586">
        <v>0</v>
      </c>
      <c r="M586">
        <v>0</v>
      </c>
      <c r="N586">
        <v>200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 s="3">
        <v>200</v>
      </c>
      <c r="AH586" s="3">
        <v>1</v>
      </c>
      <c r="AI586" s="3">
        <v>0</v>
      </c>
      <c r="AJ586" s="3">
        <v>0</v>
      </c>
      <c r="AK586" s="3">
        <v>200</v>
      </c>
      <c r="AL586" s="3">
        <v>0</v>
      </c>
      <c r="AM586" s="3">
        <v>0</v>
      </c>
      <c r="AN586" s="3">
        <v>0</v>
      </c>
      <c r="AO586" s="3">
        <v>0</v>
      </c>
      <c r="AP586" s="3">
        <v>140</v>
      </c>
      <c r="AR586" t="str">
        <f t="shared" si="81"/>
        <v>0000000000000</v>
      </c>
      <c r="AT586" t="str">
        <f>T("9791191241792")</f>
        <v>9791191241792</v>
      </c>
      <c r="AV586" t="str">
        <f>T("웹툰 &gt; 로맨스")</f>
        <v>웹툰 &gt; 로맨스</v>
      </c>
    </row>
    <row r="587" spans="1:49" x14ac:dyDescent="0.4">
      <c r="A587">
        <v>4421000337</v>
      </c>
      <c r="B587">
        <v>4421000447</v>
      </c>
      <c r="C587" t="str">
        <f>T("계약연애, 오늘부터 1일 111화")</f>
        <v>계약연애, 오늘부터 1일 111화</v>
      </c>
      <c r="D587" t="str">
        <f>T("111")</f>
        <v>111</v>
      </c>
      <c r="E587" t="str">
        <f>T("원기공장")</f>
        <v>원기공장</v>
      </c>
      <c r="H587" t="str">
        <f t="shared" si="82"/>
        <v>스토리위즈</v>
      </c>
      <c r="I587" t="str">
        <f>T("계약연애, 오늘부터 1일")</f>
        <v>계약연애, 오늘부터 1일</v>
      </c>
      <c r="J587">
        <v>200</v>
      </c>
      <c r="K587">
        <v>0</v>
      </c>
      <c r="L587">
        <v>0</v>
      </c>
      <c r="M587">
        <v>0</v>
      </c>
      <c r="N587">
        <v>100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 s="3">
        <v>100</v>
      </c>
      <c r="AH587" s="3">
        <v>1</v>
      </c>
      <c r="AI587" s="3">
        <v>0</v>
      </c>
      <c r="AJ587" s="3">
        <v>0</v>
      </c>
      <c r="AK587" s="3">
        <v>100</v>
      </c>
      <c r="AL587" s="3">
        <v>0</v>
      </c>
      <c r="AM587" s="3">
        <v>0</v>
      </c>
      <c r="AN587" s="3">
        <v>0</v>
      </c>
      <c r="AO587" s="3">
        <v>0</v>
      </c>
      <c r="AP587" s="3">
        <v>70</v>
      </c>
      <c r="AR587" t="str">
        <f t="shared" si="81"/>
        <v>0000000000000</v>
      </c>
      <c r="AT587" t="str">
        <f>T("9791166068027")</f>
        <v>9791166068027</v>
      </c>
      <c r="AV587" t="str">
        <f>T("웹툰 &gt; 해외 순정")</f>
        <v>웹툰 &gt; 해외 순정</v>
      </c>
      <c r="AW587" t="str">
        <f>T("웹툰 &gt; 로맨스")</f>
        <v>웹툰 &gt; 로맨스</v>
      </c>
    </row>
    <row r="588" spans="1:49" x14ac:dyDescent="0.4">
      <c r="A588">
        <v>4421000887</v>
      </c>
      <c r="B588">
        <v>4421000957</v>
      </c>
      <c r="C588" t="str">
        <f>T("폭군의 눈물 28화")</f>
        <v>폭군의 눈물 28화</v>
      </c>
      <c r="D588" t="str">
        <f>T("28")</f>
        <v>28</v>
      </c>
      <c r="E588" t="str">
        <f>T("Ice×FANFAN COMIC")</f>
        <v>Ice×FANFAN COMIC</v>
      </c>
      <c r="G588" t="str">
        <f>T("Ice×FANFAN COMIC")</f>
        <v>Ice×FANFAN COMIC</v>
      </c>
      <c r="H588" t="str">
        <f t="shared" si="82"/>
        <v>스토리위즈</v>
      </c>
      <c r="I588" t="str">
        <f>T("폭군의 눈물")</f>
        <v>폭군의 눈물</v>
      </c>
      <c r="J588">
        <v>400</v>
      </c>
      <c r="K588">
        <v>0</v>
      </c>
      <c r="L588">
        <v>0</v>
      </c>
      <c r="M588">
        <v>0</v>
      </c>
      <c r="N588">
        <v>600</v>
      </c>
      <c r="O588">
        <v>3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 s="3">
        <v>600</v>
      </c>
      <c r="AH588" s="3">
        <v>3</v>
      </c>
      <c r="AI588" s="3">
        <v>0</v>
      </c>
      <c r="AJ588" s="3">
        <v>0</v>
      </c>
      <c r="AK588" s="3">
        <v>400</v>
      </c>
      <c r="AL588" s="3">
        <v>0</v>
      </c>
      <c r="AM588" s="3">
        <v>240</v>
      </c>
      <c r="AN588" s="3">
        <v>-72</v>
      </c>
      <c r="AO588" s="3">
        <v>0</v>
      </c>
      <c r="AP588" s="3">
        <v>397.6</v>
      </c>
      <c r="AR588" t="str">
        <f t="shared" si="81"/>
        <v>0000000000000</v>
      </c>
      <c r="AT588" t="str">
        <f>T("9791137601291")</f>
        <v>9791137601291</v>
      </c>
      <c r="AV588" t="str">
        <f>T("웹툰 &gt; 해외 순정")</f>
        <v>웹툰 &gt; 해외 순정</v>
      </c>
      <c r="AW588" t="str">
        <f>T("웹툰 &gt; 로판")</f>
        <v>웹툰 &gt; 로판</v>
      </c>
    </row>
    <row r="589" spans="1:49" x14ac:dyDescent="0.4">
      <c r="A589">
        <v>4421001764</v>
      </c>
      <c r="B589">
        <v>4421001781</v>
      </c>
      <c r="C589" t="str">
        <f>T("예쁜 남자 잘생긴 여자 18화")</f>
        <v>예쁜 남자 잘생긴 여자 18화</v>
      </c>
      <c r="D589" t="str">
        <f>T("18")</f>
        <v>18</v>
      </c>
      <c r="E589" t="str">
        <f>T("웹티")</f>
        <v>웹티</v>
      </c>
      <c r="H589" t="str">
        <f t="shared" si="82"/>
        <v>스토리위즈</v>
      </c>
      <c r="I589" t="str">
        <f>T("예쁜 남자 잘생긴 여자")</f>
        <v>예쁜 남자 잘생긴 여자</v>
      </c>
      <c r="J589">
        <v>500</v>
      </c>
      <c r="K589">
        <v>0</v>
      </c>
      <c r="L589">
        <v>0</v>
      </c>
      <c r="M589">
        <v>0</v>
      </c>
      <c r="N589">
        <v>200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 s="3">
        <v>200</v>
      </c>
      <c r="AH589" s="3">
        <v>1</v>
      </c>
      <c r="AI589" s="3">
        <v>0</v>
      </c>
      <c r="AJ589" s="3">
        <v>0</v>
      </c>
      <c r="AK589" s="3">
        <v>0</v>
      </c>
      <c r="AL589" s="3">
        <v>0</v>
      </c>
      <c r="AM589" s="3">
        <v>240.82</v>
      </c>
      <c r="AN589" s="3">
        <v>-72.25</v>
      </c>
      <c r="AO589" s="3">
        <v>0</v>
      </c>
      <c r="AP589" s="3">
        <v>118</v>
      </c>
      <c r="AR589" t="str">
        <f t="shared" si="81"/>
        <v>0000000000000</v>
      </c>
      <c r="AT589" t="str">
        <f>T("9791190702164")</f>
        <v>9791190702164</v>
      </c>
      <c r="AV589" t="str">
        <f>T("웹툰 &gt; 로맨스")</f>
        <v>웹툰 &gt; 로맨스</v>
      </c>
    </row>
    <row r="590" spans="1:49" x14ac:dyDescent="0.4">
      <c r="A590">
        <v>4421000337</v>
      </c>
      <c r="B590">
        <v>4421000407</v>
      </c>
      <c r="C590" t="str">
        <f>T("계약연애, 오늘부터 1일 71화")</f>
        <v>계약연애, 오늘부터 1일 71화</v>
      </c>
      <c r="D590" t="str">
        <f>T("71")</f>
        <v>71</v>
      </c>
      <c r="E590" t="str">
        <f>T("원기공장")</f>
        <v>원기공장</v>
      </c>
      <c r="H590" t="str">
        <f t="shared" si="82"/>
        <v>스토리위즈</v>
      </c>
      <c r="I590" t="str">
        <f>T("계약연애, 오늘부터 1일")</f>
        <v>계약연애, 오늘부터 1일</v>
      </c>
      <c r="J590">
        <v>200</v>
      </c>
      <c r="K590">
        <v>0</v>
      </c>
      <c r="L590">
        <v>0</v>
      </c>
      <c r="M590">
        <v>0</v>
      </c>
      <c r="N590">
        <v>100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 s="3">
        <v>100</v>
      </c>
      <c r="AH590" s="3">
        <v>1</v>
      </c>
      <c r="AI590" s="3">
        <v>0</v>
      </c>
      <c r="AJ590" s="3">
        <v>0</v>
      </c>
      <c r="AK590" s="3">
        <v>100</v>
      </c>
      <c r="AL590" s="3">
        <v>0</v>
      </c>
      <c r="AM590" s="3">
        <v>0</v>
      </c>
      <c r="AN590" s="3">
        <v>0</v>
      </c>
      <c r="AO590" s="3">
        <v>0</v>
      </c>
      <c r="AP590" s="3">
        <v>70</v>
      </c>
      <c r="AR590" t="str">
        <f t="shared" si="81"/>
        <v>0000000000000</v>
      </c>
      <c r="AT590" t="str">
        <f>T("9791166068027")</f>
        <v>9791166068027</v>
      </c>
      <c r="AV590" t="str">
        <f>T("웹툰 &gt; 해외 순정")</f>
        <v>웹툰 &gt; 해외 순정</v>
      </c>
      <c r="AW590" t="str">
        <f>T("웹툰 &gt; 로맨스")</f>
        <v>웹툰 &gt; 로맨스</v>
      </c>
    </row>
    <row r="591" spans="1:49" x14ac:dyDescent="0.4">
      <c r="A591">
        <v>4421000069</v>
      </c>
      <c r="B591">
        <v>4421001204</v>
      </c>
      <c r="C591" t="str">
        <f>T("너랑 나랑 하면 147화")</f>
        <v>너랑 나랑 하면 147화</v>
      </c>
      <c r="D591" t="str">
        <f>T("147")</f>
        <v>147</v>
      </c>
      <c r="E591" t="str">
        <f>T("NISANSUI")</f>
        <v>NISANSUI</v>
      </c>
      <c r="G591" t="str">
        <f>T("ZIQUAN")</f>
        <v>ZIQUAN</v>
      </c>
      <c r="H591" t="str">
        <f t="shared" si="82"/>
        <v>스토리위즈</v>
      </c>
      <c r="I591" t="str">
        <f>T("너랑 나랑 하면")</f>
        <v>너랑 나랑 하면</v>
      </c>
      <c r="J591">
        <v>400</v>
      </c>
      <c r="K591">
        <v>0</v>
      </c>
      <c r="L591">
        <v>0</v>
      </c>
      <c r="M591">
        <v>0</v>
      </c>
      <c r="N591">
        <v>200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 s="3">
        <v>200</v>
      </c>
      <c r="AH591" s="3">
        <v>1</v>
      </c>
      <c r="AI591" s="3">
        <v>0</v>
      </c>
      <c r="AJ591" s="3">
        <v>0</v>
      </c>
      <c r="AK591" s="3">
        <v>200</v>
      </c>
      <c r="AL591" s="3">
        <v>0</v>
      </c>
      <c r="AM591" s="3">
        <v>0</v>
      </c>
      <c r="AN591" s="3">
        <v>0</v>
      </c>
      <c r="AO591" s="3">
        <v>0</v>
      </c>
      <c r="AP591" s="3">
        <v>140</v>
      </c>
      <c r="AR591" t="str">
        <f t="shared" si="81"/>
        <v>0000000000000</v>
      </c>
      <c r="AT591" t="str">
        <f>T("9791166067884")</f>
        <v>9791166067884</v>
      </c>
      <c r="AV591" t="str">
        <f>T("BL 웹툰 &gt; 웹툰")</f>
        <v>BL 웹툰 &gt; 웹툰</v>
      </c>
    </row>
    <row r="592" spans="1:49" x14ac:dyDescent="0.4">
      <c r="A592">
        <v>4421000450</v>
      </c>
      <c r="B592">
        <v>4421000487</v>
      </c>
      <c r="C592" t="str">
        <f>T("내 남편의 스토커 37화")</f>
        <v>내 남편의 스토커 37화</v>
      </c>
      <c r="D592" t="str">
        <f>T("37")</f>
        <v>37</v>
      </c>
      <c r="E592" t="str">
        <f>T("혜원")</f>
        <v>혜원</v>
      </c>
      <c r="G592" t="str">
        <f>T("혜원")</f>
        <v>혜원</v>
      </c>
      <c r="H592" t="str">
        <f t="shared" si="82"/>
        <v>스토리위즈</v>
      </c>
      <c r="I592" t="str">
        <f>T("내 남편의 스토커")</f>
        <v>내 남편의 스토커</v>
      </c>
      <c r="J592">
        <v>400</v>
      </c>
      <c r="K592">
        <v>0</v>
      </c>
      <c r="L592">
        <v>0</v>
      </c>
      <c r="M592">
        <v>0</v>
      </c>
      <c r="N592">
        <v>200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 s="3">
        <v>200</v>
      </c>
      <c r="AH592" s="3">
        <v>1</v>
      </c>
      <c r="AI592" s="3">
        <v>0</v>
      </c>
      <c r="AJ592" s="3">
        <v>0</v>
      </c>
      <c r="AK592" s="3">
        <v>200</v>
      </c>
      <c r="AL592" s="3">
        <v>0</v>
      </c>
      <c r="AM592" s="3">
        <v>0</v>
      </c>
      <c r="AN592" s="3">
        <v>0</v>
      </c>
      <c r="AO592" s="3">
        <v>0</v>
      </c>
      <c r="AP592" s="3">
        <v>140</v>
      </c>
      <c r="AR592" t="str">
        <f t="shared" si="81"/>
        <v>0000000000000</v>
      </c>
      <c r="AT592" t="str">
        <f>T("9791166068034")</f>
        <v>9791166068034</v>
      </c>
      <c r="AV592" t="str">
        <f>T("웹툰 &gt; 로맨스")</f>
        <v>웹툰 &gt; 로맨스</v>
      </c>
    </row>
    <row r="593" spans="1:49" x14ac:dyDescent="0.4">
      <c r="A593">
        <v>4421001000</v>
      </c>
      <c r="B593">
        <v>4421001004</v>
      </c>
      <c r="C593" t="str">
        <f>T("로맨틱 시그널 5화")</f>
        <v>로맨틱 시그널 5화</v>
      </c>
      <c r="D593" t="str">
        <f>T("5")</f>
        <v>5</v>
      </c>
      <c r="E593" t="str">
        <f>T("Bless+cangshukou")</f>
        <v>Bless+cangshukou</v>
      </c>
      <c r="G593" t="str">
        <f>T("Bless+cangshukou")</f>
        <v>Bless+cangshukou</v>
      </c>
      <c r="H593" t="str">
        <f t="shared" si="82"/>
        <v>스토리위즈</v>
      </c>
      <c r="I593" t="str">
        <f>T("로맨틱 시그널")</f>
        <v>로맨틱 시그널</v>
      </c>
      <c r="J593">
        <v>200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 s="3">
        <v>0</v>
      </c>
      <c r="AH593" s="3">
        <v>1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R593" t="str">
        <f t="shared" si="81"/>
        <v>0000000000000</v>
      </c>
      <c r="AT593" t="str">
        <f>T("9791166068041")</f>
        <v>9791166068041</v>
      </c>
      <c r="AV593" t="str">
        <f>T("웹툰 &gt; 해외 순정")</f>
        <v>웹툰 &gt; 해외 순정</v>
      </c>
      <c r="AW593" t="str">
        <f>T("웹툰 &gt; 로맨스")</f>
        <v>웹툰 &gt; 로맨스</v>
      </c>
    </row>
    <row r="594" spans="1:49" x14ac:dyDescent="0.4">
      <c r="A594">
        <v>4421000866</v>
      </c>
      <c r="B594">
        <v>4421000886</v>
      </c>
      <c r="C594" t="str">
        <f>T("최애에게 들켜버렸다 20화")</f>
        <v>최애에게 들켜버렸다 20화</v>
      </c>
      <c r="D594" t="str">
        <f>T("20")</f>
        <v>20</v>
      </c>
      <c r="E594" t="str">
        <f>T("Lv")</f>
        <v>Lv</v>
      </c>
      <c r="G594" t="str">
        <f>T("Lv")</f>
        <v>Lv</v>
      </c>
      <c r="H594" t="str">
        <f t="shared" si="82"/>
        <v>스토리위즈</v>
      </c>
      <c r="I594" t="str">
        <f>T("최애에게 들켜버렸다")</f>
        <v>최애에게 들켜버렸다</v>
      </c>
      <c r="J594">
        <v>400</v>
      </c>
      <c r="K594">
        <v>0</v>
      </c>
      <c r="L594">
        <v>0</v>
      </c>
      <c r="M594">
        <v>0</v>
      </c>
      <c r="N594">
        <v>1000</v>
      </c>
      <c r="O594">
        <v>5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 s="3">
        <v>1000</v>
      </c>
      <c r="AH594" s="3">
        <v>5</v>
      </c>
      <c r="AI594" s="3">
        <v>0</v>
      </c>
      <c r="AJ594" s="3">
        <v>0</v>
      </c>
      <c r="AK594" s="3">
        <v>824</v>
      </c>
      <c r="AL594" s="3">
        <v>0</v>
      </c>
      <c r="AM594" s="3">
        <v>211.38</v>
      </c>
      <c r="AN594" s="3">
        <v>-63.41</v>
      </c>
      <c r="AO594" s="3">
        <v>0</v>
      </c>
      <c r="AP594" s="3">
        <v>680.38</v>
      </c>
      <c r="AR594" t="str">
        <f t="shared" si="81"/>
        <v>0000000000000</v>
      </c>
      <c r="AT594" t="str">
        <f>T("9791137601253")</f>
        <v>9791137601253</v>
      </c>
      <c r="AV594" t="str">
        <f>T("웹툰 &gt; 해외 순정")</f>
        <v>웹툰 &gt; 해외 순정</v>
      </c>
      <c r="AW594" t="str">
        <f>T("웹툰 &gt; 로맨스")</f>
        <v>웹툰 &gt; 로맨스</v>
      </c>
    </row>
    <row r="595" spans="1:49" x14ac:dyDescent="0.4">
      <c r="A595">
        <v>4421002129</v>
      </c>
      <c r="B595">
        <v>4421002130</v>
      </c>
      <c r="C595" t="str">
        <f>T("향수고에서 생긴 일 2화")</f>
        <v>향수고에서 생긴 일 2화</v>
      </c>
      <c r="D595" t="str">
        <f>T("2")</f>
        <v>2</v>
      </c>
      <c r="E595" t="str">
        <f>T("웹티")</f>
        <v>웹티</v>
      </c>
      <c r="H595" t="str">
        <f t="shared" si="82"/>
        <v>스토리위즈</v>
      </c>
      <c r="I595" t="str">
        <f>T("향수고에서 생긴 일")</f>
        <v>향수고에서 생긴 일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 s="3">
        <v>0</v>
      </c>
      <c r="AH595" s="3">
        <v>1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R595" t="str">
        <f t="shared" si="81"/>
        <v>0000000000000</v>
      </c>
      <c r="AT595" t="str">
        <f>T("9791190622035")</f>
        <v>9791190622035</v>
      </c>
      <c r="AV595" t="str">
        <f>T("웹툰 &gt; 드라마")</f>
        <v>웹툰 &gt; 드라마</v>
      </c>
    </row>
    <row r="596" spans="1:49" x14ac:dyDescent="0.4">
      <c r="A596">
        <v>4421000518</v>
      </c>
      <c r="B596">
        <v>4421000559</v>
      </c>
      <c r="C596" t="str">
        <f>T("백스테이지 키스신 41화")</f>
        <v>백스테이지 키스신 41화</v>
      </c>
      <c r="D596" t="str">
        <f>T("41")</f>
        <v>41</v>
      </c>
      <c r="E596" t="str">
        <f>T("최도비")</f>
        <v>최도비</v>
      </c>
      <c r="G596" t="str">
        <f>T("수정과")</f>
        <v>수정과</v>
      </c>
      <c r="H596" t="str">
        <f t="shared" si="82"/>
        <v>스토리위즈</v>
      </c>
      <c r="I596" t="str">
        <f>T("백스테이지 키스신")</f>
        <v>백스테이지 키스신</v>
      </c>
      <c r="J596">
        <v>400</v>
      </c>
      <c r="K596">
        <v>0</v>
      </c>
      <c r="L596">
        <v>0</v>
      </c>
      <c r="M596">
        <v>0</v>
      </c>
      <c r="N596">
        <v>200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 s="3">
        <v>200</v>
      </c>
      <c r="AH596" s="3">
        <v>1</v>
      </c>
      <c r="AI596" s="3">
        <v>0</v>
      </c>
      <c r="AJ596" s="3">
        <v>0</v>
      </c>
      <c r="AK596" s="3">
        <v>200</v>
      </c>
      <c r="AL596" s="3">
        <v>0</v>
      </c>
      <c r="AM596" s="3">
        <v>0</v>
      </c>
      <c r="AN596" s="3">
        <v>0</v>
      </c>
      <c r="AO596" s="3">
        <v>0</v>
      </c>
      <c r="AP596" s="3">
        <v>140</v>
      </c>
      <c r="AR596" t="str">
        <f t="shared" si="81"/>
        <v>0000000000000</v>
      </c>
      <c r="AT596" t="str">
        <f>T("9791166067990")</f>
        <v>9791166067990</v>
      </c>
      <c r="AV596" t="str">
        <f>T("웹툰 &gt; 로맨스")</f>
        <v>웹툰 &gt; 로맨스</v>
      </c>
    </row>
    <row r="597" spans="1:49" x14ac:dyDescent="0.4">
      <c r="A597">
        <v>4421001325</v>
      </c>
      <c r="B597">
        <v>4421001339</v>
      </c>
      <c r="C597" t="str">
        <f>T("커피여우 김삼월 15화")</f>
        <v>커피여우 김삼월 15화</v>
      </c>
      <c r="D597" t="str">
        <f>T("15")</f>
        <v>15</v>
      </c>
      <c r="E597" t="str">
        <f>T("Nica")</f>
        <v>Nica</v>
      </c>
      <c r="G597" t="str">
        <f>T("A.Noa, RK Studio")</f>
        <v>A.Noa, RK Studio</v>
      </c>
      <c r="H597" t="str">
        <f t="shared" si="82"/>
        <v>스토리위즈</v>
      </c>
      <c r="I597" t="str">
        <f>T("커피여우 김삼월")</f>
        <v>커피여우 김삼월</v>
      </c>
      <c r="J597">
        <v>500</v>
      </c>
      <c r="K597">
        <v>0</v>
      </c>
      <c r="L597">
        <v>0</v>
      </c>
      <c r="M597">
        <v>0</v>
      </c>
      <c r="N597">
        <v>200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 s="3">
        <v>200</v>
      </c>
      <c r="AH597" s="3">
        <v>1</v>
      </c>
      <c r="AI597" s="3">
        <v>0</v>
      </c>
      <c r="AJ597" s="3">
        <v>0</v>
      </c>
      <c r="AK597" s="3">
        <v>200</v>
      </c>
      <c r="AL597" s="3">
        <v>0</v>
      </c>
      <c r="AM597" s="3">
        <v>0</v>
      </c>
      <c r="AN597" s="3">
        <v>0</v>
      </c>
      <c r="AO597" s="3">
        <v>0</v>
      </c>
      <c r="AP597" s="3">
        <v>140</v>
      </c>
      <c r="AR597" t="str">
        <f t="shared" si="81"/>
        <v>0000000000000</v>
      </c>
      <c r="AT597" t="str">
        <f>T("9791191241792")</f>
        <v>9791191241792</v>
      </c>
      <c r="AV597" t="str">
        <f>T("웹툰 &gt; 로맨스")</f>
        <v>웹툰 &gt; 로맨스</v>
      </c>
    </row>
    <row r="598" spans="1:49" x14ac:dyDescent="0.4">
      <c r="A598">
        <v>4421000198</v>
      </c>
      <c r="B598">
        <v>4421002848</v>
      </c>
      <c r="C598" t="str">
        <f>T("공주전쟁 100화")</f>
        <v>공주전쟁 100화</v>
      </c>
      <c r="D598" t="str">
        <f>T("100")</f>
        <v>100</v>
      </c>
      <c r="E598" t="str">
        <f>T("Hujing")</f>
        <v>Hujing</v>
      </c>
      <c r="G598" t="str">
        <f>T("Luojie")</f>
        <v>Luojie</v>
      </c>
      <c r="H598" t="str">
        <f t="shared" si="82"/>
        <v>스토리위즈</v>
      </c>
      <c r="I598" t="str">
        <f>T("공주전쟁")</f>
        <v>공주전쟁</v>
      </c>
      <c r="J598">
        <v>400</v>
      </c>
      <c r="K598">
        <v>0</v>
      </c>
      <c r="L598">
        <v>0</v>
      </c>
      <c r="M598">
        <v>0</v>
      </c>
      <c r="N598">
        <v>200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 s="3">
        <v>200</v>
      </c>
      <c r="AH598" s="3">
        <v>1</v>
      </c>
      <c r="AI598" s="3">
        <v>0</v>
      </c>
      <c r="AJ598" s="3">
        <v>0</v>
      </c>
      <c r="AK598" s="3">
        <v>0</v>
      </c>
      <c r="AL598" s="3">
        <v>0</v>
      </c>
      <c r="AM598" s="3">
        <v>240</v>
      </c>
      <c r="AN598" s="3">
        <v>-72</v>
      </c>
      <c r="AO598" s="3">
        <v>0</v>
      </c>
      <c r="AP598" s="3">
        <v>117.6</v>
      </c>
      <c r="AR598" t="str">
        <f t="shared" si="81"/>
        <v>0000000000000</v>
      </c>
      <c r="AT598" t="str">
        <f>T("9791166069666")</f>
        <v>9791166069666</v>
      </c>
      <c r="AV598" t="str">
        <f>T("웹툰 &gt; 해외 순정")</f>
        <v>웹툰 &gt; 해외 순정</v>
      </c>
      <c r="AW598" t="str">
        <f>T("웹툰 &gt; 로판")</f>
        <v>웹툰 &gt; 로판</v>
      </c>
    </row>
    <row r="599" spans="1:49" x14ac:dyDescent="0.4">
      <c r="A599">
        <v>4421000518</v>
      </c>
      <c r="B599">
        <v>4421000519</v>
      </c>
      <c r="C599" t="str">
        <f>T("백스테이지 키스신 1화")</f>
        <v>백스테이지 키스신 1화</v>
      </c>
      <c r="D599" t="str">
        <f>T("1")</f>
        <v>1</v>
      </c>
      <c r="E599" t="str">
        <f>T("최도비")</f>
        <v>최도비</v>
      </c>
      <c r="G599" t="str">
        <f>T("수정과")</f>
        <v>수정과</v>
      </c>
      <c r="H599" t="str">
        <f t="shared" si="82"/>
        <v>스토리위즈</v>
      </c>
      <c r="I599" t="str">
        <f>T("백스테이지 키스신")</f>
        <v>백스테이지 키스신</v>
      </c>
      <c r="J599">
        <v>400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 s="3">
        <v>0</v>
      </c>
      <c r="AH599" s="3">
        <v>3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R599" t="str">
        <f t="shared" si="81"/>
        <v>0000000000000</v>
      </c>
      <c r="AT599" t="str">
        <f>T("9791166067990")</f>
        <v>9791166067990</v>
      </c>
      <c r="AV599" t="str">
        <f>T("웹툰 &gt; 로맨스")</f>
        <v>웹툰 &gt; 로맨스</v>
      </c>
    </row>
    <row r="600" spans="1:49" x14ac:dyDescent="0.4">
      <c r="A600">
        <v>4421000337</v>
      </c>
      <c r="B600">
        <v>4421000359</v>
      </c>
      <c r="C600" t="str">
        <f>T("계약연애, 오늘부터 1일 23화")</f>
        <v>계약연애, 오늘부터 1일 23화</v>
      </c>
      <c r="D600" t="str">
        <f>T("23")</f>
        <v>23</v>
      </c>
      <c r="E600" t="str">
        <f>T("원기공장")</f>
        <v>원기공장</v>
      </c>
      <c r="H600" t="str">
        <f t="shared" si="82"/>
        <v>스토리위즈</v>
      </c>
      <c r="I600" t="str">
        <f>T("계약연애, 오늘부터 1일")</f>
        <v>계약연애, 오늘부터 1일</v>
      </c>
      <c r="J600">
        <v>200</v>
      </c>
      <c r="K600">
        <v>0</v>
      </c>
      <c r="L600">
        <v>0</v>
      </c>
      <c r="M600">
        <v>0</v>
      </c>
      <c r="N600">
        <v>100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 s="3">
        <v>100</v>
      </c>
      <c r="AH600" s="3">
        <v>1</v>
      </c>
      <c r="AI600" s="3">
        <v>0</v>
      </c>
      <c r="AJ600" s="3">
        <v>0</v>
      </c>
      <c r="AK600" s="3">
        <v>100</v>
      </c>
      <c r="AL600" s="3">
        <v>0</v>
      </c>
      <c r="AM600" s="3">
        <v>0</v>
      </c>
      <c r="AN600" s="3">
        <v>0</v>
      </c>
      <c r="AO600" s="3">
        <v>0</v>
      </c>
      <c r="AP600" s="3">
        <v>70</v>
      </c>
      <c r="AR600" t="str">
        <f t="shared" si="81"/>
        <v>0000000000000</v>
      </c>
      <c r="AT600" t="str">
        <f>T("9791166068027")</f>
        <v>9791166068027</v>
      </c>
      <c r="AV600" t="str">
        <f>T("웹툰 &gt; 해외 순정")</f>
        <v>웹툰 &gt; 해외 순정</v>
      </c>
      <c r="AW600" t="str">
        <f>T("웹툰 &gt; 로맨스")</f>
        <v>웹툰 &gt; 로맨스</v>
      </c>
    </row>
    <row r="601" spans="1:49" x14ac:dyDescent="0.4">
      <c r="A601">
        <v>4421000866</v>
      </c>
      <c r="B601">
        <v>4421001238</v>
      </c>
      <c r="C601" t="str">
        <f>T("최애에게 들켜버렸다 55화")</f>
        <v>최애에게 들켜버렸다 55화</v>
      </c>
      <c r="D601" t="str">
        <f>T("58")</f>
        <v>58</v>
      </c>
      <c r="E601" t="str">
        <f>T("Lv")</f>
        <v>Lv</v>
      </c>
      <c r="G601" t="str">
        <f>T("Lv")</f>
        <v>Lv</v>
      </c>
      <c r="H601" t="str">
        <f t="shared" si="82"/>
        <v>스토리위즈</v>
      </c>
      <c r="I601" t="str">
        <f>T("최애에게 들켜버렸다")</f>
        <v>최애에게 들켜버렸다</v>
      </c>
      <c r="J601">
        <v>400</v>
      </c>
      <c r="K601">
        <v>0</v>
      </c>
      <c r="L601">
        <v>0</v>
      </c>
      <c r="M601">
        <v>0</v>
      </c>
      <c r="N601">
        <v>600</v>
      </c>
      <c r="O601">
        <v>3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 s="3">
        <v>600</v>
      </c>
      <c r="AH601" s="3">
        <v>3</v>
      </c>
      <c r="AI601" s="3">
        <v>0</v>
      </c>
      <c r="AJ601" s="3">
        <v>0</v>
      </c>
      <c r="AK601" s="3">
        <v>424</v>
      </c>
      <c r="AL601" s="3">
        <v>0</v>
      </c>
      <c r="AM601" s="3">
        <v>211.38</v>
      </c>
      <c r="AN601" s="3">
        <v>-63.41</v>
      </c>
      <c r="AO601" s="3">
        <v>0</v>
      </c>
      <c r="AP601" s="3">
        <v>400.38</v>
      </c>
      <c r="AR601" t="str">
        <f t="shared" si="81"/>
        <v>0000000000000</v>
      </c>
      <c r="AT601" t="str">
        <f>T("9791137601253")</f>
        <v>9791137601253</v>
      </c>
      <c r="AV601" t="str">
        <f>T("웹툰 &gt; 해외 순정")</f>
        <v>웹툰 &gt; 해외 순정</v>
      </c>
      <c r="AW601" t="str">
        <f>T("웹툰 &gt; 로맨스")</f>
        <v>웹툰 &gt; 로맨스</v>
      </c>
    </row>
    <row r="602" spans="1:49" x14ac:dyDescent="0.4">
      <c r="A602">
        <v>4421000069</v>
      </c>
      <c r="B602">
        <v>4421000080</v>
      </c>
      <c r="C602" t="str">
        <f>T("너랑 나랑 하면 11화")</f>
        <v>너랑 나랑 하면 11화</v>
      </c>
      <c r="D602" t="str">
        <f>T("11")</f>
        <v>11</v>
      </c>
      <c r="E602" t="str">
        <f>T("NISANSUI")</f>
        <v>NISANSUI</v>
      </c>
      <c r="G602" t="str">
        <f>T("ZIQUAN")</f>
        <v>ZIQUAN</v>
      </c>
      <c r="H602" t="str">
        <f t="shared" si="82"/>
        <v>스토리위즈</v>
      </c>
      <c r="I602" t="str">
        <f>T("너랑 나랑 하면")</f>
        <v>너랑 나랑 하면</v>
      </c>
      <c r="J602">
        <v>400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 s="3">
        <v>0</v>
      </c>
      <c r="AH602" s="3">
        <v>3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R602" t="str">
        <f t="shared" si="81"/>
        <v>0000000000000</v>
      </c>
      <c r="AT602" t="str">
        <f>T("9791166067884")</f>
        <v>9791166067884</v>
      </c>
      <c r="AV602" t="str">
        <f>T("BL 웹툰 &gt; 웹툰")</f>
        <v>BL 웹툰 &gt; 웹툰</v>
      </c>
    </row>
    <row r="603" spans="1:49" x14ac:dyDescent="0.4">
      <c r="A603">
        <v>4421000916</v>
      </c>
      <c r="B603">
        <v>4421000918</v>
      </c>
      <c r="C603" t="str">
        <f>T("별빛 아래 우리 3화")</f>
        <v>별빛 아래 우리 3화</v>
      </c>
      <c r="D603" t="str">
        <f>T("3")</f>
        <v>3</v>
      </c>
      <c r="E603" t="str">
        <f>T("건일")</f>
        <v>건일</v>
      </c>
      <c r="G603" t="str">
        <f>T("건일")</f>
        <v>건일</v>
      </c>
      <c r="H603" t="str">
        <f t="shared" si="82"/>
        <v>스토리위즈</v>
      </c>
      <c r="I603" t="str">
        <f>T("별빛 아래 우리")</f>
        <v>별빛 아래 우리</v>
      </c>
      <c r="J603">
        <v>400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31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 s="3">
        <v>0</v>
      </c>
      <c r="AH603" s="3">
        <v>31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R603" t="str">
        <f t="shared" si="81"/>
        <v>0000000000000</v>
      </c>
      <c r="AT603" t="str">
        <f>T("9791137601413")</f>
        <v>9791137601413</v>
      </c>
      <c r="AV603" t="str">
        <f>T("웹툰 &gt; 해외 순정")</f>
        <v>웹툰 &gt; 해외 순정</v>
      </c>
      <c r="AW603" t="str">
        <f>T("웹툰 &gt; 로맨스")</f>
        <v>웹툰 &gt; 로맨스</v>
      </c>
    </row>
    <row r="604" spans="1:49" x14ac:dyDescent="0.4">
      <c r="A604">
        <v>4421000001</v>
      </c>
      <c r="B604">
        <v>4421000001</v>
      </c>
      <c r="C604" t="str">
        <f>T("감옥실험 1화")</f>
        <v>감옥실험 1화</v>
      </c>
      <c r="D604" t="str">
        <f>T("1")</f>
        <v>1</v>
      </c>
      <c r="E604" t="str">
        <f>T("Kantetsu")</f>
        <v>Kantetsu</v>
      </c>
      <c r="G604" t="str">
        <f>T("Minase Chiho")</f>
        <v>Minase Chiho</v>
      </c>
      <c r="H604" t="str">
        <f t="shared" si="82"/>
        <v>스토리위즈</v>
      </c>
      <c r="I604" t="str">
        <f>T("감옥실험")</f>
        <v>감옥실험</v>
      </c>
      <c r="J604">
        <v>500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14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 s="3">
        <v>0</v>
      </c>
      <c r="AH604" s="3">
        <v>14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T604" t="str">
        <f>T("9791166069406")</f>
        <v>9791166069406</v>
      </c>
      <c r="AV604" t="str">
        <f>T("웹툰 &gt; 드라마")</f>
        <v>웹툰 &gt; 드라마</v>
      </c>
    </row>
    <row r="605" spans="1:49" x14ac:dyDescent="0.4">
      <c r="A605">
        <v>4421000866</v>
      </c>
      <c r="B605">
        <v>4421001300</v>
      </c>
      <c r="C605" t="str">
        <f>T("최애에게 들켜버렸다 69화")</f>
        <v>최애에게 들켜버렸다 69화</v>
      </c>
      <c r="D605" t="str">
        <f>T("72")</f>
        <v>72</v>
      </c>
      <c r="E605" t="str">
        <f>T("Lv")</f>
        <v>Lv</v>
      </c>
      <c r="G605" t="str">
        <f>T("Lv")</f>
        <v>Lv</v>
      </c>
      <c r="H605" t="str">
        <f t="shared" si="82"/>
        <v>스토리위즈</v>
      </c>
      <c r="I605" t="str">
        <f>T("최애에게 들켜버렸다")</f>
        <v>최애에게 들켜버렸다</v>
      </c>
      <c r="J605">
        <v>400</v>
      </c>
      <c r="K605">
        <v>0</v>
      </c>
      <c r="L605">
        <v>0</v>
      </c>
      <c r="M605">
        <v>0</v>
      </c>
      <c r="N605">
        <v>600</v>
      </c>
      <c r="O605">
        <v>3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 s="3">
        <v>600</v>
      </c>
      <c r="AH605" s="3">
        <v>3</v>
      </c>
      <c r="AI605" s="3">
        <v>0</v>
      </c>
      <c r="AJ605" s="3">
        <v>0</v>
      </c>
      <c r="AK605" s="3">
        <v>424</v>
      </c>
      <c r="AL605" s="3">
        <v>0</v>
      </c>
      <c r="AM605" s="3">
        <v>211.38</v>
      </c>
      <c r="AN605" s="3">
        <v>-63.41</v>
      </c>
      <c r="AO605" s="3">
        <v>0</v>
      </c>
      <c r="AP605" s="3">
        <v>400.38</v>
      </c>
      <c r="AR605" t="str">
        <f t="shared" ref="AR605:AR617" si="83">T("0000000000000")</f>
        <v>0000000000000</v>
      </c>
      <c r="AT605" t="str">
        <f>T("9791137601253")</f>
        <v>9791137601253</v>
      </c>
      <c r="AV605" t="str">
        <f>T("웹툰 &gt; 해외 순정")</f>
        <v>웹툰 &gt; 해외 순정</v>
      </c>
      <c r="AW605" t="str">
        <f>T("웹툰 &gt; 로맨스")</f>
        <v>웹툰 &gt; 로맨스</v>
      </c>
    </row>
    <row r="606" spans="1:49" x14ac:dyDescent="0.4">
      <c r="A606">
        <v>4421000916</v>
      </c>
      <c r="B606">
        <v>4421001197</v>
      </c>
      <c r="C606" t="str">
        <f>T("별빛 아래 우리 43화")</f>
        <v>별빛 아래 우리 43화</v>
      </c>
      <c r="D606" t="str">
        <f>T("43")</f>
        <v>43</v>
      </c>
      <c r="E606" t="str">
        <f>T("건일")</f>
        <v>건일</v>
      </c>
      <c r="G606" t="str">
        <f>T("건일")</f>
        <v>건일</v>
      </c>
      <c r="H606" t="str">
        <f t="shared" si="82"/>
        <v>스토리위즈</v>
      </c>
      <c r="I606" t="str">
        <f>T("별빛 아래 우리")</f>
        <v>별빛 아래 우리</v>
      </c>
      <c r="J606">
        <v>400</v>
      </c>
      <c r="K606">
        <v>0</v>
      </c>
      <c r="L606">
        <v>0</v>
      </c>
      <c r="M606">
        <v>0</v>
      </c>
      <c r="N606">
        <v>800</v>
      </c>
      <c r="O606">
        <v>4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 s="3">
        <v>800</v>
      </c>
      <c r="AH606" s="3">
        <v>4</v>
      </c>
      <c r="AI606" s="3">
        <v>0</v>
      </c>
      <c r="AJ606" s="3">
        <v>0</v>
      </c>
      <c r="AK606" s="3">
        <v>379</v>
      </c>
      <c r="AL606" s="3">
        <v>0</v>
      </c>
      <c r="AM606" s="3">
        <v>505.2</v>
      </c>
      <c r="AN606" s="3">
        <v>-151.56</v>
      </c>
      <c r="AO606" s="3">
        <v>0</v>
      </c>
      <c r="AP606" s="3">
        <v>512.85</v>
      </c>
      <c r="AR606" t="str">
        <f t="shared" si="83"/>
        <v>0000000000000</v>
      </c>
      <c r="AT606" t="str">
        <f>T("9791137601413")</f>
        <v>9791137601413</v>
      </c>
      <c r="AV606" t="str">
        <f>T("웹툰 &gt; 해외 순정")</f>
        <v>웹툰 &gt; 해외 순정</v>
      </c>
      <c r="AW606" t="str">
        <f>T("웹툰 &gt; 로맨스")</f>
        <v>웹툰 &gt; 로맨스</v>
      </c>
    </row>
    <row r="607" spans="1:49" x14ac:dyDescent="0.4">
      <c r="A607">
        <v>4421000450</v>
      </c>
      <c r="B607">
        <v>4421000480</v>
      </c>
      <c r="C607" t="str">
        <f>T("내 남편의 스토커 30화")</f>
        <v>내 남편의 스토커 30화</v>
      </c>
      <c r="D607" t="str">
        <f>T("30")</f>
        <v>30</v>
      </c>
      <c r="E607" t="str">
        <f>T("혜원")</f>
        <v>혜원</v>
      </c>
      <c r="G607" t="str">
        <f>T("혜원")</f>
        <v>혜원</v>
      </c>
      <c r="H607" t="str">
        <f t="shared" si="82"/>
        <v>스토리위즈</v>
      </c>
      <c r="I607" t="str">
        <f>T("내 남편의 스토커")</f>
        <v>내 남편의 스토커</v>
      </c>
      <c r="J607">
        <v>400</v>
      </c>
      <c r="K607">
        <v>0</v>
      </c>
      <c r="L607">
        <v>0</v>
      </c>
      <c r="M607">
        <v>0</v>
      </c>
      <c r="N607">
        <v>200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 s="3">
        <v>200</v>
      </c>
      <c r="AH607" s="3">
        <v>1</v>
      </c>
      <c r="AI607" s="3">
        <v>0</v>
      </c>
      <c r="AJ607" s="3">
        <v>0</v>
      </c>
      <c r="AK607" s="3">
        <v>200</v>
      </c>
      <c r="AL607" s="3">
        <v>0</v>
      </c>
      <c r="AM607" s="3">
        <v>0</v>
      </c>
      <c r="AN607" s="3">
        <v>0</v>
      </c>
      <c r="AO607" s="3">
        <v>0</v>
      </c>
      <c r="AP607" s="3">
        <v>140</v>
      </c>
      <c r="AR607" t="str">
        <f t="shared" si="83"/>
        <v>0000000000000</v>
      </c>
      <c r="AT607" t="str">
        <f>T("9791166068034")</f>
        <v>9791166068034</v>
      </c>
      <c r="AV607" t="str">
        <f>T("웹툰 &gt; 로맨스")</f>
        <v>웹툰 &gt; 로맨스</v>
      </c>
    </row>
    <row r="608" spans="1:49" x14ac:dyDescent="0.4">
      <c r="A608">
        <v>4421000866</v>
      </c>
      <c r="B608">
        <v>4421000997</v>
      </c>
      <c r="C608" t="str">
        <f>T("최애에게 들켜버렸다 38화")</f>
        <v>최애에게 들켜버렸다 38화</v>
      </c>
      <c r="D608" t="str">
        <f>T("39")</f>
        <v>39</v>
      </c>
      <c r="E608" t="str">
        <f>T("Lv")</f>
        <v>Lv</v>
      </c>
      <c r="G608" t="str">
        <f>T("Lv")</f>
        <v>Lv</v>
      </c>
      <c r="H608" t="str">
        <f t="shared" si="82"/>
        <v>스토리위즈</v>
      </c>
      <c r="I608" t="str">
        <f>T("최애에게 들켜버렸다")</f>
        <v>최애에게 들켜버렸다</v>
      </c>
      <c r="J608">
        <v>400</v>
      </c>
      <c r="K608">
        <v>0</v>
      </c>
      <c r="L608">
        <v>0</v>
      </c>
      <c r="M608">
        <v>0</v>
      </c>
      <c r="N608">
        <v>800</v>
      </c>
      <c r="O608">
        <v>4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 s="3">
        <v>800</v>
      </c>
      <c r="AH608" s="3">
        <v>4</v>
      </c>
      <c r="AI608" s="3">
        <v>0</v>
      </c>
      <c r="AJ608" s="3">
        <v>0</v>
      </c>
      <c r="AK608" s="3">
        <v>624</v>
      </c>
      <c r="AL608" s="3">
        <v>0</v>
      </c>
      <c r="AM608" s="3">
        <v>211.38</v>
      </c>
      <c r="AN608" s="3">
        <v>-63.41</v>
      </c>
      <c r="AO608" s="3">
        <v>0</v>
      </c>
      <c r="AP608" s="3">
        <v>540.38</v>
      </c>
      <c r="AR608" t="str">
        <f t="shared" si="83"/>
        <v>0000000000000</v>
      </c>
      <c r="AT608" t="str">
        <f>T("9791137601253")</f>
        <v>9791137601253</v>
      </c>
      <c r="AV608" t="str">
        <f>T("웹툰 &gt; 해외 순정")</f>
        <v>웹툰 &gt; 해외 순정</v>
      </c>
      <c r="AW608" t="str">
        <f>T("웹툰 &gt; 로맨스")</f>
        <v>웹툰 &gt; 로맨스</v>
      </c>
    </row>
    <row r="609" spans="1:49" x14ac:dyDescent="0.4">
      <c r="A609">
        <v>4421000866</v>
      </c>
      <c r="B609">
        <v>4421000879</v>
      </c>
      <c r="C609" t="str">
        <f>T("최애에게 들켜버렸다 13화")</f>
        <v>최애에게 들켜버렸다 13화</v>
      </c>
      <c r="D609" t="str">
        <f>T("13")</f>
        <v>13</v>
      </c>
      <c r="E609" t="str">
        <f>T("Lv")</f>
        <v>Lv</v>
      </c>
      <c r="G609" t="str">
        <f>T("Lv")</f>
        <v>Lv</v>
      </c>
      <c r="H609" t="str">
        <f t="shared" si="82"/>
        <v>스토리위즈</v>
      </c>
      <c r="I609" t="str">
        <f>T("최애에게 들켜버렸다")</f>
        <v>최애에게 들켜버렸다</v>
      </c>
      <c r="J609">
        <v>400</v>
      </c>
      <c r="K609">
        <v>0</v>
      </c>
      <c r="L609">
        <v>0</v>
      </c>
      <c r="M609">
        <v>0</v>
      </c>
      <c r="N609">
        <v>1200</v>
      </c>
      <c r="O609">
        <v>6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 s="3">
        <v>1200</v>
      </c>
      <c r="AH609" s="3">
        <v>6</v>
      </c>
      <c r="AI609" s="3">
        <v>0</v>
      </c>
      <c r="AJ609" s="3">
        <v>0</v>
      </c>
      <c r="AK609" s="3">
        <v>824</v>
      </c>
      <c r="AL609" s="3">
        <v>0</v>
      </c>
      <c r="AM609" s="3">
        <v>451.38</v>
      </c>
      <c r="AN609" s="3">
        <v>-135.41</v>
      </c>
      <c r="AO609" s="3">
        <v>0</v>
      </c>
      <c r="AP609" s="3">
        <v>797.98</v>
      </c>
      <c r="AR609" t="str">
        <f t="shared" si="83"/>
        <v>0000000000000</v>
      </c>
      <c r="AT609" t="str">
        <f>T("9791137601253")</f>
        <v>9791137601253</v>
      </c>
      <c r="AV609" t="str">
        <f>T("웹툰 &gt; 해외 순정")</f>
        <v>웹툰 &gt; 해외 순정</v>
      </c>
      <c r="AW609" t="str">
        <f>T("웹툰 &gt; 로맨스")</f>
        <v>웹툰 &gt; 로맨스</v>
      </c>
    </row>
    <row r="610" spans="1:49" x14ac:dyDescent="0.4">
      <c r="A610">
        <v>4421002022</v>
      </c>
      <c r="B610">
        <v>4421002024</v>
      </c>
      <c r="C610" t="str">
        <f>T("대표님과 연애를 시작했습니다 3화")</f>
        <v>대표님과 연애를 시작했습니다 3화</v>
      </c>
      <c r="D610" t="str">
        <f>T("3")</f>
        <v>3</v>
      </c>
      <c r="E610" t="str">
        <f>T("웹티")</f>
        <v>웹티</v>
      </c>
      <c r="H610" t="str">
        <f t="shared" si="82"/>
        <v>스토리위즈</v>
      </c>
      <c r="I610" t="str">
        <f>T("대표님과 연애를 시작했습니다")</f>
        <v>대표님과 연애를 시작했습니다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 s="3">
        <v>0</v>
      </c>
      <c r="AH610" s="3">
        <v>1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R610" t="str">
        <f t="shared" si="83"/>
        <v>0000000000000</v>
      </c>
      <c r="AT610" t="str">
        <f>T("9791196660482")</f>
        <v>9791196660482</v>
      </c>
      <c r="AV610" t="str">
        <f>T("BL 웹툰 &gt; 웹툰")</f>
        <v>BL 웹툰 &gt; 웹툰</v>
      </c>
    </row>
    <row r="611" spans="1:49" x14ac:dyDescent="0.4">
      <c r="A611">
        <v>4421000518</v>
      </c>
      <c r="B611">
        <v>4421000552</v>
      </c>
      <c r="C611" t="str">
        <f>T("백스테이지 키스신 34화")</f>
        <v>백스테이지 키스신 34화</v>
      </c>
      <c r="D611" t="str">
        <f>T("34")</f>
        <v>34</v>
      </c>
      <c r="E611" t="str">
        <f>T("최도비")</f>
        <v>최도비</v>
      </c>
      <c r="G611" t="str">
        <f>T("수정과")</f>
        <v>수정과</v>
      </c>
      <c r="H611" t="str">
        <f t="shared" si="82"/>
        <v>스토리위즈</v>
      </c>
      <c r="I611" t="str">
        <f>T("백스테이지 키스신")</f>
        <v>백스테이지 키스신</v>
      </c>
      <c r="J611">
        <v>400</v>
      </c>
      <c r="K611">
        <v>0</v>
      </c>
      <c r="L611">
        <v>0</v>
      </c>
      <c r="M611">
        <v>0</v>
      </c>
      <c r="N611">
        <v>200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 s="3">
        <v>200</v>
      </c>
      <c r="AH611" s="3">
        <v>1</v>
      </c>
      <c r="AI611" s="3">
        <v>0</v>
      </c>
      <c r="AJ611" s="3">
        <v>0</v>
      </c>
      <c r="AK611" s="3">
        <v>200</v>
      </c>
      <c r="AL611" s="3">
        <v>0</v>
      </c>
      <c r="AM611" s="3">
        <v>0</v>
      </c>
      <c r="AN611" s="3">
        <v>0</v>
      </c>
      <c r="AO611" s="3">
        <v>0</v>
      </c>
      <c r="AP611" s="3">
        <v>140</v>
      </c>
      <c r="AR611" t="str">
        <f t="shared" si="83"/>
        <v>0000000000000</v>
      </c>
      <c r="AT611" t="str">
        <f>T("9791166067990")</f>
        <v>9791166067990</v>
      </c>
      <c r="AV611" t="str">
        <f>T("웹툰 &gt; 로맨스")</f>
        <v>웹툰 &gt; 로맨스</v>
      </c>
    </row>
    <row r="612" spans="1:49" x14ac:dyDescent="0.4">
      <c r="A612">
        <v>4421001325</v>
      </c>
      <c r="B612">
        <v>4421001332</v>
      </c>
      <c r="C612" t="str">
        <f>T("커피여우 김삼월 8화")</f>
        <v>커피여우 김삼월 8화</v>
      </c>
      <c r="D612" t="str">
        <f>T("8")</f>
        <v>8</v>
      </c>
      <c r="E612" t="str">
        <f>T("Nica")</f>
        <v>Nica</v>
      </c>
      <c r="G612" t="str">
        <f>T("A.Noa, RK Studio")</f>
        <v>A.Noa, RK Studio</v>
      </c>
      <c r="H612" t="str">
        <f t="shared" si="82"/>
        <v>스토리위즈</v>
      </c>
      <c r="I612" t="str">
        <f>T("커피여우 김삼월")</f>
        <v>커피여우 김삼월</v>
      </c>
      <c r="J612">
        <v>500</v>
      </c>
      <c r="K612">
        <v>0</v>
      </c>
      <c r="L612">
        <v>0</v>
      </c>
      <c r="M612">
        <v>0</v>
      </c>
      <c r="N612">
        <v>400</v>
      </c>
      <c r="O612">
        <v>2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 s="3">
        <v>400</v>
      </c>
      <c r="AH612" s="3">
        <v>2</v>
      </c>
      <c r="AI612" s="3">
        <v>0</v>
      </c>
      <c r="AJ612" s="3">
        <v>0</v>
      </c>
      <c r="AK612" s="3">
        <v>200</v>
      </c>
      <c r="AL612" s="3">
        <v>0</v>
      </c>
      <c r="AM612" s="3">
        <v>240</v>
      </c>
      <c r="AN612" s="3">
        <v>-72</v>
      </c>
      <c r="AO612" s="3">
        <v>0</v>
      </c>
      <c r="AP612" s="3">
        <v>257.60000000000002</v>
      </c>
      <c r="AR612" t="str">
        <f t="shared" si="83"/>
        <v>0000000000000</v>
      </c>
      <c r="AT612" t="str">
        <f>T("9791191241792")</f>
        <v>9791191241792</v>
      </c>
      <c r="AV612" t="str">
        <f>T("웹툰 &gt; 로맨스")</f>
        <v>웹툰 &gt; 로맨스</v>
      </c>
    </row>
    <row r="613" spans="1:49" x14ac:dyDescent="0.4">
      <c r="A613">
        <v>4421000450</v>
      </c>
      <c r="B613">
        <v>4421000512</v>
      </c>
      <c r="C613" t="str">
        <f>T("내 남편의 스토커 62화")</f>
        <v>내 남편의 스토커 62화</v>
      </c>
      <c r="D613" t="str">
        <f>T("62")</f>
        <v>62</v>
      </c>
      <c r="E613" t="str">
        <f>T("혜원")</f>
        <v>혜원</v>
      </c>
      <c r="G613" t="str">
        <f>T("혜원")</f>
        <v>혜원</v>
      </c>
      <c r="H613" t="str">
        <f t="shared" si="82"/>
        <v>스토리위즈</v>
      </c>
      <c r="I613" t="str">
        <f>T("내 남편의 스토커")</f>
        <v>내 남편의 스토커</v>
      </c>
      <c r="J613">
        <v>400</v>
      </c>
      <c r="K613">
        <v>0</v>
      </c>
      <c r="L613">
        <v>0</v>
      </c>
      <c r="M613">
        <v>0</v>
      </c>
      <c r="N613">
        <v>200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 s="3">
        <v>200</v>
      </c>
      <c r="AH613" s="3">
        <v>1</v>
      </c>
      <c r="AI613" s="3">
        <v>0</v>
      </c>
      <c r="AJ613" s="3">
        <v>0</v>
      </c>
      <c r="AK613" s="3">
        <v>200</v>
      </c>
      <c r="AL613" s="3">
        <v>0</v>
      </c>
      <c r="AM613" s="3">
        <v>0</v>
      </c>
      <c r="AN613" s="3">
        <v>0</v>
      </c>
      <c r="AO613" s="3">
        <v>0</v>
      </c>
      <c r="AP613" s="3">
        <v>140</v>
      </c>
      <c r="AR613" t="str">
        <f t="shared" si="83"/>
        <v>0000000000000</v>
      </c>
      <c r="AT613" t="str">
        <f>T("9791166068034")</f>
        <v>9791166068034</v>
      </c>
      <c r="AV613" t="str">
        <f>T("웹툰 &gt; 로맨스")</f>
        <v>웹툰 &gt; 로맨스</v>
      </c>
    </row>
    <row r="614" spans="1:49" x14ac:dyDescent="0.4">
      <c r="A614">
        <v>4421000337</v>
      </c>
      <c r="B614">
        <v>4421000352</v>
      </c>
      <c r="C614" t="str">
        <f>T("계약연애, 오늘부터 1일 16화")</f>
        <v>계약연애, 오늘부터 1일 16화</v>
      </c>
      <c r="D614" t="str">
        <f>T("16")</f>
        <v>16</v>
      </c>
      <c r="E614" t="str">
        <f>T("원기공장")</f>
        <v>원기공장</v>
      </c>
      <c r="H614" t="str">
        <f t="shared" si="82"/>
        <v>스토리위즈</v>
      </c>
      <c r="I614" t="str">
        <f>T("계약연애, 오늘부터 1일")</f>
        <v>계약연애, 오늘부터 1일</v>
      </c>
      <c r="J614">
        <v>200</v>
      </c>
      <c r="K614">
        <v>0</v>
      </c>
      <c r="L614">
        <v>0</v>
      </c>
      <c r="M614">
        <v>0</v>
      </c>
      <c r="N614">
        <v>100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 s="3">
        <v>100</v>
      </c>
      <c r="AH614" s="3">
        <v>1</v>
      </c>
      <c r="AI614" s="3">
        <v>0</v>
      </c>
      <c r="AJ614" s="3">
        <v>0</v>
      </c>
      <c r="AK614" s="3">
        <v>100</v>
      </c>
      <c r="AL614" s="3">
        <v>0</v>
      </c>
      <c r="AM614" s="3">
        <v>0</v>
      </c>
      <c r="AN614" s="3">
        <v>0</v>
      </c>
      <c r="AO614" s="3">
        <v>0</v>
      </c>
      <c r="AP614" s="3">
        <v>70</v>
      </c>
      <c r="AR614" t="str">
        <f t="shared" si="83"/>
        <v>0000000000000</v>
      </c>
      <c r="AT614" t="str">
        <f>T("9791166068027")</f>
        <v>9791166068027</v>
      </c>
      <c r="AV614" t="str">
        <f>T("웹툰 &gt; 해외 순정")</f>
        <v>웹툰 &gt; 해외 순정</v>
      </c>
      <c r="AW614" t="str">
        <f>T("웹툰 &gt; 로맨스")</f>
        <v>웹툰 &gt; 로맨스</v>
      </c>
    </row>
    <row r="615" spans="1:49" x14ac:dyDescent="0.4">
      <c r="A615">
        <v>4421000916</v>
      </c>
      <c r="B615">
        <v>4421001231</v>
      </c>
      <c r="C615" t="str">
        <f>T("별빛 아래 우리 53화")</f>
        <v>별빛 아래 우리 53화</v>
      </c>
      <c r="D615" t="str">
        <f>T("53")</f>
        <v>53</v>
      </c>
      <c r="E615" t="str">
        <f>T("건일")</f>
        <v>건일</v>
      </c>
      <c r="G615" t="str">
        <f>T("건일")</f>
        <v>건일</v>
      </c>
      <c r="H615" t="str">
        <f t="shared" si="82"/>
        <v>스토리위즈</v>
      </c>
      <c r="I615" t="str">
        <f>T("별빛 아래 우리")</f>
        <v>별빛 아래 우리</v>
      </c>
      <c r="J615">
        <v>400</v>
      </c>
      <c r="K615">
        <v>0</v>
      </c>
      <c r="L615">
        <v>0</v>
      </c>
      <c r="M615">
        <v>0</v>
      </c>
      <c r="N615">
        <v>1800</v>
      </c>
      <c r="O615">
        <v>9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 s="3">
        <v>1800</v>
      </c>
      <c r="AH615" s="3">
        <v>9</v>
      </c>
      <c r="AI615" s="3">
        <v>0</v>
      </c>
      <c r="AJ615" s="3">
        <v>0</v>
      </c>
      <c r="AK615" s="3">
        <v>580</v>
      </c>
      <c r="AL615" s="3">
        <v>0</v>
      </c>
      <c r="AM615" s="3">
        <v>1464.01</v>
      </c>
      <c r="AN615" s="3">
        <v>-439.2</v>
      </c>
      <c r="AO615" s="3">
        <v>0</v>
      </c>
      <c r="AP615" s="3">
        <v>1123.3699999999999</v>
      </c>
      <c r="AR615" t="str">
        <f t="shared" si="83"/>
        <v>0000000000000</v>
      </c>
      <c r="AT615" t="str">
        <f>T("9791137601413")</f>
        <v>9791137601413</v>
      </c>
      <c r="AV615" t="str">
        <f>T("웹툰 &gt; 해외 순정")</f>
        <v>웹툰 &gt; 해외 순정</v>
      </c>
      <c r="AW615" t="str">
        <f>T("웹툰 &gt; 로맨스")</f>
        <v>웹툰 &gt; 로맨스</v>
      </c>
    </row>
    <row r="616" spans="1:49" x14ac:dyDescent="0.4">
      <c r="A616">
        <v>4421000069</v>
      </c>
      <c r="B616">
        <v>4421000073</v>
      </c>
      <c r="C616" t="str">
        <f>T("너랑 나랑 하면 4화")</f>
        <v>너랑 나랑 하면 4화</v>
      </c>
      <c r="D616" t="str">
        <f>T("4")</f>
        <v>4</v>
      </c>
      <c r="E616" t="str">
        <f>T("NISANSUI")</f>
        <v>NISANSUI</v>
      </c>
      <c r="G616" t="str">
        <f>T("ZIQUAN")</f>
        <v>ZIQUAN</v>
      </c>
      <c r="H616" t="str">
        <f t="shared" si="82"/>
        <v>스토리위즈</v>
      </c>
      <c r="I616" t="str">
        <f>T("너랑 나랑 하면")</f>
        <v>너랑 나랑 하면</v>
      </c>
      <c r="J616">
        <v>400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 s="3">
        <v>0</v>
      </c>
      <c r="AH616" s="3">
        <v>3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R616" t="str">
        <f t="shared" si="83"/>
        <v>0000000000000</v>
      </c>
      <c r="AT616" t="str">
        <f>T("9791166067884")</f>
        <v>9791166067884</v>
      </c>
      <c r="AV616" t="str">
        <f>T("BL 웹툰 &gt; 웹툰")</f>
        <v>BL 웹툰 &gt; 웹툰</v>
      </c>
    </row>
    <row r="617" spans="1:49" x14ac:dyDescent="0.4">
      <c r="A617">
        <v>4421000866</v>
      </c>
      <c r="B617">
        <v>4421000911</v>
      </c>
      <c r="C617" t="str">
        <f>T("최애에게 들켜버렸다 번외편 1화")</f>
        <v>최애에게 들켜버렸다 번외편 1화</v>
      </c>
      <c r="D617" t="str">
        <f>T("21")</f>
        <v>21</v>
      </c>
      <c r="E617" t="str">
        <f>T("Lv")</f>
        <v>Lv</v>
      </c>
      <c r="G617" t="str">
        <f>T("Lv")</f>
        <v>Lv</v>
      </c>
      <c r="H617" t="str">
        <f t="shared" si="82"/>
        <v>스토리위즈</v>
      </c>
      <c r="I617" t="str">
        <f>T("최애에게 들켜버렸다")</f>
        <v>최애에게 들켜버렸다</v>
      </c>
      <c r="J617">
        <v>400</v>
      </c>
      <c r="K617">
        <v>0</v>
      </c>
      <c r="L617">
        <v>0</v>
      </c>
      <c r="M617">
        <v>0</v>
      </c>
      <c r="N617">
        <v>600</v>
      </c>
      <c r="O617">
        <v>3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 s="3">
        <v>600</v>
      </c>
      <c r="AH617" s="3">
        <v>3</v>
      </c>
      <c r="AI617" s="3">
        <v>0</v>
      </c>
      <c r="AJ617" s="3">
        <v>0</v>
      </c>
      <c r="AK617" s="3">
        <v>424</v>
      </c>
      <c r="AL617" s="3">
        <v>0</v>
      </c>
      <c r="AM617" s="3">
        <v>211.38</v>
      </c>
      <c r="AN617" s="3">
        <v>-63.41</v>
      </c>
      <c r="AO617" s="3">
        <v>0</v>
      </c>
      <c r="AP617" s="3">
        <v>400.38</v>
      </c>
      <c r="AR617" t="str">
        <f t="shared" si="83"/>
        <v>0000000000000</v>
      </c>
      <c r="AT617" t="str">
        <f>T("9791137601253")</f>
        <v>9791137601253</v>
      </c>
      <c r="AV617" t="str">
        <f>T("웹툰 &gt; 해외 순정")</f>
        <v>웹툰 &gt; 해외 순정</v>
      </c>
      <c r="AW617" t="str">
        <f>T("웹툰 &gt; 로맨스")</f>
        <v>웹툰 &gt; 로맨스</v>
      </c>
    </row>
    <row r="618" spans="1:49" x14ac:dyDescent="0.4">
      <c r="A618">
        <v>4421000001</v>
      </c>
      <c r="B618">
        <v>4421000171</v>
      </c>
      <c r="C618" t="str">
        <f>T("감옥실험 50화")</f>
        <v>감옥실험 50화</v>
      </c>
      <c r="D618" t="str">
        <f>T("50")</f>
        <v>50</v>
      </c>
      <c r="E618" t="str">
        <f>T("Kantetsu")</f>
        <v>Kantetsu</v>
      </c>
      <c r="G618" t="str">
        <f>T("Minase Chiho")</f>
        <v>Minase Chiho</v>
      </c>
      <c r="H618" t="str">
        <f t="shared" si="82"/>
        <v>스토리위즈</v>
      </c>
      <c r="I618" t="str">
        <f>T("감옥실험")</f>
        <v>감옥실험</v>
      </c>
      <c r="J618">
        <v>500</v>
      </c>
      <c r="K618">
        <v>0</v>
      </c>
      <c r="L618">
        <v>0</v>
      </c>
      <c r="M618">
        <v>0</v>
      </c>
      <c r="N618">
        <v>900</v>
      </c>
      <c r="O618">
        <v>3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 s="3">
        <v>900</v>
      </c>
      <c r="AH618" s="3">
        <v>3</v>
      </c>
      <c r="AI618" s="3">
        <v>0</v>
      </c>
      <c r="AJ618" s="3">
        <v>0</v>
      </c>
      <c r="AK618" s="3">
        <v>600</v>
      </c>
      <c r="AL618" s="3">
        <v>0</v>
      </c>
      <c r="AM618" s="3">
        <v>360</v>
      </c>
      <c r="AN618" s="3">
        <v>-108</v>
      </c>
      <c r="AO618" s="3">
        <v>0</v>
      </c>
      <c r="AP618" s="3">
        <v>596.4</v>
      </c>
      <c r="AT618" t="str">
        <f>T("9791166069406")</f>
        <v>9791166069406</v>
      </c>
      <c r="AV618" t="str">
        <f>T("웹툰 &gt; 드라마")</f>
        <v>웹툰 &gt; 드라마</v>
      </c>
    </row>
    <row r="619" spans="1:49" x14ac:dyDescent="0.4">
      <c r="A619">
        <v>4421001340</v>
      </c>
      <c r="B619">
        <v>4421001348</v>
      </c>
      <c r="C619" t="str">
        <f>T("가출천사 육성계약 9화")</f>
        <v>가출천사 육성계약 9화</v>
      </c>
      <c r="D619" t="str">
        <f>T("9")</f>
        <v>9</v>
      </c>
      <c r="E619" t="str">
        <f>T("Bae.C, IIAKI, 박제후")</f>
        <v>Bae.C, IIAKI, 박제후</v>
      </c>
      <c r="G619" t="str">
        <f>T("Bae.C, 조우")</f>
        <v>Bae.C, 조우</v>
      </c>
      <c r="H619" t="str">
        <f t="shared" si="82"/>
        <v>스토리위즈</v>
      </c>
      <c r="I619" t="str">
        <f>T("가출천사 육성계약")</f>
        <v>가출천사 육성계약</v>
      </c>
      <c r="J619">
        <v>400</v>
      </c>
      <c r="K619">
        <v>0</v>
      </c>
      <c r="L619">
        <v>0</v>
      </c>
      <c r="M619">
        <v>0</v>
      </c>
      <c r="N619">
        <v>200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 s="3">
        <v>200</v>
      </c>
      <c r="AH619" s="3">
        <v>1</v>
      </c>
      <c r="AI619" s="3">
        <v>0</v>
      </c>
      <c r="AJ619" s="3">
        <v>0</v>
      </c>
      <c r="AK619" s="3">
        <v>200</v>
      </c>
      <c r="AL619" s="3">
        <v>0</v>
      </c>
      <c r="AM619" s="3">
        <v>0</v>
      </c>
      <c r="AN619" s="3">
        <v>0</v>
      </c>
      <c r="AO619" s="3">
        <v>0</v>
      </c>
      <c r="AP619" s="3">
        <v>140</v>
      </c>
      <c r="AR619" t="str">
        <f>T("0000000000000")</f>
        <v>0000000000000</v>
      </c>
      <c r="AT619" t="str">
        <f>T("9791191765663")</f>
        <v>9791191765663</v>
      </c>
      <c r="AV619" t="str">
        <f>T("웹툰 &gt; 판타지/SF")</f>
        <v>웹툰 &gt; 판타지/SF</v>
      </c>
    </row>
    <row r="620" spans="1:49" x14ac:dyDescent="0.4">
      <c r="A620">
        <v>4421001936</v>
      </c>
      <c r="B620">
        <v>4421002730</v>
      </c>
      <c r="C620" t="str">
        <f>T("보스 오빠, 살살! 71화")</f>
        <v>보스 오빠, 살살! 71화</v>
      </c>
      <c r="D620" t="str">
        <f>T("71")</f>
        <v>71</v>
      </c>
      <c r="E620" t="str">
        <f>T("웹티")</f>
        <v>웹티</v>
      </c>
      <c r="H620" t="str">
        <f t="shared" si="82"/>
        <v>스토리위즈</v>
      </c>
      <c r="I620" t="str">
        <f>T("보스 오빠, 살살!")</f>
        <v>보스 오빠, 살살!</v>
      </c>
      <c r="J620">
        <v>500</v>
      </c>
      <c r="K620">
        <v>0</v>
      </c>
      <c r="L620">
        <v>0</v>
      </c>
      <c r="M620">
        <v>0</v>
      </c>
      <c r="N620">
        <v>200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 s="3">
        <v>200</v>
      </c>
      <c r="AH620" s="3">
        <v>1</v>
      </c>
      <c r="AI620" s="3">
        <v>0</v>
      </c>
      <c r="AJ620" s="3">
        <v>0</v>
      </c>
      <c r="AK620" s="3">
        <v>0</v>
      </c>
      <c r="AL620" s="3">
        <v>0</v>
      </c>
      <c r="AM620" s="3">
        <v>240</v>
      </c>
      <c r="AN620" s="3">
        <v>-72</v>
      </c>
      <c r="AO620" s="3">
        <v>0</v>
      </c>
      <c r="AP620" s="3">
        <v>117.6</v>
      </c>
      <c r="AT620" t="str">
        <f>T("9791190702331")</f>
        <v>9791190702331</v>
      </c>
      <c r="AV620" t="str">
        <f>T("웹툰 &gt; 로맨스")</f>
        <v>웹툰 &gt; 로맨스</v>
      </c>
    </row>
    <row r="621" spans="1:49" x14ac:dyDescent="0.4">
      <c r="A621">
        <v>4421000337</v>
      </c>
      <c r="B621">
        <v>4421000368</v>
      </c>
      <c r="C621" t="str">
        <f>T("계약연애, 오늘부터 1일 32화")</f>
        <v>계약연애, 오늘부터 1일 32화</v>
      </c>
      <c r="D621" t="str">
        <f>T("32")</f>
        <v>32</v>
      </c>
      <c r="E621" t="str">
        <f>T("원기공장")</f>
        <v>원기공장</v>
      </c>
      <c r="H621" t="str">
        <f t="shared" si="82"/>
        <v>스토리위즈</v>
      </c>
      <c r="I621" t="str">
        <f>T("계약연애, 오늘부터 1일")</f>
        <v>계약연애, 오늘부터 1일</v>
      </c>
      <c r="J621">
        <v>200</v>
      </c>
      <c r="K621">
        <v>0</v>
      </c>
      <c r="L621">
        <v>0</v>
      </c>
      <c r="M621">
        <v>0</v>
      </c>
      <c r="N621">
        <v>100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 s="3">
        <v>100</v>
      </c>
      <c r="AH621" s="3">
        <v>1</v>
      </c>
      <c r="AI621" s="3">
        <v>0</v>
      </c>
      <c r="AJ621" s="3">
        <v>0</v>
      </c>
      <c r="AK621" s="3">
        <v>100</v>
      </c>
      <c r="AL621" s="3">
        <v>0</v>
      </c>
      <c r="AM621" s="3">
        <v>0</v>
      </c>
      <c r="AN621" s="3">
        <v>0</v>
      </c>
      <c r="AO621" s="3">
        <v>0</v>
      </c>
      <c r="AP621" s="3">
        <v>70</v>
      </c>
      <c r="AR621" t="str">
        <f t="shared" ref="AR621:AR631" si="84">T("0000000000000")</f>
        <v>0000000000000</v>
      </c>
      <c r="AT621" t="str">
        <f>T("9791166068027")</f>
        <v>9791166068027</v>
      </c>
      <c r="AV621" t="str">
        <f>T("웹툰 &gt; 해외 순정")</f>
        <v>웹툰 &gt; 해외 순정</v>
      </c>
      <c r="AW621" t="str">
        <f>T("웹툰 &gt; 로맨스")</f>
        <v>웹툰 &gt; 로맨스</v>
      </c>
    </row>
    <row r="622" spans="1:49" x14ac:dyDescent="0.4">
      <c r="A622">
        <v>4421001340</v>
      </c>
      <c r="B622">
        <v>4421002900</v>
      </c>
      <c r="C622" t="str">
        <f>T("가출천사 육성계약 47화")</f>
        <v>가출천사 육성계약 47화</v>
      </c>
      <c r="D622" t="str">
        <f>T("47")</f>
        <v>47</v>
      </c>
      <c r="E622" t="str">
        <f>T("Bae.C, IIAKI, 박제후")</f>
        <v>Bae.C, IIAKI, 박제후</v>
      </c>
      <c r="G622" t="str">
        <f>T("Bae.C, 조우")</f>
        <v>Bae.C, 조우</v>
      </c>
      <c r="H622" t="str">
        <f t="shared" si="82"/>
        <v>스토리위즈</v>
      </c>
      <c r="I622" t="str">
        <f>T("가출천사 육성계약")</f>
        <v>가출천사 육성계약</v>
      </c>
      <c r="J622">
        <v>400</v>
      </c>
      <c r="K622">
        <v>0</v>
      </c>
      <c r="L622">
        <v>0</v>
      </c>
      <c r="M622">
        <v>0</v>
      </c>
      <c r="N622">
        <v>200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 s="3">
        <v>200</v>
      </c>
      <c r="AH622" s="3">
        <v>1</v>
      </c>
      <c r="AI622" s="3">
        <v>0</v>
      </c>
      <c r="AJ622" s="3">
        <v>0</v>
      </c>
      <c r="AK622" s="3">
        <v>200</v>
      </c>
      <c r="AL622" s="3">
        <v>0</v>
      </c>
      <c r="AM622" s="3">
        <v>0</v>
      </c>
      <c r="AN622" s="3">
        <v>0</v>
      </c>
      <c r="AO622" s="3">
        <v>0</v>
      </c>
      <c r="AP622" s="3">
        <v>140</v>
      </c>
      <c r="AR622" t="str">
        <f t="shared" si="84"/>
        <v>0000000000000</v>
      </c>
      <c r="AT622" t="str">
        <f>T("9791191765663")</f>
        <v>9791191765663</v>
      </c>
      <c r="AV622" t="str">
        <f>T("웹툰 &gt; 판타지/SF")</f>
        <v>웹툰 &gt; 판타지/SF</v>
      </c>
    </row>
    <row r="623" spans="1:49" x14ac:dyDescent="0.4">
      <c r="A623">
        <v>4421000866</v>
      </c>
      <c r="B623">
        <v>4421001268</v>
      </c>
      <c r="C623" t="str">
        <f>T("최애에게 들켜버렸다 61화")</f>
        <v>최애에게 들켜버렸다 61화</v>
      </c>
      <c r="D623" t="str">
        <f>T("64")</f>
        <v>64</v>
      </c>
      <c r="E623" t="str">
        <f>T("Lv")</f>
        <v>Lv</v>
      </c>
      <c r="G623" t="str">
        <f>T("Lv")</f>
        <v>Lv</v>
      </c>
      <c r="H623" t="str">
        <f t="shared" si="82"/>
        <v>스토리위즈</v>
      </c>
      <c r="I623" t="str">
        <f>T("최애에게 들켜버렸다")</f>
        <v>최애에게 들켜버렸다</v>
      </c>
      <c r="J623">
        <v>400</v>
      </c>
      <c r="K623">
        <v>0</v>
      </c>
      <c r="L623">
        <v>0</v>
      </c>
      <c r="M623">
        <v>0</v>
      </c>
      <c r="N623">
        <v>600</v>
      </c>
      <c r="O623">
        <v>3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 s="3">
        <v>600</v>
      </c>
      <c r="AH623" s="3">
        <v>3</v>
      </c>
      <c r="AI623" s="3">
        <v>0</v>
      </c>
      <c r="AJ623" s="3">
        <v>0</v>
      </c>
      <c r="AK623" s="3">
        <v>424</v>
      </c>
      <c r="AL623" s="3">
        <v>0</v>
      </c>
      <c r="AM623" s="3">
        <v>211.38</v>
      </c>
      <c r="AN623" s="3">
        <v>-63.41</v>
      </c>
      <c r="AO623" s="3">
        <v>0</v>
      </c>
      <c r="AP623" s="3">
        <v>400.38</v>
      </c>
      <c r="AR623" t="str">
        <f t="shared" si="84"/>
        <v>0000000000000</v>
      </c>
      <c r="AT623" t="str">
        <f>T("9791137601253")</f>
        <v>9791137601253</v>
      </c>
      <c r="AV623" t="str">
        <f>T("웹툰 &gt; 해외 순정")</f>
        <v>웹툰 &gt; 해외 순정</v>
      </c>
      <c r="AW623" t="str">
        <f>T("웹툰 &gt; 로맨스")</f>
        <v>웹툰 &gt; 로맨스</v>
      </c>
    </row>
    <row r="624" spans="1:49" x14ac:dyDescent="0.4">
      <c r="A624">
        <v>4421000069</v>
      </c>
      <c r="B624">
        <v>4421000106</v>
      </c>
      <c r="C624" t="str">
        <f>T("너랑 나랑 하면 36화")</f>
        <v>너랑 나랑 하면 36화</v>
      </c>
      <c r="D624" t="str">
        <f>T("36")</f>
        <v>36</v>
      </c>
      <c r="E624" t="str">
        <f>T("NISANSUI")</f>
        <v>NISANSUI</v>
      </c>
      <c r="G624" t="str">
        <f>T("ZIQUAN")</f>
        <v>ZIQUAN</v>
      </c>
      <c r="H624" t="str">
        <f t="shared" si="82"/>
        <v>스토리위즈</v>
      </c>
      <c r="I624" t="str">
        <f>T("너랑 나랑 하면")</f>
        <v>너랑 나랑 하면</v>
      </c>
      <c r="J624">
        <v>400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 s="3">
        <v>0</v>
      </c>
      <c r="AH624" s="3">
        <v>3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R624" t="str">
        <f t="shared" si="84"/>
        <v>0000000000000</v>
      </c>
      <c r="AT624" t="str">
        <f>T("9791166067884")</f>
        <v>9791166067884</v>
      </c>
      <c r="AV624" t="str">
        <f>T("BL 웹툰 &gt; 웹툰")</f>
        <v>BL 웹툰 &gt; 웹툰</v>
      </c>
    </row>
    <row r="625" spans="1:49" x14ac:dyDescent="0.4">
      <c r="A625">
        <v>4421000198</v>
      </c>
      <c r="B625">
        <v>4421000215</v>
      </c>
      <c r="C625" t="str">
        <f>T("공주전쟁 18화")</f>
        <v>공주전쟁 18화</v>
      </c>
      <c r="D625" t="str">
        <f>T("18")</f>
        <v>18</v>
      </c>
      <c r="E625" t="str">
        <f>T("Hujing")</f>
        <v>Hujing</v>
      </c>
      <c r="G625" t="str">
        <f>T("Luojie")</f>
        <v>Luojie</v>
      </c>
      <c r="H625" t="str">
        <f t="shared" si="82"/>
        <v>스토리위즈</v>
      </c>
      <c r="I625" t="str">
        <f>T("공주전쟁")</f>
        <v>공주전쟁</v>
      </c>
      <c r="J625">
        <v>400</v>
      </c>
      <c r="K625">
        <v>0</v>
      </c>
      <c r="L625">
        <v>0</v>
      </c>
      <c r="M625">
        <v>0</v>
      </c>
      <c r="N625">
        <v>600</v>
      </c>
      <c r="O625">
        <v>3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 s="3">
        <v>600</v>
      </c>
      <c r="AH625" s="3">
        <v>3</v>
      </c>
      <c r="AI625" s="3">
        <v>0</v>
      </c>
      <c r="AJ625" s="3">
        <v>0</v>
      </c>
      <c r="AK625" s="3">
        <v>400</v>
      </c>
      <c r="AL625" s="3">
        <v>0</v>
      </c>
      <c r="AM625" s="3">
        <v>240</v>
      </c>
      <c r="AN625" s="3">
        <v>-72</v>
      </c>
      <c r="AO625" s="3">
        <v>0</v>
      </c>
      <c r="AP625" s="3">
        <v>397.6</v>
      </c>
      <c r="AR625" t="str">
        <f t="shared" si="84"/>
        <v>0000000000000</v>
      </c>
      <c r="AT625" t="str">
        <f>T("9791166069666")</f>
        <v>9791166069666</v>
      </c>
      <c r="AV625" t="str">
        <f>T("웹툰 &gt; 해외 순정")</f>
        <v>웹툰 &gt; 해외 순정</v>
      </c>
      <c r="AW625" t="str">
        <f>T("웹툰 &gt; 로판")</f>
        <v>웹툰 &gt; 로판</v>
      </c>
    </row>
    <row r="626" spans="1:49" x14ac:dyDescent="0.4">
      <c r="A626">
        <v>4421001377</v>
      </c>
      <c r="B626">
        <v>4421001380</v>
      </c>
      <c r="C626" t="str">
        <f>T("요괴님은 수련중 4화")</f>
        <v>요괴님은 수련중 4화</v>
      </c>
      <c r="D626" t="str">
        <f>T("4")</f>
        <v>4</v>
      </c>
      <c r="E626" t="str">
        <f>T("화방")</f>
        <v>화방</v>
      </c>
      <c r="G626" t="str">
        <f>T("망북")</f>
        <v>망북</v>
      </c>
      <c r="H626" t="str">
        <f t="shared" si="82"/>
        <v>스토리위즈</v>
      </c>
      <c r="I626" t="str">
        <f>T("요괴님은 수련중")</f>
        <v>요괴님은 수련중</v>
      </c>
      <c r="J626">
        <v>400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 s="3">
        <v>0</v>
      </c>
      <c r="AH626" s="3">
        <v>9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R626" t="str">
        <f t="shared" si="84"/>
        <v>0000000000000</v>
      </c>
      <c r="AT626" t="str">
        <f>T("9791137603899")</f>
        <v>9791137603899</v>
      </c>
      <c r="AV626" t="str">
        <f>T("웹툰 &gt; 해외 순정")</f>
        <v>웹툰 &gt; 해외 순정</v>
      </c>
      <c r="AW626" t="str">
        <f>T("웹툰 &gt; 로판")</f>
        <v>웹툰 &gt; 로판</v>
      </c>
    </row>
    <row r="627" spans="1:49" x14ac:dyDescent="0.4">
      <c r="A627">
        <v>4421000337</v>
      </c>
      <c r="B627">
        <v>4421000440</v>
      </c>
      <c r="C627" t="str">
        <f>T("계약연애, 오늘부터 1일 104화")</f>
        <v>계약연애, 오늘부터 1일 104화</v>
      </c>
      <c r="D627" t="str">
        <f>T("104")</f>
        <v>104</v>
      </c>
      <c r="E627" t="str">
        <f>T("원기공장")</f>
        <v>원기공장</v>
      </c>
      <c r="H627" t="str">
        <f t="shared" si="82"/>
        <v>스토리위즈</v>
      </c>
      <c r="I627" t="str">
        <f>T("계약연애, 오늘부터 1일")</f>
        <v>계약연애, 오늘부터 1일</v>
      </c>
      <c r="J627">
        <v>200</v>
      </c>
      <c r="K627">
        <v>0</v>
      </c>
      <c r="L627">
        <v>0</v>
      </c>
      <c r="M627">
        <v>0</v>
      </c>
      <c r="N627">
        <v>100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 s="3">
        <v>100</v>
      </c>
      <c r="AH627" s="3">
        <v>1</v>
      </c>
      <c r="AI627" s="3">
        <v>0</v>
      </c>
      <c r="AJ627" s="3">
        <v>0</v>
      </c>
      <c r="AK627" s="3">
        <v>100</v>
      </c>
      <c r="AL627" s="3">
        <v>0</v>
      </c>
      <c r="AM627" s="3">
        <v>0</v>
      </c>
      <c r="AN627" s="3">
        <v>0</v>
      </c>
      <c r="AO627" s="3">
        <v>0</v>
      </c>
      <c r="AP627" s="3">
        <v>70</v>
      </c>
      <c r="AR627" t="str">
        <f t="shared" si="84"/>
        <v>0000000000000</v>
      </c>
      <c r="AT627" t="str">
        <f>T("9791166068027")</f>
        <v>9791166068027</v>
      </c>
      <c r="AV627" t="str">
        <f>T("웹툰 &gt; 해외 순정")</f>
        <v>웹툰 &gt; 해외 순정</v>
      </c>
      <c r="AW627" t="str">
        <f>T("웹툰 &gt; 로맨스")</f>
        <v>웹툰 &gt; 로맨스</v>
      </c>
    </row>
    <row r="628" spans="1:49" x14ac:dyDescent="0.4">
      <c r="A628">
        <v>4421000198</v>
      </c>
      <c r="B628">
        <v>4421000950</v>
      </c>
      <c r="C628" t="str">
        <f>T("공주전쟁 62화")</f>
        <v>공주전쟁 62화</v>
      </c>
      <c r="D628" t="str">
        <f>T("62")</f>
        <v>62</v>
      </c>
      <c r="E628" t="str">
        <f>T("Hujing")</f>
        <v>Hujing</v>
      </c>
      <c r="G628" t="str">
        <f>T("Luojie")</f>
        <v>Luojie</v>
      </c>
      <c r="H628" t="str">
        <f t="shared" si="82"/>
        <v>스토리위즈</v>
      </c>
      <c r="I628" t="str">
        <f>T("공주전쟁")</f>
        <v>공주전쟁</v>
      </c>
      <c r="J628">
        <v>400</v>
      </c>
      <c r="K628">
        <v>0</v>
      </c>
      <c r="L628">
        <v>0</v>
      </c>
      <c r="M628">
        <v>0</v>
      </c>
      <c r="N628">
        <v>400</v>
      </c>
      <c r="O628">
        <v>2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 s="3">
        <v>400</v>
      </c>
      <c r="AH628" s="3">
        <v>2</v>
      </c>
      <c r="AI628" s="3">
        <v>0</v>
      </c>
      <c r="AJ628" s="3">
        <v>0</v>
      </c>
      <c r="AK628" s="3">
        <v>200</v>
      </c>
      <c r="AL628" s="3">
        <v>0</v>
      </c>
      <c r="AM628" s="3">
        <v>240</v>
      </c>
      <c r="AN628" s="3">
        <v>-72</v>
      </c>
      <c r="AO628" s="3">
        <v>0</v>
      </c>
      <c r="AP628" s="3">
        <v>257.60000000000002</v>
      </c>
      <c r="AR628" t="str">
        <f t="shared" si="84"/>
        <v>0000000000000</v>
      </c>
      <c r="AT628" t="str">
        <f>T("9791166069666")</f>
        <v>9791166069666</v>
      </c>
      <c r="AV628" t="str">
        <f>T("웹툰 &gt; 해외 순정")</f>
        <v>웹툰 &gt; 해외 순정</v>
      </c>
      <c r="AW628" t="str">
        <f>T("웹툰 &gt; 로판")</f>
        <v>웹툰 &gt; 로판</v>
      </c>
    </row>
    <row r="629" spans="1:49" x14ac:dyDescent="0.4">
      <c r="A629">
        <v>4421001764</v>
      </c>
      <c r="B629">
        <v>4421001774</v>
      </c>
      <c r="C629" t="str">
        <f>T("예쁜 남자 잘생긴 여자 11화")</f>
        <v>예쁜 남자 잘생긴 여자 11화</v>
      </c>
      <c r="D629" t="str">
        <f>T("11")</f>
        <v>11</v>
      </c>
      <c r="E629" t="str">
        <f>T("웹티")</f>
        <v>웹티</v>
      </c>
      <c r="H629" t="str">
        <f t="shared" si="82"/>
        <v>스토리위즈</v>
      </c>
      <c r="I629" t="str">
        <f>T("예쁜 남자 잘생긴 여자")</f>
        <v>예쁜 남자 잘생긴 여자</v>
      </c>
      <c r="J629">
        <v>500</v>
      </c>
      <c r="K629">
        <v>0</v>
      </c>
      <c r="L629">
        <v>0</v>
      </c>
      <c r="M629">
        <v>0</v>
      </c>
      <c r="N629">
        <v>200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 s="3">
        <v>200</v>
      </c>
      <c r="AH629" s="3">
        <v>1</v>
      </c>
      <c r="AI629" s="3">
        <v>0</v>
      </c>
      <c r="AJ629" s="3">
        <v>0</v>
      </c>
      <c r="AK629" s="3">
        <v>0</v>
      </c>
      <c r="AL629" s="3">
        <v>0</v>
      </c>
      <c r="AM629" s="3">
        <v>240.82</v>
      </c>
      <c r="AN629" s="3">
        <v>-72.25</v>
      </c>
      <c r="AO629" s="3">
        <v>0</v>
      </c>
      <c r="AP629" s="3">
        <v>118</v>
      </c>
      <c r="AR629" t="str">
        <f t="shared" si="84"/>
        <v>0000000000000</v>
      </c>
      <c r="AT629" t="str">
        <f>T("9791190702164")</f>
        <v>9791190702164</v>
      </c>
      <c r="AV629" t="str">
        <f>T("웹툰 &gt; 로맨스")</f>
        <v>웹툰 &gt; 로맨스</v>
      </c>
    </row>
    <row r="630" spans="1:49" x14ac:dyDescent="0.4">
      <c r="A630">
        <v>4421000337</v>
      </c>
      <c r="B630">
        <v>4421000400</v>
      </c>
      <c r="C630" t="str">
        <f>T("계약연애, 오늘부터 1일 64화")</f>
        <v>계약연애, 오늘부터 1일 64화</v>
      </c>
      <c r="D630" t="str">
        <f>T("64")</f>
        <v>64</v>
      </c>
      <c r="E630" t="str">
        <f>T("원기공장")</f>
        <v>원기공장</v>
      </c>
      <c r="H630" t="str">
        <f t="shared" si="82"/>
        <v>스토리위즈</v>
      </c>
      <c r="I630" t="str">
        <f>T("계약연애, 오늘부터 1일")</f>
        <v>계약연애, 오늘부터 1일</v>
      </c>
      <c r="J630">
        <v>200</v>
      </c>
      <c r="K630">
        <v>0</v>
      </c>
      <c r="L630">
        <v>0</v>
      </c>
      <c r="M630">
        <v>0</v>
      </c>
      <c r="N630">
        <v>100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 s="3">
        <v>100</v>
      </c>
      <c r="AH630" s="3">
        <v>1</v>
      </c>
      <c r="AI630" s="3">
        <v>0</v>
      </c>
      <c r="AJ630" s="3">
        <v>0</v>
      </c>
      <c r="AK630" s="3">
        <v>100</v>
      </c>
      <c r="AL630" s="3">
        <v>0</v>
      </c>
      <c r="AM630" s="3">
        <v>0</v>
      </c>
      <c r="AN630" s="3">
        <v>0</v>
      </c>
      <c r="AO630" s="3">
        <v>0</v>
      </c>
      <c r="AP630" s="3">
        <v>70</v>
      </c>
      <c r="AR630" t="str">
        <f t="shared" si="84"/>
        <v>0000000000000</v>
      </c>
      <c r="AT630" t="str">
        <f>T("9791166068027")</f>
        <v>9791166068027</v>
      </c>
      <c r="AV630" t="str">
        <f>T("웹툰 &gt; 해외 순정")</f>
        <v>웹툰 &gt; 해외 순정</v>
      </c>
      <c r="AW630" t="str">
        <f>T("웹툰 &gt; 로맨스")</f>
        <v>웹툰 &gt; 로맨스</v>
      </c>
    </row>
    <row r="631" spans="1:49" x14ac:dyDescent="0.4">
      <c r="A631">
        <v>4421001340</v>
      </c>
      <c r="B631">
        <v>4421001341</v>
      </c>
      <c r="C631" t="str">
        <f>T("가출천사 육성계약 2화")</f>
        <v>가출천사 육성계약 2화</v>
      </c>
      <c r="D631" t="str">
        <f>T("2")</f>
        <v>2</v>
      </c>
      <c r="E631" t="str">
        <f>T("Bae.C, IIAKI, 박제후")</f>
        <v>Bae.C, IIAKI, 박제후</v>
      </c>
      <c r="G631" t="str">
        <f>T("Bae.C, 조우")</f>
        <v>Bae.C, 조우</v>
      </c>
      <c r="H631" t="str">
        <f t="shared" si="82"/>
        <v>스토리위즈</v>
      </c>
      <c r="I631" t="str">
        <f>T("가출천사 육성계약")</f>
        <v>가출천사 육성계약</v>
      </c>
      <c r="J631">
        <v>400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 s="3">
        <v>0</v>
      </c>
      <c r="AH631" s="3">
        <v>4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R631" t="str">
        <f t="shared" si="84"/>
        <v>0000000000000</v>
      </c>
      <c r="AT631" t="str">
        <f>T("9791191765663")</f>
        <v>9791191765663</v>
      </c>
      <c r="AV631" t="str">
        <f>T("웹툰 &gt; 판타지/SF")</f>
        <v>웹툰 &gt; 판타지/SF</v>
      </c>
    </row>
    <row r="632" spans="1:49" x14ac:dyDescent="0.4">
      <c r="A632">
        <v>4421001936</v>
      </c>
      <c r="B632">
        <v>4421002714</v>
      </c>
      <c r="C632" t="str">
        <f>T("보스 오빠, 살살! 55화")</f>
        <v>보스 오빠, 살살! 55화</v>
      </c>
      <c r="D632" t="str">
        <f>T("55")</f>
        <v>55</v>
      </c>
      <c r="E632" t="str">
        <f>T("웹티")</f>
        <v>웹티</v>
      </c>
      <c r="H632" t="str">
        <f t="shared" si="82"/>
        <v>스토리위즈</v>
      </c>
      <c r="I632" t="str">
        <f>T("보스 오빠, 살살!")</f>
        <v>보스 오빠, 살살!</v>
      </c>
      <c r="J632">
        <v>500</v>
      </c>
      <c r="K632">
        <v>0</v>
      </c>
      <c r="L632">
        <v>0</v>
      </c>
      <c r="M632">
        <v>0</v>
      </c>
      <c r="N632">
        <v>200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 s="3">
        <v>200</v>
      </c>
      <c r="AH632" s="3">
        <v>1</v>
      </c>
      <c r="AI632" s="3">
        <v>0</v>
      </c>
      <c r="AJ632" s="3">
        <v>0</v>
      </c>
      <c r="AK632" s="3">
        <v>0</v>
      </c>
      <c r="AL632" s="3">
        <v>0</v>
      </c>
      <c r="AM632" s="3">
        <v>240</v>
      </c>
      <c r="AN632" s="3">
        <v>-72</v>
      </c>
      <c r="AO632" s="3">
        <v>0</v>
      </c>
      <c r="AP632" s="3">
        <v>117.6</v>
      </c>
      <c r="AT632" t="str">
        <f>T("9791190702331")</f>
        <v>9791190702331</v>
      </c>
      <c r="AV632" t="str">
        <f>T("웹툰 &gt; 로맨스")</f>
        <v>웹툰 &gt; 로맨스</v>
      </c>
    </row>
    <row r="633" spans="1:49" x14ac:dyDescent="0.4">
      <c r="A633">
        <v>4421000198</v>
      </c>
      <c r="B633">
        <v>4421000858</v>
      </c>
      <c r="C633" t="str">
        <f>T("공주전쟁 59화")</f>
        <v>공주전쟁 59화</v>
      </c>
      <c r="D633" t="str">
        <f>T("59")</f>
        <v>59</v>
      </c>
      <c r="E633" t="str">
        <f>T("Hujing")</f>
        <v>Hujing</v>
      </c>
      <c r="G633" t="str">
        <f>T("Luojie")</f>
        <v>Luojie</v>
      </c>
      <c r="H633" t="str">
        <f t="shared" si="82"/>
        <v>스토리위즈</v>
      </c>
      <c r="I633" t="str">
        <f>T("공주전쟁")</f>
        <v>공주전쟁</v>
      </c>
      <c r="J633">
        <v>400</v>
      </c>
      <c r="K633">
        <v>0</v>
      </c>
      <c r="L633">
        <v>0</v>
      </c>
      <c r="M633">
        <v>0</v>
      </c>
      <c r="N633">
        <v>400</v>
      </c>
      <c r="O633">
        <v>2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 s="3">
        <v>400</v>
      </c>
      <c r="AH633" s="3">
        <v>2</v>
      </c>
      <c r="AI633" s="3">
        <v>0</v>
      </c>
      <c r="AJ633" s="3">
        <v>0</v>
      </c>
      <c r="AK633" s="3">
        <v>200</v>
      </c>
      <c r="AL633" s="3">
        <v>0</v>
      </c>
      <c r="AM633" s="3">
        <v>240</v>
      </c>
      <c r="AN633" s="3">
        <v>-72</v>
      </c>
      <c r="AO633" s="3">
        <v>0</v>
      </c>
      <c r="AP633" s="3">
        <v>257.60000000000002</v>
      </c>
      <c r="AR633" t="str">
        <f t="shared" ref="AR633:AR651" si="85">T("0000000000000")</f>
        <v>0000000000000</v>
      </c>
      <c r="AT633" t="str">
        <f>T("9791166069666")</f>
        <v>9791166069666</v>
      </c>
      <c r="AV633" t="str">
        <f>T("웹툰 &gt; 해외 순정")</f>
        <v>웹툰 &gt; 해외 순정</v>
      </c>
      <c r="AW633" t="str">
        <f>T("웹툰 &gt; 로판")</f>
        <v>웹툰 &gt; 로판</v>
      </c>
    </row>
    <row r="634" spans="1:49" x14ac:dyDescent="0.4">
      <c r="A634">
        <v>4421000337</v>
      </c>
      <c r="B634">
        <v>4421000361</v>
      </c>
      <c r="C634" t="str">
        <f>T("계약연애, 오늘부터 1일 25화")</f>
        <v>계약연애, 오늘부터 1일 25화</v>
      </c>
      <c r="D634" t="str">
        <f>T("25")</f>
        <v>25</v>
      </c>
      <c r="E634" t="str">
        <f>T("원기공장")</f>
        <v>원기공장</v>
      </c>
      <c r="H634" t="str">
        <f t="shared" si="82"/>
        <v>스토리위즈</v>
      </c>
      <c r="I634" t="str">
        <f>T("계약연애, 오늘부터 1일")</f>
        <v>계약연애, 오늘부터 1일</v>
      </c>
      <c r="J634">
        <v>200</v>
      </c>
      <c r="K634">
        <v>0</v>
      </c>
      <c r="L634">
        <v>0</v>
      </c>
      <c r="M634">
        <v>0</v>
      </c>
      <c r="N634">
        <v>100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 s="3">
        <v>100</v>
      </c>
      <c r="AH634" s="3">
        <v>1</v>
      </c>
      <c r="AI634" s="3">
        <v>0</v>
      </c>
      <c r="AJ634" s="3">
        <v>0</v>
      </c>
      <c r="AK634" s="3">
        <v>100</v>
      </c>
      <c r="AL634" s="3">
        <v>0</v>
      </c>
      <c r="AM634" s="3">
        <v>0</v>
      </c>
      <c r="AN634" s="3">
        <v>0</v>
      </c>
      <c r="AO634" s="3">
        <v>0</v>
      </c>
      <c r="AP634" s="3">
        <v>70</v>
      </c>
      <c r="AR634" t="str">
        <f t="shared" si="85"/>
        <v>0000000000000</v>
      </c>
      <c r="AT634" t="str">
        <f>T("9791166068027")</f>
        <v>9791166068027</v>
      </c>
      <c r="AV634" t="str">
        <f>T("웹툰 &gt; 해외 순정")</f>
        <v>웹툰 &gt; 해외 순정</v>
      </c>
      <c r="AW634" t="str">
        <f>T("웹툰 &gt; 로맨스")</f>
        <v>웹툰 &gt; 로맨스</v>
      </c>
    </row>
    <row r="635" spans="1:49" x14ac:dyDescent="0.4">
      <c r="A635">
        <v>4421001325</v>
      </c>
      <c r="B635">
        <v>4421002868</v>
      </c>
      <c r="C635" t="str">
        <f>T("커피여우 김삼월 29화")</f>
        <v>커피여우 김삼월 29화</v>
      </c>
      <c r="D635" t="str">
        <f>T("29")</f>
        <v>29</v>
      </c>
      <c r="E635" t="str">
        <f>T("Nica")</f>
        <v>Nica</v>
      </c>
      <c r="G635" t="str">
        <f>T("A.Noa, RK Studio")</f>
        <v>A.Noa, RK Studio</v>
      </c>
      <c r="H635" t="str">
        <f t="shared" si="82"/>
        <v>스토리위즈</v>
      </c>
      <c r="I635" t="str">
        <f>T("커피여우 김삼월")</f>
        <v>커피여우 김삼월</v>
      </c>
      <c r="J635">
        <v>500</v>
      </c>
      <c r="K635">
        <v>0</v>
      </c>
      <c r="L635">
        <v>0</v>
      </c>
      <c r="M635">
        <v>0</v>
      </c>
      <c r="N635">
        <v>200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 s="3">
        <v>200</v>
      </c>
      <c r="AH635" s="3">
        <v>1</v>
      </c>
      <c r="AI635" s="3">
        <v>0</v>
      </c>
      <c r="AJ635" s="3">
        <v>0</v>
      </c>
      <c r="AK635" s="3">
        <v>200</v>
      </c>
      <c r="AL635" s="3">
        <v>0</v>
      </c>
      <c r="AM635" s="3">
        <v>0</v>
      </c>
      <c r="AN635" s="3">
        <v>0</v>
      </c>
      <c r="AO635" s="3">
        <v>0</v>
      </c>
      <c r="AP635" s="3">
        <v>140</v>
      </c>
      <c r="AR635" t="str">
        <f t="shared" si="85"/>
        <v>0000000000000</v>
      </c>
      <c r="AT635" t="str">
        <f>T("9791191241792")</f>
        <v>9791191241792</v>
      </c>
      <c r="AV635" t="str">
        <f>T("웹툰 &gt; 로맨스")</f>
        <v>웹툰 &gt; 로맨스</v>
      </c>
    </row>
    <row r="636" spans="1:49" x14ac:dyDescent="0.4">
      <c r="A636">
        <v>4421000887</v>
      </c>
      <c r="B636">
        <v>4421001259</v>
      </c>
      <c r="C636" t="str">
        <f>T("폭군의 눈물 48화")</f>
        <v>폭군의 눈물 48화</v>
      </c>
      <c r="D636" t="str">
        <f>T("48")</f>
        <v>48</v>
      </c>
      <c r="E636" t="str">
        <f>T("Ice×FANFAN COMIC")</f>
        <v>Ice×FANFAN COMIC</v>
      </c>
      <c r="G636" t="str">
        <f>T("Ice×FANFAN COMIC")</f>
        <v>Ice×FANFAN COMIC</v>
      </c>
      <c r="H636" t="str">
        <f t="shared" si="82"/>
        <v>스토리위즈</v>
      </c>
      <c r="I636" t="str">
        <f>T("폭군의 눈물")</f>
        <v>폭군의 눈물</v>
      </c>
      <c r="J636">
        <v>400</v>
      </c>
      <c r="K636">
        <v>0</v>
      </c>
      <c r="L636">
        <v>0</v>
      </c>
      <c r="M636">
        <v>0</v>
      </c>
      <c r="N636">
        <v>600</v>
      </c>
      <c r="O636">
        <v>3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 s="3">
        <v>600</v>
      </c>
      <c r="AH636" s="3">
        <v>3</v>
      </c>
      <c r="AI636" s="3">
        <v>0</v>
      </c>
      <c r="AJ636" s="3">
        <v>0</v>
      </c>
      <c r="AK636" s="3">
        <v>400</v>
      </c>
      <c r="AL636" s="3">
        <v>0</v>
      </c>
      <c r="AM636" s="3">
        <v>240</v>
      </c>
      <c r="AN636" s="3">
        <v>-72</v>
      </c>
      <c r="AO636" s="3">
        <v>0</v>
      </c>
      <c r="AP636" s="3">
        <v>397.6</v>
      </c>
      <c r="AR636" t="str">
        <f t="shared" si="85"/>
        <v>0000000000000</v>
      </c>
      <c r="AT636" t="str">
        <f>T("9791137601291")</f>
        <v>9791137601291</v>
      </c>
      <c r="AV636" t="str">
        <f>T("웹툰 &gt; 해외 순정")</f>
        <v>웹툰 &gt; 해외 순정</v>
      </c>
      <c r="AW636" t="str">
        <f>T("웹툰 &gt; 로판")</f>
        <v>웹툰 &gt; 로판</v>
      </c>
    </row>
    <row r="637" spans="1:49" x14ac:dyDescent="0.4">
      <c r="A637">
        <v>4421000069</v>
      </c>
      <c r="B637">
        <v>4421000098</v>
      </c>
      <c r="C637" t="str">
        <f>T("너랑 나랑 하면 29화")</f>
        <v>너랑 나랑 하면 29화</v>
      </c>
      <c r="D637" t="str">
        <f>T("29")</f>
        <v>29</v>
      </c>
      <c r="E637" t="str">
        <f>T("NISANSUI")</f>
        <v>NISANSUI</v>
      </c>
      <c r="G637" t="str">
        <f>T("ZIQUAN")</f>
        <v>ZIQUAN</v>
      </c>
      <c r="H637" t="str">
        <f t="shared" si="82"/>
        <v>스토리위즈</v>
      </c>
      <c r="I637" t="str">
        <f>T("너랑 나랑 하면")</f>
        <v>너랑 나랑 하면</v>
      </c>
      <c r="J637">
        <v>400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 s="3">
        <v>0</v>
      </c>
      <c r="AH637" s="3">
        <v>3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R637" t="str">
        <f t="shared" si="85"/>
        <v>0000000000000</v>
      </c>
      <c r="AT637" t="str">
        <f>T("9791166067884")</f>
        <v>9791166067884</v>
      </c>
      <c r="AV637" t="str">
        <f>T("BL 웹툰 &gt; 웹툰")</f>
        <v>BL 웹툰 &gt; 웹툰</v>
      </c>
    </row>
    <row r="638" spans="1:49" x14ac:dyDescent="0.4">
      <c r="A638">
        <v>4421000866</v>
      </c>
      <c r="B638">
        <v>4421001533</v>
      </c>
      <c r="C638" t="str">
        <f>T("최애에게 들켜버렸다 78화")</f>
        <v>최애에게 들켜버렸다 78화</v>
      </c>
      <c r="D638" t="str">
        <f>T("81")</f>
        <v>81</v>
      </c>
      <c r="E638" t="str">
        <f>T("Lv")</f>
        <v>Lv</v>
      </c>
      <c r="G638" t="str">
        <f>T("Lv")</f>
        <v>Lv</v>
      </c>
      <c r="H638" t="str">
        <f t="shared" si="82"/>
        <v>스토리위즈</v>
      </c>
      <c r="I638" t="str">
        <f>T("최애에게 들켜버렸다")</f>
        <v>최애에게 들켜버렸다</v>
      </c>
      <c r="J638">
        <v>400</v>
      </c>
      <c r="K638">
        <v>0</v>
      </c>
      <c r="L638">
        <v>0</v>
      </c>
      <c r="M638">
        <v>0</v>
      </c>
      <c r="N638">
        <v>400</v>
      </c>
      <c r="O638">
        <v>2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 s="3">
        <v>400</v>
      </c>
      <c r="AH638" s="3">
        <v>2</v>
      </c>
      <c r="AI638" s="3">
        <v>0</v>
      </c>
      <c r="AJ638" s="3">
        <v>0</v>
      </c>
      <c r="AK638" s="3">
        <v>225</v>
      </c>
      <c r="AL638" s="3">
        <v>0</v>
      </c>
      <c r="AM638" s="3">
        <v>210.18</v>
      </c>
      <c r="AN638" s="3">
        <v>-63.05</v>
      </c>
      <c r="AO638" s="3">
        <v>0</v>
      </c>
      <c r="AP638" s="3">
        <v>260.49</v>
      </c>
      <c r="AR638" t="str">
        <f t="shared" si="85"/>
        <v>0000000000000</v>
      </c>
      <c r="AT638" t="str">
        <f>T("9791137601253")</f>
        <v>9791137601253</v>
      </c>
      <c r="AV638" t="str">
        <f>T("웹툰 &gt; 해외 순정")</f>
        <v>웹툰 &gt; 해외 순정</v>
      </c>
      <c r="AW638" t="str">
        <f>T("웹툰 &gt; 로맨스")</f>
        <v>웹툰 &gt; 로맨스</v>
      </c>
    </row>
    <row r="639" spans="1:49" x14ac:dyDescent="0.4">
      <c r="A639">
        <v>4421000198</v>
      </c>
      <c r="B639">
        <v>4421000208</v>
      </c>
      <c r="C639" t="str">
        <f>T("공주전쟁 11화")</f>
        <v>공주전쟁 11화</v>
      </c>
      <c r="D639" t="str">
        <f>T("11")</f>
        <v>11</v>
      </c>
      <c r="E639" t="str">
        <f>T("Hujing")</f>
        <v>Hujing</v>
      </c>
      <c r="G639" t="str">
        <f>T("Luojie")</f>
        <v>Luojie</v>
      </c>
      <c r="H639" t="str">
        <f t="shared" si="82"/>
        <v>스토리위즈</v>
      </c>
      <c r="I639" t="str">
        <f>T("공주전쟁")</f>
        <v>공주전쟁</v>
      </c>
      <c r="J639">
        <v>400</v>
      </c>
      <c r="K639">
        <v>0</v>
      </c>
      <c r="L639">
        <v>0</v>
      </c>
      <c r="M639">
        <v>0</v>
      </c>
      <c r="N639">
        <v>600</v>
      </c>
      <c r="O639">
        <v>3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 s="3">
        <v>600</v>
      </c>
      <c r="AH639" s="3">
        <v>3</v>
      </c>
      <c r="AI639" s="3">
        <v>0</v>
      </c>
      <c r="AJ639" s="3">
        <v>0</v>
      </c>
      <c r="AK639" s="3">
        <v>400</v>
      </c>
      <c r="AL639" s="3">
        <v>0</v>
      </c>
      <c r="AM639" s="3">
        <v>240</v>
      </c>
      <c r="AN639" s="3">
        <v>-72</v>
      </c>
      <c r="AO639" s="3">
        <v>0</v>
      </c>
      <c r="AP639" s="3">
        <v>397.6</v>
      </c>
      <c r="AR639" t="str">
        <f t="shared" si="85"/>
        <v>0000000000000</v>
      </c>
      <c r="AT639" t="str">
        <f>T("9791166069666")</f>
        <v>9791166069666</v>
      </c>
      <c r="AV639" t="str">
        <f>T("웹툰 &gt; 해외 순정")</f>
        <v>웹툰 &gt; 해외 순정</v>
      </c>
      <c r="AW639" t="str">
        <f>T("웹툰 &gt; 로판")</f>
        <v>웹툰 &gt; 로판</v>
      </c>
    </row>
    <row r="640" spans="1:49" x14ac:dyDescent="0.4">
      <c r="A640">
        <v>4421001340</v>
      </c>
      <c r="B640">
        <v>4421001373</v>
      </c>
      <c r="C640" t="str">
        <f>T("가출천사 육성계약 34화")</f>
        <v>가출천사 육성계약 34화</v>
      </c>
      <c r="D640" t="str">
        <f>T("34")</f>
        <v>34</v>
      </c>
      <c r="E640" t="str">
        <f>T("Bae.C, IIAKI, 박제후")</f>
        <v>Bae.C, IIAKI, 박제후</v>
      </c>
      <c r="G640" t="str">
        <f>T("Bae.C, 조우")</f>
        <v>Bae.C, 조우</v>
      </c>
      <c r="H640" t="str">
        <f t="shared" si="82"/>
        <v>스토리위즈</v>
      </c>
      <c r="I640" t="str">
        <f>T("가출천사 육성계약")</f>
        <v>가출천사 육성계약</v>
      </c>
      <c r="J640">
        <v>400</v>
      </c>
      <c r="K640">
        <v>0</v>
      </c>
      <c r="L640">
        <v>0</v>
      </c>
      <c r="M640">
        <v>0</v>
      </c>
      <c r="N640">
        <v>200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 s="3">
        <v>200</v>
      </c>
      <c r="AH640" s="3">
        <v>1</v>
      </c>
      <c r="AI640" s="3">
        <v>0</v>
      </c>
      <c r="AJ640" s="3">
        <v>0</v>
      </c>
      <c r="AK640" s="3">
        <v>200</v>
      </c>
      <c r="AL640" s="3">
        <v>0</v>
      </c>
      <c r="AM640" s="3">
        <v>0</v>
      </c>
      <c r="AN640" s="3">
        <v>0</v>
      </c>
      <c r="AO640" s="3">
        <v>0</v>
      </c>
      <c r="AP640" s="3">
        <v>140</v>
      </c>
      <c r="AR640" t="str">
        <f t="shared" si="85"/>
        <v>0000000000000</v>
      </c>
      <c r="AT640" t="str">
        <f>T("9791191765663")</f>
        <v>9791191765663</v>
      </c>
      <c r="AV640" t="str">
        <f>T("웹툰 &gt; 판타지/SF")</f>
        <v>웹툰 &gt; 판타지/SF</v>
      </c>
    </row>
    <row r="641" spans="1:49" x14ac:dyDescent="0.4">
      <c r="A641">
        <v>4421000337</v>
      </c>
      <c r="B641">
        <v>4421000433</v>
      </c>
      <c r="C641" t="str">
        <f>T("계약연애, 오늘부터 1일 97화")</f>
        <v>계약연애, 오늘부터 1일 97화</v>
      </c>
      <c r="D641" t="str">
        <f>T("97")</f>
        <v>97</v>
      </c>
      <c r="E641" t="str">
        <f>T("원기공장")</f>
        <v>원기공장</v>
      </c>
      <c r="H641" t="str">
        <f t="shared" si="82"/>
        <v>스토리위즈</v>
      </c>
      <c r="I641" t="str">
        <f>T("계약연애, 오늘부터 1일")</f>
        <v>계약연애, 오늘부터 1일</v>
      </c>
      <c r="J641">
        <v>200</v>
      </c>
      <c r="K641">
        <v>0</v>
      </c>
      <c r="L641">
        <v>0</v>
      </c>
      <c r="M641">
        <v>0</v>
      </c>
      <c r="N641">
        <v>100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 s="3">
        <v>100</v>
      </c>
      <c r="AH641" s="3">
        <v>1</v>
      </c>
      <c r="AI641" s="3">
        <v>0</v>
      </c>
      <c r="AJ641" s="3">
        <v>0</v>
      </c>
      <c r="AK641" s="3">
        <v>100</v>
      </c>
      <c r="AL641" s="3">
        <v>0</v>
      </c>
      <c r="AM641" s="3">
        <v>0</v>
      </c>
      <c r="AN641" s="3">
        <v>0</v>
      </c>
      <c r="AO641" s="3">
        <v>0</v>
      </c>
      <c r="AP641" s="3">
        <v>70</v>
      </c>
      <c r="AR641" t="str">
        <f t="shared" si="85"/>
        <v>0000000000000</v>
      </c>
      <c r="AT641" t="str">
        <f>T("9791166068027")</f>
        <v>9791166068027</v>
      </c>
      <c r="AV641" t="str">
        <f>T("웹툰 &gt; 해외 순정")</f>
        <v>웹툰 &gt; 해외 순정</v>
      </c>
      <c r="AW641" t="str">
        <f>T("웹툰 &gt; 로맨스")</f>
        <v>웹툰 &gt; 로맨스</v>
      </c>
    </row>
    <row r="642" spans="1:49" x14ac:dyDescent="0.4">
      <c r="A642">
        <v>4421000916</v>
      </c>
      <c r="B642">
        <v>4421000936</v>
      </c>
      <c r="C642" t="str">
        <f>T("별빛 아래 우리 21화")</f>
        <v>별빛 아래 우리 21화</v>
      </c>
      <c r="D642" t="str">
        <f>T("21")</f>
        <v>21</v>
      </c>
      <c r="E642" t="str">
        <f>T("건일")</f>
        <v>건일</v>
      </c>
      <c r="G642" t="str">
        <f>T("건일")</f>
        <v>건일</v>
      </c>
      <c r="H642" t="str">
        <f t="shared" ref="H642:H705" si="86">T("스토리위즈")</f>
        <v>스토리위즈</v>
      </c>
      <c r="I642" t="str">
        <f>T("별빛 아래 우리")</f>
        <v>별빛 아래 우리</v>
      </c>
      <c r="J642">
        <v>400</v>
      </c>
      <c r="K642">
        <v>0</v>
      </c>
      <c r="L642">
        <v>0</v>
      </c>
      <c r="M642">
        <v>0</v>
      </c>
      <c r="N642">
        <v>1200</v>
      </c>
      <c r="O642">
        <v>6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 s="3">
        <v>1200</v>
      </c>
      <c r="AH642" s="3">
        <v>6</v>
      </c>
      <c r="AI642" s="3">
        <v>0</v>
      </c>
      <c r="AJ642" s="3">
        <v>0</v>
      </c>
      <c r="AK642" s="3">
        <v>400</v>
      </c>
      <c r="AL642" s="3">
        <v>0</v>
      </c>
      <c r="AM642" s="3">
        <v>958.3</v>
      </c>
      <c r="AN642" s="3">
        <v>-287.49</v>
      </c>
      <c r="AO642" s="3">
        <v>0</v>
      </c>
      <c r="AP642" s="3">
        <v>749.57</v>
      </c>
      <c r="AR642" t="str">
        <f t="shared" si="85"/>
        <v>0000000000000</v>
      </c>
      <c r="AT642" t="str">
        <f>T("9791137601413")</f>
        <v>9791137601413</v>
      </c>
      <c r="AV642" t="str">
        <f>T("웹툰 &gt; 해외 순정")</f>
        <v>웹툰 &gt; 해외 순정</v>
      </c>
      <c r="AW642" t="str">
        <f>T("웹툰 &gt; 로맨스")</f>
        <v>웹툰 &gt; 로맨스</v>
      </c>
    </row>
    <row r="643" spans="1:49" x14ac:dyDescent="0.4">
      <c r="A643">
        <v>4421001764</v>
      </c>
      <c r="B643">
        <v>4421001767</v>
      </c>
      <c r="C643" t="str">
        <f>T("예쁜 남자 잘생긴 여자 4화")</f>
        <v>예쁜 남자 잘생긴 여자 4화</v>
      </c>
      <c r="D643" t="str">
        <f>T("4")</f>
        <v>4</v>
      </c>
      <c r="E643" t="str">
        <f>T("웹티")</f>
        <v>웹티</v>
      </c>
      <c r="H643" t="str">
        <f t="shared" si="86"/>
        <v>스토리위즈</v>
      </c>
      <c r="I643" t="str">
        <f>T("예쁜 남자 잘생긴 여자")</f>
        <v>예쁜 남자 잘생긴 여자</v>
      </c>
      <c r="J643">
        <v>500</v>
      </c>
      <c r="K643">
        <v>0</v>
      </c>
      <c r="L643">
        <v>0</v>
      </c>
      <c r="M643">
        <v>0</v>
      </c>
      <c r="N643">
        <v>200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 s="3">
        <v>200</v>
      </c>
      <c r="AH643" s="3">
        <v>1</v>
      </c>
      <c r="AI643" s="3">
        <v>0</v>
      </c>
      <c r="AJ643" s="3">
        <v>0</v>
      </c>
      <c r="AK643" s="3">
        <v>50</v>
      </c>
      <c r="AL643" s="3">
        <v>0</v>
      </c>
      <c r="AM643" s="3">
        <v>180.62</v>
      </c>
      <c r="AN643" s="3">
        <v>-54.19</v>
      </c>
      <c r="AO643" s="3">
        <v>0</v>
      </c>
      <c r="AP643" s="3">
        <v>123.5</v>
      </c>
      <c r="AR643" t="str">
        <f t="shared" si="85"/>
        <v>0000000000000</v>
      </c>
      <c r="AT643" t="str">
        <f>T("9791190702164")</f>
        <v>9791190702164</v>
      </c>
      <c r="AV643" t="str">
        <f>T("웹툰 &gt; 로맨스")</f>
        <v>웹툰 &gt; 로맨스</v>
      </c>
    </row>
    <row r="644" spans="1:49" x14ac:dyDescent="0.4">
      <c r="A644">
        <v>4421000337</v>
      </c>
      <c r="B644">
        <v>4421000393</v>
      </c>
      <c r="C644" t="str">
        <f>T("계약연애, 오늘부터 1일 57화")</f>
        <v>계약연애, 오늘부터 1일 57화</v>
      </c>
      <c r="D644" t="str">
        <f>T("57")</f>
        <v>57</v>
      </c>
      <c r="E644" t="str">
        <f>T("원기공장")</f>
        <v>원기공장</v>
      </c>
      <c r="H644" t="str">
        <f t="shared" si="86"/>
        <v>스토리위즈</v>
      </c>
      <c r="I644" t="str">
        <f>T("계약연애, 오늘부터 1일")</f>
        <v>계약연애, 오늘부터 1일</v>
      </c>
      <c r="J644">
        <v>200</v>
      </c>
      <c r="K644">
        <v>0</v>
      </c>
      <c r="L644">
        <v>0</v>
      </c>
      <c r="M644">
        <v>0</v>
      </c>
      <c r="N644">
        <v>100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 s="3">
        <v>100</v>
      </c>
      <c r="AH644" s="3">
        <v>1</v>
      </c>
      <c r="AI644" s="3">
        <v>0</v>
      </c>
      <c r="AJ644" s="3">
        <v>0</v>
      </c>
      <c r="AK644" s="3">
        <v>100</v>
      </c>
      <c r="AL644" s="3">
        <v>0</v>
      </c>
      <c r="AM644" s="3">
        <v>0</v>
      </c>
      <c r="AN644" s="3">
        <v>0</v>
      </c>
      <c r="AO644" s="3">
        <v>0</v>
      </c>
      <c r="AP644" s="3">
        <v>70</v>
      </c>
      <c r="AR644" t="str">
        <f t="shared" si="85"/>
        <v>0000000000000</v>
      </c>
      <c r="AT644" t="str">
        <f>T("9791166068027")</f>
        <v>9791166068027</v>
      </c>
      <c r="AV644" t="str">
        <f>T("웹툰 &gt; 해외 순정")</f>
        <v>웹툰 &gt; 해외 순정</v>
      </c>
      <c r="AW644" t="str">
        <f>T("웹툰 &gt; 로맨스")</f>
        <v>웹툰 &gt; 로맨스</v>
      </c>
    </row>
    <row r="645" spans="1:49" x14ac:dyDescent="0.4">
      <c r="A645">
        <v>4421001568</v>
      </c>
      <c r="B645">
        <v>4421001575</v>
      </c>
      <c r="C645" t="str">
        <f>T("구름의 연인 8화")</f>
        <v>구름의 연인 8화</v>
      </c>
      <c r="D645" t="str">
        <f>T("8")</f>
        <v>8</v>
      </c>
      <c r="E645" t="str">
        <f>T("웹티")</f>
        <v>웹티</v>
      </c>
      <c r="H645" t="str">
        <f t="shared" si="86"/>
        <v>스토리위즈</v>
      </c>
      <c r="I645" t="str">
        <f>T("구름의 연인")</f>
        <v>구름의 연인</v>
      </c>
      <c r="J645">
        <v>500</v>
      </c>
      <c r="K645">
        <v>0</v>
      </c>
      <c r="L645">
        <v>0</v>
      </c>
      <c r="M645">
        <v>0</v>
      </c>
      <c r="N645">
        <v>200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 s="3">
        <v>200</v>
      </c>
      <c r="AH645" s="3">
        <v>1</v>
      </c>
      <c r="AI645" s="3">
        <v>0</v>
      </c>
      <c r="AJ645" s="3">
        <v>0</v>
      </c>
      <c r="AK645" s="3">
        <v>200</v>
      </c>
      <c r="AL645" s="3">
        <v>0</v>
      </c>
      <c r="AM645" s="3">
        <v>0</v>
      </c>
      <c r="AN645" s="3">
        <v>0</v>
      </c>
      <c r="AO645" s="3">
        <v>0</v>
      </c>
      <c r="AP645" s="3">
        <v>140</v>
      </c>
      <c r="AR645" t="str">
        <f t="shared" si="85"/>
        <v>0000000000000</v>
      </c>
      <c r="AT645" t="str">
        <f>T("9791196402730")</f>
        <v>9791196402730</v>
      </c>
      <c r="AV645" t="str">
        <f>T("웹툰 &gt; 로맨스")</f>
        <v>웹툰 &gt; 로맨스</v>
      </c>
    </row>
    <row r="646" spans="1:49" x14ac:dyDescent="0.4">
      <c r="A646">
        <v>4421000866</v>
      </c>
      <c r="B646">
        <v>4421001293</v>
      </c>
      <c r="C646" t="str">
        <f>T("최애에게 들켜버렸다 67화")</f>
        <v>최애에게 들켜버렸다 67화</v>
      </c>
      <c r="D646" t="str">
        <f>T("70")</f>
        <v>70</v>
      </c>
      <c r="E646" t="str">
        <f>T("Lv")</f>
        <v>Lv</v>
      </c>
      <c r="G646" t="str">
        <f>T("Lv")</f>
        <v>Lv</v>
      </c>
      <c r="H646" t="str">
        <f t="shared" si="86"/>
        <v>스토리위즈</v>
      </c>
      <c r="I646" t="str">
        <f>T("최애에게 들켜버렸다")</f>
        <v>최애에게 들켜버렸다</v>
      </c>
      <c r="J646">
        <v>400</v>
      </c>
      <c r="K646">
        <v>0</v>
      </c>
      <c r="L646">
        <v>0</v>
      </c>
      <c r="M646">
        <v>0</v>
      </c>
      <c r="N646">
        <v>600</v>
      </c>
      <c r="O646">
        <v>3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 s="3">
        <v>600</v>
      </c>
      <c r="AH646" s="3">
        <v>3</v>
      </c>
      <c r="AI646" s="3">
        <v>0</v>
      </c>
      <c r="AJ646" s="3">
        <v>0</v>
      </c>
      <c r="AK646" s="3">
        <v>424</v>
      </c>
      <c r="AL646" s="3">
        <v>0</v>
      </c>
      <c r="AM646" s="3">
        <v>211.38</v>
      </c>
      <c r="AN646" s="3">
        <v>-63.41</v>
      </c>
      <c r="AO646" s="3">
        <v>0</v>
      </c>
      <c r="AP646" s="3">
        <v>400.38</v>
      </c>
      <c r="AR646" t="str">
        <f t="shared" si="85"/>
        <v>0000000000000</v>
      </c>
      <c r="AT646" t="str">
        <f>T("9791137601253")</f>
        <v>9791137601253</v>
      </c>
      <c r="AV646" t="str">
        <f>T("웹툰 &gt; 해외 순정")</f>
        <v>웹툰 &gt; 해외 순정</v>
      </c>
      <c r="AW646" t="str">
        <f>T("웹툰 &gt; 로맨스")</f>
        <v>웹툰 &gt; 로맨스</v>
      </c>
    </row>
    <row r="647" spans="1:49" x14ac:dyDescent="0.4">
      <c r="A647">
        <v>4421000916</v>
      </c>
      <c r="B647">
        <v>4421001190</v>
      </c>
      <c r="C647" t="str">
        <f>T("별빛 아래 우리 40화")</f>
        <v>별빛 아래 우리 40화</v>
      </c>
      <c r="D647" t="str">
        <f>T("40")</f>
        <v>40</v>
      </c>
      <c r="E647" t="str">
        <f>T("건일")</f>
        <v>건일</v>
      </c>
      <c r="G647" t="str">
        <f>T("건일")</f>
        <v>건일</v>
      </c>
      <c r="H647" t="str">
        <f t="shared" si="86"/>
        <v>스토리위즈</v>
      </c>
      <c r="I647" t="str">
        <f>T("별빛 아래 우리")</f>
        <v>별빛 아래 우리</v>
      </c>
      <c r="J647">
        <v>400</v>
      </c>
      <c r="K647">
        <v>0</v>
      </c>
      <c r="L647">
        <v>0</v>
      </c>
      <c r="M647">
        <v>0</v>
      </c>
      <c r="N647">
        <v>800</v>
      </c>
      <c r="O647">
        <v>4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 s="3">
        <v>800</v>
      </c>
      <c r="AH647" s="3">
        <v>4</v>
      </c>
      <c r="AI647" s="3">
        <v>0</v>
      </c>
      <c r="AJ647" s="3">
        <v>0</v>
      </c>
      <c r="AK647" s="3">
        <v>379</v>
      </c>
      <c r="AL647" s="3">
        <v>0</v>
      </c>
      <c r="AM647" s="3">
        <v>505.2</v>
      </c>
      <c r="AN647" s="3">
        <v>-151.56</v>
      </c>
      <c r="AO647" s="3">
        <v>0</v>
      </c>
      <c r="AP647" s="3">
        <v>512.85</v>
      </c>
      <c r="AR647" t="str">
        <f t="shared" si="85"/>
        <v>0000000000000</v>
      </c>
      <c r="AT647" t="str">
        <f>T("9791137601413")</f>
        <v>9791137601413</v>
      </c>
      <c r="AV647" t="str">
        <f>T("웹툰 &gt; 해외 순정")</f>
        <v>웹툰 &gt; 해외 순정</v>
      </c>
      <c r="AW647" t="str">
        <f>T("웹툰 &gt; 로맨스")</f>
        <v>웹툰 &gt; 로맨스</v>
      </c>
    </row>
    <row r="648" spans="1:49" x14ac:dyDescent="0.4">
      <c r="A648">
        <v>4421000450</v>
      </c>
      <c r="B648">
        <v>4421000465</v>
      </c>
      <c r="C648" t="str">
        <f>T("내 남편의 스토커 15화")</f>
        <v>내 남편의 스토커 15화</v>
      </c>
      <c r="D648" t="str">
        <f>T("15")</f>
        <v>15</v>
      </c>
      <c r="E648" t="str">
        <f>T("혜원")</f>
        <v>혜원</v>
      </c>
      <c r="G648" t="str">
        <f>T("혜원")</f>
        <v>혜원</v>
      </c>
      <c r="H648" t="str">
        <f t="shared" si="86"/>
        <v>스토리위즈</v>
      </c>
      <c r="I648" t="str">
        <f>T("내 남편의 스토커")</f>
        <v>내 남편의 스토커</v>
      </c>
      <c r="J648">
        <v>400</v>
      </c>
      <c r="K648">
        <v>0</v>
      </c>
      <c r="L648">
        <v>0</v>
      </c>
      <c r="M648">
        <v>0</v>
      </c>
      <c r="N648">
        <v>200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s="3">
        <v>200</v>
      </c>
      <c r="AH648" s="3">
        <v>1</v>
      </c>
      <c r="AI648" s="3">
        <v>0</v>
      </c>
      <c r="AJ648" s="3">
        <v>0</v>
      </c>
      <c r="AK648" s="3">
        <v>200</v>
      </c>
      <c r="AL648" s="3">
        <v>0</v>
      </c>
      <c r="AM648" s="3">
        <v>0</v>
      </c>
      <c r="AN648" s="3">
        <v>0</v>
      </c>
      <c r="AO648" s="3">
        <v>0</v>
      </c>
      <c r="AP648" s="3">
        <v>140</v>
      </c>
      <c r="AR648" t="str">
        <f t="shared" si="85"/>
        <v>0000000000000</v>
      </c>
      <c r="AT648" t="str">
        <f>T("9791166068034")</f>
        <v>9791166068034</v>
      </c>
      <c r="AV648" t="str">
        <f>T("웹툰 &gt; 로맨스")</f>
        <v>웹툰 &gt; 로맨스</v>
      </c>
    </row>
    <row r="649" spans="1:49" x14ac:dyDescent="0.4">
      <c r="A649">
        <v>4421000450</v>
      </c>
      <c r="B649">
        <v>4421000473</v>
      </c>
      <c r="C649" t="str">
        <f>T("내 남편의 스토커 23화")</f>
        <v>내 남편의 스토커 23화</v>
      </c>
      <c r="D649" t="str">
        <f>T("23")</f>
        <v>23</v>
      </c>
      <c r="E649" t="str">
        <f>T("혜원")</f>
        <v>혜원</v>
      </c>
      <c r="G649" t="str">
        <f>T("혜원")</f>
        <v>혜원</v>
      </c>
      <c r="H649" t="str">
        <f t="shared" si="86"/>
        <v>스토리위즈</v>
      </c>
      <c r="I649" t="str">
        <f>T("내 남편의 스토커")</f>
        <v>내 남편의 스토커</v>
      </c>
      <c r="J649">
        <v>400</v>
      </c>
      <c r="K649">
        <v>0</v>
      </c>
      <c r="L649">
        <v>0</v>
      </c>
      <c r="M649">
        <v>0</v>
      </c>
      <c r="N649">
        <v>200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 s="3">
        <v>200</v>
      </c>
      <c r="AH649" s="3">
        <v>1</v>
      </c>
      <c r="AI649" s="3">
        <v>0</v>
      </c>
      <c r="AJ649" s="3">
        <v>0</v>
      </c>
      <c r="AK649" s="3">
        <v>200</v>
      </c>
      <c r="AL649" s="3">
        <v>0</v>
      </c>
      <c r="AM649" s="3">
        <v>0</v>
      </c>
      <c r="AN649" s="3">
        <v>0</v>
      </c>
      <c r="AO649" s="3">
        <v>0</v>
      </c>
      <c r="AP649" s="3">
        <v>140</v>
      </c>
      <c r="AR649" t="str">
        <f t="shared" si="85"/>
        <v>0000000000000</v>
      </c>
      <c r="AT649" t="str">
        <f>T("9791166068034")</f>
        <v>9791166068034</v>
      </c>
      <c r="AV649" t="str">
        <f>T("웹툰 &gt; 로맨스")</f>
        <v>웹툰 &gt; 로맨스</v>
      </c>
    </row>
    <row r="650" spans="1:49" x14ac:dyDescent="0.4">
      <c r="A650">
        <v>4421000198</v>
      </c>
      <c r="B650">
        <v>4421000240</v>
      </c>
      <c r="C650" t="str">
        <f>T("공주전쟁 43화")</f>
        <v>공주전쟁 43화</v>
      </c>
      <c r="D650" t="str">
        <f>T("43")</f>
        <v>43</v>
      </c>
      <c r="E650" t="str">
        <f>T("Hujing")</f>
        <v>Hujing</v>
      </c>
      <c r="G650" t="str">
        <f>T("Luojie")</f>
        <v>Luojie</v>
      </c>
      <c r="H650" t="str">
        <f t="shared" si="86"/>
        <v>스토리위즈</v>
      </c>
      <c r="I650" t="str">
        <f>T("공주전쟁")</f>
        <v>공주전쟁</v>
      </c>
      <c r="J650">
        <v>400</v>
      </c>
      <c r="K650">
        <v>0</v>
      </c>
      <c r="L650">
        <v>0</v>
      </c>
      <c r="M650">
        <v>0</v>
      </c>
      <c r="N650">
        <v>600</v>
      </c>
      <c r="O650">
        <v>3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 s="3">
        <v>600</v>
      </c>
      <c r="AH650" s="3">
        <v>3</v>
      </c>
      <c r="AI650" s="3">
        <v>0</v>
      </c>
      <c r="AJ650" s="3">
        <v>0</v>
      </c>
      <c r="AK650" s="3">
        <v>400</v>
      </c>
      <c r="AL650" s="3">
        <v>0</v>
      </c>
      <c r="AM650" s="3">
        <v>240</v>
      </c>
      <c r="AN650" s="3">
        <v>-72</v>
      </c>
      <c r="AO650" s="3">
        <v>0</v>
      </c>
      <c r="AP650" s="3">
        <v>397.6</v>
      </c>
      <c r="AR650" t="str">
        <f t="shared" si="85"/>
        <v>0000000000000</v>
      </c>
      <c r="AT650" t="str">
        <f>T("9791166069666")</f>
        <v>9791166069666</v>
      </c>
      <c r="AV650" t="str">
        <f>T("웹툰 &gt; 해외 순정")</f>
        <v>웹툰 &gt; 해외 순정</v>
      </c>
      <c r="AW650" t="str">
        <f>T("웹툰 &gt; 로판")</f>
        <v>웹툰 &gt; 로판</v>
      </c>
    </row>
    <row r="651" spans="1:49" x14ac:dyDescent="0.4">
      <c r="A651">
        <v>4421000887</v>
      </c>
      <c r="B651">
        <v>4421000983</v>
      </c>
      <c r="C651" t="str">
        <f>T("폭군의 눈물 31화")</f>
        <v>폭군의 눈물 31화</v>
      </c>
      <c r="D651" t="str">
        <f>T("31")</f>
        <v>31</v>
      </c>
      <c r="E651" t="str">
        <f>T("Ice×FANFAN COMIC")</f>
        <v>Ice×FANFAN COMIC</v>
      </c>
      <c r="G651" t="str">
        <f>T("Ice×FANFAN COMIC")</f>
        <v>Ice×FANFAN COMIC</v>
      </c>
      <c r="H651" t="str">
        <f t="shared" si="86"/>
        <v>스토리위즈</v>
      </c>
      <c r="I651" t="str">
        <f>T("폭군의 눈물")</f>
        <v>폭군의 눈물</v>
      </c>
      <c r="J651">
        <v>400</v>
      </c>
      <c r="K651">
        <v>0</v>
      </c>
      <c r="L651">
        <v>0</v>
      </c>
      <c r="M651">
        <v>0</v>
      </c>
      <c r="N651">
        <v>600</v>
      </c>
      <c r="O651">
        <v>3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 s="3">
        <v>600</v>
      </c>
      <c r="AH651" s="3">
        <v>3</v>
      </c>
      <c r="AI651" s="3">
        <v>0</v>
      </c>
      <c r="AJ651" s="3">
        <v>0</v>
      </c>
      <c r="AK651" s="3">
        <v>400</v>
      </c>
      <c r="AL651" s="3">
        <v>0</v>
      </c>
      <c r="AM651" s="3">
        <v>240</v>
      </c>
      <c r="AN651" s="3">
        <v>-72</v>
      </c>
      <c r="AO651" s="3">
        <v>0</v>
      </c>
      <c r="AP651" s="3">
        <v>397.6</v>
      </c>
      <c r="AR651" t="str">
        <f t="shared" si="85"/>
        <v>0000000000000</v>
      </c>
      <c r="AT651" t="str">
        <f>T("9791137601291")</f>
        <v>9791137601291</v>
      </c>
      <c r="AV651" t="str">
        <f>T("웹툰 &gt; 해외 순정")</f>
        <v>웹툰 &gt; 해외 순정</v>
      </c>
      <c r="AW651" t="str">
        <f>T("웹툰 &gt; 로판")</f>
        <v>웹툰 &gt; 로판</v>
      </c>
    </row>
    <row r="652" spans="1:49" x14ac:dyDescent="0.4">
      <c r="A652">
        <v>4421001936</v>
      </c>
      <c r="B652">
        <v>4421001940</v>
      </c>
      <c r="C652" t="str">
        <f>T("보스 오빠, 살살! 5화")</f>
        <v>보스 오빠, 살살! 5화</v>
      </c>
      <c r="D652" t="str">
        <f>T("5")</f>
        <v>5</v>
      </c>
      <c r="E652" t="str">
        <f>T("웹티")</f>
        <v>웹티</v>
      </c>
      <c r="H652" t="str">
        <f t="shared" si="86"/>
        <v>스토리위즈</v>
      </c>
      <c r="I652" t="str">
        <f>T("보스 오빠, 살살!")</f>
        <v>보스 오빠, 살살!</v>
      </c>
      <c r="J652">
        <v>500</v>
      </c>
      <c r="K652">
        <v>0</v>
      </c>
      <c r="L652">
        <v>0</v>
      </c>
      <c r="M652">
        <v>0</v>
      </c>
      <c r="N652">
        <v>200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 s="3">
        <v>200</v>
      </c>
      <c r="AH652" s="3">
        <v>1</v>
      </c>
      <c r="AI652" s="3">
        <v>0</v>
      </c>
      <c r="AJ652" s="3">
        <v>0</v>
      </c>
      <c r="AK652" s="3">
        <v>0</v>
      </c>
      <c r="AL652" s="3">
        <v>0</v>
      </c>
      <c r="AM652" s="3">
        <v>240</v>
      </c>
      <c r="AN652" s="3">
        <v>-72</v>
      </c>
      <c r="AO652" s="3">
        <v>0</v>
      </c>
      <c r="AP652" s="3">
        <v>117.6</v>
      </c>
      <c r="AT652" t="str">
        <f>T("9791190702331")</f>
        <v>9791190702331</v>
      </c>
      <c r="AV652" t="str">
        <f>T("웹툰 &gt; 로맨스")</f>
        <v>웹툰 &gt; 로맨스</v>
      </c>
    </row>
    <row r="653" spans="1:49" x14ac:dyDescent="0.4">
      <c r="A653">
        <v>4421000866</v>
      </c>
      <c r="B653">
        <v>4421000872</v>
      </c>
      <c r="C653" t="str">
        <f>T("최애에게 들켜버렸다 6화")</f>
        <v>최애에게 들켜버렸다 6화</v>
      </c>
      <c r="D653" t="str">
        <f>T("6")</f>
        <v>6</v>
      </c>
      <c r="E653" t="str">
        <f>T("Lv")</f>
        <v>Lv</v>
      </c>
      <c r="G653" t="str">
        <f>T("Lv")</f>
        <v>Lv</v>
      </c>
      <c r="H653" t="str">
        <f t="shared" si="86"/>
        <v>스토리위즈</v>
      </c>
      <c r="I653" t="str">
        <f>T("최애에게 들켜버렸다")</f>
        <v>최애에게 들켜버렸다</v>
      </c>
      <c r="J653">
        <v>400</v>
      </c>
      <c r="K653">
        <v>0</v>
      </c>
      <c r="L653">
        <v>0</v>
      </c>
      <c r="M653">
        <v>0</v>
      </c>
      <c r="N653">
        <v>1000</v>
      </c>
      <c r="O653">
        <v>5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 s="3">
        <v>1000</v>
      </c>
      <c r="AH653" s="3">
        <v>5</v>
      </c>
      <c r="AI653" s="3">
        <v>0</v>
      </c>
      <c r="AJ653" s="3">
        <v>0</v>
      </c>
      <c r="AK653" s="3">
        <v>624</v>
      </c>
      <c r="AL653" s="3">
        <v>0</v>
      </c>
      <c r="AM653" s="3">
        <v>451.38</v>
      </c>
      <c r="AN653" s="3">
        <v>-135.41</v>
      </c>
      <c r="AO653" s="3">
        <v>0</v>
      </c>
      <c r="AP653" s="3">
        <v>657.98</v>
      </c>
      <c r="AR653" t="str">
        <f>T("0000000000000")</f>
        <v>0000000000000</v>
      </c>
      <c r="AT653" t="str">
        <f>T("9791137601253")</f>
        <v>9791137601253</v>
      </c>
      <c r="AV653" t="str">
        <f>T("웹툰 &gt; 해외 순정")</f>
        <v>웹툰 &gt; 해외 순정</v>
      </c>
      <c r="AW653" t="str">
        <f>T("웹툰 &gt; 로맨스")</f>
        <v>웹툰 &gt; 로맨스</v>
      </c>
    </row>
    <row r="654" spans="1:49" x14ac:dyDescent="0.4">
      <c r="A654">
        <v>4421001936</v>
      </c>
      <c r="B654">
        <v>4421001965</v>
      </c>
      <c r="C654" t="str">
        <f>T("보스 오빠, 살살! 30화")</f>
        <v>보스 오빠, 살살! 30화</v>
      </c>
      <c r="D654" t="str">
        <f>T("30")</f>
        <v>30</v>
      </c>
      <c r="E654" t="str">
        <f>T("웹티")</f>
        <v>웹티</v>
      </c>
      <c r="H654" t="str">
        <f t="shared" si="86"/>
        <v>스토리위즈</v>
      </c>
      <c r="I654" t="str">
        <f>T("보스 오빠, 살살!")</f>
        <v>보스 오빠, 살살!</v>
      </c>
      <c r="J654">
        <v>500</v>
      </c>
      <c r="K654">
        <v>0</v>
      </c>
      <c r="L654">
        <v>0</v>
      </c>
      <c r="M654">
        <v>0</v>
      </c>
      <c r="N654">
        <v>200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 s="3">
        <v>200</v>
      </c>
      <c r="AH654" s="3">
        <v>1</v>
      </c>
      <c r="AI654" s="3">
        <v>0</v>
      </c>
      <c r="AJ654" s="3">
        <v>0</v>
      </c>
      <c r="AK654" s="3">
        <v>0</v>
      </c>
      <c r="AL654" s="3">
        <v>0</v>
      </c>
      <c r="AM654" s="3">
        <v>240</v>
      </c>
      <c r="AN654" s="3">
        <v>-72</v>
      </c>
      <c r="AO654" s="3">
        <v>0</v>
      </c>
      <c r="AP654" s="3">
        <v>117.6</v>
      </c>
      <c r="AT654" t="str">
        <f>T("9791190702331")</f>
        <v>9791190702331</v>
      </c>
      <c r="AV654" t="str">
        <f>T("웹툰 &gt; 로맨스")</f>
        <v>웹툰 &gt; 로맨스</v>
      </c>
    </row>
    <row r="655" spans="1:49" x14ac:dyDescent="0.4">
      <c r="A655">
        <v>4421000001</v>
      </c>
      <c r="B655">
        <v>4421000026</v>
      </c>
      <c r="C655" t="str">
        <f>T("감옥실험 16화")</f>
        <v>감옥실험 16화</v>
      </c>
      <c r="D655" t="str">
        <f>T("16")</f>
        <v>16</v>
      </c>
      <c r="E655" t="str">
        <f>T("Kantetsu")</f>
        <v>Kantetsu</v>
      </c>
      <c r="G655" t="str">
        <f>T("Minase Chiho")</f>
        <v>Minase Chiho</v>
      </c>
      <c r="H655" t="str">
        <f t="shared" si="86"/>
        <v>스토리위즈</v>
      </c>
      <c r="I655" t="str">
        <f>T("감옥실험")</f>
        <v>감옥실험</v>
      </c>
      <c r="J655">
        <v>500</v>
      </c>
      <c r="K655">
        <v>0</v>
      </c>
      <c r="L655">
        <v>0</v>
      </c>
      <c r="M655">
        <v>0</v>
      </c>
      <c r="N655">
        <v>1200</v>
      </c>
      <c r="O655">
        <v>4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 s="3">
        <v>1200</v>
      </c>
      <c r="AH655" s="3">
        <v>4</v>
      </c>
      <c r="AI655" s="3">
        <v>0</v>
      </c>
      <c r="AJ655" s="3">
        <v>0</v>
      </c>
      <c r="AK655" s="3">
        <v>900</v>
      </c>
      <c r="AL655" s="3">
        <v>0</v>
      </c>
      <c r="AM655" s="3">
        <v>360</v>
      </c>
      <c r="AN655" s="3">
        <v>-108</v>
      </c>
      <c r="AO655" s="3">
        <v>0</v>
      </c>
      <c r="AP655" s="3">
        <v>806.4</v>
      </c>
      <c r="AT655" t="str">
        <f>T("9791166069406")</f>
        <v>9791166069406</v>
      </c>
      <c r="AV655" t="str">
        <f>T("웹툰 &gt; 드라마")</f>
        <v>웹툰 &gt; 드라마</v>
      </c>
    </row>
    <row r="656" spans="1:49" x14ac:dyDescent="0.4">
      <c r="A656">
        <v>4421000518</v>
      </c>
      <c r="B656">
        <v>4421000545</v>
      </c>
      <c r="C656" t="str">
        <f>T("백스테이지 키스신 27화")</f>
        <v>백스테이지 키스신 27화</v>
      </c>
      <c r="D656" t="str">
        <f>T("27")</f>
        <v>27</v>
      </c>
      <c r="E656" t="str">
        <f>T("최도비")</f>
        <v>최도비</v>
      </c>
      <c r="G656" t="str">
        <f>T("수정과")</f>
        <v>수정과</v>
      </c>
      <c r="H656" t="str">
        <f t="shared" si="86"/>
        <v>스토리위즈</v>
      </c>
      <c r="I656" t="str">
        <f>T("백스테이지 키스신")</f>
        <v>백스테이지 키스신</v>
      </c>
      <c r="J656">
        <v>400</v>
      </c>
      <c r="K656">
        <v>0</v>
      </c>
      <c r="L656">
        <v>0</v>
      </c>
      <c r="M656">
        <v>0</v>
      </c>
      <c r="N656">
        <v>200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 s="3">
        <v>200</v>
      </c>
      <c r="AH656" s="3">
        <v>1</v>
      </c>
      <c r="AI656" s="3">
        <v>0</v>
      </c>
      <c r="AJ656" s="3">
        <v>0</v>
      </c>
      <c r="AK656" s="3">
        <v>200</v>
      </c>
      <c r="AL656" s="3">
        <v>0</v>
      </c>
      <c r="AM656" s="3">
        <v>0</v>
      </c>
      <c r="AN656" s="3">
        <v>0</v>
      </c>
      <c r="AO656" s="3">
        <v>0</v>
      </c>
      <c r="AP656" s="3">
        <v>140</v>
      </c>
      <c r="AR656" t="str">
        <f>T("0000000000000")</f>
        <v>0000000000000</v>
      </c>
      <c r="AT656" t="str">
        <f>T("9791166067990")</f>
        <v>9791166067990</v>
      </c>
      <c r="AV656" t="str">
        <f>T("웹툰 &gt; 로맨스")</f>
        <v>웹툰 &gt; 로맨스</v>
      </c>
    </row>
    <row r="657" spans="1:49" x14ac:dyDescent="0.4">
      <c r="A657">
        <v>4421001325</v>
      </c>
      <c r="B657">
        <v>4421001325</v>
      </c>
      <c r="C657" t="str">
        <f>T("커피여우 김삼월 1화")</f>
        <v>커피여우 김삼월 1화</v>
      </c>
      <c r="D657" t="str">
        <f>T("1")</f>
        <v>1</v>
      </c>
      <c r="E657" t="str">
        <f>T("Nica")</f>
        <v>Nica</v>
      </c>
      <c r="G657" t="str">
        <f>T("A.Noa, RK Studio")</f>
        <v>A.Noa, RK Studio</v>
      </c>
      <c r="H657" t="str">
        <f t="shared" si="86"/>
        <v>스토리위즈</v>
      </c>
      <c r="I657" t="str">
        <f>T("커피여우 김삼월")</f>
        <v>커피여우 김삼월</v>
      </c>
      <c r="J657">
        <v>500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 s="3">
        <v>0</v>
      </c>
      <c r="AH657" s="3">
        <v>6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R657" t="str">
        <f>T("0000000000000")</f>
        <v>0000000000000</v>
      </c>
      <c r="AT657" t="str">
        <f>T("9791191241792")</f>
        <v>9791191241792</v>
      </c>
      <c r="AV657" t="str">
        <f>T("웹툰 &gt; 로맨스")</f>
        <v>웹툰 &gt; 로맨스</v>
      </c>
    </row>
    <row r="658" spans="1:49" x14ac:dyDescent="0.4">
      <c r="A658">
        <v>4421000450</v>
      </c>
      <c r="B658">
        <v>4421000505</v>
      </c>
      <c r="C658" t="str">
        <f>T("내 남편의 스토커 55화")</f>
        <v>내 남편의 스토커 55화</v>
      </c>
      <c r="D658" t="str">
        <f>T("55")</f>
        <v>55</v>
      </c>
      <c r="E658" t="str">
        <f>T("혜원")</f>
        <v>혜원</v>
      </c>
      <c r="G658" t="str">
        <f>T("혜원")</f>
        <v>혜원</v>
      </c>
      <c r="H658" t="str">
        <f t="shared" si="86"/>
        <v>스토리위즈</v>
      </c>
      <c r="I658" t="str">
        <f>T("내 남편의 스토커")</f>
        <v>내 남편의 스토커</v>
      </c>
      <c r="J658">
        <v>400</v>
      </c>
      <c r="K658">
        <v>0</v>
      </c>
      <c r="L658">
        <v>0</v>
      </c>
      <c r="M658">
        <v>0</v>
      </c>
      <c r="N658">
        <v>200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 s="3">
        <v>200</v>
      </c>
      <c r="AH658" s="3">
        <v>1</v>
      </c>
      <c r="AI658" s="3">
        <v>0</v>
      </c>
      <c r="AJ658" s="3">
        <v>0</v>
      </c>
      <c r="AK658" s="3">
        <v>200</v>
      </c>
      <c r="AL658" s="3">
        <v>0</v>
      </c>
      <c r="AM658" s="3">
        <v>0</v>
      </c>
      <c r="AN658" s="3">
        <v>0</v>
      </c>
      <c r="AO658" s="3">
        <v>0</v>
      </c>
      <c r="AP658" s="3">
        <v>140</v>
      </c>
      <c r="AR658" t="str">
        <f>T("0000000000000")</f>
        <v>0000000000000</v>
      </c>
      <c r="AT658" t="str">
        <f>T("9791166068034")</f>
        <v>9791166068034</v>
      </c>
      <c r="AV658" t="str">
        <f>T("웹툰 &gt; 로맨스")</f>
        <v>웹툰 &gt; 로맨스</v>
      </c>
    </row>
    <row r="659" spans="1:49" x14ac:dyDescent="0.4">
      <c r="A659">
        <v>4421000337</v>
      </c>
      <c r="B659">
        <v>4421000345</v>
      </c>
      <c r="C659" t="str">
        <f>T("계약연애, 오늘부터 1일 9화")</f>
        <v>계약연애, 오늘부터 1일 9화</v>
      </c>
      <c r="D659" t="str">
        <f>T("9")</f>
        <v>9</v>
      </c>
      <c r="E659" t="str">
        <f>T("원기공장")</f>
        <v>원기공장</v>
      </c>
      <c r="H659" t="str">
        <f t="shared" si="86"/>
        <v>스토리위즈</v>
      </c>
      <c r="I659" t="str">
        <f>T("계약연애, 오늘부터 1일")</f>
        <v>계약연애, 오늘부터 1일</v>
      </c>
      <c r="J659">
        <v>200</v>
      </c>
      <c r="K659">
        <v>0</v>
      </c>
      <c r="L659">
        <v>0</v>
      </c>
      <c r="M659">
        <v>0</v>
      </c>
      <c r="N659">
        <v>100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 s="3">
        <v>100</v>
      </c>
      <c r="AH659" s="3">
        <v>1</v>
      </c>
      <c r="AI659" s="3">
        <v>0</v>
      </c>
      <c r="AJ659" s="3">
        <v>0</v>
      </c>
      <c r="AK659" s="3">
        <v>100</v>
      </c>
      <c r="AL659" s="3">
        <v>0</v>
      </c>
      <c r="AM659" s="3">
        <v>0</v>
      </c>
      <c r="AN659" s="3">
        <v>0</v>
      </c>
      <c r="AO659" s="3">
        <v>0</v>
      </c>
      <c r="AP659" s="3">
        <v>70</v>
      </c>
      <c r="AR659" t="str">
        <f>T("0000000000000")</f>
        <v>0000000000000</v>
      </c>
      <c r="AT659" t="str">
        <f>T("9791166068027")</f>
        <v>9791166068027</v>
      </c>
      <c r="AV659" t="str">
        <f>T("웹툰 &gt; 해외 순정")</f>
        <v>웹툰 &gt; 해외 순정</v>
      </c>
      <c r="AW659" t="str">
        <f>T("웹툰 &gt; 로맨스")</f>
        <v>웹툰 &gt; 로맨스</v>
      </c>
    </row>
    <row r="660" spans="1:49" x14ac:dyDescent="0.4">
      <c r="A660">
        <v>4421000069</v>
      </c>
      <c r="B660">
        <v>4421001224</v>
      </c>
      <c r="C660" t="str">
        <f>T("너랑 나랑 하면 150화")</f>
        <v>너랑 나랑 하면 150화</v>
      </c>
      <c r="D660" t="str">
        <f>T("150")</f>
        <v>150</v>
      </c>
      <c r="E660" t="str">
        <f>T("NISANSUI")</f>
        <v>NISANSUI</v>
      </c>
      <c r="G660" t="str">
        <f>T("ZIQUAN")</f>
        <v>ZIQUAN</v>
      </c>
      <c r="H660" t="str">
        <f t="shared" si="86"/>
        <v>스토리위즈</v>
      </c>
      <c r="I660" t="str">
        <f>T("너랑 나랑 하면")</f>
        <v>너랑 나랑 하면</v>
      </c>
      <c r="J660">
        <v>400</v>
      </c>
      <c r="K660">
        <v>0</v>
      </c>
      <c r="L660">
        <v>0</v>
      </c>
      <c r="M660">
        <v>0</v>
      </c>
      <c r="N660">
        <v>200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 s="3">
        <v>200</v>
      </c>
      <c r="AH660" s="3">
        <v>1</v>
      </c>
      <c r="AI660" s="3">
        <v>0</v>
      </c>
      <c r="AJ660" s="3">
        <v>0</v>
      </c>
      <c r="AK660" s="3">
        <v>200</v>
      </c>
      <c r="AL660" s="3">
        <v>0</v>
      </c>
      <c r="AM660" s="3">
        <v>0</v>
      </c>
      <c r="AN660" s="3">
        <v>0</v>
      </c>
      <c r="AO660" s="3">
        <v>0</v>
      </c>
      <c r="AP660" s="3">
        <v>140</v>
      </c>
      <c r="AR660" t="str">
        <f>T("0000000000000")</f>
        <v>0000000000000</v>
      </c>
      <c r="AT660" t="str">
        <f>T("9791166067884")</f>
        <v>9791166067884</v>
      </c>
      <c r="AV660" t="str">
        <f>T("BL 웹툰 &gt; 웹툰")</f>
        <v>BL 웹툰 &gt; 웹툰</v>
      </c>
    </row>
    <row r="661" spans="1:49" x14ac:dyDescent="0.4">
      <c r="A661">
        <v>4421000001</v>
      </c>
      <c r="B661">
        <v>4421000066</v>
      </c>
      <c r="C661" t="str">
        <f>T("감옥실험 46화")</f>
        <v>감옥실험 46화</v>
      </c>
      <c r="D661" t="str">
        <f>T("46")</f>
        <v>46</v>
      </c>
      <c r="E661" t="str">
        <f>T("Kantetsu")</f>
        <v>Kantetsu</v>
      </c>
      <c r="G661" t="str">
        <f>T("Minase Chiho")</f>
        <v>Minase Chiho</v>
      </c>
      <c r="H661" t="str">
        <f t="shared" si="86"/>
        <v>스토리위즈</v>
      </c>
      <c r="I661" t="str">
        <f>T("감옥실험")</f>
        <v>감옥실험</v>
      </c>
      <c r="J661">
        <v>500</v>
      </c>
      <c r="K661">
        <v>0</v>
      </c>
      <c r="L661">
        <v>0</v>
      </c>
      <c r="M661">
        <v>0</v>
      </c>
      <c r="N661">
        <v>600</v>
      </c>
      <c r="O661">
        <v>2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 s="3">
        <v>600</v>
      </c>
      <c r="AH661" s="3">
        <v>2</v>
      </c>
      <c r="AI661" s="3">
        <v>0</v>
      </c>
      <c r="AJ661" s="3">
        <v>0</v>
      </c>
      <c r="AK661" s="3">
        <v>300</v>
      </c>
      <c r="AL661" s="3">
        <v>0</v>
      </c>
      <c r="AM661" s="3">
        <v>360</v>
      </c>
      <c r="AN661" s="3">
        <v>-108</v>
      </c>
      <c r="AO661" s="3">
        <v>0</v>
      </c>
      <c r="AP661" s="3">
        <v>386.4</v>
      </c>
      <c r="AT661" t="str">
        <f>T("9791166069406")</f>
        <v>9791166069406</v>
      </c>
      <c r="AV661" t="str">
        <f>T("웹툰 &gt; 드라마")</f>
        <v>웹툰 &gt; 드라마</v>
      </c>
    </row>
    <row r="662" spans="1:49" x14ac:dyDescent="0.4">
      <c r="A662">
        <v>4421000887</v>
      </c>
      <c r="B662">
        <v>4421000904</v>
      </c>
      <c r="C662" t="str">
        <f>T("폭군의 눈물 18화")</f>
        <v>폭군의 눈물 18화</v>
      </c>
      <c r="D662" t="str">
        <f>T("18")</f>
        <v>18</v>
      </c>
      <c r="E662" t="str">
        <f>T("Ice×FANFAN COMIC")</f>
        <v>Ice×FANFAN COMIC</v>
      </c>
      <c r="G662" t="str">
        <f>T("Ice×FANFAN COMIC")</f>
        <v>Ice×FANFAN COMIC</v>
      </c>
      <c r="H662" t="str">
        <f t="shared" si="86"/>
        <v>스토리위즈</v>
      </c>
      <c r="I662" t="str">
        <f>T("폭군의 눈물")</f>
        <v>폭군의 눈물</v>
      </c>
      <c r="J662">
        <v>400</v>
      </c>
      <c r="K662">
        <v>0</v>
      </c>
      <c r="L662">
        <v>0</v>
      </c>
      <c r="M662">
        <v>0</v>
      </c>
      <c r="N662">
        <v>600</v>
      </c>
      <c r="O662">
        <v>3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 s="3">
        <v>600</v>
      </c>
      <c r="AH662" s="3">
        <v>3</v>
      </c>
      <c r="AI662" s="3">
        <v>0</v>
      </c>
      <c r="AJ662" s="3">
        <v>0</v>
      </c>
      <c r="AK662" s="3">
        <v>400</v>
      </c>
      <c r="AL662" s="3">
        <v>0</v>
      </c>
      <c r="AM662" s="3">
        <v>240</v>
      </c>
      <c r="AN662" s="3">
        <v>-72</v>
      </c>
      <c r="AO662" s="3">
        <v>0</v>
      </c>
      <c r="AP662" s="3">
        <v>397.6</v>
      </c>
      <c r="AR662" t="str">
        <f t="shared" ref="AR662:AR669" si="87">T("0000000000000")</f>
        <v>0000000000000</v>
      </c>
      <c r="AT662" t="str">
        <f>T("9791137601291")</f>
        <v>9791137601291</v>
      </c>
      <c r="AV662" t="str">
        <f>T("웹툰 &gt; 해외 순정")</f>
        <v>웹툰 &gt; 해외 순정</v>
      </c>
      <c r="AW662" t="str">
        <f>T("웹툰 &gt; 로판")</f>
        <v>웹툰 &gt; 로판</v>
      </c>
    </row>
    <row r="663" spans="1:49" x14ac:dyDescent="0.4">
      <c r="A663">
        <v>4421000069</v>
      </c>
      <c r="B663">
        <v>4421000115</v>
      </c>
      <c r="C663" t="str">
        <f>T("너랑 나랑 하면 45화")</f>
        <v>너랑 나랑 하면 45화</v>
      </c>
      <c r="D663" t="str">
        <f>T("45")</f>
        <v>45</v>
      </c>
      <c r="E663" t="str">
        <f>T("NISANSUI")</f>
        <v>NISANSUI</v>
      </c>
      <c r="G663" t="str">
        <f>T("ZIQUAN")</f>
        <v>ZIQUAN</v>
      </c>
      <c r="H663" t="str">
        <f t="shared" si="86"/>
        <v>스토리위즈</v>
      </c>
      <c r="I663" t="str">
        <f>T("너랑 나랑 하면")</f>
        <v>너랑 나랑 하면</v>
      </c>
      <c r="J663">
        <v>400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 s="3">
        <v>0</v>
      </c>
      <c r="AH663" s="3">
        <v>3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R663" t="str">
        <f t="shared" si="87"/>
        <v>0000000000000</v>
      </c>
      <c r="AT663" t="str">
        <f>T("9791166067884")</f>
        <v>9791166067884</v>
      </c>
      <c r="AV663" t="str">
        <f>T("BL 웹툰 &gt; 웹툰")</f>
        <v>BL 웹툰 &gt; 웹툰</v>
      </c>
    </row>
    <row r="664" spans="1:49" x14ac:dyDescent="0.4">
      <c r="A664">
        <v>4421001568</v>
      </c>
      <c r="B664">
        <v>4421001568</v>
      </c>
      <c r="C664" t="str">
        <f>T("구름의 연인 1화")</f>
        <v>구름의 연인 1화</v>
      </c>
      <c r="D664" t="str">
        <f>T("1")</f>
        <v>1</v>
      </c>
      <c r="E664" t="str">
        <f>T("웹티")</f>
        <v>웹티</v>
      </c>
      <c r="H664" t="str">
        <f t="shared" si="86"/>
        <v>스토리위즈</v>
      </c>
      <c r="I664" t="str">
        <f>T("구름의 연인")</f>
        <v>구름의 연인</v>
      </c>
      <c r="J664">
        <v>0</v>
      </c>
      <c r="K664">
        <v>0</v>
      </c>
      <c r="L664">
        <v>0</v>
      </c>
      <c r="M664">
        <v>3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 s="3">
        <v>0</v>
      </c>
      <c r="AH664" s="3">
        <v>4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R664" t="str">
        <f t="shared" si="87"/>
        <v>0000000000000</v>
      </c>
      <c r="AT664" t="str">
        <f>T("9791196402730")</f>
        <v>9791196402730</v>
      </c>
      <c r="AV664" t="str">
        <f>T("웹툰 &gt; 로맨스")</f>
        <v>웹툰 &gt; 로맨스</v>
      </c>
    </row>
    <row r="665" spans="1:49" x14ac:dyDescent="0.4">
      <c r="A665">
        <v>4421000198</v>
      </c>
      <c r="B665">
        <v>4421001286</v>
      </c>
      <c r="C665" t="str">
        <f>T("공주전쟁 86화")</f>
        <v>공주전쟁 86화</v>
      </c>
      <c r="D665" t="str">
        <f>T("86")</f>
        <v>86</v>
      </c>
      <c r="E665" t="str">
        <f>T("Hujing")</f>
        <v>Hujing</v>
      </c>
      <c r="G665" t="str">
        <f>T("Luojie")</f>
        <v>Luojie</v>
      </c>
      <c r="H665" t="str">
        <f t="shared" si="86"/>
        <v>스토리위즈</v>
      </c>
      <c r="I665" t="str">
        <f>T("공주전쟁")</f>
        <v>공주전쟁</v>
      </c>
      <c r="J665">
        <v>400</v>
      </c>
      <c r="K665">
        <v>0</v>
      </c>
      <c r="L665">
        <v>0</v>
      </c>
      <c r="M665">
        <v>0</v>
      </c>
      <c r="N665">
        <v>200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 s="3">
        <v>200</v>
      </c>
      <c r="AH665" s="3">
        <v>1</v>
      </c>
      <c r="AI665" s="3">
        <v>0</v>
      </c>
      <c r="AJ665" s="3">
        <v>0</v>
      </c>
      <c r="AK665" s="3">
        <v>0</v>
      </c>
      <c r="AL665" s="3">
        <v>0</v>
      </c>
      <c r="AM665" s="3">
        <v>240</v>
      </c>
      <c r="AN665" s="3">
        <v>-72</v>
      </c>
      <c r="AO665" s="3">
        <v>0</v>
      </c>
      <c r="AP665" s="3">
        <v>117.6</v>
      </c>
      <c r="AR665" t="str">
        <f t="shared" si="87"/>
        <v>0000000000000</v>
      </c>
      <c r="AT665" t="str">
        <f>T("9791166069666")</f>
        <v>9791166069666</v>
      </c>
      <c r="AV665" t="str">
        <f>T("웹툰 &gt; 해외 순정")</f>
        <v>웹툰 &gt; 해외 순정</v>
      </c>
      <c r="AW665" t="str">
        <f>T("웹툰 &gt; 로판")</f>
        <v>웹툰 &gt; 로판</v>
      </c>
    </row>
    <row r="666" spans="1:49" x14ac:dyDescent="0.4">
      <c r="A666">
        <v>4421000198</v>
      </c>
      <c r="B666">
        <v>4421001182</v>
      </c>
      <c r="C666" t="str">
        <f>T("공주전쟁 67화")</f>
        <v>공주전쟁 67화</v>
      </c>
      <c r="D666" t="str">
        <f>T("67")</f>
        <v>67</v>
      </c>
      <c r="E666" t="str">
        <f>T("Hujing")</f>
        <v>Hujing</v>
      </c>
      <c r="G666" t="str">
        <f>T("Luojie")</f>
        <v>Luojie</v>
      </c>
      <c r="H666" t="str">
        <f t="shared" si="86"/>
        <v>스토리위즈</v>
      </c>
      <c r="I666" t="str">
        <f>T("공주전쟁")</f>
        <v>공주전쟁</v>
      </c>
      <c r="J666">
        <v>400</v>
      </c>
      <c r="K666">
        <v>0</v>
      </c>
      <c r="L666">
        <v>0</v>
      </c>
      <c r="M666">
        <v>0</v>
      </c>
      <c r="N666">
        <v>400</v>
      </c>
      <c r="O666">
        <v>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 s="3">
        <v>400</v>
      </c>
      <c r="AH666" s="3">
        <v>2</v>
      </c>
      <c r="AI666" s="3">
        <v>0</v>
      </c>
      <c r="AJ666" s="3">
        <v>0</v>
      </c>
      <c r="AK666" s="3">
        <v>200</v>
      </c>
      <c r="AL666" s="3">
        <v>0</v>
      </c>
      <c r="AM666" s="3">
        <v>240</v>
      </c>
      <c r="AN666" s="3">
        <v>-72</v>
      </c>
      <c r="AO666" s="3">
        <v>0</v>
      </c>
      <c r="AP666" s="3">
        <v>257.60000000000002</v>
      </c>
      <c r="AR666" t="str">
        <f t="shared" si="87"/>
        <v>0000000000000</v>
      </c>
      <c r="AT666" t="str">
        <f>T("9791166069666")</f>
        <v>9791166069666</v>
      </c>
      <c r="AV666" t="str">
        <f>T("웹툰 &gt; 해외 순정")</f>
        <v>웹툰 &gt; 해외 순정</v>
      </c>
      <c r="AW666" t="str">
        <f>T("웹툰 &gt; 로판")</f>
        <v>웹툰 &gt; 로판</v>
      </c>
    </row>
    <row r="667" spans="1:49" x14ac:dyDescent="0.4">
      <c r="A667">
        <v>4421000450</v>
      </c>
      <c r="B667">
        <v>4421000458</v>
      </c>
      <c r="C667" t="str">
        <f>T("내 남편의 스토커 8화")</f>
        <v>내 남편의 스토커 8화</v>
      </c>
      <c r="D667" t="str">
        <f>T("8")</f>
        <v>8</v>
      </c>
      <c r="E667" t="str">
        <f>T("혜원")</f>
        <v>혜원</v>
      </c>
      <c r="G667" t="str">
        <f>T("혜원")</f>
        <v>혜원</v>
      </c>
      <c r="H667" t="str">
        <f t="shared" si="86"/>
        <v>스토리위즈</v>
      </c>
      <c r="I667" t="str">
        <f>T("내 남편의 스토커")</f>
        <v>내 남편의 스토커</v>
      </c>
      <c r="J667">
        <v>400</v>
      </c>
      <c r="K667">
        <v>0</v>
      </c>
      <c r="L667">
        <v>0</v>
      </c>
      <c r="M667">
        <v>0</v>
      </c>
      <c r="N667">
        <v>200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 s="3">
        <v>200</v>
      </c>
      <c r="AH667" s="3">
        <v>1</v>
      </c>
      <c r="AI667" s="3">
        <v>0</v>
      </c>
      <c r="AJ667" s="3">
        <v>0</v>
      </c>
      <c r="AK667" s="3">
        <v>200</v>
      </c>
      <c r="AL667" s="3">
        <v>0</v>
      </c>
      <c r="AM667" s="3">
        <v>0</v>
      </c>
      <c r="AN667" s="3">
        <v>0</v>
      </c>
      <c r="AO667" s="3">
        <v>0</v>
      </c>
      <c r="AP667" s="3">
        <v>140</v>
      </c>
      <c r="AR667" t="str">
        <f t="shared" si="87"/>
        <v>0000000000000</v>
      </c>
      <c r="AT667" t="str">
        <f>T("9791166068034")</f>
        <v>9791166068034</v>
      </c>
      <c r="AV667" t="str">
        <f>T("웹툰 &gt; 로맨스")</f>
        <v>웹툰 &gt; 로맨스</v>
      </c>
    </row>
    <row r="668" spans="1:49" x14ac:dyDescent="0.4">
      <c r="A668">
        <v>4421000198</v>
      </c>
      <c r="B668">
        <v>4421000233</v>
      </c>
      <c r="C668" t="str">
        <f>T("공주전쟁 36화")</f>
        <v>공주전쟁 36화</v>
      </c>
      <c r="D668" t="str">
        <f>T("36")</f>
        <v>36</v>
      </c>
      <c r="E668" t="str">
        <f>T("Hujing")</f>
        <v>Hujing</v>
      </c>
      <c r="G668" t="str">
        <f>T("Luojie")</f>
        <v>Luojie</v>
      </c>
      <c r="H668" t="str">
        <f t="shared" si="86"/>
        <v>스토리위즈</v>
      </c>
      <c r="I668" t="str">
        <f>T("공주전쟁")</f>
        <v>공주전쟁</v>
      </c>
      <c r="J668">
        <v>400</v>
      </c>
      <c r="K668">
        <v>0</v>
      </c>
      <c r="L668">
        <v>0</v>
      </c>
      <c r="M668">
        <v>0</v>
      </c>
      <c r="N668">
        <v>600</v>
      </c>
      <c r="O668">
        <v>3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 s="3">
        <v>600</v>
      </c>
      <c r="AH668" s="3">
        <v>3</v>
      </c>
      <c r="AI668" s="3">
        <v>0</v>
      </c>
      <c r="AJ668" s="3">
        <v>0</v>
      </c>
      <c r="AK668" s="3">
        <v>400</v>
      </c>
      <c r="AL668" s="3">
        <v>0</v>
      </c>
      <c r="AM668" s="3">
        <v>240</v>
      </c>
      <c r="AN668" s="3">
        <v>-72</v>
      </c>
      <c r="AO668" s="3">
        <v>0</v>
      </c>
      <c r="AP668" s="3">
        <v>397.6</v>
      </c>
      <c r="AR668" t="str">
        <f t="shared" si="87"/>
        <v>0000000000000</v>
      </c>
      <c r="AT668" t="str">
        <f>T("9791166069666")</f>
        <v>9791166069666</v>
      </c>
      <c r="AV668" t="str">
        <f>T("웹툰 &gt; 해외 순정")</f>
        <v>웹툰 &gt; 해외 순정</v>
      </c>
      <c r="AW668" t="str">
        <f>T("웹툰 &gt; 로판")</f>
        <v>웹툰 &gt; 로판</v>
      </c>
    </row>
    <row r="669" spans="1:49" x14ac:dyDescent="0.4">
      <c r="A669">
        <v>4421000916</v>
      </c>
      <c r="B669">
        <v>4421000976</v>
      </c>
      <c r="C669" t="str">
        <f>T("별빛 아래 우리 27화")</f>
        <v>별빛 아래 우리 27화</v>
      </c>
      <c r="D669" t="str">
        <f>T("27")</f>
        <v>27</v>
      </c>
      <c r="E669" t="str">
        <f>T("건일")</f>
        <v>건일</v>
      </c>
      <c r="G669" t="str">
        <f>T("건일")</f>
        <v>건일</v>
      </c>
      <c r="H669" t="str">
        <f t="shared" si="86"/>
        <v>스토리위즈</v>
      </c>
      <c r="I669" t="str">
        <f>T("별빛 아래 우리")</f>
        <v>별빛 아래 우리</v>
      </c>
      <c r="J669">
        <v>400</v>
      </c>
      <c r="K669">
        <v>0</v>
      </c>
      <c r="L669">
        <v>0</v>
      </c>
      <c r="M669">
        <v>0</v>
      </c>
      <c r="N669">
        <v>1600</v>
      </c>
      <c r="O669">
        <v>8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 s="3">
        <v>1600</v>
      </c>
      <c r="AH669" s="3">
        <v>8</v>
      </c>
      <c r="AI669" s="3">
        <v>0</v>
      </c>
      <c r="AJ669" s="3">
        <v>0</v>
      </c>
      <c r="AK669" s="3">
        <v>400</v>
      </c>
      <c r="AL669" s="3">
        <v>0</v>
      </c>
      <c r="AM669" s="3">
        <v>1438.3</v>
      </c>
      <c r="AN669" s="3">
        <v>-431.49</v>
      </c>
      <c r="AO669" s="3">
        <v>0</v>
      </c>
      <c r="AP669" s="3">
        <v>984.77</v>
      </c>
      <c r="AR669" t="str">
        <f t="shared" si="87"/>
        <v>0000000000000</v>
      </c>
      <c r="AT669" t="str">
        <f>T("9791137601413")</f>
        <v>9791137601413</v>
      </c>
      <c r="AV669" t="str">
        <f>T("웹툰 &gt; 해외 순정")</f>
        <v>웹툰 &gt; 해외 순정</v>
      </c>
      <c r="AW669" t="str">
        <f>T("웹툰 &gt; 로맨스")</f>
        <v>웹툰 &gt; 로맨스</v>
      </c>
    </row>
    <row r="670" spans="1:49" x14ac:dyDescent="0.4">
      <c r="A670">
        <v>4421001886</v>
      </c>
      <c r="B670">
        <v>4421001886</v>
      </c>
      <c r="C670" t="str">
        <f>T("바람의 전설 1화")</f>
        <v>바람의 전설 1화</v>
      </c>
      <c r="D670" t="str">
        <f>T("1")</f>
        <v>1</v>
      </c>
      <c r="E670" t="str">
        <f>T("웹티")</f>
        <v>웹티</v>
      </c>
      <c r="H670" t="str">
        <f t="shared" si="86"/>
        <v>스토리위즈</v>
      </c>
      <c r="I670" t="str">
        <f>T("바람의 전설")</f>
        <v>바람의 전설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 s="3">
        <v>0</v>
      </c>
      <c r="AH670" s="3">
        <v>1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T670" t="str">
        <f>T("9791190622042")</f>
        <v>9791190622042</v>
      </c>
      <c r="AV670" t="str">
        <f>T("웹툰 &gt; 액션/무협")</f>
        <v>웹툰 &gt; 액션/무협</v>
      </c>
    </row>
    <row r="671" spans="1:49" x14ac:dyDescent="0.4">
      <c r="A671">
        <v>4421001936</v>
      </c>
      <c r="B671">
        <v>4421001949</v>
      </c>
      <c r="C671" t="str">
        <f>T("보스 오빠, 살살! 14화")</f>
        <v>보스 오빠, 살살! 14화</v>
      </c>
      <c r="D671" t="str">
        <f>T("14")</f>
        <v>14</v>
      </c>
      <c r="E671" t="str">
        <f>T("웹티")</f>
        <v>웹티</v>
      </c>
      <c r="H671" t="str">
        <f t="shared" si="86"/>
        <v>스토리위즈</v>
      </c>
      <c r="I671" t="str">
        <f>T("보스 오빠, 살살!")</f>
        <v>보스 오빠, 살살!</v>
      </c>
      <c r="J671">
        <v>500</v>
      </c>
      <c r="K671">
        <v>0</v>
      </c>
      <c r="L671">
        <v>0</v>
      </c>
      <c r="M671">
        <v>0</v>
      </c>
      <c r="N671">
        <v>200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 s="3">
        <v>200</v>
      </c>
      <c r="AH671" s="3">
        <v>1</v>
      </c>
      <c r="AI671" s="3">
        <v>0</v>
      </c>
      <c r="AJ671" s="3">
        <v>0</v>
      </c>
      <c r="AK671" s="3">
        <v>0</v>
      </c>
      <c r="AL671" s="3">
        <v>0</v>
      </c>
      <c r="AM671" s="3">
        <v>240</v>
      </c>
      <c r="AN671" s="3">
        <v>-72</v>
      </c>
      <c r="AO671" s="3">
        <v>0</v>
      </c>
      <c r="AP671" s="3">
        <v>117.6</v>
      </c>
      <c r="AT671" t="str">
        <f>T("9791190702331")</f>
        <v>9791190702331</v>
      </c>
      <c r="AV671" t="str">
        <f>T("웹툰 &gt; 로맨스")</f>
        <v>웹툰 &gt; 로맨스</v>
      </c>
    </row>
    <row r="672" spans="1:49" x14ac:dyDescent="0.4">
      <c r="A672">
        <v>4421000001</v>
      </c>
      <c r="B672">
        <v>4421000019</v>
      </c>
      <c r="C672" t="str">
        <f>T("감옥실험 9화")</f>
        <v>감옥실험 9화</v>
      </c>
      <c r="D672" t="str">
        <f>T("9")</f>
        <v>9</v>
      </c>
      <c r="E672" t="str">
        <f>T("Kantetsu")</f>
        <v>Kantetsu</v>
      </c>
      <c r="G672" t="str">
        <f>T("Minase Chiho")</f>
        <v>Minase Chiho</v>
      </c>
      <c r="H672" t="str">
        <f t="shared" si="86"/>
        <v>스토리위즈</v>
      </c>
      <c r="I672" t="str">
        <f>T("감옥실험")</f>
        <v>감옥실험</v>
      </c>
      <c r="J672">
        <v>500</v>
      </c>
      <c r="K672">
        <v>0</v>
      </c>
      <c r="L672">
        <v>0</v>
      </c>
      <c r="M672">
        <v>0</v>
      </c>
      <c r="N672">
        <v>2700</v>
      </c>
      <c r="O672">
        <v>9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s="3">
        <v>2700</v>
      </c>
      <c r="AH672" s="3">
        <v>9</v>
      </c>
      <c r="AI672" s="3">
        <v>0</v>
      </c>
      <c r="AJ672" s="3">
        <v>0</v>
      </c>
      <c r="AK672" s="3">
        <v>2700</v>
      </c>
      <c r="AL672" s="3">
        <v>0</v>
      </c>
      <c r="AM672" s="3">
        <v>0</v>
      </c>
      <c r="AN672" s="3">
        <v>0</v>
      </c>
      <c r="AO672" s="3">
        <v>0</v>
      </c>
      <c r="AP672" s="3">
        <v>1890</v>
      </c>
      <c r="AT672" t="str">
        <f>T("9791166069406")</f>
        <v>9791166069406</v>
      </c>
      <c r="AV672" t="str">
        <f>T("웹툰 &gt; 드라마")</f>
        <v>웹툰 &gt; 드라마</v>
      </c>
    </row>
    <row r="673" spans="1:49" x14ac:dyDescent="0.4">
      <c r="A673">
        <v>4421000518</v>
      </c>
      <c r="B673">
        <v>4421000538</v>
      </c>
      <c r="C673" t="str">
        <f>T("백스테이지 키스신 20화")</f>
        <v>백스테이지 키스신 20화</v>
      </c>
      <c r="D673" t="str">
        <f>T("20")</f>
        <v>20</v>
      </c>
      <c r="E673" t="str">
        <f>T("최도비")</f>
        <v>최도비</v>
      </c>
      <c r="G673" t="str">
        <f>T("수정과")</f>
        <v>수정과</v>
      </c>
      <c r="H673" t="str">
        <f t="shared" si="86"/>
        <v>스토리위즈</v>
      </c>
      <c r="I673" t="str">
        <f>T("백스테이지 키스신")</f>
        <v>백스테이지 키스신</v>
      </c>
      <c r="J673">
        <v>400</v>
      </c>
      <c r="K673">
        <v>0</v>
      </c>
      <c r="L673">
        <v>0</v>
      </c>
      <c r="M673">
        <v>0</v>
      </c>
      <c r="N673">
        <v>200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 s="3">
        <v>200</v>
      </c>
      <c r="AH673" s="3">
        <v>1</v>
      </c>
      <c r="AI673" s="3">
        <v>0</v>
      </c>
      <c r="AJ673" s="3">
        <v>0</v>
      </c>
      <c r="AK673" s="3">
        <v>200</v>
      </c>
      <c r="AL673" s="3">
        <v>0</v>
      </c>
      <c r="AM673" s="3">
        <v>0</v>
      </c>
      <c r="AN673" s="3">
        <v>0</v>
      </c>
      <c r="AO673" s="3">
        <v>0</v>
      </c>
      <c r="AP673" s="3">
        <v>140</v>
      </c>
      <c r="AR673" t="str">
        <f t="shared" ref="AR673:AR678" si="88">T("0000000000000")</f>
        <v>0000000000000</v>
      </c>
      <c r="AT673" t="str">
        <f>T("9791166067990")</f>
        <v>9791166067990</v>
      </c>
      <c r="AV673" t="str">
        <f>T("웹툰 &gt; 로맨스")</f>
        <v>웹툰 &gt; 로맨스</v>
      </c>
    </row>
    <row r="674" spans="1:49" x14ac:dyDescent="0.4">
      <c r="A674">
        <v>4421000887</v>
      </c>
      <c r="B674">
        <v>4421001215</v>
      </c>
      <c r="C674" t="str">
        <f>T("폭군의 눈물 42화")</f>
        <v>폭군의 눈물 42화</v>
      </c>
      <c r="D674" t="str">
        <f>T("42")</f>
        <v>42</v>
      </c>
      <c r="E674" t="str">
        <f>T("Ice×FANFAN COMIC")</f>
        <v>Ice×FANFAN COMIC</v>
      </c>
      <c r="G674" t="str">
        <f>T("Ice×FANFAN COMIC")</f>
        <v>Ice×FANFAN COMIC</v>
      </c>
      <c r="H674" t="str">
        <f t="shared" si="86"/>
        <v>스토리위즈</v>
      </c>
      <c r="I674" t="str">
        <f>T("폭군의 눈물")</f>
        <v>폭군의 눈물</v>
      </c>
      <c r="J674">
        <v>400</v>
      </c>
      <c r="K674">
        <v>0</v>
      </c>
      <c r="L674">
        <v>0</v>
      </c>
      <c r="M674">
        <v>0</v>
      </c>
      <c r="N674">
        <v>600</v>
      </c>
      <c r="O674">
        <v>3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 s="3">
        <v>600</v>
      </c>
      <c r="AH674" s="3">
        <v>3</v>
      </c>
      <c r="AI674" s="3">
        <v>0</v>
      </c>
      <c r="AJ674" s="3">
        <v>0</v>
      </c>
      <c r="AK674" s="3">
        <v>400</v>
      </c>
      <c r="AL674" s="3">
        <v>0</v>
      </c>
      <c r="AM674" s="3">
        <v>240</v>
      </c>
      <c r="AN674" s="3">
        <v>-72</v>
      </c>
      <c r="AO674" s="3">
        <v>0</v>
      </c>
      <c r="AP674" s="3">
        <v>397.6</v>
      </c>
      <c r="AR674" t="str">
        <f t="shared" si="88"/>
        <v>0000000000000</v>
      </c>
      <c r="AT674" t="str">
        <f>T("9791137601291")</f>
        <v>9791137601291</v>
      </c>
      <c r="AV674" t="str">
        <f>T("웹툰 &gt; 해외 순정")</f>
        <v>웹툰 &gt; 해외 순정</v>
      </c>
      <c r="AW674" t="str">
        <f>T("웹툰 &gt; 로판")</f>
        <v>웹툰 &gt; 로판</v>
      </c>
    </row>
    <row r="675" spans="1:49" x14ac:dyDescent="0.4">
      <c r="A675">
        <v>4421000450</v>
      </c>
      <c r="B675">
        <v>4421000498</v>
      </c>
      <c r="C675" t="str">
        <f>T("내 남편의 스토커 48화")</f>
        <v>내 남편의 스토커 48화</v>
      </c>
      <c r="D675" t="str">
        <f>T("48")</f>
        <v>48</v>
      </c>
      <c r="E675" t="str">
        <f>T("혜원")</f>
        <v>혜원</v>
      </c>
      <c r="G675" t="str">
        <f>T("혜원")</f>
        <v>혜원</v>
      </c>
      <c r="H675" t="str">
        <f t="shared" si="86"/>
        <v>스토리위즈</v>
      </c>
      <c r="I675" t="str">
        <f>T("내 남편의 스토커")</f>
        <v>내 남편의 스토커</v>
      </c>
      <c r="J675">
        <v>400</v>
      </c>
      <c r="K675">
        <v>0</v>
      </c>
      <c r="L675">
        <v>0</v>
      </c>
      <c r="M675">
        <v>0</v>
      </c>
      <c r="N675">
        <v>200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 s="3">
        <v>200</v>
      </c>
      <c r="AH675" s="3">
        <v>1</v>
      </c>
      <c r="AI675" s="3">
        <v>0</v>
      </c>
      <c r="AJ675" s="3">
        <v>0</v>
      </c>
      <c r="AK675" s="3">
        <v>200</v>
      </c>
      <c r="AL675" s="3">
        <v>0</v>
      </c>
      <c r="AM675" s="3">
        <v>0</v>
      </c>
      <c r="AN675" s="3">
        <v>0</v>
      </c>
      <c r="AO675" s="3">
        <v>0</v>
      </c>
      <c r="AP675" s="3">
        <v>140</v>
      </c>
      <c r="AR675" t="str">
        <f t="shared" si="88"/>
        <v>0000000000000</v>
      </c>
      <c r="AT675" t="str">
        <f>T("9791166068034")</f>
        <v>9791166068034</v>
      </c>
      <c r="AV675" t="str">
        <f>T("웹툰 &gt; 로맨스")</f>
        <v>웹툰 &gt; 로맨스</v>
      </c>
    </row>
    <row r="676" spans="1:49" x14ac:dyDescent="0.4">
      <c r="A676">
        <v>4421000337</v>
      </c>
      <c r="B676">
        <v>4421000338</v>
      </c>
      <c r="C676" t="str">
        <f>T("계약연애, 오늘부터 1일 2화")</f>
        <v>계약연애, 오늘부터 1일 2화</v>
      </c>
      <c r="D676" t="str">
        <f>T("2")</f>
        <v>2</v>
      </c>
      <c r="E676" t="str">
        <f>T("원기공장")</f>
        <v>원기공장</v>
      </c>
      <c r="H676" t="str">
        <f t="shared" si="86"/>
        <v>스토리위즈</v>
      </c>
      <c r="I676" t="str">
        <f>T("계약연애, 오늘부터 1일")</f>
        <v>계약연애, 오늘부터 1일</v>
      </c>
      <c r="J676">
        <v>200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 s="3">
        <v>0</v>
      </c>
      <c r="AH676" s="3">
        <v>8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R676" t="str">
        <f t="shared" si="88"/>
        <v>0000000000000</v>
      </c>
      <c r="AT676" t="str">
        <f>T("9791166068027")</f>
        <v>9791166068027</v>
      </c>
      <c r="AV676" t="str">
        <f>T("웹툰 &gt; 해외 순정")</f>
        <v>웹툰 &gt; 해외 순정</v>
      </c>
      <c r="AW676" t="str">
        <f>T("웹툰 &gt; 로맨스")</f>
        <v>웹툰 &gt; 로맨스</v>
      </c>
    </row>
    <row r="677" spans="1:49" x14ac:dyDescent="0.4">
      <c r="A677">
        <v>4421000887</v>
      </c>
      <c r="B677">
        <v>4421000897</v>
      </c>
      <c r="C677" t="str">
        <f>T("폭군의 눈물 11화")</f>
        <v>폭군의 눈물 11화</v>
      </c>
      <c r="D677" t="str">
        <f>T("11")</f>
        <v>11</v>
      </c>
      <c r="E677" t="str">
        <f>T("Ice×FANFAN COMIC")</f>
        <v>Ice×FANFAN COMIC</v>
      </c>
      <c r="G677" t="str">
        <f>T("Ice×FANFAN COMIC")</f>
        <v>Ice×FANFAN COMIC</v>
      </c>
      <c r="H677" t="str">
        <f t="shared" si="86"/>
        <v>스토리위즈</v>
      </c>
      <c r="I677" t="str">
        <f>T("폭군의 눈물")</f>
        <v>폭군의 눈물</v>
      </c>
      <c r="J677">
        <v>400</v>
      </c>
      <c r="K677">
        <v>0</v>
      </c>
      <c r="L677">
        <v>0</v>
      </c>
      <c r="M677">
        <v>0</v>
      </c>
      <c r="N677">
        <v>600</v>
      </c>
      <c r="O677">
        <v>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 s="3">
        <v>600</v>
      </c>
      <c r="AH677" s="3">
        <v>3</v>
      </c>
      <c r="AI677" s="3">
        <v>0</v>
      </c>
      <c r="AJ677" s="3">
        <v>0</v>
      </c>
      <c r="AK677" s="3">
        <v>400</v>
      </c>
      <c r="AL677" s="3">
        <v>0</v>
      </c>
      <c r="AM677" s="3">
        <v>240</v>
      </c>
      <c r="AN677" s="3">
        <v>-72</v>
      </c>
      <c r="AO677" s="3">
        <v>0</v>
      </c>
      <c r="AP677" s="3">
        <v>397.6</v>
      </c>
      <c r="AR677" t="str">
        <f t="shared" si="88"/>
        <v>0000000000000</v>
      </c>
      <c r="AT677" t="str">
        <f>T("9791137601291")</f>
        <v>9791137601291</v>
      </c>
      <c r="AV677" t="str">
        <f>T("웹툰 &gt; 해외 순정")</f>
        <v>웹툰 &gt; 해외 순정</v>
      </c>
      <c r="AW677" t="str">
        <f>T("웹툰 &gt; 로판")</f>
        <v>웹툰 &gt; 로판</v>
      </c>
    </row>
    <row r="678" spans="1:49" x14ac:dyDescent="0.4">
      <c r="A678">
        <v>4421002305</v>
      </c>
      <c r="B678">
        <v>4421002305</v>
      </c>
      <c r="C678" t="str">
        <f>T("천년의 사랑 1화")</f>
        <v>천년의 사랑 1화</v>
      </c>
      <c r="D678" t="str">
        <f>T("1")</f>
        <v>1</v>
      </c>
      <c r="E678" t="str">
        <f>T("웹티")</f>
        <v>웹티</v>
      </c>
      <c r="H678" t="str">
        <f t="shared" si="86"/>
        <v>스토리위즈</v>
      </c>
      <c r="I678" t="str">
        <f>T("천년의 사랑")</f>
        <v>천년의 사랑</v>
      </c>
      <c r="J678">
        <v>0</v>
      </c>
      <c r="K678">
        <v>0</v>
      </c>
      <c r="L678">
        <v>0</v>
      </c>
      <c r="M678">
        <v>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 s="3">
        <v>0</v>
      </c>
      <c r="AH678" s="3">
        <v>2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R678" t="str">
        <f t="shared" si="88"/>
        <v>0000000000000</v>
      </c>
      <c r="AT678" t="str">
        <f>T("9791190622011")</f>
        <v>9791190622011</v>
      </c>
      <c r="AV678" t="str">
        <f>T("웹툰 &gt; 로맨스")</f>
        <v>웹툰 &gt; 로맨스</v>
      </c>
    </row>
    <row r="679" spans="1:49" x14ac:dyDescent="0.4">
      <c r="A679">
        <v>4421000001</v>
      </c>
      <c r="B679">
        <v>4421000051</v>
      </c>
      <c r="C679" t="str">
        <f>T("감옥실험 31화")</f>
        <v>감옥실험 31화</v>
      </c>
      <c r="D679" t="str">
        <f>T("31")</f>
        <v>31</v>
      </c>
      <c r="E679" t="str">
        <f>T("Kantetsu")</f>
        <v>Kantetsu</v>
      </c>
      <c r="G679" t="str">
        <f>T("Minase Chiho")</f>
        <v>Minase Chiho</v>
      </c>
      <c r="H679" t="str">
        <f t="shared" si="86"/>
        <v>스토리위즈</v>
      </c>
      <c r="I679" t="str">
        <f>T("감옥실험")</f>
        <v>감옥실험</v>
      </c>
      <c r="J679">
        <v>500</v>
      </c>
      <c r="K679">
        <v>0</v>
      </c>
      <c r="L679">
        <v>0</v>
      </c>
      <c r="M679">
        <v>0</v>
      </c>
      <c r="N679">
        <v>900</v>
      </c>
      <c r="O679">
        <v>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 s="3">
        <v>900</v>
      </c>
      <c r="AH679" s="3">
        <v>3</v>
      </c>
      <c r="AI679" s="3">
        <v>0</v>
      </c>
      <c r="AJ679" s="3">
        <v>0</v>
      </c>
      <c r="AK679" s="3">
        <v>606</v>
      </c>
      <c r="AL679" s="3">
        <v>0</v>
      </c>
      <c r="AM679" s="3">
        <v>352.8</v>
      </c>
      <c r="AN679" s="3">
        <v>-105.84</v>
      </c>
      <c r="AO679" s="3">
        <v>0</v>
      </c>
      <c r="AP679" s="3">
        <v>597.07000000000005</v>
      </c>
      <c r="AT679" t="str">
        <f>T("9791166069406")</f>
        <v>9791166069406</v>
      </c>
      <c r="AV679" t="str">
        <f>T("웹툰 &gt; 드라마")</f>
        <v>웹툰 &gt; 드라마</v>
      </c>
    </row>
    <row r="680" spans="1:49" x14ac:dyDescent="0.4">
      <c r="A680">
        <v>4421000570</v>
      </c>
      <c r="B680">
        <v>4421000570</v>
      </c>
      <c r="C680" t="str">
        <f>T("폐하, 옥체 보존하세요! 1화")</f>
        <v>폐하, 옥체 보존하세요! 1화</v>
      </c>
      <c r="D680" t="str">
        <f>T("1")</f>
        <v>1</v>
      </c>
      <c r="E680" t="str">
        <f>T("Lvyeqianhe")</f>
        <v>Lvyeqianhe</v>
      </c>
      <c r="G680" t="str">
        <f>T("Youzhijiaozi")</f>
        <v>Youzhijiaozi</v>
      </c>
      <c r="H680" t="str">
        <f t="shared" si="86"/>
        <v>스토리위즈</v>
      </c>
      <c r="I680" t="str">
        <f>T("폐하, 옥체 보존하세요!")</f>
        <v>폐하, 옥체 보존하세요!</v>
      </c>
      <c r="J680">
        <v>200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 s="3">
        <v>0</v>
      </c>
      <c r="AH680" s="3">
        <v>1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R680" t="str">
        <f t="shared" ref="AR680:AR686" si="89">T("0000000000000")</f>
        <v>0000000000000</v>
      </c>
      <c r="AT680" t="str">
        <f>T("9791166068003")</f>
        <v>9791166068003</v>
      </c>
      <c r="AV680" t="str">
        <f>T("웹툰 &gt; 해외 순정")</f>
        <v>웹툰 &gt; 해외 순정</v>
      </c>
      <c r="AW680" t="str">
        <f>T("웹툰 &gt; 로맨스")</f>
        <v>웹툰 &gt; 로맨스</v>
      </c>
    </row>
    <row r="681" spans="1:49" x14ac:dyDescent="0.4">
      <c r="A681">
        <v>4421000069</v>
      </c>
      <c r="B681">
        <v>4421001249</v>
      </c>
      <c r="C681" t="str">
        <f>T("너랑 나랑 하면 156화")</f>
        <v>너랑 나랑 하면 156화</v>
      </c>
      <c r="D681" t="str">
        <f>T("156")</f>
        <v>156</v>
      </c>
      <c r="E681" t="str">
        <f>T("NISANSUI")</f>
        <v>NISANSUI</v>
      </c>
      <c r="G681" t="str">
        <f>T("ZIQUAN")</f>
        <v>ZIQUAN</v>
      </c>
      <c r="H681" t="str">
        <f t="shared" si="86"/>
        <v>스토리위즈</v>
      </c>
      <c r="I681" t="str">
        <f>T("너랑 나랑 하면")</f>
        <v>너랑 나랑 하면</v>
      </c>
      <c r="J681">
        <v>400</v>
      </c>
      <c r="K681">
        <v>0</v>
      </c>
      <c r="L681">
        <v>0</v>
      </c>
      <c r="M681">
        <v>0</v>
      </c>
      <c r="N681">
        <v>200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 s="3">
        <v>200</v>
      </c>
      <c r="AH681" s="3">
        <v>1</v>
      </c>
      <c r="AI681" s="3">
        <v>0</v>
      </c>
      <c r="AJ681" s="3">
        <v>0</v>
      </c>
      <c r="AK681" s="3">
        <v>200</v>
      </c>
      <c r="AL681" s="3">
        <v>0</v>
      </c>
      <c r="AM681" s="3">
        <v>0</v>
      </c>
      <c r="AN681" s="3">
        <v>0</v>
      </c>
      <c r="AO681" s="3">
        <v>0</v>
      </c>
      <c r="AP681" s="3">
        <v>140</v>
      </c>
      <c r="AR681" t="str">
        <f t="shared" si="89"/>
        <v>0000000000000</v>
      </c>
      <c r="AT681" t="str">
        <f>T("9791166067884")</f>
        <v>9791166067884</v>
      </c>
      <c r="AV681" t="str">
        <f>T("BL 웹툰 &gt; 웹툰")</f>
        <v>BL 웹툰 &gt; 웹툰</v>
      </c>
    </row>
    <row r="682" spans="1:49" x14ac:dyDescent="0.4">
      <c r="A682">
        <v>4421000069</v>
      </c>
      <c r="B682">
        <v>4421000091</v>
      </c>
      <c r="C682" t="str">
        <f>T("너랑 나랑 하면 22화")</f>
        <v>너랑 나랑 하면 22화</v>
      </c>
      <c r="D682" t="str">
        <f>T("22")</f>
        <v>22</v>
      </c>
      <c r="E682" t="str">
        <f>T("NISANSUI")</f>
        <v>NISANSUI</v>
      </c>
      <c r="G682" t="str">
        <f>T("ZIQUAN")</f>
        <v>ZIQUAN</v>
      </c>
      <c r="H682" t="str">
        <f t="shared" si="86"/>
        <v>스토리위즈</v>
      </c>
      <c r="I682" t="str">
        <f>T("너랑 나랑 하면")</f>
        <v>너랑 나랑 하면</v>
      </c>
      <c r="J682">
        <v>400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 s="3">
        <v>0</v>
      </c>
      <c r="AH682" s="3">
        <v>3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R682" t="str">
        <f t="shared" si="89"/>
        <v>0000000000000</v>
      </c>
      <c r="AT682" t="str">
        <f>T("9791166067884")</f>
        <v>9791166067884</v>
      </c>
      <c r="AV682" t="str">
        <f>T("BL 웹툰 &gt; 웹툰")</f>
        <v>BL 웹툰 &gt; 웹툰</v>
      </c>
    </row>
    <row r="683" spans="1:49" x14ac:dyDescent="0.4">
      <c r="A683">
        <v>4421000198</v>
      </c>
      <c r="B683">
        <v>4421001526</v>
      </c>
      <c r="C683" t="str">
        <f>T("공주전쟁 97화")</f>
        <v>공주전쟁 97화</v>
      </c>
      <c r="D683" t="str">
        <f>T("97")</f>
        <v>97</v>
      </c>
      <c r="E683" t="str">
        <f>T("Hujing")</f>
        <v>Hujing</v>
      </c>
      <c r="G683" t="str">
        <f>T("Luojie")</f>
        <v>Luojie</v>
      </c>
      <c r="H683" t="str">
        <f t="shared" si="86"/>
        <v>스토리위즈</v>
      </c>
      <c r="I683" t="str">
        <f>T("공주전쟁")</f>
        <v>공주전쟁</v>
      </c>
      <c r="J683">
        <v>400</v>
      </c>
      <c r="K683">
        <v>0</v>
      </c>
      <c r="L683">
        <v>0</v>
      </c>
      <c r="M683">
        <v>0</v>
      </c>
      <c r="N683">
        <v>200</v>
      </c>
      <c r="O683"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 s="3">
        <v>200</v>
      </c>
      <c r="AH683" s="3">
        <v>1</v>
      </c>
      <c r="AI683" s="3">
        <v>0</v>
      </c>
      <c r="AJ683" s="3">
        <v>0</v>
      </c>
      <c r="AK683" s="3">
        <v>0</v>
      </c>
      <c r="AL683" s="3">
        <v>0</v>
      </c>
      <c r="AM683" s="3">
        <v>240</v>
      </c>
      <c r="AN683" s="3">
        <v>-72</v>
      </c>
      <c r="AO683" s="3">
        <v>0</v>
      </c>
      <c r="AP683" s="3">
        <v>117.6</v>
      </c>
      <c r="AR683" t="str">
        <f t="shared" si="89"/>
        <v>0000000000000</v>
      </c>
      <c r="AT683" t="str">
        <f>T("9791166069666")</f>
        <v>9791166069666</v>
      </c>
      <c r="AV683" t="str">
        <f>T("웹툰 &gt; 해외 순정")</f>
        <v>웹툰 &gt; 해외 순정</v>
      </c>
      <c r="AW683" t="str">
        <f>T("웹툰 &gt; 로판")</f>
        <v>웹툰 &gt; 로판</v>
      </c>
    </row>
    <row r="684" spans="1:49" x14ac:dyDescent="0.4">
      <c r="A684">
        <v>4421001340</v>
      </c>
      <c r="B684">
        <v>4421001366</v>
      </c>
      <c r="C684" t="str">
        <f>T("가출천사 육성계약 27화")</f>
        <v>가출천사 육성계약 27화</v>
      </c>
      <c r="D684" t="str">
        <f>T("27")</f>
        <v>27</v>
      </c>
      <c r="E684" t="str">
        <f>T("Bae.C, IIAKI, 박제후")</f>
        <v>Bae.C, IIAKI, 박제후</v>
      </c>
      <c r="G684" t="str">
        <f>T("Bae.C, 조우")</f>
        <v>Bae.C, 조우</v>
      </c>
      <c r="H684" t="str">
        <f t="shared" si="86"/>
        <v>스토리위즈</v>
      </c>
      <c r="I684" t="str">
        <f>T("가출천사 육성계약")</f>
        <v>가출천사 육성계약</v>
      </c>
      <c r="J684">
        <v>400</v>
      </c>
      <c r="K684">
        <v>0</v>
      </c>
      <c r="L684">
        <v>0</v>
      </c>
      <c r="M684">
        <v>0</v>
      </c>
      <c r="N684">
        <v>200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 s="3">
        <v>200</v>
      </c>
      <c r="AH684" s="3">
        <v>1</v>
      </c>
      <c r="AI684" s="3">
        <v>0</v>
      </c>
      <c r="AJ684" s="3">
        <v>0</v>
      </c>
      <c r="AK684" s="3">
        <v>200</v>
      </c>
      <c r="AL684" s="3">
        <v>0</v>
      </c>
      <c r="AM684" s="3">
        <v>0</v>
      </c>
      <c r="AN684" s="3">
        <v>0</v>
      </c>
      <c r="AO684" s="3">
        <v>0</v>
      </c>
      <c r="AP684" s="3">
        <v>140</v>
      </c>
      <c r="AR684" t="str">
        <f t="shared" si="89"/>
        <v>0000000000000</v>
      </c>
      <c r="AT684" t="str">
        <f>T("9791191765663")</f>
        <v>9791191765663</v>
      </c>
      <c r="AV684" t="str">
        <f>T("웹툰 &gt; 판타지/SF")</f>
        <v>웹툰 &gt; 판타지/SF</v>
      </c>
    </row>
    <row r="685" spans="1:49" x14ac:dyDescent="0.4">
      <c r="A685">
        <v>4421000337</v>
      </c>
      <c r="B685">
        <v>4421000426</v>
      </c>
      <c r="C685" t="str">
        <f>T("계약연애, 오늘부터 1일 90화")</f>
        <v>계약연애, 오늘부터 1일 90화</v>
      </c>
      <c r="D685" t="str">
        <f>T("90")</f>
        <v>90</v>
      </c>
      <c r="E685" t="str">
        <f>T("원기공장")</f>
        <v>원기공장</v>
      </c>
      <c r="H685" t="str">
        <f t="shared" si="86"/>
        <v>스토리위즈</v>
      </c>
      <c r="I685" t="str">
        <f>T("계약연애, 오늘부터 1일")</f>
        <v>계약연애, 오늘부터 1일</v>
      </c>
      <c r="J685">
        <v>200</v>
      </c>
      <c r="K685">
        <v>0</v>
      </c>
      <c r="L685">
        <v>0</v>
      </c>
      <c r="M685">
        <v>0</v>
      </c>
      <c r="N685">
        <v>100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 s="3">
        <v>100</v>
      </c>
      <c r="AH685" s="3">
        <v>1</v>
      </c>
      <c r="AI685" s="3">
        <v>0</v>
      </c>
      <c r="AJ685" s="3">
        <v>0</v>
      </c>
      <c r="AK685" s="3">
        <v>100</v>
      </c>
      <c r="AL685" s="3">
        <v>0</v>
      </c>
      <c r="AM685" s="3">
        <v>0</v>
      </c>
      <c r="AN685" s="3">
        <v>0</v>
      </c>
      <c r="AO685" s="3">
        <v>0</v>
      </c>
      <c r="AP685" s="3">
        <v>70</v>
      </c>
      <c r="AR685" t="str">
        <f t="shared" si="89"/>
        <v>0000000000000</v>
      </c>
      <c r="AT685" t="str">
        <f>T("9791166068027")</f>
        <v>9791166068027</v>
      </c>
      <c r="AV685" t="str">
        <f>T("웹툰 &gt; 해외 순정")</f>
        <v>웹툰 &gt; 해외 순정</v>
      </c>
      <c r="AW685" t="str">
        <f>T("웹툰 &gt; 로맨스")</f>
        <v>웹툰 &gt; 로맨스</v>
      </c>
    </row>
    <row r="686" spans="1:49" x14ac:dyDescent="0.4">
      <c r="A686">
        <v>4421000916</v>
      </c>
      <c r="B686">
        <v>4421000929</v>
      </c>
      <c r="C686" t="str">
        <f>T("별빛 아래 우리 14화")</f>
        <v>별빛 아래 우리 14화</v>
      </c>
      <c r="D686" t="str">
        <f>T("14")</f>
        <v>14</v>
      </c>
      <c r="E686" t="str">
        <f>T("건일")</f>
        <v>건일</v>
      </c>
      <c r="G686" t="str">
        <f>T("건일")</f>
        <v>건일</v>
      </c>
      <c r="H686" t="str">
        <f t="shared" si="86"/>
        <v>스토리위즈</v>
      </c>
      <c r="I686" t="str">
        <f>T("별빛 아래 우리")</f>
        <v>별빛 아래 우리</v>
      </c>
      <c r="J686">
        <v>400</v>
      </c>
      <c r="K686">
        <v>0</v>
      </c>
      <c r="L686">
        <v>0</v>
      </c>
      <c r="M686">
        <v>0</v>
      </c>
      <c r="N686">
        <v>1400</v>
      </c>
      <c r="O686">
        <v>7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 s="3">
        <v>1400</v>
      </c>
      <c r="AH686" s="3">
        <v>7</v>
      </c>
      <c r="AI686" s="3">
        <v>0</v>
      </c>
      <c r="AJ686" s="3">
        <v>0</v>
      </c>
      <c r="AK686" s="3">
        <v>400</v>
      </c>
      <c r="AL686" s="3">
        <v>0</v>
      </c>
      <c r="AM686" s="3">
        <v>1201.02</v>
      </c>
      <c r="AN686" s="3">
        <v>-360.31</v>
      </c>
      <c r="AO686" s="3">
        <v>0</v>
      </c>
      <c r="AP686" s="3">
        <v>868.5</v>
      </c>
      <c r="AR686" t="str">
        <f t="shared" si="89"/>
        <v>0000000000000</v>
      </c>
      <c r="AT686" t="str">
        <f>T("9791137601413")</f>
        <v>9791137601413</v>
      </c>
      <c r="AV686" t="str">
        <f>T("웹툰 &gt; 해외 순정")</f>
        <v>웹툰 &gt; 해외 순정</v>
      </c>
      <c r="AW686" t="str">
        <f>T("웹툰 &gt; 로맨스")</f>
        <v>웹툰 &gt; 로맨스</v>
      </c>
    </row>
    <row r="687" spans="1:49" x14ac:dyDescent="0.4">
      <c r="A687">
        <v>4421001684</v>
      </c>
      <c r="B687">
        <v>4421001686</v>
      </c>
      <c r="C687" t="str">
        <f>T("달콤한 키스 3화")</f>
        <v>달콤한 키스 3화</v>
      </c>
      <c r="D687" t="str">
        <f>T("3")</f>
        <v>3</v>
      </c>
      <c r="E687" t="str">
        <f>T("웹티")</f>
        <v>웹티</v>
      </c>
      <c r="H687" t="str">
        <f t="shared" si="86"/>
        <v>스토리위즈</v>
      </c>
      <c r="I687" t="str">
        <f>T("달콤한 키스")</f>
        <v>달콤한 키스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 s="3">
        <v>0</v>
      </c>
      <c r="AH687" s="3">
        <v>1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T687" t="str">
        <f>T("9791196608378")</f>
        <v>9791196608378</v>
      </c>
      <c r="AV687" t="str">
        <f>T("웹툰 &gt; 로맨스")</f>
        <v>웹툰 &gt; 로맨스</v>
      </c>
    </row>
    <row r="688" spans="1:49" x14ac:dyDescent="0.4">
      <c r="A688">
        <v>4421000337</v>
      </c>
      <c r="B688">
        <v>4421000386</v>
      </c>
      <c r="C688" t="str">
        <f>T("계약연애, 오늘부터 1일 50화")</f>
        <v>계약연애, 오늘부터 1일 50화</v>
      </c>
      <c r="D688" t="str">
        <f>T("50")</f>
        <v>50</v>
      </c>
      <c r="E688" t="str">
        <f>T("원기공장")</f>
        <v>원기공장</v>
      </c>
      <c r="H688" t="str">
        <f t="shared" si="86"/>
        <v>스토리위즈</v>
      </c>
      <c r="I688" t="str">
        <f>T("계약연애, 오늘부터 1일")</f>
        <v>계약연애, 오늘부터 1일</v>
      </c>
      <c r="J688">
        <v>200</v>
      </c>
      <c r="K688">
        <v>0</v>
      </c>
      <c r="L688">
        <v>0</v>
      </c>
      <c r="M688">
        <v>0</v>
      </c>
      <c r="N688">
        <v>100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 s="3">
        <v>100</v>
      </c>
      <c r="AH688" s="3">
        <v>1</v>
      </c>
      <c r="AI688" s="3">
        <v>0</v>
      </c>
      <c r="AJ688" s="3">
        <v>0</v>
      </c>
      <c r="AK688" s="3">
        <v>100</v>
      </c>
      <c r="AL688" s="3">
        <v>0</v>
      </c>
      <c r="AM688" s="3">
        <v>0</v>
      </c>
      <c r="AN688" s="3">
        <v>0</v>
      </c>
      <c r="AO688" s="3">
        <v>0</v>
      </c>
      <c r="AP688" s="3">
        <v>70</v>
      </c>
      <c r="AR688" t="str">
        <f>T("0000000000000")</f>
        <v>0000000000000</v>
      </c>
      <c r="AT688" t="str">
        <f>T("9791166068027")</f>
        <v>9791166068027</v>
      </c>
      <c r="AV688" t="str">
        <f>T("웹툰 &gt; 해외 순정")</f>
        <v>웹툰 &gt; 해외 순정</v>
      </c>
      <c r="AW688" t="str">
        <f>T("웹툰 &gt; 로맨스")</f>
        <v>웹툰 &gt; 로맨스</v>
      </c>
    </row>
    <row r="689" spans="1:49" x14ac:dyDescent="0.4">
      <c r="A689">
        <v>4421002155</v>
      </c>
      <c r="B689">
        <v>4421002157</v>
      </c>
      <c r="C689" t="str">
        <f>T("달콤한 결혼 3화")</f>
        <v>달콤한 결혼 3화</v>
      </c>
      <c r="D689" t="str">
        <f>T("3")</f>
        <v>3</v>
      </c>
      <c r="E689" t="str">
        <f>T("웹티")</f>
        <v>웹티</v>
      </c>
      <c r="H689" t="str">
        <f t="shared" si="86"/>
        <v>스토리위즈</v>
      </c>
      <c r="I689" t="str">
        <f>T("달콤한 결혼")</f>
        <v>달콤한 결혼</v>
      </c>
      <c r="J689">
        <v>0</v>
      </c>
      <c r="K689">
        <v>0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 s="3">
        <v>0</v>
      </c>
      <c r="AH689" s="3">
        <v>1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T689" t="str">
        <f>T("9791190622028")</f>
        <v>9791190622028</v>
      </c>
      <c r="AV689" t="str">
        <f>T("웹툰 &gt; 로맨스")</f>
        <v>웹툰 &gt; 로맨스</v>
      </c>
    </row>
    <row r="690" spans="1:49" x14ac:dyDescent="0.4">
      <c r="A690">
        <v>4421000001</v>
      </c>
      <c r="B690">
        <v>4421000044</v>
      </c>
      <c r="C690" t="str">
        <f>T("감옥실험 24화")</f>
        <v>감옥실험 24화</v>
      </c>
      <c r="D690" t="str">
        <f>T("24")</f>
        <v>24</v>
      </c>
      <c r="E690" t="str">
        <f>T("Kantetsu")</f>
        <v>Kantetsu</v>
      </c>
      <c r="G690" t="str">
        <f>T("Minase Chiho")</f>
        <v>Minase Chiho</v>
      </c>
      <c r="H690" t="str">
        <f t="shared" si="86"/>
        <v>스토리위즈</v>
      </c>
      <c r="I690" t="str">
        <f>T("감옥실험")</f>
        <v>감옥실험</v>
      </c>
      <c r="J690">
        <v>500</v>
      </c>
      <c r="K690">
        <v>0</v>
      </c>
      <c r="L690">
        <v>0</v>
      </c>
      <c r="M690">
        <v>0</v>
      </c>
      <c r="N690">
        <v>900</v>
      </c>
      <c r="O690">
        <v>3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 s="3">
        <v>900</v>
      </c>
      <c r="AH690" s="3">
        <v>3</v>
      </c>
      <c r="AI690" s="3">
        <v>0</v>
      </c>
      <c r="AJ690" s="3">
        <v>0</v>
      </c>
      <c r="AK690" s="3">
        <v>600</v>
      </c>
      <c r="AL690" s="3">
        <v>0</v>
      </c>
      <c r="AM690" s="3">
        <v>360</v>
      </c>
      <c r="AN690" s="3">
        <v>-108</v>
      </c>
      <c r="AO690" s="3">
        <v>0</v>
      </c>
      <c r="AP690" s="3">
        <v>596.4</v>
      </c>
      <c r="AT690" t="str">
        <f>T("9791166069406")</f>
        <v>9791166069406</v>
      </c>
      <c r="AV690" t="str">
        <f>T("웹툰 &gt; 드라마")</f>
        <v>웹툰 &gt; 드라마</v>
      </c>
    </row>
    <row r="691" spans="1:49" x14ac:dyDescent="0.4">
      <c r="A691">
        <v>4421000518</v>
      </c>
      <c r="B691">
        <v>4421000563</v>
      </c>
      <c r="C691" t="str">
        <f>T("백스테이지 키스신 45화")</f>
        <v>백스테이지 키스신 45화</v>
      </c>
      <c r="D691" t="str">
        <f>T("45")</f>
        <v>45</v>
      </c>
      <c r="E691" t="str">
        <f>T("최도비")</f>
        <v>최도비</v>
      </c>
      <c r="G691" t="str">
        <f>T("수정과")</f>
        <v>수정과</v>
      </c>
      <c r="H691" t="str">
        <f t="shared" si="86"/>
        <v>스토리위즈</v>
      </c>
      <c r="I691" t="str">
        <f>T("백스테이지 키스신")</f>
        <v>백스테이지 키스신</v>
      </c>
      <c r="J691">
        <v>400</v>
      </c>
      <c r="K691">
        <v>0</v>
      </c>
      <c r="L691">
        <v>0</v>
      </c>
      <c r="M691">
        <v>0</v>
      </c>
      <c r="N691">
        <v>200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 s="3">
        <v>200</v>
      </c>
      <c r="AH691" s="3">
        <v>1</v>
      </c>
      <c r="AI691" s="3">
        <v>0</v>
      </c>
      <c r="AJ691" s="3">
        <v>0</v>
      </c>
      <c r="AK691" s="3">
        <v>200</v>
      </c>
      <c r="AL691" s="3">
        <v>0</v>
      </c>
      <c r="AM691" s="3">
        <v>0</v>
      </c>
      <c r="AN691" s="3">
        <v>0</v>
      </c>
      <c r="AO691" s="3">
        <v>0</v>
      </c>
      <c r="AP691" s="3">
        <v>140</v>
      </c>
      <c r="AR691" t="str">
        <f t="shared" ref="AR691:AR699" si="90">T("0000000000000")</f>
        <v>0000000000000</v>
      </c>
      <c r="AT691" t="str">
        <f>T("9791166067990")</f>
        <v>9791166067990</v>
      </c>
      <c r="AV691" t="str">
        <f>T("웹툰 &gt; 로맨스")</f>
        <v>웹툰 &gt; 로맨스</v>
      </c>
    </row>
    <row r="692" spans="1:49" x14ac:dyDescent="0.4">
      <c r="A692">
        <v>4421000866</v>
      </c>
      <c r="B692">
        <v>4421002852</v>
      </c>
      <c r="C692" t="str">
        <f>T("최애에게 들켜버렸다 83화")</f>
        <v>최애에게 들켜버렸다 83화</v>
      </c>
      <c r="D692" t="str">
        <f>T("86")</f>
        <v>86</v>
      </c>
      <c r="E692" t="str">
        <f>T("Lv")</f>
        <v>Lv</v>
      </c>
      <c r="G692" t="str">
        <f>T("Lv")</f>
        <v>Lv</v>
      </c>
      <c r="H692" t="str">
        <f t="shared" si="86"/>
        <v>스토리위즈</v>
      </c>
      <c r="I692" t="str">
        <f>T("최애에게 들켜버렸다")</f>
        <v>최애에게 들켜버렸다</v>
      </c>
      <c r="J692">
        <v>400</v>
      </c>
      <c r="K692">
        <v>0</v>
      </c>
      <c r="L692">
        <v>0</v>
      </c>
      <c r="M692">
        <v>0</v>
      </c>
      <c r="N692">
        <v>1000</v>
      </c>
      <c r="O692">
        <v>5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 s="3">
        <v>1000</v>
      </c>
      <c r="AH692" s="3">
        <v>5</v>
      </c>
      <c r="AI692" s="3">
        <v>0</v>
      </c>
      <c r="AJ692" s="3">
        <v>0</v>
      </c>
      <c r="AK692" s="3">
        <v>825</v>
      </c>
      <c r="AL692" s="3">
        <v>0</v>
      </c>
      <c r="AM692" s="3">
        <v>210.18</v>
      </c>
      <c r="AN692" s="3">
        <v>-63.05</v>
      </c>
      <c r="AO692" s="3">
        <v>0</v>
      </c>
      <c r="AP692" s="3">
        <v>680.49</v>
      </c>
      <c r="AR692" t="str">
        <f t="shared" si="90"/>
        <v>0000000000000</v>
      </c>
      <c r="AT692" t="str">
        <f>T("9791137601253")</f>
        <v>9791137601253</v>
      </c>
      <c r="AV692" t="str">
        <f>T("웹툰 &gt; 해외 순정")</f>
        <v>웹툰 &gt; 해외 순정</v>
      </c>
      <c r="AW692" t="str">
        <f>T("웹툰 &gt; 로맨스")</f>
        <v>웹툰 &gt; 로맨스</v>
      </c>
    </row>
    <row r="693" spans="1:49" x14ac:dyDescent="0.4">
      <c r="A693">
        <v>4421000518</v>
      </c>
      <c r="B693">
        <v>4421000523</v>
      </c>
      <c r="C693" t="str">
        <f>T("백스테이지 키스신 5화")</f>
        <v>백스테이지 키스신 5화</v>
      </c>
      <c r="D693" t="str">
        <f>T("5")</f>
        <v>5</v>
      </c>
      <c r="E693" t="str">
        <f>T("최도비")</f>
        <v>최도비</v>
      </c>
      <c r="G693" t="str">
        <f>T("수정과")</f>
        <v>수정과</v>
      </c>
      <c r="H693" t="str">
        <f t="shared" si="86"/>
        <v>스토리위즈</v>
      </c>
      <c r="I693" t="str">
        <f>T("백스테이지 키스신")</f>
        <v>백스테이지 키스신</v>
      </c>
      <c r="J693">
        <v>400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 s="3">
        <v>0</v>
      </c>
      <c r="AH693" s="3">
        <v>2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R693" t="str">
        <f t="shared" si="90"/>
        <v>0000000000000</v>
      </c>
      <c r="AT693" t="str">
        <f>T("9791166067990")</f>
        <v>9791166067990</v>
      </c>
      <c r="AV693" t="str">
        <f>T("웹툰 &gt; 로맨스")</f>
        <v>웹툰 &gt; 로맨스</v>
      </c>
    </row>
    <row r="694" spans="1:49" x14ac:dyDescent="0.4">
      <c r="A694">
        <v>4421000887</v>
      </c>
      <c r="B694">
        <v>4421001242</v>
      </c>
      <c r="C694" t="str">
        <f>T("폭군의 눈물 45화")</f>
        <v>폭군의 눈물 45화</v>
      </c>
      <c r="D694" t="str">
        <f>T("45")</f>
        <v>45</v>
      </c>
      <c r="E694" t="str">
        <f>T("Ice×FANFAN COMIC")</f>
        <v>Ice×FANFAN COMIC</v>
      </c>
      <c r="G694" t="str">
        <f>T("Ice×FANFAN COMIC")</f>
        <v>Ice×FANFAN COMIC</v>
      </c>
      <c r="H694" t="str">
        <f t="shared" si="86"/>
        <v>스토리위즈</v>
      </c>
      <c r="I694" t="str">
        <f>T("폭군의 눈물")</f>
        <v>폭군의 눈물</v>
      </c>
      <c r="J694">
        <v>400</v>
      </c>
      <c r="K694">
        <v>0</v>
      </c>
      <c r="L694">
        <v>0</v>
      </c>
      <c r="M694">
        <v>0</v>
      </c>
      <c r="N694">
        <v>600</v>
      </c>
      <c r="O694">
        <v>3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 s="3">
        <v>600</v>
      </c>
      <c r="AH694" s="3">
        <v>3</v>
      </c>
      <c r="AI694" s="3">
        <v>0</v>
      </c>
      <c r="AJ694" s="3">
        <v>0</v>
      </c>
      <c r="AK694" s="3">
        <v>400</v>
      </c>
      <c r="AL694" s="3">
        <v>0</v>
      </c>
      <c r="AM694" s="3">
        <v>240</v>
      </c>
      <c r="AN694" s="3">
        <v>-72</v>
      </c>
      <c r="AO694" s="3">
        <v>0</v>
      </c>
      <c r="AP694" s="3">
        <v>397.6</v>
      </c>
      <c r="AR694" t="str">
        <f t="shared" si="90"/>
        <v>0000000000000</v>
      </c>
      <c r="AT694" t="str">
        <f>T("9791137601291")</f>
        <v>9791137601291</v>
      </c>
      <c r="AV694" t="str">
        <f>T("웹툰 &gt; 해외 순정")</f>
        <v>웹툰 &gt; 해외 순정</v>
      </c>
      <c r="AW694" t="str">
        <f>T("웹툰 &gt; 로판")</f>
        <v>웹툰 &gt; 로판</v>
      </c>
    </row>
    <row r="695" spans="1:49" x14ac:dyDescent="0.4">
      <c r="A695">
        <v>4421000069</v>
      </c>
      <c r="B695">
        <v>4421000084</v>
      </c>
      <c r="C695" t="str">
        <f>T("너랑 나랑 하면 15화")</f>
        <v>너랑 나랑 하면 15화</v>
      </c>
      <c r="D695" t="str">
        <f>T("15")</f>
        <v>15</v>
      </c>
      <c r="E695" t="str">
        <f>T("NISANSUI")</f>
        <v>NISANSUI</v>
      </c>
      <c r="G695" t="str">
        <f>T("ZIQUAN")</f>
        <v>ZIQUAN</v>
      </c>
      <c r="H695" t="str">
        <f t="shared" si="86"/>
        <v>스토리위즈</v>
      </c>
      <c r="I695" t="str">
        <f>T("너랑 나랑 하면")</f>
        <v>너랑 나랑 하면</v>
      </c>
      <c r="J695">
        <v>400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3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 s="3">
        <v>0</v>
      </c>
      <c r="AH695" s="3">
        <v>3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R695" t="str">
        <f t="shared" si="90"/>
        <v>0000000000000</v>
      </c>
      <c r="AT695" t="str">
        <f>T("9791166067884")</f>
        <v>9791166067884</v>
      </c>
      <c r="AV695" t="str">
        <f>T("BL 웹툰 &gt; 웹툰")</f>
        <v>BL 웹툰 &gt; 웹툰</v>
      </c>
    </row>
    <row r="696" spans="1:49" x14ac:dyDescent="0.4">
      <c r="A696">
        <v>4421000916</v>
      </c>
      <c r="B696">
        <v>4421001471</v>
      </c>
      <c r="C696" t="str">
        <f>T("별빛 아래 우리 72화")</f>
        <v>별빛 아래 우리 72화</v>
      </c>
      <c r="D696" t="str">
        <f>T("72")</f>
        <v>72</v>
      </c>
      <c r="E696" t="str">
        <f>T("건일")</f>
        <v>건일</v>
      </c>
      <c r="G696" t="str">
        <f>T("건일")</f>
        <v>건일</v>
      </c>
      <c r="H696" t="str">
        <f t="shared" si="86"/>
        <v>스토리위즈</v>
      </c>
      <c r="I696" t="str">
        <f>T("별빛 아래 우리")</f>
        <v>별빛 아래 우리</v>
      </c>
      <c r="J696">
        <v>400</v>
      </c>
      <c r="K696">
        <v>0</v>
      </c>
      <c r="L696">
        <v>0</v>
      </c>
      <c r="M696">
        <v>0</v>
      </c>
      <c r="N696">
        <v>2400</v>
      </c>
      <c r="O696">
        <v>12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 s="3">
        <v>2400</v>
      </c>
      <c r="AH696" s="3">
        <v>12</v>
      </c>
      <c r="AI696" s="3">
        <v>0</v>
      </c>
      <c r="AJ696" s="3">
        <v>0</v>
      </c>
      <c r="AK696" s="3">
        <v>780</v>
      </c>
      <c r="AL696" s="3">
        <v>0</v>
      </c>
      <c r="AM696" s="3">
        <v>1944.83</v>
      </c>
      <c r="AN696" s="3">
        <v>-583.45000000000005</v>
      </c>
      <c r="AO696" s="3">
        <v>0</v>
      </c>
      <c r="AP696" s="3">
        <v>1498.97</v>
      </c>
      <c r="AR696" t="str">
        <f t="shared" si="90"/>
        <v>0000000000000</v>
      </c>
      <c r="AT696" t="str">
        <f>T("9791137601413")</f>
        <v>9791137601413</v>
      </c>
      <c r="AV696" t="str">
        <f>T("웹툰 &gt; 해외 순정")</f>
        <v>웹툰 &gt; 해외 순정</v>
      </c>
      <c r="AW696" t="str">
        <f>T("웹툰 &gt; 로맨스")</f>
        <v>웹툰 &gt; 로맨스</v>
      </c>
    </row>
    <row r="697" spans="1:49" x14ac:dyDescent="0.4">
      <c r="A697">
        <v>4421000916</v>
      </c>
      <c r="B697">
        <v>4421000922</v>
      </c>
      <c r="C697" t="str">
        <f>T("별빛 아래 우리 7화")</f>
        <v>별빛 아래 우리 7화</v>
      </c>
      <c r="D697" t="str">
        <f>T("7")</f>
        <v>7</v>
      </c>
      <c r="E697" t="str">
        <f>T("건일")</f>
        <v>건일</v>
      </c>
      <c r="G697" t="str">
        <f>T("건일")</f>
        <v>건일</v>
      </c>
      <c r="H697" t="str">
        <f t="shared" si="86"/>
        <v>스토리위즈</v>
      </c>
      <c r="I697" t="str">
        <f>T("별빛 아래 우리")</f>
        <v>별빛 아래 우리</v>
      </c>
      <c r="J697">
        <v>400</v>
      </c>
      <c r="K697">
        <v>0</v>
      </c>
      <c r="L697">
        <v>0</v>
      </c>
      <c r="M697">
        <v>0</v>
      </c>
      <c r="N697">
        <v>1200</v>
      </c>
      <c r="O697">
        <v>6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 s="3">
        <v>1200</v>
      </c>
      <c r="AH697" s="3">
        <v>6</v>
      </c>
      <c r="AI697" s="3">
        <v>0</v>
      </c>
      <c r="AJ697" s="3">
        <v>0</v>
      </c>
      <c r="AK697" s="3">
        <v>400</v>
      </c>
      <c r="AL697" s="3">
        <v>0</v>
      </c>
      <c r="AM697" s="3">
        <v>960.2</v>
      </c>
      <c r="AN697" s="3">
        <v>-288.06</v>
      </c>
      <c r="AO697" s="3">
        <v>0</v>
      </c>
      <c r="AP697" s="3">
        <v>750.5</v>
      </c>
      <c r="AR697" t="str">
        <f t="shared" si="90"/>
        <v>0000000000000</v>
      </c>
      <c r="AT697" t="str">
        <f>T("9791137601413")</f>
        <v>9791137601413</v>
      </c>
      <c r="AV697" t="str">
        <f>T("웹툰 &gt; 해외 순정")</f>
        <v>웹툰 &gt; 해외 순정</v>
      </c>
      <c r="AW697" t="str">
        <f>T("웹툰 &gt; 로맨스")</f>
        <v>웹툰 &gt; 로맨스</v>
      </c>
    </row>
    <row r="698" spans="1:49" x14ac:dyDescent="0.4">
      <c r="A698">
        <v>4421001340</v>
      </c>
      <c r="B698">
        <v>4421001359</v>
      </c>
      <c r="C698" t="str">
        <f>T("가출천사 육성계약 20화")</f>
        <v>가출천사 육성계약 20화</v>
      </c>
      <c r="D698" t="str">
        <f>T("20")</f>
        <v>20</v>
      </c>
      <c r="E698" t="str">
        <f>T("Bae.C, IIAKI, 박제후")</f>
        <v>Bae.C, IIAKI, 박제후</v>
      </c>
      <c r="G698" t="str">
        <f>T("Bae.C, 조우")</f>
        <v>Bae.C, 조우</v>
      </c>
      <c r="H698" t="str">
        <f t="shared" si="86"/>
        <v>스토리위즈</v>
      </c>
      <c r="I698" t="str">
        <f>T("가출천사 육성계약")</f>
        <v>가출천사 육성계약</v>
      </c>
      <c r="J698">
        <v>400</v>
      </c>
      <c r="K698">
        <v>0</v>
      </c>
      <c r="L698">
        <v>0</v>
      </c>
      <c r="M698">
        <v>0</v>
      </c>
      <c r="N698">
        <v>200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 s="3">
        <v>200</v>
      </c>
      <c r="AH698" s="3">
        <v>1</v>
      </c>
      <c r="AI698" s="3">
        <v>0</v>
      </c>
      <c r="AJ698" s="3">
        <v>0</v>
      </c>
      <c r="AK698" s="3">
        <v>200</v>
      </c>
      <c r="AL698" s="3">
        <v>0</v>
      </c>
      <c r="AM698" s="3">
        <v>0</v>
      </c>
      <c r="AN698" s="3">
        <v>0</v>
      </c>
      <c r="AO698" s="3">
        <v>0</v>
      </c>
      <c r="AP698" s="3">
        <v>140</v>
      </c>
      <c r="AR698" t="str">
        <f t="shared" si="90"/>
        <v>0000000000000</v>
      </c>
      <c r="AT698" t="str">
        <f>T("9791191765663")</f>
        <v>9791191765663</v>
      </c>
      <c r="AV698" t="str">
        <f>T("웹툰 &gt; 판타지/SF")</f>
        <v>웹툰 &gt; 판타지/SF</v>
      </c>
    </row>
    <row r="699" spans="1:49" x14ac:dyDescent="0.4">
      <c r="A699">
        <v>4421000337</v>
      </c>
      <c r="B699">
        <v>4421000419</v>
      </c>
      <c r="C699" t="str">
        <f>T("계약연애, 오늘부터 1일 83화")</f>
        <v>계약연애, 오늘부터 1일 83화</v>
      </c>
      <c r="D699" t="str">
        <f>T("83")</f>
        <v>83</v>
      </c>
      <c r="E699" t="str">
        <f>T("원기공장")</f>
        <v>원기공장</v>
      </c>
      <c r="H699" t="str">
        <f t="shared" si="86"/>
        <v>스토리위즈</v>
      </c>
      <c r="I699" t="str">
        <f>T("계약연애, 오늘부터 1일")</f>
        <v>계약연애, 오늘부터 1일</v>
      </c>
      <c r="J699">
        <v>200</v>
      </c>
      <c r="K699">
        <v>0</v>
      </c>
      <c r="L699">
        <v>0</v>
      </c>
      <c r="M699">
        <v>0</v>
      </c>
      <c r="N699">
        <v>100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 s="3">
        <v>100</v>
      </c>
      <c r="AH699" s="3">
        <v>1</v>
      </c>
      <c r="AI699" s="3">
        <v>0</v>
      </c>
      <c r="AJ699" s="3">
        <v>0</v>
      </c>
      <c r="AK699" s="3">
        <v>100</v>
      </c>
      <c r="AL699" s="3">
        <v>0</v>
      </c>
      <c r="AM699" s="3">
        <v>0</v>
      </c>
      <c r="AN699" s="3">
        <v>0</v>
      </c>
      <c r="AO699" s="3">
        <v>0</v>
      </c>
      <c r="AP699" s="3">
        <v>70</v>
      </c>
      <c r="AR699" t="str">
        <f t="shared" si="90"/>
        <v>0000000000000</v>
      </c>
      <c r="AT699" t="str">
        <f>T("9791166068027")</f>
        <v>9791166068027</v>
      </c>
      <c r="AV699" t="str">
        <f>T("웹툰 &gt; 해외 순정")</f>
        <v>웹툰 &gt; 해외 순정</v>
      </c>
      <c r="AW699" t="str">
        <f>T("웹툰 &gt; 로맨스")</f>
        <v>웹툰 &gt; 로맨스</v>
      </c>
    </row>
    <row r="700" spans="1:49" x14ac:dyDescent="0.4">
      <c r="A700">
        <v>4421001584</v>
      </c>
      <c r="B700">
        <v>4421001585</v>
      </c>
      <c r="C700" t="str">
        <f>T("결혼전쟁 2화")</f>
        <v>결혼전쟁 2화</v>
      </c>
      <c r="D700" t="str">
        <f>T("2")</f>
        <v>2</v>
      </c>
      <c r="E700" t="str">
        <f>T("웹티")</f>
        <v>웹티</v>
      </c>
      <c r="H700" t="str">
        <f t="shared" si="86"/>
        <v>스토리위즈</v>
      </c>
      <c r="I700" t="str">
        <f>T("결혼전쟁")</f>
        <v>결혼전쟁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 s="3">
        <v>0</v>
      </c>
      <c r="AH700" s="3">
        <v>1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T700" t="str">
        <f>T("9791196333720")</f>
        <v>9791196333720</v>
      </c>
      <c r="AV700" t="str">
        <f>T("웹툰 &gt; 로맨스")</f>
        <v>웹툰 &gt; 로맨스</v>
      </c>
    </row>
    <row r="701" spans="1:49" x14ac:dyDescent="0.4">
      <c r="A701">
        <v>4421000337</v>
      </c>
      <c r="B701">
        <v>4421000379</v>
      </c>
      <c r="C701" t="str">
        <f>T("계약연애, 오늘부터 1일 43화")</f>
        <v>계약연애, 오늘부터 1일 43화</v>
      </c>
      <c r="D701" t="str">
        <f>T("43")</f>
        <v>43</v>
      </c>
      <c r="E701" t="str">
        <f>T("원기공장")</f>
        <v>원기공장</v>
      </c>
      <c r="H701" t="str">
        <f t="shared" si="86"/>
        <v>스토리위즈</v>
      </c>
      <c r="I701" t="str">
        <f>T("계약연애, 오늘부터 1일")</f>
        <v>계약연애, 오늘부터 1일</v>
      </c>
      <c r="J701">
        <v>200</v>
      </c>
      <c r="K701">
        <v>0</v>
      </c>
      <c r="L701">
        <v>0</v>
      </c>
      <c r="M701">
        <v>0</v>
      </c>
      <c r="N701">
        <v>100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 s="3">
        <v>100</v>
      </c>
      <c r="AH701" s="3">
        <v>1</v>
      </c>
      <c r="AI701" s="3">
        <v>0</v>
      </c>
      <c r="AJ701" s="3">
        <v>0</v>
      </c>
      <c r="AK701" s="3">
        <v>100</v>
      </c>
      <c r="AL701" s="3">
        <v>0</v>
      </c>
      <c r="AM701" s="3">
        <v>0</v>
      </c>
      <c r="AN701" s="3">
        <v>0</v>
      </c>
      <c r="AO701" s="3">
        <v>0</v>
      </c>
      <c r="AP701" s="3">
        <v>70</v>
      </c>
      <c r="AR701" t="str">
        <f t="shared" ref="AR701:AR710" si="91">T("0000000000000")</f>
        <v>0000000000000</v>
      </c>
      <c r="AT701" t="str">
        <f>T("9791166068027")</f>
        <v>9791166068027</v>
      </c>
      <c r="AV701" t="str">
        <f t="shared" ref="AV701:AV706" si="92">T("웹툰 &gt; 해외 순정")</f>
        <v>웹툰 &gt; 해외 순정</v>
      </c>
      <c r="AW701" t="str">
        <f>T("웹툰 &gt; 로맨스")</f>
        <v>웹툰 &gt; 로맨스</v>
      </c>
    </row>
    <row r="702" spans="1:49" x14ac:dyDescent="0.4">
      <c r="A702">
        <v>4421000916</v>
      </c>
      <c r="B702">
        <v>4421001279</v>
      </c>
      <c r="C702" t="str">
        <f>T("별빛 아래 우리 62화")</f>
        <v>별빛 아래 우리 62화</v>
      </c>
      <c r="D702" t="str">
        <f>T("62")</f>
        <v>62</v>
      </c>
      <c r="E702" t="str">
        <f>T("건일")</f>
        <v>건일</v>
      </c>
      <c r="G702" t="str">
        <f>T("건일")</f>
        <v>건일</v>
      </c>
      <c r="H702" t="str">
        <f t="shared" si="86"/>
        <v>스토리위즈</v>
      </c>
      <c r="I702" t="str">
        <f>T("별빛 아래 우리")</f>
        <v>별빛 아래 우리</v>
      </c>
      <c r="J702">
        <v>400</v>
      </c>
      <c r="K702">
        <v>0</v>
      </c>
      <c r="L702">
        <v>0</v>
      </c>
      <c r="M702">
        <v>0</v>
      </c>
      <c r="N702">
        <v>1000</v>
      </c>
      <c r="O702">
        <v>5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 s="3">
        <v>1000</v>
      </c>
      <c r="AH702" s="3">
        <v>5</v>
      </c>
      <c r="AI702" s="3">
        <v>0</v>
      </c>
      <c r="AJ702" s="3">
        <v>0</v>
      </c>
      <c r="AK702" s="3">
        <v>580</v>
      </c>
      <c r="AL702" s="3">
        <v>0</v>
      </c>
      <c r="AM702" s="3">
        <v>504.01</v>
      </c>
      <c r="AN702" s="3">
        <v>-151.19999999999999</v>
      </c>
      <c r="AO702" s="3">
        <v>0</v>
      </c>
      <c r="AP702" s="3">
        <v>652.97</v>
      </c>
      <c r="AR702" t="str">
        <f t="shared" si="91"/>
        <v>0000000000000</v>
      </c>
      <c r="AT702" t="str">
        <f>T("9791137601413")</f>
        <v>9791137601413</v>
      </c>
      <c r="AV702" t="str">
        <f t="shared" si="92"/>
        <v>웹툰 &gt; 해외 순정</v>
      </c>
      <c r="AW702" t="str">
        <f>T("웹툰 &gt; 로맨스")</f>
        <v>웹툰 &gt; 로맨스</v>
      </c>
    </row>
    <row r="703" spans="1:49" x14ac:dyDescent="0.4">
      <c r="A703">
        <v>4421000916</v>
      </c>
      <c r="B703">
        <v>4421001561</v>
      </c>
      <c r="C703" t="str">
        <f>T("별빛 아래 우리 77화")</f>
        <v>별빛 아래 우리 77화</v>
      </c>
      <c r="D703" t="str">
        <f>T("77")</f>
        <v>77</v>
      </c>
      <c r="E703" t="str">
        <f>T("건일")</f>
        <v>건일</v>
      </c>
      <c r="G703" t="str">
        <f>T("건일")</f>
        <v>건일</v>
      </c>
      <c r="H703" t="str">
        <f t="shared" si="86"/>
        <v>스토리위즈</v>
      </c>
      <c r="I703" t="str">
        <f>T("별빛 아래 우리")</f>
        <v>별빛 아래 우리</v>
      </c>
      <c r="J703">
        <v>400</v>
      </c>
      <c r="K703">
        <v>0</v>
      </c>
      <c r="L703">
        <v>0</v>
      </c>
      <c r="M703">
        <v>0</v>
      </c>
      <c r="N703">
        <v>2200</v>
      </c>
      <c r="O703">
        <v>11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 s="3">
        <v>2200</v>
      </c>
      <c r="AH703" s="3">
        <v>11</v>
      </c>
      <c r="AI703" s="3">
        <v>0</v>
      </c>
      <c r="AJ703" s="3">
        <v>0</v>
      </c>
      <c r="AK703" s="3">
        <v>1180</v>
      </c>
      <c r="AL703" s="3">
        <v>0</v>
      </c>
      <c r="AM703" s="3">
        <v>1224.83</v>
      </c>
      <c r="AN703" s="3">
        <v>-367.45</v>
      </c>
      <c r="AO703" s="3">
        <v>0</v>
      </c>
      <c r="AP703" s="3">
        <v>1426.17</v>
      </c>
      <c r="AR703" t="str">
        <f t="shared" si="91"/>
        <v>0000000000000</v>
      </c>
      <c r="AT703" t="str">
        <f>T("9791137601413")</f>
        <v>9791137601413</v>
      </c>
      <c r="AV703" t="str">
        <f t="shared" si="92"/>
        <v>웹툰 &gt; 해외 순정</v>
      </c>
      <c r="AW703" t="str">
        <f>T("웹툰 &gt; 로맨스")</f>
        <v>웹툰 &gt; 로맨스</v>
      </c>
    </row>
    <row r="704" spans="1:49" x14ac:dyDescent="0.4">
      <c r="A704">
        <v>4421000198</v>
      </c>
      <c r="B704">
        <v>4421000226</v>
      </c>
      <c r="C704" t="str">
        <f>T("공주전쟁 29화")</f>
        <v>공주전쟁 29화</v>
      </c>
      <c r="D704" t="str">
        <f>T("29")</f>
        <v>29</v>
      </c>
      <c r="E704" t="str">
        <f>T("Hujing")</f>
        <v>Hujing</v>
      </c>
      <c r="G704" t="str">
        <f>T("Luojie")</f>
        <v>Luojie</v>
      </c>
      <c r="H704" t="str">
        <f t="shared" si="86"/>
        <v>스토리위즈</v>
      </c>
      <c r="I704" t="str">
        <f>T("공주전쟁")</f>
        <v>공주전쟁</v>
      </c>
      <c r="J704">
        <v>400</v>
      </c>
      <c r="K704">
        <v>0</v>
      </c>
      <c r="L704">
        <v>0</v>
      </c>
      <c r="M704">
        <v>0</v>
      </c>
      <c r="N704">
        <v>600</v>
      </c>
      <c r="O704">
        <v>3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 s="3">
        <v>600</v>
      </c>
      <c r="AH704" s="3">
        <v>3</v>
      </c>
      <c r="AI704" s="3">
        <v>0</v>
      </c>
      <c r="AJ704" s="3">
        <v>0</v>
      </c>
      <c r="AK704" s="3">
        <v>400</v>
      </c>
      <c r="AL704" s="3">
        <v>0</v>
      </c>
      <c r="AM704" s="3">
        <v>240</v>
      </c>
      <c r="AN704" s="3">
        <v>-72</v>
      </c>
      <c r="AO704" s="3">
        <v>0</v>
      </c>
      <c r="AP704" s="3">
        <v>397.6</v>
      </c>
      <c r="AR704" t="str">
        <f t="shared" si="91"/>
        <v>0000000000000</v>
      </c>
      <c r="AT704" t="str">
        <f>T("9791166069666")</f>
        <v>9791166069666</v>
      </c>
      <c r="AV704" t="str">
        <f t="shared" si="92"/>
        <v>웹툰 &gt; 해외 순정</v>
      </c>
      <c r="AW704" t="str">
        <f>T("웹툰 &gt; 로판")</f>
        <v>웹툰 &gt; 로판</v>
      </c>
    </row>
    <row r="705" spans="1:49" x14ac:dyDescent="0.4">
      <c r="A705">
        <v>4421000887</v>
      </c>
      <c r="B705">
        <v>4421001175</v>
      </c>
      <c r="C705" t="str">
        <f>T("폭군의 눈물 35화")</f>
        <v>폭군의 눈물 35화</v>
      </c>
      <c r="D705" t="str">
        <f>T("35")</f>
        <v>35</v>
      </c>
      <c r="E705" t="str">
        <f>T("Ice×FANFAN COMIC")</f>
        <v>Ice×FANFAN COMIC</v>
      </c>
      <c r="G705" t="str">
        <f>T("Ice×FANFAN COMIC")</f>
        <v>Ice×FANFAN COMIC</v>
      </c>
      <c r="H705" t="str">
        <f t="shared" si="86"/>
        <v>스토리위즈</v>
      </c>
      <c r="I705" t="str">
        <f>T("폭군의 눈물")</f>
        <v>폭군의 눈물</v>
      </c>
      <c r="J705">
        <v>400</v>
      </c>
      <c r="K705">
        <v>0</v>
      </c>
      <c r="L705">
        <v>0</v>
      </c>
      <c r="M705">
        <v>0</v>
      </c>
      <c r="N705">
        <v>600</v>
      </c>
      <c r="O705">
        <v>3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 s="3">
        <v>600</v>
      </c>
      <c r="AH705" s="3">
        <v>3</v>
      </c>
      <c r="AI705" s="3">
        <v>0</v>
      </c>
      <c r="AJ705" s="3">
        <v>0</v>
      </c>
      <c r="AK705" s="3">
        <v>400</v>
      </c>
      <c r="AL705" s="3">
        <v>0</v>
      </c>
      <c r="AM705" s="3">
        <v>240</v>
      </c>
      <c r="AN705" s="3">
        <v>-72</v>
      </c>
      <c r="AO705" s="3">
        <v>0</v>
      </c>
      <c r="AP705" s="3">
        <v>397.6</v>
      </c>
      <c r="AR705" t="str">
        <f t="shared" si="91"/>
        <v>0000000000000</v>
      </c>
      <c r="AT705" t="str">
        <f>T("9791137601291")</f>
        <v>9791137601291</v>
      </c>
      <c r="AV705" t="str">
        <f t="shared" si="92"/>
        <v>웹툰 &gt; 해외 순정</v>
      </c>
      <c r="AW705" t="str">
        <f>T("웹툰 &gt; 로판")</f>
        <v>웹툰 &gt; 로판</v>
      </c>
    </row>
    <row r="706" spans="1:49" x14ac:dyDescent="0.4">
      <c r="A706">
        <v>4421000198</v>
      </c>
      <c r="B706">
        <v>4421001461</v>
      </c>
      <c r="C706" t="str">
        <f>T("공주전쟁 94화")</f>
        <v>공주전쟁 94화</v>
      </c>
      <c r="D706" t="str">
        <f>T("94")</f>
        <v>94</v>
      </c>
      <c r="E706" t="str">
        <f>T("Hujing")</f>
        <v>Hujing</v>
      </c>
      <c r="G706" t="str">
        <f>T("Luojie")</f>
        <v>Luojie</v>
      </c>
      <c r="H706" t="str">
        <f t="shared" ref="H706:H769" si="93">T("스토리위즈")</f>
        <v>스토리위즈</v>
      </c>
      <c r="I706" t="str">
        <f>T("공주전쟁")</f>
        <v>공주전쟁</v>
      </c>
      <c r="J706">
        <v>400</v>
      </c>
      <c r="K706">
        <v>0</v>
      </c>
      <c r="L706">
        <v>0</v>
      </c>
      <c r="M706">
        <v>0</v>
      </c>
      <c r="N706">
        <v>200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 s="3">
        <v>200</v>
      </c>
      <c r="AH706" s="3">
        <v>1</v>
      </c>
      <c r="AI706" s="3">
        <v>0</v>
      </c>
      <c r="AJ706" s="3">
        <v>0</v>
      </c>
      <c r="AK706" s="3">
        <v>0</v>
      </c>
      <c r="AL706" s="3">
        <v>0</v>
      </c>
      <c r="AM706" s="3">
        <v>240</v>
      </c>
      <c r="AN706" s="3">
        <v>-72</v>
      </c>
      <c r="AO706" s="3">
        <v>0</v>
      </c>
      <c r="AP706" s="3">
        <v>117.6</v>
      </c>
      <c r="AR706" t="str">
        <f t="shared" si="91"/>
        <v>0000000000000</v>
      </c>
      <c r="AT706" t="str">
        <f>T("9791166069666")</f>
        <v>9791166069666</v>
      </c>
      <c r="AV706" t="str">
        <f t="shared" si="92"/>
        <v>웹툰 &gt; 해외 순정</v>
      </c>
      <c r="AW706" t="str">
        <f>T("웹툰 &gt; 로판")</f>
        <v>웹툰 &gt; 로판</v>
      </c>
    </row>
    <row r="707" spans="1:49" x14ac:dyDescent="0.4">
      <c r="A707">
        <v>4421000450</v>
      </c>
      <c r="B707">
        <v>4421000451</v>
      </c>
      <c r="C707" t="str">
        <f>T("내 남편의 스토커 1화")</f>
        <v>내 남편의 스토커 1화</v>
      </c>
      <c r="D707" t="str">
        <f>T("1")</f>
        <v>1</v>
      </c>
      <c r="E707" t="str">
        <f>T("혜원")</f>
        <v>혜원</v>
      </c>
      <c r="G707" t="str">
        <f>T("혜원")</f>
        <v>혜원</v>
      </c>
      <c r="H707" t="str">
        <f t="shared" si="93"/>
        <v>스토리위즈</v>
      </c>
      <c r="I707" t="str">
        <f>T("내 남편의 스토커")</f>
        <v>내 남편의 스토커</v>
      </c>
      <c r="J707">
        <v>400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s="3">
        <v>0</v>
      </c>
      <c r="AH707" s="3">
        <v>1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R707" t="str">
        <f t="shared" si="91"/>
        <v>0000000000000</v>
      </c>
      <c r="AT707" t="str">
        <f>T("9791166068034")</f>
        <v>9791166068034</v>
      </c>
      <c r="AV707" t="str">
        <f>T("웹툰 &gt; 로맨스")</f>
        <v>웹툰 &gt; 로맨스</v>
      </c>
    </row>
    <row r="708" spans="1:49" x14ac:dyDescent="0.4">
      <c r="A708">
        <v>4421000866</v>
      </c>
      <c r="B708">
        <v>4421000961</v>
      </c>
      <c r="C708" t="str">
        <f>T("최애에게 들켜버렸다 27화")</f>
        <v>최애에게 들켜버렸다 27화</v>
      </c>
      <c r="D708" t="str">
        <f>T("28")</f>
        <v>28</v>
      </c>
      <c r="E708" t="str">
        <f>T("Lv")</f>
        <v>Lv</v>
      </c>
      <c r="G708" t="str">
        <f>T("Lv")</f>
        <v>Lv</v>
      </c>
      <c r="H708" t="str">
        <f t="shared" si="93"/>
        <v>스토리위즈</v>
      </c>
      <c r="I708" t="str">
        <f>T("최애에게 들켜버렸다")</f>
        <v>최애에게 들켜버렸다</v>
      </c>
      <c r="J708">
        <v>400</v>
      </c>
      <c r="K708">
        <v>0</v>
      </c>
      <c r="L708">
        <v>0</v>
      </c>
      <c r="M708">
        <v>0</v>
      </c>
      <c r="N708">
        <v>600</v>
      </c>
      <c r="O708">
        <v>3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 s="3">
        <v>600</v>
      </c>
      <c r="AH708" s="3">
        <v>3</v>
      </c>
      <c r="AI708" s="3">
        <v>0</v>
      </c>
      <c r="AJ708" s="3">
        <v>0</v>
      </c>
      <c r="AK708" s="3">
        <v>424</v>
      </c>
      <c r="AL708" s="3">
        <v>0</v>
      </c>
      <c r="AM708" s="3">
        <v>211.38</v>
      </c>
      <c r="AN708" s="3">
        <v>-63.41</v>
      </c>
      <c r="AO708" s="3">
        <v>0</v>
      </c>
      <c r="AP708" s="3">
        <v>400.38</v>
      </c>
      <c r="AR708" t="str">
        <f t="shared" si="91"/>
        <v>0000000000000</v>
      </c>
      <c r="AT708" t="str">
        <f>T("9791137601253")</f>
        <v>9791137601253</v>
      </c>
      <c r="AV708" t="str">
        <f>T("웹툰 &gt; 해외 순정")</f>
        <v>웹툰 &gt; 해외 순정</v>
      </c>
      <c r="AW708" t="str">
        <f>T("웹툰 &gt; 로맨스")</f>
        <v>웹툰 &gt; 로맨스</v>
      </c>
    </row>
    <row r="709" spans="1:49" x14ac:dyDescent="0.4">
      <c r="A709">
        <v>4421001764</v>
      </c>
      <c r="B709">
        <v>4421001785</v>
      </c>
      <c r="C709" t="str">
        <f>T("예쁜 남자 잘생긴 여자 22화")</f>
        <v>예쁜 남자 잘생긴 여자 22화</v>
      </c>
      <c r="D709" t="str">
        <f>T("22")</f>
        <v>22</v>
      </c>
      <c r="E709" t="str">
        <f>T("웹티")</f>
        <v>웹티</v>
      </c>
      <c r="H709" t="str">
        <f t="shared" si="93"/>
        <v>스토리위즈</v>
      </c>
      <c r="I709" t="str">
        <f>T("예쁜 남자 잘생긴 여자")</f>
        <v>예쁜 남자 잘생긴 여자</v>
      </c>
      <c r="J709">
        <v>500</v>
      </c>
      <c r="K709">
        <v>0</v>
      </c>
      <c r="L709">
        <v>0</v>
      </c>
      <c r="M709">
        <v>0</v>
      </c>
      <c r="N709">
        <v>200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 s="3">
        <v>200</v>
      </c>
      <c r="AH709" s="3">
        <v>1</v>
      </c>
      <c r="AI709" s="3">
        <v>0</v>
      </c>
      <c r="AJ709" s="3">
        <v>0</v>
      </c>
      <c r="AK709" s="3">
        <v>0</v>
      </c>
      <c r="AL709" s="3">
        <v>0</v>
      </c>
      <c r="AM709" s="3">
        <v>240.82</v>
      </c>
      <c r="AN709" s="3">
        <v>-72.25</v>
      </c>
      <c r="AO709" s="3">
        <v>0</v>
      </c>
      <c r="AP709" s="3">
        <v>118</v>
      </c>
      <c r="AR709" t="str">
        <f t="shared" si="91"/>
        <v>0000000000000</v>
      </c>
      <c r="AT709" t="str">
        <f>T("9791190702164")</f>
        <v>9791190702164</v>
      </c>
      <c r="AV709" t="str">
        <f>T("웹툰 &gt; 로맨스")</f>
        <v>웹툰 &gt; 로맨스</v>
      </c>
    </row>
    <row r="710" spans="1:49" x14ac:dyDescent="0.4">
      <c r="A710">
        <v>4421000337</v>
      </c>
      <c r="B710">
        <v>4421000411</v>
      </c>
      <c r="C710" t="str">
        <f>T("계약연애, 오늘부터 1일 75화")</f>
        <v>계약연애, 오늘부터 1일 75화</v>
      </c>
      <c r="D710" t="str">
        <f>T("75")</f>
        <v>75</v>
      </c>
      <c r="E710" t="str">
        <f>T("원기공장")</f>
        <v>원기공장</v>
      </c>
      <c r="H710" t="str">
        <f t="shared" si="93"/>
        <v>스토리위즈</v>
      </c>
      <c r="I710" t="str">
        <f>T("계약연애, 오늘부터 1일")</f>
        <v>계약연애, 오늘부터 1일</v>
      </c>
      <c r="J710">
        <v>200</v>
      </c>
      <c r="K710">
        <v>0</v>
      </c>
      <c r="L710">
        <v>0</v>
      </c>
      <c r="M710">
        <v>0</v>
      </c>
      <c r="N710">
        <v>100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 s="3">
        <v>100</v>
      </c>
      <c r="AH710" s="3">
        <v>1</v>
      </c>
      <c r="AI710" s="3">
        <v>0</v>
      </c>
      <c r="AJ710" s="3">
        <v>0</v>
      </c>
      <c r="AK710" s="3">
        <v>100</v>
      </c>
      <c r="AL710" s="3">
        <v>0</v>
      </c>
      <c r="AM710" s="3">
        <v>0</v>
      </c>
      <c r="AN710" s="3">
        <v>0</v>
      </c>
      <c r="AO710" s="3">
        <v>0</v>
      </c>
      <c r="AP710" s="3">
        <v>70</v>
      </c>
      <c r="AR710" t="str">
        <f t="shared" si="91"/>
        <v>0000000000000</v>
      </c>
      <c r="AT710" t="str">
        <f>T("9791166068027")</f>
        <v>9791166068027</v>
      </c>
      <c r="AV710" t="str">
        <f>T("웹툰 &gt; 해외 순정")</f>
        <v>웹툰 &gt; 해외 순정</v>
      </c>
      <c r="AW710" t="str">
        <f>T("웹툰 &gt; 로맨스")</f>
        <v>웹툰 &gt; 로맨스</v>
      </c>
    </row>
    <row r="711" spans="1:49" x14ac:dyDescent="0.4">
      <c r="A711">
        <v>4421000001</v>
      </c>
      <c r="B711">
        <v>4421000012</v>
      </c>
      <c r="C711" t="str">
        <f>T("감옥실험 2화")</f>
        <v>감옥실험 2화</v>
      </c>
      <c r="D711" t="str">
        <f>T("2")</f>
        <v>2</v>
      </c>
      <c r="E711" t="str">
        <f>T("Kantetsu")</f>
        <v>Kantetsu</v>
      </c>
      <c r="G711" t="str">
        <f>T("Minase Chiho")</f>
        <v>Minase Chiho</v>
      </c>
      <c r="H711" t="str">
        <f t="shared" si="93"/>
        <v>스토리위즈</v>
      </c>
      <c r="I711" t="str">
        <f>T("감옥실험")</f>
        <v>감옥실험</v>
      </c>
      <c r="J711">
        <v>500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12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 s="3">
        <v>0</v>
      </c>
      <c r="AH711" s="3">
        <v>12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T711" t="str">
        <f>T("9791166069406")</f>
        <v>9791166069406</v>
      </c>
      <c r="AV711" t="str">
        <f>T("웹툰 &gt; 드라마")</f>
        <v>웹툰 &gt; 드라마</v>
      </c>
    </row>
    <row r="712" spans="1:49" x14ac:dyDescent="0.4">
      <c r="A712">
        <v>4421000518</v>
      </c>
      <c r="B712">
        <v>4421000531</v>
      </c>
      <c r="C712" t="str">
        <f>T("백스테이지 키스신 13화")</f>
        <v>백스테이지 키스신 13화</v>
      </c>
      <c r="D712" t="str">
        <f>T("13")</f>
        <v>13</v>
      </c>
      <c r="E712" t="str">
        <f>T("최도비")</f>
        <v>최도비</v>
      </c>
      <c r="G712" t="str">
        <f>T("수정과")</f>
        <v>수정과</v>
      </c>
      <c r="H712" t="str">
        <f t="shared" si="93"/>
        <v>스토리위즈</v>
      </c>
      <c r="I712" t="str">
        <f>T("백스테이지 키스신")</f>
        <v>백스테이지 키스신</v>
      </c>
      <c r="J712">
        <v>400</v>
      </c>
      <c r="K712">
        <v>0</v>
      </c>
      <c r="L712">
        <v>0</v>
      </c>
      <c r="M712">
        <v>0</v>
      </c>
      <c r="N712">
        <v>200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 s="3">
        <v>200</v>
      </c>
      <c r="AH712" s="3">
        <v>1</v>
      </c>
      <c r="AI712" s="3">
        <v>0</v>
      </c>
      <c r="AJ712" s="3">
        <v>0</v>
      </c>
      <c r="AK712" s="3">
        <v>200</v>
      </c>
      <c r="AL712" s="3">
        <v>0</v>
      </c>
      <c r="AM712" s="3">
        <v>0</v>
      </c>
      <c r="AN712" s="3">
        <v>0</v>
      </c>
      <c r="AO712" s="3">
        <v>0</v>
      </c>
      <c r="AP712" s="3">
        <v>140</v>
      </c>
      <c r="AR712" t="str">
        <f t="shared" ref="AR712:AR736" si="94">T("0000000000000")</f>
        <v>0000000000000</v>
      </c>
      <c r="AT712" t="str">
        <f>T("9791166067990")</f>
        <v>9791166067990</v>
      </c>
      <c r="AV712" t="str">
        <f>T("웹툰 &gt; 로맨스")</f>
        <v>웹툰 &gt; 로맨스</v>
      </c>
    </row>
    <row r="713" spans="1:49" x14ac:dyDescent="0.4">
      <c r="A713">
        <v>4421000887</v>
      </c>
      <c r="B713">
        <v>4421001208</v>
      </c>
      <c r="C713" t="str">
        <f>T("폭군의 눈물 39화")</f>
        <v>폭군의 눈물 39화</v>
      </c>
      <c r="D713" t="str">
        <f>T("39")</f>
        <v>39</v>
      </c>
      <c r="E713" t="str">
        <f>T("Ice×FANFAN COMIC")</f>
        <v>Ice×FANFAN COMIC</v>
      </c>
      <c r="G713" t="str">
        <f>T("Ice×FANFAN COMIC")</f>
        <v>Ice×FANFAN COMIC</v>
      </c>
      <c r="H713" t="str">
        <f t="shared" si="93"/>
        <v>스토리위즈</v>
      </c>
      <c r="I713" t="str">
        <f>T("폭군의 눈물")</f>
        <v>폭군의 눈물</v>
      </c>
      <c r="J713">
        <v>400</v>
      </c>
      <c r="K713">
        <v>0</v>
      </c>
      <c r="L713">
        <v>0</v>
      </c>
      <c r="M713">
        <v>0</v>
      </c>
      <c r="N713">
        <v>600</v>
      </c>
      <c r="O713">
        <v>3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 s="3">
        <v>600</v>
      </c>
      <c r="AH713" s="3">
        <v>3</v>
      </c>
      <c r="AI713" s="3">
        <v>0</v>
      </c>
      <c r="AJ713" s="3">
        <v>0</v>
      </c>
      <c r="AK713" s="3">
        <v>400</v>
      </c>
      <c r="AL713" s="3">
        <v>0</v>
      </c>
      <c r="AM713" s="3">
        <v>240</v>
      </c>
      <c r="AN713" s="3">
        <v>-72</v>
      </c>
      <c r="AO713" s="3">
        <v>0</v>
      </c>
      <c r="AP713" s="3">
        <v>397.6</v>
      </c>
      <c r="AR713" t="str">
        <f t="shared" si="94"/>
        <v>0000000000000</v>
      </c>
      <c r="AT713" t="str">
        <f>T("9791137601291")</f>
        <v>9791137601291</v>
      </c>
      <c r="AV713" t="str">
        <f>T("웹툰 &gt; 해외 순정")</f>
        <v>웹툰 &gt; 해외 순정</v>
      </c>
      <c r="AW713" t="str">
        <f>T("웹툰 &gt; 로판")</f>
        <v>웹툰 &gt; 로판</v>
      </c>
    </row>
    <row r="714" spans="1:49" x14ac:dyDescent="0.4">
      <c r="A714">
        <v>4421000450</v>
      </c>
      <c r="B714">
        <v>4421000491</v>
      </c>
      <c r="C714" t="str">
        <f>T("내 남편의 스토커 41화")</f>
        <v>내 남편의 스토커 41화</v>
      </c>
      <c r="D714" t="str">
        <f>T("41")</f>
        <v>41</v>
      </c>
      <c r="E714" t="str">
        <f>T("혜원")</f>
        <v>혜원</v>
      </c>
      <c r="G714" t="str">
        <f>T("혜원")</f>
        <v>혜원</v>
      </c>
      <c r="H714" t="str">
        <f t="shared" si="93"/>
        <v>스토리위즈</v>
      </c>
      <c r="I714" t="str">
        <f>T("내 남편의 스토커")</f>
        <v>내 남편의 스토커</v>
      </c>
      <c r="J714">
        <v>400</v>
      </c>
      <c r="K714">
        <v>0</v>
      </c>
      <c r="L714">
        <v>0</v>
      </c>
      <c r="M714">
        <v>0</v>
      </c>
      <c r="N714">
        <v>200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 s="3">
        <v>200</v>
      </c>
      <c r="AH714" s="3">
        <v>1</v>
      </c>
      <c r="AI714" s="3">
        <v>0</v>
      </c>
      <c r="AJ714" s="3">
        <v>0</v>
      </c>
      <c r="AK714" s="3">
        <v>200</v>
      </c>
      <c r="AL714" s="3">
        <v>0</v>
      </c>
      <c r="AM714" s="3">
        <v>0</v>
      </c>
      <c r="AN714" s="3">
        <v>0</v>
      </c>
      <c r="AO714" s="3">
        <v>0</v>
      </c>
      <c r="AP714" s="3">
        <v>140</v>
      </c>
      <c r="AR714" t="str">
        <f t="shared" si="94"/>
        <v>0000000000000</v>
      </c>
      <c r="AT714" t="str">
        <f>T("9791166068034")</f>
        <v>9791166068034</v>
      </c>
      <c r="AV714" t="str">
        <f>T("웹툰 &gt; 로맨스")</f>
        <v>웹툰 &gt; 로맨스</v>
      </c>
    </row>
    <row r="715" spans="1:49" x14ac:dyDescent="0.4">
      <c r="A715">
        <v>4421000198</v>
      </c>
      <c r="B715">
        <v>4421000258</v>
      </c>
      <c r="C715" t="str">
        <f>T("공주전쟁 50화")</f>
        <v>공주전쟁 50화</v>
      </c>
      <c r="D715" t="str">
        <f>T("50")</f>
        <v>50</v>
      </c>
      <c r="E715" t="str">
        <f>T("Hujing")</f>
        <v>Hujing</v>
      </c>
      <c r="G715" t="str">
        <f>T("Luojie")</f>
        <v>Luojie</v>
      </c>
      <c r="H715" t="str">
        <f t="shared" si="93"/>
        <v>스토리위즈</v>
      </c>
      <c r="I715" t="str">
        <f>T("공주전쟁")</f>
        <v>공주전쟁</v>
      </c>
      <c r="J715">
        <v>400</v>
      </c>
      <c r="K715">
        <v>0</v>
      </c>
      <c r="L715">
        <v>0</v>
      </c>
      <c r="M715">
        <v>0</v>
      </c>
      <c r="N715">
        <v>400</v>
      </c>
      <c r="O715">
        <v>2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 s="3">
        <v>400</v>
      </c>
      <c r="AH715" s="3">
        <v>2</v>
      </c>
      <c r="AI715" s="3">
        <v>0</v>
      </c>
      <c r="AJ715" s="3">
        <v>0</v>
      </c>
      <c r="AK715" s="3">
        <v>200</v>
      </c>
      <c r="AL715" s="3">
        <v>0</v>
      </c>
      <c r="AM715" s="3">
        <v>240</v>
      </c>
      <c r="AN715" s="3">
        <v>-72</v>
      </c>
      <c r="AO715" s="3">
        <v>0</v>
      </c>
      <c r="AP715" s="3">
        <v>257.60000000000002</v>
      </c>
      <c r="AR715" t="str">
        <f t="shared" si="94"/>
        <v>0000000000000</v>
      </c>
      <c r="AT715" t="str">
        <f>T("9791166069666")</f>
        <v>9791166069666</v>
      </c>
      <c r="AV715" t="str">
        <f>T("웹툰 &gt; 해외 순정")</f>
        <v>웹툰 &gt; 해외 순정</v>
      </c>
      <c r="AW715" t="str">
        <f>T("웹툰 &gt; 로판")</f>
        <v>웹툰 &gt; 로판</v>
      </c>
    </row>
    <row r="716" spans="1:49" x14ac:dyDescent="0.4">
      <c r="A716">
        <v>4421000887</v>
      </c>
      <c r="B716">
        <v>4421000890</v>
      </c>
      <c r="C716" t="str">
        <f>T("폭군의 눈물 4화")</f>
        <v>폭군의 눈물 4화</v>
      </c>
      <c r="D716" t="str">
        <f>T("4")</f>
        <v>4</v>
      </c>
      <c r="E716" t="str">
        <f>T("Ice×FANFAN COMIC")</f>
        <v>Ice×FANFAN COMIC</v>
      </c>
      <c r="G716" t="str">
        <f>T("Ice×FANFAN COMIC")</f>
        <v>Ice×FANFAN COMIC</v>
      </c>
      <c r="H716" t="str">
        <f t="shared" si="93"/>
        <v>스토리위즈</v>
      </c>
      <c r="I716" t="str">
        <f>T("폭군의 눈물")</f>
        <v>폭군의 눈물</v>
      </c>
      <c r="J716">
        <v>400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18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 s="3">
        <v>0</v>
      </c>
      <c r="AH716" s="3">
        <v>18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R716" t="str">
        <f t="shared" si="94"/>
        <v>0000000000000</v>
      </c>
      <c r="AT716" t="str">
        <f>T("9791137601291")</f>
        <v>9791137601291</v>
      </c>
      <c r="AV716" t="str">
        <f>T("웹툰 &gt; 해외 순정")</f>
        <v>웹툰 &gt; 해외 순정</v>
      </c>
      <c r="AW716" t="str">
        <f>T("웹툰 &gt; 로판")</f>
        <v>웹툰 &gt; 로판</v>
      </c>
    </row>
    <row r="717" spans="1:49" x14ac:dyDescent="0.4">
      <c r="A717">
        <v>4421001325</v>
      </c>
      <c r="B717">
        <v>4421001545</v>
      </c>
      <c r="C717" t="str">
        <f>T("커피여우 김삼월 24화")</f>
        <v>커피여우 김삼월 24화</v>
      </c>
      <c r="D717" t="str">
        <f>T("24")</f>
        <v>24</v>
      </c>
      <c r="E717" t="str">
        <f>T("Nica")</f>
        <v>Nica</v>
      </c>
      <c r="G717" t="str">
        <f>T("A.Noa, RK Studio")</f>
        <v>A.Noa, RK Studio</v>
      </c>
      <c r="H717" t="str">
        <f t="shared" si="93"/>
        <v>스토리위즈</v>
      </c>
      <c r="I717" t="str">
        <f>T("커피여우 김삼월")</f>
        <v>커피여우 김삼월</v>
      </c>
      <c r="J717">
        <v>500</v>
      </c>
      <c r="K717">
        <v>0</v>
      </c>
      <c r="L717">
        <v>0</v>
      </c>
      <c r="M717">
        <v>0</v>
      </c>
      <c r="N717">
        <v>400</v>
      </c>
      <c r="O717">
        <v>2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 s="3">
        <v>400</v>
      </c>
      <c r="AH717" s="3">
        <v>2</v>
      </c>
      <c r="AI717" s="3">
        <v>0</v>
      </c>
      <c r="AJ717" s="3">
        <v>0</v>
      </c>
      <c r="AK717" s="3">
        <v>400</v>
      </c>
      <c r="AL717" s="3">
        <v>0</v>
      </c>
      <c r="AM717" s="3">
        <v>0</v>
      </c>
      <c r="AN717" s="3">
        <v>0</v>
      </c>
      <c r="AO717" s="3">
        <v>0</v>
      </c>
      <c r="AP717" s="3">
        <v>280</v>
      </c>
      <c r="AR717" t="str">
        <f t="shared" si="94"/>
        <v>0000000000000</v>
      </c>
      <c r="AT717" t="str">
        <f>T("9791191241792")</f>
        <v>9791191241792</v>
      </c>
      <c r="AV717" t="str">
        <f>T("웹툰 &gt; 로맨스")</f>
        <v>웹툰 &gt; 로맨스</v>
      </c>
    </row>
    <row r="718" spans="1:49" x14ac:dyDescent="0.4">
      <c r="A718">
        <v>4421000198</v>
      </c>
      <c r="B718">
        <v>4421000219</v>
      </c>
      <c r="C718" t="str">
        <f>T("공주전쟁 22화")</f>
        <v>공주전쟁 22화</v>
      </c>
      <c r="D718" t="str">
        <f>T("22")</f>
        <v>22</v>
      </c>
      <c r="E718" t="str">
        <f>T("Hujing")</f>
        <v>Hujing</v>
      </c>
      <c r="G718" t="str">
        <f>T("Luojie")</f>
        <v>Luojie</v>
      </c>
      <c r="H718" t="str">
        <f t="shared" si="93"/>
        <v>스토리위즈</v>
      </c>
      <c r="I718" t="str">
        <f>T("공주전쟁")</f>
        <v>공주전쟁</v>
      </c>
      <c r="J718">
        <v>400</v>
      </c>
      <c r="K718">
        <v>0</v>
      </c>
      <c r="L718">
        <v>0</v>
      </c>
      <c r="M718">
        <v>0</v>
      </c>
      <c r="N718">
        <v>600</v>
      </c>
      <c r="O718">
        <v>3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 s="3">
        <v>600</v>
      </c>
      <c r="AH718" s="3">
        <v>3</v>
      </c>
      <c r="AI718" s="3">
        <v>0</v>
      </c>
      <c r="AJ718" s="3">
        <v>0</v>
      </c>
      <c r="AK718" s="3">
        <v>400</v>
      </c>
      <c r="AL718" s="3">
        <v>0</v>
      </c>
      <c r="AM718" s="3">
        <v>240</v>
      </c>
      <c r="AN718" s="3">
        <v>-72</v>
      </c>
      <c r="AO718" s="3">
        <v>0</v>
      </c>
      <c r="AP718" s="3">
        <v>397.6</v>
      </c>
      <c r="AR718" t="str">
        <f t="shared" si="94"/>
        <v>0000000000000</v>
      </c>
      <c r="AT718" t="str">
        <f>T("9791166069666")</f>
        <v>9791166069666</v>
      </c>
      <c r="AV718" t="str">
        <f>T("웹툰 &gt; 해외 순정")</f>
        <v>웹툰 &gt; 해외 순정</v>
      </c>
      <c r="AW718" t="str">
        <f>T("웹툰 &gt; 로판")</f>
        <v>웹툰 &gt; 로판</v>
      </c>
    </row>
    <row r="719" spans="1:49" x14ac:dyDescent="0.4">
      <c r="A719">
        <v>4421001325</v>
      </c>
      <c r="B719">
        <v>4421001453</v>
      </c>
      <c r="C719" t="str">
        <f>T("커피여우 김삼월 17화")</f>
        <v>커피여우 김삼월 17화</v>
      </c>
      <c r="D719" t="str">
        <f>T("17")</f>
        <v>17</v>
      </c>
      <c r="E719" t="str">
        <f>T("Nica")</f>
        <v>Nica</v>
      </c>
      <c r="G719" t="str">
        <f>T("A.Noa, RK Studio")</f>
        <v>A.Noa, RK Studio</v>
      </c>
      <c r="H719" t="str">
        <f t="shared" si="93"/>
        <v>스토리위즈</v>
      </c>
      <c r="I719" t="str">
        <f>T("커피여우 김삼월")</f>
        <v>커피여우 김삼월</v>
      </c>
      <c r="J719">
        <v>500</v>
      </c>
      <c r="K719">
        <v>0</v>
      </c>
      <c r="L719">
        <v>0</v>
      </c>
      <c r="M719">
        <v>0</v>
      </c>
      <c r="N719">
        <v>200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 s="3">
        <v>200</v>
      </c>
      <c r="AH719" s="3">
        <v>1</v>
      </c>
      <c r="AI719" s="3">
        <v>0</v>
      </c>
      <c r="AJ719" s="3">
        <v>0</v>
      </c>
      <c r="AK719" s="3">
        <v>200</v>
      </c>
      <c r="AL719" s="3">
        <v>0</v>
      </c>
      <c r="AM719" s="3">
        <v>0</v>
      </c>
      <c r="AN719" s="3">
        <v>0</v>
      </c>
      <c r="AO719" s="3">
        <v>0</v>
      </c>
      <c r="AP719" s="3">
        <v>140</v>
      </c>
      <c r="AR719" t="str">
        <f t="shared" si="94"/>
        <v>0000000000000</v>
      </c>
      <c r="AT719" t="str">
        <f>T("9791191241792")</f>
        <v>9791191241792</v>
      </c>
      <c r="AV719" t="str">
        <f>T("웹툰 &gt; 로맨스")</f>
        <v>웹툰 &gt; 로맨스</v>
      </c>
    </row>
    <row r="720" spans="1:49" x14ac:dyDescent="0.4">
      <c r="A720">
        <v>4421000337</v>
      </c>
      <c r="B720">
        <v>4421000444</v>
      </c>
      <c r="C720" t="str">
        <f>T("계약연애, 오늘부터 1일 108화")</f>
        <v>계약연애, 오늘부터 1일 108화</v>
      </c>
      <c r="D720" t="str">
        <f>T("108")</f>
        <v>108</v>
      </c>
      <c r="E720" t="str">
        <f>T("원기공장")</f>
        <v>원기공장</v>
      </c>
      <c r="H720" t="str">
        <f t="shared" si="93"/>
        <v>스토리위즈</v>
      </c>
      <c r="I720" t="str">
        <f>T("계약연애, 오늘부터 1일")</f>
        <v>계약연애, 오늘부터 1일</v>
      </c>
      <c r="J720">
        <v>200</v>
      </c>
      <c r="K720">
        <v>0</v>
      </c>
      <c r="L720">
        <v>0</v>
      </c>
      <c r="M720">
        <v>0</v>
      </c>
      <c r="N720">
        <v>100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 s="3">
        <v>100</v>
      </c>
      <c r="AH720" s="3">
        <v>1</v>
      </c>
      <c r="AI720" s="3">
        <v>0</v>
      </c>
      <c r="AJ720" s="3">
        <v>0</v>
      </c>
      <c r="AK720" s="3">
        <v>100</v>
      </c>
      <c r="AL720" s="3">
        <v>0</v>
      </c>
      <c r="AM720" s="3">
        <v>0</v>
      </c>
      <c r="AN720" s="3">
        <v>0</v>
      </c>
      <c r="AO720" s="3">
        <v>0</v>
      </c>
      <c r="AP720" s="3">
        <v>70</v>
      </c>
      <c r="AR720" t="str">
        <f t="shared" si="94"/>
        <v>0000000000000</v>
      </c>
      <c r="AT720" t="str">
        <f>T("9791166068027")</f>
        <v>9791166068027</v>
      </c>
      <c r="AV720" t="str">
        <f>T("웹툰 &gt; 해외 순정")</f>
        <v>웹툰 &gt; 해외 순정</v>
      </c>
      <c r="AW720" t="str">
        <f>T("웹툰 &gt; 로맨스")</f>
        <v>웹툰 &gt; 로맨스</v>
      </c>
    </row>
    <row r="721" spans="1:49" x14ac:dyDescent="0.4">
      <c r="A721">
        <v>4421000887</v>
      </c>
      <c r="B721">
        <v>4421000954</v>
      </c>
      <c r="C721" t="str">
        <f>T("폭군의 눈물 25화")</f>
        <v>폭군의 눈물 25화</v>
      </c>
      <c r="D721" t="str">
        <f>T("25")</f>
        <v>25</v>
      </c>
      <c r="E721" t="str">
        <f>T("Ice×FANFAN COMIC")</f>
        <v>Ice×FANFAN COMIC</v>
      </c>
      <c r="G721" t="str">
        <f>T("Ice×FANFAN COMIC")</f>
        <v>Ice×FANFAN COMIC</v>
      </c>
      <c r="H721" t="str">
        <f t="shared" si="93"/>
        <v>스토리위즈</v>
      </c>
      <c r="I721" t="str">
        <f>T("폭군의 눈물")</f>
        <v>폭군의 눈물</v>
      </c>
      <c r="J721">
        <v>400</v>
      </c>
      <c r="K721">
        <v>0</v>
      </c>
      <c r="L721">
        <v>0</v>
      </c>
      <c r="M721">
        <v>0</v>
      </c>
      <c r="N721">
        <v>600</v>
      </c>
      <c r="O721">
        <v>3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 s="3">
        <v>600</v>
      </c>
      <c r="AH721" s="3">
        <v>3</v>
      </c>
      <c r="AI721" s="3">
        <v>0</v>
      </c>
      <c r="AJ721" s="3">
        <v>0</v>
      </c>
      <c r="AK721" s="3">
        <v>400</v>
      </c>
      <c r="AL721" s="3">
        <v>0</v>
      </c>
      <c r="AM721" s="3">
        <v>240</v>
      </c>
      <c r="AN721" s="3">
        <v>-72</v>
      </c>
      <c r="AO721" s="3">
        <v>0</v>
      </c>
      <c r="AP721" s="3">
        <v>397.6</v>
      </c>
      <c r="AR721" t="str">
        <f t="shared" si="94"/>
        <v>0000000000000</v>
      </c>
      <c r="AT721" t="str">
        <f>T("9791137601291")</f>
        <v>9791137601291</v>
      </c>
      <c r="AV721" t="str">
        <f>T("웹툰 &gt; 해외 순정")</f>
        <v>웹툰 &gt; 해외 순정</v>
      </c>
      <c r="AW721" t="str">
        <f>T("웹툰 &gt; 로판")</f>
        <v>웹툰 &gt; 로판</v>
      </c>
    </row>
    <row r="722" spans="1:49" x14ac:dyDescent="0.4">
      <c r="A722">
        <v>4421001764</v>
      </c>
      <c r="B722">
        <v>4421001778</v>
      </c>
      <c r="C722" t="str">
        <f>T("예쁜 남자 잘생긴 여자 15화")</f>
        <v>예쁜 남자 잘생긴 여자 15화</v>
      </c>
      <c r="D722" t="str">
        <f>T("15")</f>
        <v>15</v>
      </c>
      <c r="E722" t="str">
        <f>T("웹티")</f>
        <v>웹티</v>
      </c>
      <c r="H722" t="str">
        <f t="shared" si="93"/>
        <v>스토리위즈</v>
      </c>
      <c r="I722" t="str">
        <f>T("예쁜 남자 잘생긴 여자")</f>
        <v>예쁜 남자 잘생긴 여자</v>
      </c>
      <c r="J722">
        <v>500</v>
      </c>
      <c r="K722">
        <v>0</v>
      </c>
      <c r="L722">
        <v>0</v>
      </c>
      <c r="M722">
        <v>0</v>
      </c>
      <c r="N722">
        <v>200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 s="3">
        <v>200</v>
      </c>
      <c r="AH722" s="3">
        <v>1</v>
      </c>
      <c r="AI722" s="3">
        <v>0</v>
      </c>
      <c r="AJ722" s="3">
        <v>0</v>
      </c>
      <c r="AK722" s="3">
        <v>0</v>
      </c>
      <c r="AL722" s="3">
        <v>0</v>
      </c>
      <c r="AM722" s="3">
        <v>240.82</v>
      </c>
      <c r="AN722" s="3">
        <v>-72.25</v>
      </c>
      <c r="AO722" s="3">
        <v>0</v>
      </c>
      <c r="AP722" s="3">
        <v>118</v>
      </c>
      <c r="AR722" t="str">
        <f t="shared" si="94"/>
        <v>0000000000000</v>
      </c>
      <c r="AT722" t="str">
        <f>T("9791190702164")</f>
        <v>9791190702164</v>
      </c>
      <c r="AV722" t="str">
        <f>T("웹툰 &gt; 로맨스")</f>
        <v>웹툰 &gt; 로맨스</v>
      </c>
    </row>
    <row r="723" spans="1:49" x14ac:dyDescent="0.4">
      <c r="A723">
        <v>4421000337</v>
      </c>
      <c r="B723">
        <v>4421000404</v>
      </c>
      <c r="C723" t="str">
        <f>T("계약연애, 오늘부터 1일 68화")</f>
        <v>계약연애, 오늘부터 1일 68화</v>
      </c>
      <c r="D723" t="str">
        <f>T("68")</f>
        <v>68</v>
      </c>
      <c r="E723" t="str">
        <f>T("원기공장")</f>
        <v>원기공장</v>
      </c>
      <c r="H723" t="str">
        <f t="shared" si="93"/>
        <v>스토리위즈</v>
      </c>
      <c r="I723" t="str">
        <f>T("계약연애, 오늘부터 1일")</f>
        <v>계약연애, 오늘부터 1일</v>
      </c>
      <c r="J723">
        <v>200</v>
      </c>
      <c r="K723">
        <v>0</v>
      </c>
      <c r="L723">
        <v>0</v>
      </c>
      <c r="M723">
        <v>0</v>
      </c>
      <c r="N723">
        <v>100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 s="3">
        <v>100</v>
      </c>
      <c r="AH723" s="3">
        <v>1</v>
      </c>
      <c r="AI723" s="3">
        <v>0</v>
      </c>
      <c r="AJ723" s="3">
        <v>0</v>
      </c>
      <c r="AK723" s="3">
        <v>100</v>
      </c>
      <c r="AL723" s="3">
        <v>0</v>
      </c>
      <c r="AM723" s="3">
        <v>0</v>
      </c>
      <c r="AN723" s="3">
        <v>0</v>
      </c>
      <c r="AO723" s="3">
        <v>0</v>
      </c>
      <c r="AP723" s="3">
        <v>70</v>
      </c>
      <c r="AR723" t="str">
        <f t="shared" si="94"/>
        <v>0000000000000</v>
      </c>
      <c r="AT723" t="str">
        <f>T("9791166068027")</f>
        <v>9791166068027</v>
      </c>
      <c r="AV723" t="str">
        <f>T("웹툰 &gt; 해외 순정")</f>
        <v>웹툰 &gt; 해외 순정</v>
      </c>
      <c r="AW723" t="str">
        <f>T("웹툰 &gt; 로맨스")</f>
        <v>웹툰 &gt; 로맨스</v>
      </c>
    </row>
    <row r="724" spans="1:49" x14ac:dyDescent="0.4">
      <c r="A724">
        <v>4421000916</v>
      </c>
      <c r="B724">
        <v>4421001304</v>
      </c>
      <c r="C724" t="str">
        <f>T("별빛 아래 우리 68화")</f>
        <v>별빛 아래 우리 68화</v>
      </c>
      <c r="D724" t="str">
        <f>T("68")</f>
        <v>68</v>
      </c>
      <c r="E724" t="str">
        <f>T("건일")</f>
        <v>건일</v>
      </c>
      <c r="G724" t="str">
        <f>T("건일")</f>
        <v>건일</v>
      </c>
      <c r="H724" t="str">
        <f t="shared" si="93"/>
        <v>스토리위즈</v>
      </c>
      <c r="I724" t="str">
        <f>T("별빛 아래 우리")</f>
        <v>별빛 아래 우리</v>
      </c>
      <c r="J724">
        <v>400</v>
      </c>
      <c r="K724">
        <v>0</v>
      </c>
      <c r="L724">
        <v>0</v>
      </c>
      <c r="M724">
        <v>0</v>
      </c>
      <c r="N724">
        <v>1000</v>
      </c>
      <c r="O724">
        <v>5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 s="3">
        <v>1000</v>
      </c>
      <c r="AH724" s="3">
        <v>5</v>
      </c>
      <c r="AI724" s="3">
        <v>0</v>
      </c>
      <c r="AJ724" s="3">
        <v>0</v>
      </c>
      <c r="AK724" s="3">
        <v>580</v>
      </c>
      <c r="AL724" s="3">
        <v>0</v>
      </c>
      <c r="AM724" s="3">
        <v>504.01</v>
      </c>
      <c r="AN724" s="3">
        <v>-151.19999999999999</v>
      </c>
      <c r="AO724" s="3">
        <v>0</v>
      </c>
      <c r="AP724" s="3">
        <v>652.97</v>
      </c>
      <c r="AR724" t="str">
        <f t="shared" si="94"/>
        <v>0000000000000</v>
      </c>
      <c r="AT724" t="str">
        <f>T("9791137601413")</f>
        <v>9791137601413</v>
      </c>
      <c r="AV724" t="str">
        <f>T("웹툰 &gt; 해외 순정")</f>
        <v>웹툰 &gt; 해외 순정</v>
      </c>
      <c r="AW724" t="str">
        <f>T("웹툰 &gt; 로맨스")</f>
        <v>웹툰 &gt; 로맨스</v>
      </c>
    </row>
    <row r="725" spans="1:49" x14ac:dyDescent="0.4">
      <c r="A725">
        <v>4421000866</v>
      </c>
      <c r="B725">
        <v>4421001201</v>
      </c>
      <c r="C725" t="str">
        <f>T("최애에게 들켜버렸다 49화")</f>
        <v>최애에게 들켜버렸다 49화</v>
      </c>
      <c r="D725" t="str">
        <f>T("52")</f>
        <v>52</v>
      </c>
      <c r="E725" t="str">
        <f>T("Lv")</f>
        <v>Lv</v>
      </c>
      <c r="G725" t="str">
        <f>T("Lv")</f>
        <v>Lv</v>
      </c>
      <c r="H725" t="str">
        <f t="shared" si="93"/>
        <v>스토리위즈</v>
      </c>
      <c r="I725" t="str">
        <f>T("최애에게 들켜버렸다")</f>
        <v>최애에게 들켜버렸다</v>
      </c>
      <c r="J725">
        <v>400</v>
      </c>
      <c r="K725">
        <v>0</v>
      </c>
      <c r="L725">
        <v>0</v>
      </c>
      <c r="M725">
        <v>0</v>
      </c>
      <c r="N725">
        <v>600</v>
      </c>
      <c r="O725">
        <v>3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 s="3">
        <v>600</v>
      </c>
      <c r="AH725" s="3">
        <v>3</v>
      </c>
      <c r="AI725" s="3">
        <v>0</v>
      </c>
      <c r="AJ725" s="3">
        <v>0</v>
      </c>
      <c r="AK725" s="3">
        <v>424</v>
      </c>
      <c r="AL725" s="3">
        <v>0</v>
      </c>
      <c r="AM725" s="3">
        <v>211.38</v>
      </c>
      <c r="AN725" s="3">
        <v>-63.41</v>
      </c>
      <c r="AO725" s="3">
        <v>0</v>
      </c>
      <c r="AP725" s="3">
        <v>400.38</v>
      </c>
      <c r="AR725" t="str">
        <f t="shared" si="94"/>
        <v>0000000000000</v>
      </c>
      <c r="AT725" t="str">
        <f>T("9791137601253")</f>
        <v>9791137601253</v>
      </c>
      <c r="AV725" t="str">
        <f>T("웹툰 &gt; 해외 순정")</f>
        <v>웹툰 &gt; 해외 순정</v>
      </c>
      <c r="AW725" t="str">
        <f>T("웹툰 &gt; 로맨스")</f>
        <v>웹툰 &gt; 로맨스</v>
      </c>
    </row>
    <row r="726" spans="1:49" x14ac:dyDescent="0.4">
      <c r="A726">
        <v>4421000450</v>
      </c>
      <c r="B726">
        <v>4421000484</v>
      </c>
      <c r="C726" t="str">
        <f>T("내 남편의 스토커 34화")</f>
        <v>내 남편의 스토커 34화</v>
      </c>
      <c r="D726" t="str">
        <f>T("34")</f>
        <v>34</v>
      </c>
      <c r="E726" t="str">
        <f>T("혜원")</f>
        <v>혜원</v>
      </c>
      <c r="G726" t="str">
        <f>T("혜원")</f>
        <v>혜원</v>
      </c>
      <c r="H726" t="str">
        <f t="shared" si="93"/>
        <v>스토리위즈</v>
      </c>
      <c r="I726" t="str">
        <f>T("내 남편의 스토커")</f>
        <v>내 남편의 스토커</v>
      </c>
      <c r="J726">
        <v>400</v>
      </c>
      <c r="K726">
        <v>0</v>
      </c>
      <c r="L726">
        <v>0</v>
      </c>
      <c r="M726">
        <v>0</v>
      </c>
      <c r="N726">
        <v>200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 s="3">
        <v>200</v>
      </c>
      <c r="AH726" s="3">
        <v>1</v>
      </c>
      <c r="AI726" s="3">
        <v>0</v>
      </c>
      <c r="AJ726" s="3">
        <v>0</v>
      </c>
      <c r="AK726" s="3">
        <v>200</v>
      </c>
      <c r="AL726" s="3">
        <v>0</v>
      </c>
      <c r="AM726" s="3">
        <v>0</v>
      </c>
      <c r="AN726" s="3">
        <v>0</v>
      </c>
      <c r="AO726" s="3">
        <v>0</v>
      </c>
      <c r="AP726" s="3">
        <v>140</v>
      </c>
      <c r="AR726" t="str">
        <f t="shared" si="94"/>
        <v>0000000000000</v>
      </c>
      <c r="AT726" t="str">
        <f>T("9791166068034")</f>
        <v>9791166068034</v>
      </c>
      <c r="AV726" t="str">
        <f>T("웹툰 &gt; 로맨스")</f>
        <v>웹툰 &gt; 로맨스</v>
      </c>
    </row>
    <row r="727" spans="1:49" x14ac:dyDescent="0.4">
      <c r="A727">
        <v>4421001000</v>
      </c>
      <c r="B727">
        <v>4421001001</v>
      </c>
      <c r="C727" t="str">
        <f>T("로맨틱 시그널 2화")</f>
        <v>로맨틱 시그널 2화</v>
      </c>
      <c r="D727" t="str">
        <f>T("2")</f>
        <v>2</v>
      </c>
      <c r="E727" t="str">
        <f>T("Bless+cangshukou")</f>
        <v>Bless+cangshukou</v>
      </c>
      <c r="G727" t="str">
        <f>T("Bless+cangshukou")</f>
        <v>Bless+cangshukou</v>
      </c>
      <c r="H727" t="str">
        <f t="shared" si="93"/>
        <v>스토리위즈</v>
      </c>
      <c r="I727" t="str">
        <f>T("로맨틱 시그널")</f>
        <v>로맨틱 시그널</v>
      </c>
      <c r="J727">
        <v>200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 s="3">
        <v>0</v>
      </c>
      <c r="AH727" s="3">
        <v>2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R727" t="str">
        <f t="shared" si="94"/>
        <v>0000000000000</v>
      </c>
      <c r="AT727" t="str">
        <f>T("9791166068041")</f>
        <v>9791166068041</v>
      </c>
      <c r="AV727" t="str">
        <f>T("웹툰 &gt; 해외 순정")</f>
        <v>웹툰 &gt; 해외 순정</v>
      </c>
      <c r="AW727" t="str">
        <f>T("웹툰 &gt; 로맨스")</f>
        <v>웹툰 &gt; 로맨스</v>
      </c>
    </row>
    <row r="728" spans="1:49" x14ac:dyDescent="0.4">
      <c r="A728">
        <v>4421000866</v>
      </c>
      <c r="B728">
        <v>4421000883</v>
      </c>
      <c r="C728" t="str">
        <f>T("최애에게 들켜버렸다 17화")</f>
        <v>최애에게 들켜버렸다 17화</v>
      </c>
      <c r="D728" t="str">
        <f>T("17")</f>
        <v>17</v>
      </c>
      <c r="E728" t="str">
        <f>T("Lv")</f>
        <v>Lv</v>
      </c>
      <c r="G728" t="str">
        <f>T("Lv")</f>
        <v>Lv</v>
      </c>
      <c r="H728" t="str">
        <f t="shared" si="93"/>
        <v>스토리위즈</v>
      </c>
      <c r="I728" t="str">
        <f>T("최애에게 들켜버렸다")</f>
        <v>최애에게 들켜버렸다</v>
      </c>
      <c r="J728">
        <v>400</v>
      </c>
      <c r="K728">
        <v>0</v>
      </c>
      <c r="L728">
        <v>0</v>
      </c>
      <c r="M728">
        <v>0</v>
      </c>
      <c r="N728">
        <v>1000</v>
      </c>
      <c r="O728">
        <v>5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 s="3">
        <v>1000</v>
      </c>
      <c r="AH728" s="3">
        <v>5</v>
      </c>
      <c r="AI728" s="3">
        <v>0</v>
      </c>
      <c r="AJ728" s="3">
        <v>0</v>
      </c>
      <c r="AK728" s="3">
        <v>824</v>
      </c>
      <c r="AL728" s="3">
        <v>0</v>
      </c>
      <c r="AM728" s="3">
        <v>211.38</v>
      </c>
      <c r="AN728" s="3">
        <v>-63.41</v>
      </c>
      <c r="AO728" s="3">
        <v>0</v>
      </c>
      <c r="AP728" s="3">
        <v>680.38</v>
      </c>
      <c r="AR728" t="str">
        <f t="shared" si="94"/>
        <v>0000000000000</v>
      </c>
      <c r="AT728" t="str">
        <f>T("9791137601253")</f>
        <v>9791137601253</v>
      </c>
      <c r="AV728" t="str">
        <f>T("웹툰 &gt; 해외 순정")</f>
        <v>웹툰 &gt; 해외 순정</v>
      </c>
      <c r="AW728" t="str">
        <f>T("웹툰 &gt; 로맨스")</f>
        <v>웹툰 &gt; 로맨스</v>
      </c>
    </row>
    <row r="729" spans="1:49" x14ac:dyDescent="0.4">
      <c r="A729">
        <v>4421002079</v>
      </c>
      <c r="B729">
        <v>4421002080</v>
      </c>
      <c r="C729" t="str">
        <f>T("황제의 사랑방식 2화")</f>
        <v>황제의 사랑방식 2화</v>
      </c>
      <c r="D729" t="str">
        <f>T("2")</f>
        <v>2</v>
      </c>
      <c r="E729" t="str">
        <f>T("웹티")</f>
        <v>웹티</v>
      </c>
      <c r="H729" t="str">
        <f t="shared" si="93"/>
        <v>스토리위즈</v>
      </c>
      <c r="I729" t="str">
        <f>T("황제의 사랑방식")</f>
        <v>황제의 사랑방식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 s="3">
        <v>0</v>
      </c>
      <c r="AH729" s="3">
        <v>1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R729" t="str">
        <f t="shared" si="94"/>
        <v>0000000000000</v>
      </c>
      <c r="AT729" t="str">
        <f>T("9791196650131")</f>
        <v>9791196650131</v>
      </c>
      <c r="AV729" t="str">
        <f>T("BL 웹툰 &gt; 웹툰")</f>
        <v>BL 웹툰 &gt; 웹툰</v>
      </c>
    </row>
    <row r="730" spans="1:49" x14ac:dyDescent="0.4">
      <c r="A730">
        <v>4421000518</v>
      </c>
      <c r="B730">
        <v>4421000556</v>
      </c>
      <c r="C730" t="str">
        <f>T("백스테이지 키스신 38화")</f>
        <v>백스테이지 키스신 38화</v>
      </c>
      <c r="D730" t="str">
        <f>T("38")</f>
        <v>38</v>
      </c>
      <c r="E730" t="str">
        <f>T("최도비")</f>
        <v>최도비</v>
      </c>
      <c r="G730" t="str">
        <f>T("수정과")</f>
        <v>수정과</v>
      </c>
      <c r="H730" t="str">
        <f t="shared" si="93"/>
        <v>스토리위즈</v>
      </c>
      <c r="I730" t="str">
        <f>T("백스테이지 키스신")</f>
        <v>백스테이지 키스신</v>
      </c>
      <c r="J730">
        <v>400</v>
      </c>
      <c r="K730">
        <v>0</v>
      </c>
      <c r="L730">
        <v>0</v>
      </c>
      <c r="M730">
        <v>0</v>
      </c>
      <c r="N730">
        <v>200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 s="3">
        <v>200</v>
      </c>
      <c r="AH730" s="3">
        <v>1</v>
      </c>
      <c r="AI730" s="3">
        <v>0</v>
      </c>
      <c r="AJ730" s="3">
        <v>0</v>
      </c>
      <c r="AK730" s="3">
        <v>200</v>
      </c>
      <c r="AL730" s="3">
        <v>0</v>
      </c>
      <c r="AM730" s="3">
        <v>0</v>
      </c>
      <c r="AN730" s="3">
        <v>0</v>
      </c>
      <c r="AO730" s="3">
        <v>0</v>
      </c>
      <c r="AP730" s="3">
        <v>140</v>
      </c>
      <c r="AR730" t="str">
        <f t="shared" si="94"/>
        <v>0000000000000</v>
      </c>
      <c r="AT730" t="str">
        <f>T("9791166067990")</f>
        <v>9791166067990</v>
      </c>
      <c r="AV730" t="str">
        <f>T("웹툰 &gt; 로맨스")</f>
        <v>웹툰 &gt; 로맨스</v>
      </c>
    </row>
    <row r="731" spans="1:49" x14ac:dyDescent="0.4">
      <c r="A731">
        <v>4421001325</v>
      </c>
      <c r="B731">
        <v>4421001336</v>
      </c>
      <c r="C731" t="str">
        <f>T("커피여우 김삼월 12화")</f>
        <v>커피여우 김삼월 12화</v>
      </c>
      <c r="D731" t="str">
        <f>T("12")</f>
        <v>12</v>
      </c>
      <c r="E731" t="str">
        <f>T("Nica")</f>
        <v>Nica</v>
      </c>
      <c r="G731" t="str">
        <f>T("A.Noa, RK Studio")</f>
        <v>A.Noa, RK Studio</v>
      </c>
      <c r="H731" t="str">
        <f t="shared" si="93"/>
        <v>스토리위즈</v>
      </c>
      <c r="I731" t="str">
        <f>T("커피여우 김삼월")</f>
        <v>커피여우 김삼월</v>
      </c>
      <c r="J731">
        <v>500</v>
      </c>
      <c r="K731">
        <v>0</v>
      </c>
      <c r="L731">
        <v>0</v>
      </c>
      <c r="M731">
        <v>0</v>
      </c>
      <c r="N731">
        <v>200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 s="3">
        <v>200</v>
      </c>
      <c r="AH731" s="3">
        <v>1</v>
      </c>
      <c r="AI731" s="3">
        <v>0</v>
      </c>
      <c r="AJ731" s="3">
        <v>0</v>
      </c>
      <c r="AK731" s="3">
        <v>200</v>
      </c>
      <c r="AL731" s="3">
        <v>0</v>
      </c>
      <c r="AM731" s="3">
        <v>0</v>
      </c>
      <c r="AN731" s="3">
        <v>0</v>
      </c>
      <c r="AO731" s="3">
        <v>0</v>
      </c>
      <c r="AP731" s="3">
        <v>140</v>
      </c>
      <c r="AR731" t="str">
        <f t="shared" si="94"/>
        <v>0000000000000</v>
      </c>
      <c r="AT731" t="str">
        <f>T("9791191241792")</f>
        <v>9791191241792</v>
      </c>
      <c r="AV731" t="str">
        <f>T("웹툰 &gt; 로맨스")</f>
        <v>웹툰 &gt; 로맨스</v>
      </c>
    </row>
    <row r="732" spans="1:49" x14ac:dyDescent="0.4">
      <c r="A732">
        <v>4421000450</v>
      </c>
      <c r="B732">
        <v>4421000516</v>
      </c>
      <c r="C732" t="str">
        <f>T("내 남편의 스토커 66화")</f>
        <v>내 남편의 스토커 66화</v>
      </c>
      <c r="D732" t="str">
        <f>T("66")</f>
        <v>66</v>
      </c>
      <c r="E732" t="str">
        <f>T("혜원")</f>
        <v>혜원</v>
      </c>
      <c r="G732" t="str">
        <f>T("혜원")</f>
        <v>혜원</v>
      </c>
      <c r="H732" t="str">
        <f t="shared" si="93"/>
        <v>스토리위즈</v>
      </c>
      <c r="I732" t="str">
        <f>T("내 남편의 스토커")</f>
        <v>내 남편의 스토커</v>
      </c>
      <c r="J732">
        <v>400</v>
      </c>
      <c r="K732">
        <v>0</v>
      </c>
      <c r="L732">
        <v>0</v>
      </c>
      <c r="M732">
        <v>0</v>
      </c>
      <c r="N732">
        <v>200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 s="3">
        <v>200</v>
      </c>
      <c r="AH732" s="3">
        <v>1</v>
      </c>
      <c r="AI732" s="3">
        <v>0</v>
      </c>
      <c r="AJ732" s="3">
        <v>0</v>
      </c>
      <c r="AK732" s="3">
        <v>200</v>
      </c>
      <c r="AL732" s="3">
        <v>0</v>
      </c>
      <c r="AM732" s="3">
        <v>0</v>
      </c>
      <c r="AN732" s="3">
        <v>0</v>
      </c>
      <c r="AO732" s="3">
        <v>0</v>
      </c>
      <c r="AP732" s="3">
        <v>140</v>
      </c>
      <c r="AR732" t="str">
        <f t="shared" si="94"/>
        <v>0000000000000</v>
      </c>
      <c r="AT732" t="str">
        <f>T("9791166068034")</f>
        <v>9791166068034</v>
      </c>
      <c r="AV732" t="str">
        <f>T("웹툰 &gt; 로맨스")</f>
        <v>웹툰 &gt; 로맨스</v>
      </c>
    </row>
    <row r="733" spans="1:49" x14ac:dyDescent="0.4">
      <c r="A733">
        <v>4421000337</v>
      </c>
      <c r="B733">
        <v>4421000356</v>
      </c>
      <c r="C733" t="str">
        <f>T("계약연애, 오늘부터 1일 20화")</f>
        <v>계약연애, 오늘부터 1일 20화</v>
      </c>
      <c r="D733" t="str">
        <f>T("20")</f>
        <v>20</v>
      </c>
      <c r="E733" t="str">
        <f>T("원기공장")</f>
        <v>원기공장</v>
      </c>
      <c r="H733" t="str">
        <f t="shared" si="93"/>
        <v>스토리위즈</v>
      </c>
      <c r="I733" t="str">
        <f>T("계약연애, 오늘부터 1일")</f>
        <v>계약연애, 오늘부터 1일</v>
      </c>
      <c r="J733">
        <v>200</v>
      </c>
      <c r="K733">
        <v>0</v>
      </c>
      <c r="L733">
        <v>0</v>
      </c>
      <c r="M733">
        <v>0</v>
      </c>
      <c r="N733">
        <v>100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s="3">
        <v>100</v>
      </c>
      <c r="AH733" s="3">
        <v>1</v>
      </c>
      <c r="AI733" s="3">
        <v>0</v>
      </c>
      <c r="AJ733" s="3">
        <v>0</v>
      </c>
      <c r="AK733" s="3">
        <v>100</v>
      </c>
      <c r="AL733" s="3">
        <v>0</v>
      </c>
      <c r="AM733" s="3">
        <v>0</v>
      </c>
      <c r="AN733" s="3">
        <v>0</v>
      </c>
      <c r="AO733" s="3">
        <v>0</v>
      </c>
      <c r="AP733" s="3">
        <v>70</v>
      </c>
      <c r="AR733" t="str">
        <f t="shared" si="94"/>
        <v>0000000000000</v>
      </c>
      <c r="AT733" t="str">
        <f>T("9791166068027")</f>
        <v>9791166068027</v>
      </c>
      <c r="AV733" t="str">
        <f>T("웹툰 &gt; 해외 순정")</f>
        <v>웹툰 &gt; 해외 순정</v>
      </c>
      <c r="AW733" t="str">
        <f>T("웹툰 &gt; 로맨스")</f>
        <v>웹툰 &gt; 로맨스</v>
      </c>
    </row>
    <row r="734" spans="1:49" x14ac:dyDescent="0.4">
      <c r="A734">
        <v>4421000069</v>
      </c>
      <c r="B734">
        <v>4421001235</v>
      </c>
      <c r="C734" t="str">
        <f>T("너랑 나랑 하면 152화")</f>
        <v>너랑 나랑 하면 152화</v>
      </c>
      <c r="D734" t="str">
        <f>T("152")</f>
        <v>152</v>
      </c>
      <c r="E734" t="str">
        <f>T("NISANSUI")</f>
        <v>NISANSUI</v>
      </c>
      <c r="G734" t="str">
        <f>T("ZIQUAN")</f>
        <v>ZIQUAN</v>
      </c>
      <c r="H734" t="str">
        <f t="shared" si="93"/>
        <v>스토리위즈</v>
      </c>
      <c r="I734" t="str">
        <f>T("너랑 나랑 하면")</f>
        <v>너랑 나랑 하면</v>
      </c>
      <c r="J734">
        <v>400</v>
      </c>
      <c r="K734">
        <v>0</v>
      </c>
      <c r="L734">
        <v>0</v>
      </c>
      <c r="M734">
        <v>0</v>
      </c>
      <c r="N734">
        <v>200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 s="3">
        <v>200</v>
      </c>
      <c r="AH734" s="3">
        <v>1</v>
      </c>
      <c r="AI734" s="3">
        <v>0</v>
      </c>
      <c r="AJ734" s="3">
        <v>0</v>
      </c>
      <c r="AK734" s="3">
        <v>200</v>
      </c>
      <c r="AL734" s="3">
        <v>0</v>
      </c>
      <c r="AM734" s="3">
        <v>0</v>
      </c>
      <c r="AN734" s="3">
        <v>0</v>
      </c>
      <c r="AO734" s="3">
        <v>0</v>
      </c>
      <c r="AP734" s="3">
        <v>140</v>
      </c>
      <c r="AR734" t="str">
        <f t="shared" si="94"/>
        <v>0000000000000</v>
      </c>
      <c r="AT734" t="str">
        <f>T("9791166067884")</f>
        <v>9791166067884</v>
      </c>
      <c r="AV734" t="str">
        <f>T("BL 웹툰 &gt; 웹툰")</f>
        <v>BL 웹툰 &gt; 웹툰</v>
      </c>
    </row>
    <row r="735" spans="1:49" x14ac:dyDescent="0.4">
      <c r="A735">
        <v>4421000069</v>
      </c>
      <c r="B735">
        <v>4421000077</v>
      </c>
      <c r="C735" t="str">
        <f>T("너랑 나랑 하면 8화")</f>
        <v>너랑 나랑 하면 8화</v>
      </c>
      <c r="D735" t="str">
        <f>T("8")</f>
        <v>8</v>
      </c>
      <c r="E735" t="str">
        <f>T("NISANSUI")</f>
        <v>NISANSUI</v>
      </c>
      <c r="G735" t="str">
        <f>T("ZIQUAN")</f>
        <v>ZIQUAN</v>
      </c>
      <c r="H735" t="str">
        <f t="shared" si="93"/>
        <v>스토리위즈</v>
      </c>
      <c r="I735" t="str">
        <f>T("너랑 나랑 하면")</f>
        <v>너랑 나랑 하면</v>
      </c>
      <c r="J735">
        <v>400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3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 s="3">
        <v>0</v>
      </c>
      <c r="AH735" s="3">
        <v>3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R735" t="str">
        <f t="shared" si="94"/>
        <v>0000000000000</v>
      </c>
      <c r="AT735" t="str">
        <f>T("9791166067884")</f>
        <v>9791166067884</v>
      </c>
      <c r="AV735" t="str">
        <f>T("BL 웹툰 &gt; 웹툰")</f>
        <v>BL 웹툰 &gt; 웹툰</v>
      </c>
    </row>
    <row r="736" spans="1:49" x14ac:dyDescent="0.4">
      <c r="A736">
        <v>4421000866</v>
      </c>
      <c r="B736">
        <v>4421000915</v>
      </c>
      <c r="C736" t="str">
        <f>T("최애에게 들켜버렸다 24화")</f>
        <v>최애에게 들켜버렸다 24화</v>
      </c>
      <c r="D736" t="str">
        <f>T("25")</f>
        <v>25</v>
      </c>
      <c r="E736" t="str">
        <f>T("Lv")</f>
        <v>Lv</v>
      </c>
      <c r="G736" t="str">
        <f>T("Lv")</f>
        <v>Lv</v>
      </c>
      <c r="H736" t="str">
        <f t="shared" si="93"/>
        <v>스토리위즈</v>
      </c>
      <c r="I736" t="str">
        <f>T("최애에게 들켜버렸다")</f>
        <v>최애에게 들켜버렸다</v>
      </c>
      <c r="J736">
        <v>400</v>
      </c>
      <c r="K736">
        <v>0</v>
      </c>
      <c r="L736">
        <v>0</v>
      </c>
      <c r="M736">
        <v>0</v>
      </c>
      <c r="N736">
        <v>600</v>
      </c>
      <c r="O736">
        <v>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 s="3">
        <v>600</v>
      </c>
      <c r="AH736" s="3">
        <v>3</v>
      </c>
      <c r="AI736" s="3">
        <v>0</v>
      </c>
      <c r="AJ736" s="3">
        <v>0</v>
      </c>
      <c r="AK736" s="3">
        <v>424</v>
      </c>
      <c r="AL736" s="3">
        <v>0</v>
      </c>
      <c r="AM736" s="3">
        <v>211.38</v>
      </c>
      <c r="AN736" s="3">
        <v>-63.41</v>
      </c>
      <c r="AO736" s="3">
        <v>0</v>
      </c>
      <c r="AP736" s="3">
        <v>400.38</v>
      </c>
      <c r="AR736" t="str">
        <f t="shared" si="94"/>
        <v>0000000000000</v>
      </c>
      <c r="AT736" t="str">
        <f>T("9791137601253")</f>
        <v>9791137601253</v>
      </c>
      <c r="AV736" t="str">
        <f>T("웹툰 &gt; 해외 순정")</f>
        <v>웹툰 &gt; 해외 순정</v>
      </c>
      <c r="AW736" t="str">
        <f>T("웹툰 &gt; 로맨스")</f>
        <v>웹툰 &gt; 로맨스</v>
      </c>
    </row>
    <row r="737" spans="1:49" x14ac:dyDescent="0.4">
      <c r="A737">
        <v>4421000001</v>
      </c>
      <c r="B737">
        <v>4421000175</v>
      </c>
      <c r="C737" t="str">
        <f>T("감옥실험 54화 (완결)")</f>
        <v>감옥실험 54화 (완결)</v>
      </c>
      <c r="D737" t="str">
        <f>T("54")</f>
        <v>54</v>
      </c>
      <c r="E737" t="str">
        <f>T("Kantetsu")</f>
        <v>Kantetsu</v>
      </c>
      <c r="G737" t="str">
        <f>T("Minase Chiho")</f>
        <v>Minase Chiho</v>
      </c>
      <c r="H737" t="str">
        <f t="shared" si="93"/>
        <v>스토리위즈</v>
      </c>
      <c r="I737" t="str">
        <f>T("감옥실험")</f>
        <v>감옥실험</v>
      </c>
      <c r="J737">
        <v>500</v>
      </c>
      <c r="K737">
        <v>0</v>
      </c>
      <c r="L737">
        <v>0</v>
      </c>
      <c r="M737">
        <v>0</v>
      </c>
      <c r="N737">
        <v>1800</v>
      </c>
      <c r="O737">
        <v>6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 s="3">
        <v>1800</v>
      </c>
      <c r="AH737" s="3">
        <v>6</v>
      </c>
      <c r="AI737" s="3">
        <v>0</v>
      </c>
      <c r="AJ737" s="3">
        <v>0</v>
      </c>
      <c r="AK737" s="3">
        <v>1500</v>
      </c>
      <c r="AL737" s="3">
        <v>0</v>
      </c>
      <c r="AM737" s="3">
        <v>360</v>
      </c>
      <c r="AN737" s="3">
        <v>-108</v>
      </c>
      <c r="AO737" s="3">
        <v>0</v>
      </c>
      <c r="AP737" s="3">
        <v>1226.4000000000001</v>
      </c>
      <c r="AT737" t="str">
        <f>T("9791166069406")</f>
        <v>9791166069406</v>
      </c>
      <c r="AV737" t="str">
        <f>T("웹툰 &gt; 드라마")</f>
        <v>웹툰 &gt; 드라마</v>
      </c>
    </row>
    <row r="738" spans="1:49" x14ac:dyDescent="0.4">
      <c r="A738">
        <v>4421001340</v>
      </c>
      <c r="B738">
        <v>4421001352</v>
      </c>
      <c r="C738" t="str">
        <f>T("가출천사 육성계약 13화")</f>
        <v>가출천사 육성계약 13화</v>
      </c>
      <c r="D738" t="str">
        <f>T("13")</f>
        <v>13</v>
      </c>
      <c r="E738" t="str">
        <f>T("Bae.C, IIAKI, 박제후")</f>
        <v>Bae.C, IIAKI, 박제후</v>
      </c>
      <c r="G738" t="str">
        <f>T("Bae.C, 조우")</f>
        <v>Bae.C, 조우</v>
      </c>
      <c r="H738" t="str">
        <f t="shared" si="93"/>
        <v>스토리위즈</v>
      </c>
      <c r="I738" t="str">
        <f>T("가출천사 육성계약")</f>
        <v>가출천사 육성계약</v>
      </c>
      <c r="J738">
        <v>400</v>
      </c>
      <c r="K738">
        <v>0</v>
      </c>
      <c r="L738">
        <v>0</v>
      </c>
      <c r="M738">
        <v>0</v>
      </c>
      <c r="N738">
        <v>200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 s="3">
        <v>200</v>
      </c>
      <c r="AH738" s="3">
        <v>1</v>
      </c>
      <c r="AI738" s="3">
        <v>0</v>
      </c>
      <c r="AJ738" s="3">
        <v>0</v>
      </c>
      <c r="AK738" s="3">
        <v>200</v>
      </c>
      <c r="AL738" s="3">
        <v>0</v>
      </c>
      <c r="AM738" s="3">
        <v>0</v>
      </c>
      <c r="AN738" s="3">
        <v>0</v>
      </c>
      <c r="AO738" s="3">
        <v>0</v>
      </c>
      <c r="AP738" s="3">
        <v>140</v>
      </c>
      <c r="AR738" t="str">
        <f>T("0000000000000")</f>
        <v>0000000000000</v>
      </c>
      <c r="AT738" t="str">
        <f>T("9791191765663")</f>
        <v>9791191765663</v>
      </c>
      <c r="AV738" t="str">
        <f>T("웹툰 &gt; 판타지/SF")</f>
        <v>웹툰 &gt; 판타지/SF</v>
      </c>
    </row>
    <row r="739" spans="1:49" x14ac:dyDescent="0.4">
      <c r="A739">
        <v>4421002774</v>
      </c>
      <c r="B739">
        <v>4421002775</v>
      </c>
      <c r="C739" t="str">
        <f>T("엔젤일진 1화")</f>
        <v>엔젤일진 1화</v>
      </c>
      <c r="D739" t="str">
        <f>T("1")</f>
        <v>1</v>
      </c>
      <c r="E739" t="str">
        <f>T("대운")</f>
        <v>대운</v>
      </c>
      <c r="H739" t="str">
        <f t="shared" si="93"/>
        <v>스토리위즈</v>
      </c>
      <c r="I739" t="str">
        <f>T("엔젤일진")</f>
        <v>엔젤일진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 s="3">
        <v>0</v>
      </c>
      <c r="AH739" s="3">
        <v>1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R739" t="str">
        <f>T("0000000000000")</f>
        <v>0000000000000</v>
      </c>
      <c r="AT739" t="str">
        <f>T("9791188082087")</f>
        <v>9791188082087</v>
      </c>
      <c r="AV739" t="str">
        <f>T("웹툰 &gt; 액션/무협")</f>
        <v>웹툰 &gt; 액션/무협</v>
      </c>
    </row>
    <row r="740" spans="1:49" x14ac:dyDescent="0.4">
      <c r="A740">
        <v>4421000337</v>
      </c>
      <c r="B740">
        <v>4421000372</v>
      </c>
      <c r="C740" t="str">
        <f>T("계약연애, 오늘부터 1일 36화")</f>
        <v>계약연애, 오늘부터 1일 36화</v>
      </c>
      <c r="D740" t="str">
        <f>T("36")</f>
        <v>36</v>
      </c>
      <c r="E740" t="str">
        <f>T("원기공장")</f>
        <v>원기공장</v>
      </c>
      <c r="H740" t="str">
        <f t="shared" si="93"/>
        <v>스토리위즈</v>
      </c>
      <c r="I740" t="str">
        <f>T("계약연애, 오늘부터 1일")</f>
        <v>계약연애, 오늘부터 1일</v>
      </c>
      <c r="J740">
        <v>200</v>
      </c>
      <c r="K740">
        <v>0</v>
      </c>
      <c r="L740">
        <v>0</v>
      </c>
      <c r="M740">
        <v>0</v>
      </c>
      <c r="N740">
        <v>100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 s="3">
        <v>100</v>
      </c>
      <c r="AH740" s="3">
        <v>1</v>
      </c>
      <c r="AI740" s="3">
        <v>0</v>
      </c>
      <c r="AJ740" s="3">
        <v>0</v>
      </c>
      <c r="AK740" s="3">
        <v>100</v>
      </c>
      <c r="AL740" s="3">
        <v>0</v>
      </c>
      <c r="AM740" s="3">
        <v>0</v>
      </c>
      <c r="AN740" s="3">
        <v>0</v>
      </c>
      <c r="AO740" s="3">
        <v>0</v>
      </c>
      <c r="AP740" s="3">
        <v>70</v>
      </c>
      <c r="AR740" t="str">
        <f>T("0000000000000")</f>
        <v>0000000000000</v>
      </c>
      <c r="AT740" t="str">
        <f>T("9791166068027")</f>
        <v>9791166068027</v>
      </c>
      <c r="AV740" t="str">
        <f>T("웹툰 &gt; 해외 순정")</f>
        <v>웹툰 &gt; 해외 순정</v>
      </c>
      <c r="AW740" t="str">
        <f>T("웹툰 &gt; 로맨스")</f>
        <v>웹툰 &gt; 로맨스</v>
      </c>
    </row>
    <row r="741" spans="1:49" x14ac:dyDescent="0.4">
      <c r="A741">
        <v>4421000916</v>
      </c>
      <c r="B741">
        <v>4421001272</v>
      </c>
      <c r="C741" t="str">
        <f>T("별빛 아래 우리 60화")</f>
        <v>별빛 아래 우리 60화</v>
      </c>
      <c r="D741" t="str">
        <f>T("60")</f>
        <v>60</v>
      </c>
      <c r="E741" t="str">
        <f>T("건일")</f>
        <v>건일</v>
      </c>
      <c r="G741" t="str">
        <f>T("건일")</f>
        <v>건일</v>
      </c>
      <c r="H741" t="str">
        <f t="shared" si="93"/>
        <v>스토리위즈</v>
      </c>
      <c r="I741" t="str">
        <f>T("별빛 아래 우리")</f>
        <v>별빛 아래 우리</v>
      </c>
      <c r="J741">
        <v>400</v>
      </c>
      <c r="K741">
        <v>0</v>
      </c>
      <c r="L741">
        <v>0</v>
      </c>
      <c r="M741">
        <v>0</v>
      </c>
      <c r="N741">
        <v>1000</v>
      </c>
      <c r="O741">
        <v>5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 s="3">
        <v>1000</v>
      </c>
      <c r="AH741" s="3">
        <v>5</v>
      </c>
      <c r="AI741" s="3">
        <v>0</v>
      </c>
      <c r="AJ741" s="3">
        <v>0</v>
      </c>
      <c r="AK741" s="3">
        <v>380</v>
      </c>
      <c r="AL741" s="3">
        <v>0</v>
      </c>
      <c r="AM741" s="3">
        <v>744.01</v>
      </c>
      <c r="AN741" s="3">
        <v>-223.2</v>
      </c>
      <c r="AO741" s="3">
        <v>0</v>
      </c>
      <c r="AP741" s="3">
        <v>630.57000000000005</v>
      </c>
      <c r="AR741" t="str">
        <f>T("0000000000000")</f>
        <v>0000000000000</v>
      </c>
      <c r="AT741" t="str">
        <f>T("9791137601413")</f>
        <v>9791137601413</v>
      </c>
      <c r="AV741" t="str">
        <f>T("웹툰 &gt; 해외 순정")</f>
        <v>웹툰 &gt; 해외 순정</v>
      </c>
      <c r="AW741" t="str">
        <f>T("웹툰 &gt; 로맨스")</f>
        <v>웹툰 &gt; 로맨스</v>
      </c>
    </row>
    <row r="742" spans="1:49" x14ac:dyDescent="0.4">
      <c r="A742">
        <v>4421000069</v>
      </c>
      <c r="B742">
        <v>4421000110</v>
      </c>
      <c r="C742" t="str">
        <f>T("너랑 나랑 하면 40화")</f>
        <v>너랑 나랑 하면 40화</v>
      </c>
      <c r="D742" t="str">
        <f>T("40")</f>
        <v>40</v>
      </c>
      <c r="E742" t="str">
        <f>T("NISANSUI")</f>
        <v>NISANSUI</v>
      </c>
      <c r="G742" t="str">
        <f>T("ZIQUAN")</f>
        <v>ZIQUAN</v>
      </c>
      <c r="H742" t="str">
        <f t="shared" si="93"/>
        <v>스토리위즈</v>
      </c>
      <c r="I742" t="str">
        <f>T("너랑 나랑 하면")</f>
        <v>너랑 나랑 하면</v>
      </c>
      <c r="J742">
        <v>400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 s="3">
        <v>0</v>
      </c>
      <c r="AH742" s="3">
        <v>3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R742" t="str">
        <f>T("0000000000000")</f>
        <v>0000000000000</v>
      </c>
      <c r="AT742" t="str">
        <f>T("9791166067884")</f>
        <v>9791166067884</v>
      </c>
      <c r="AV742" t="str">
        <f>T("BL 웹툰 &gt; 웹툰")</f>
        <v>BL 웹툰 &gt; 웹툰</v>
      </c>
    </row>
    <row r="743" spans="1:49" x14ac:dyDescent="0.4">
      <c r="A743">
        <v>4421001936</v>
      </c>
      <c r="B743">
        <v>4421001981</v>
      </c>
      <c r="C743" t="str">
        <f>T("보스 오빠, 살살! 46화")</f>
        <v>보스 오빠, 살살! 46화</v>
      </c>
      <c r="D743" t="str">
        <f>T("46")</f>
        <v>46</v>
      </c>
      <c r="E743" t="str">
        <f>T("웹티")</f>
        <v>웹티</v>
      </c>
      <c r="H743" t="str">
        <f t="shared" si="93"/>
        <v>스토리위즈</v>
      </c>
      <c r="I743" t="str">
        <f>T("보스 오빠, 살살!")</f>
        <v>보스 오빠, 살살!</v>
      </c>
      <c r="J743">
        <v>500</v>
      </c>
      <c r="K743">
        <v>0</v>
      </c>
      <c r="L743">
        <v>0</v>
      </c>
      <c r="M743">
        <v>0</v>
      </c>
      <c r="N743">
        <v>200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 s="3">
        <v>200</v>
      </c>
      <c r="AH743" s="3">
        <v>1</v>
      </c>
      <c r="AI743" s="3">
        <v>0</v>
      </c>
      <c r="AJ743" s="3">
        <v>0</v>
      </c>
      <c r="AK743" s="3">
        <v>0</v>
      </c>
      <c r="AL743" s="3">
        <v>0</v>
      </c>
      <c r="AM743" s="3">
        <v>240</v>
      </c>
      <c r="AN743" s="3">
        <v>-72</v>
      </c>
      <c r="AO743" s="3">
        <v>0</v>
      </c>
      <c r="AP743" s="3">
        <v>117.6</v>
      </c>
      <c r="AT743" t="str">
        <f>T("9791190702331")</f>
        <v>9791190702331</v>
      </c>
      <c r="AV743" t="str">
        <f>T("웹툰 &gt; 로맨스")</f>
        <v>웹툰 &gt; 로맨스</v>
      </c>
    </row>
    <row r="744" spans="1:49" x14ac:dyDescent="0.4">
      <c r="A744">
        <v>4421000001</v>
      </c>
      <c r="B744">
        <v>4421000030</v>
      </c>
      <c r="C744" t="str">
        <f>T("감옥실험 20화")</f>
        <v>감옥실험 20화</v>
      </c>
      <c r="D744" t="str">
        <f>T("20")</f>
        <v>20</v>
      </c>
      <c r="E744" t="str">
        <f>T("Kantetsu")</f>
        <v>Kantetsu</v>
      </c>
      <c r="G744" t="str">
        <f>T("Minase Chiho")</f>
        <v>Minase Chiho</v>
      </c>
      <c r="H744" t="str">
        <f t="shared" si="93"/>
        <v>스토리위즈</v>
      </c>
      <c r="I744" t="str">
        <f>T("감옥실험")</f>
        <v>감옥실험</v>
      </c>
      <c r="J744">
        <v>500</v>
      </c>
      <c r="K744">
        <v>0</v>
      </c>
      <c r="L744">
        <v>0</v>
      </c>
      <c r="M744">
        <v>0</v>
      </c>
      <c r="N744">
        <v>1200</v>
      </c>
      <c r="O744">
        <v>4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 s="3">
        <v>1200</v>
      </c>
      <c r="AH744" s="3">
        <v>4</v>
      </c>
      <c r="AI744" s="3">
        <v>0</v>
      </c>
      <c r="AJ744" s="3">
        <v>0</v>
      </c>
      <c r="AK744" s="3">
        <v>900</v>
      </c>
      <c r="AL744" s="3">
        <v>0</v>
      </c>
      <c r="AM744" s="3">
        <v>360</v>
      </c>
      <c r="AN744" s="3">
        <v>-108</v>
      </c>
      <c r="AO744" s="3">
        <v>0</v>
      </c>
      <c r="AP744" s="3">
        <v>806.4</v>
      </c>
      <c r="AT744" t="str">
        <f>T("9791166069406")</f>
        <v>9791166069406</v>
      </c>
      <c r="AV744" t="str">
        <f>T("웹툰 &gt; 드라마")</f>
        <v>웹툰 &gt; 드라마</v>
      </c>
    </row>
    <row r="745" spans="1:49" x14ac:dyDescent="0.4">
      <c r="A745">
        <v>4421000518</v>
      </c>
      <c r="B745">
        <v>4421000549</v>
      </c>
      <c r="C745" t="str">
        <f>T("백스테이지 키스신 31화")</f>
        <v>백스테이지 키스신 31화</v>
      </c>
      <c r="D745" t="str">
        <f>T("31")</f>
        <v>31</v>
      </c>
      <c r="E745" t="str">
        <f>T("최도비")</f>
        <v>최도비</v>
      </c>
      <c r="G745" t="str">
        <f>T("수정과")</f>
        <v>수정과</v>
      </c>
      <c r="H745" t="str">
        <f t="shared" si="93"/>
        <v>스토리위즈</v>
      </c>
      <c r="I745" t="str">
        <f>T("백스테이지 키스신")</f>
        <v>백스테이지 키스신</v>
      </c>
      <c r="J745">
        <v>400</v>
      </c>
      <c r="K745">
        <v>0</v>
      </c>
      <c r="L745">
        <v>0</v>
      </c>
      <c r="M745">
        <v>0</v>
      </c>
      <c r="N745">
        <v>200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 s="3">
        <v>200</v>
      </c>
      <c r="AH745" s="3">
        <v>1</v>
      </c>
      <c r="AI745" s="3">
        <v>0</v>
      </c>
      <c r="AJ745" s="3">
        <v>0</v>
      </c>
      <c r="AK745" s="3">
        <v>200</v>
      </c>
      <c r="AL745" s="3">
        <v>0</v>
      </c>
      <c r="AM745" s="3">
        <v>0</v>
      </c>
      <c r="AN745" s="3">
        <v>0</v>
      </c>
      <c r="AO745" s="3">
        <v>0</v>
      </c>
      <c r="AP745" s="3">
        <v>140</v>
      </c>
      <c r="AR745" t="str">
        <f t="shared" ref="AR745:AR753" si="95">T("0000000000000")</f>
        <v>0000000000000</v>
      </c>
      <c r="AT745" t="str">
        <f>T("9791166067990")</f>
        <v>9791166067990</v>
      </c>
      <c r="AV745" t="str">
        <f>T("웹툰 &gt; 로맨스")</f>
        <v>웹툰 &gt; 로맨스</v>
      </c>
    </row>
    <row r="746" spans="1:49" x14ac:dyDescent="0.4">
      <c r="A746">
        <v>4421001325</v>
      </c>
      <c r="B746">
        <v>4421001329</v>
      </c>
      <c r="C746" t="str">
        <f>T("커피여우 김삼월 5화")</f>
        <v>커피여우 김삼월 5화</v>
      </c>
      <c r="D746" t="str">
        <f>T("5")</f>
        <v>5</v>
      </c>
      <c r="E746" t="str">
        <f>T("Nica")</f>
        <v>Nica</v>
      </c>
      <c r="G746" t="str">
        <f>T("A.Noa, RK Studio")</f>
        <v>A.Noa, RK Studio</v>
      </c>
      <c r="H746" t="str">
        <f t="shared" si="93"/>
        <v>스토리위즈</v>
      </c>
      <c r="I746" t="str">
        <f>T("커피여우 김삼월")</f>
        <v>커피여우 김삼월</v>
      </c>
      <c r="J746">
        <v>500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 s="3">
        <v>0</v>
      </c>
      <c r="AH746" s="3">
        <v>4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R746" t="str">
        <f t="shared" si="95"/>
        <v>0000000000000</v>
      </c>
      <c r="AT746" t="str">
        <f>T("9791191241792")</f>
        <v>9791191241792</v>
      </c>
      <c r="AV746" t="str">
        <f>T("웹툰 &gt; 로맨스")</f>
        <v>웹툰 &gt; 로맨스</v>
      </c>
    </row>
    <row r="747" spans="1:49" x14ac:dyDescent="0.4">
      <c r="A747">
        <v>4421000450</v>
      </c>
      <c r="B747">
        <v>4421000509</v>
      </c>
      <c r="C747" t="str">
        <f>T("내 남편의 스토커 59화")</f>
        <v>내 남편의 스토커 59화</v>
      </c>
      <c r="D747" t="str">
        <f>T("59")</f>
        <v>59</v>
      </c>
      <c r="E747" t="str">
        <f>T("혜원")</f>
        <v>혜원</v>
      </c>
      <c r="G747" t="str">
        <f>T("혜원")</f>
        <v>혜원</v>
      </c>
      <c r="H747" t="str">
        <f t="shared" si="93"/>
        <v>스토리위즈</v>
      </c>
      <c r="I747" t="str">
        <f>T("내 남편의 스토커")</f>
        <v>내 남편의 스토커</v>
      </c>
      <c r="J747">
        <v>400</v>
      </c>
      <c r="K747">
        <v>0</v>
      </c>
      <c r="L747">
        <v>0</v>
      </c>
      <c r="M747">
        <v>0</v>
      </c>
      <c r="N747">
        <v>200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 s="3">
        <v>200</v>
      </c>
      <c r="AH747" s="3">
        <v>1</v>
      </c>
      <c r="AI747" s="3">
        <v>0</v>
      </c>
      <c r="AJ747" s="3">
        <v>0</v>
      </c>
      <c r="AK747" s="3">
        <v>200</v>
      </c>
      <c r="AL747" s="3">
        <v>0</v>
      </c>
      <c r="AM747" s="3">
        <v>0</v>
      </c>
      <c r="AN747" s="3">
        <v>0</v>
      </c>
      <c r="AO747" s="3">
        <v>0</v>
      </c>
      <c r="AP747" s="3">
        <v>140</v>
      </c>
      <c r="AR747" t="str">
        <f t="shared" si="95"/>
        <v>0000000000000</v>
      </c>
      <c r="AT747" t="str">
        <f>T("9791166068034")</f>
        <v>9791166068034</v>
      </c>
      <c r="AV747" t="str">
        <f>T("웹툰 &gt; 로맨스")</f>
        <v>웹툰 &gt; 로맨스</v>
      </c>
    </row>
    <row r="748" spans="1:49" x14ac:dyDescent="0.4">
      <c r="A748">
        <v>4421000337</v>
      </c>
      <c r="B748">
        <v>4421000349</v>
      </c>
      <c r="C748" t="str">
        <f>T("계약연애, 오늘부터 1일 13화")</f>
        <v>계약연애, 오늘부터 1일 13화</v>
      </c>
      <c r="D748" t="str">
        <f>T("13")</f>
        <v>13</v>
      </c>
      <c r="E748" t="str">
        <f>T("원기공장")</f>
        <v>원기공장</v>
      </c>
      <c r="H748" t="str">
        <f t="shared" si="93"/>
        <v>스토리위즈</v>
      </c>
      <c r="I748" t="str">
        <f>T("계약연애, 오늘부터 1일")</f>
        <v>계약연애, 오늘부터 1일</v>
      </c>
      <c r="J748">
        <v>200</v>
      </c>
      <c r="K748">
        <v>0</v>
      </c>
      <c r="L748">
        <v>0</v>
      </c>
      <c r="M748">
        <v>0</v>
      </c>
      <c r="N748">
        <v>100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 s="3">
        <v>100</v>
      </c>
      <c r="AH748" s="3">
        <v>1</v>
      </c>
      <c r="AI748" s="3">
        <v>0</v>
      </c>
      <c r="AJ748" s="3">
        <v>0</v>
      </c>
      <c r="AK748" s="3">
        <v>100</v>
      </c>
      <c r="AL748" s="3">
        <v>0</v>
      </c>
      <c r="AM748" s="3">
        <v>0</v>
      </c>
      <c r="AN748" s="3">
        <v>0</v>
      </c>
      <c r="AO748" s="3">
        <v>0</v>
      </c>
      <c r="AP748" s="3">
        <v>70</v>
      </c>
      <c r="AR748" t="str">
        <f t="shared" si="95"/>
        <v>0000000000000</v>
      </c>
      <c r="AT748" t="str">
        <f>T("9791166068027")</f>
        <v>9791166068027</v>
      </c>
      <c r="AV748" t="str">
        <f>T("웹툰 &gt; 해외 순정")</f>
        <v>웹툰 &gt; 해외 순정</v>
      </c>
      <c r="AW748" t="str">
        <f>T("웹툰 &gt; 로맨스")</f>
        <v>웹툰 &gt; 로맨스</v>
      </c>
    </row>
    <row r="749" spans="1:49" x14ac:dyDescent="0.4">
      <c r="A749">
        <v>4421000198</v>
      </c>
      <c r="B749">
        <v>4421001228</v>
      </c>
      <c r="C749" t="str">
        <f>T("공주전쟁 76화")</f>
        <v>공주전쟁 76화</v>
      </c>
      <c r="D749" t="str">
        <f>T("76")</f>
        <v>76</v>
      </c>
      <c r="E749" t="str">
        <f>T("Hujing")</f>
        <v>Hujing</v>
      </c>
      <c r="G749" t="str">
        <f>T("Luojie")</f>
        <v>Luojie</v>
      </c>
      <c r="H749" t="str">
        <f t="shared" si="93"/>
        <v>스토리위즈</v>
      </c>
      <c r="I749" t="str">
        <f>T("공주전쟁")</f>
        <v>공주전쟁</v>
      </c>
      <c r="J749">
        <v>400</v>
      </c>
      <c r="K749">
        <v>0</v>
      </c>
      <c r="L749">
        <v>0</v>
      </c>
      <c r="M749">
        <v>0</v>
      </c>
      <c r="N749">
        <v>400</v>
      </c>
      <c r="O749">
        <v>2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 s="3">
        <v>400</v>
      </c>
      <c r="AH749" s="3">
        <v>2</v>
      </c>
      <c r="AI749" s="3">
        <v>0</v>
      </c>
      <c r="AJ749" s="3">
        <v>0</v>
      </c>
      <c r="AK749" s="3">
        <v>200</v>
      </c>
      <c r="AL749" s="3">
        <v>0</v>
      </c>
      <c r="AM749" s="3">
        <v>240</v>
      </c>
      <c r="AN749" s="3">
        <v>-72</v>
      </c>
      <c r="AO749" s="3">
        <v>0</v>
      </c>
      <c r="AP749" s="3">
        <v>257.60000000000002</v>
      </c>
      <c r="AR749" t="str">
        <f t="shared" si="95"/>
        <v>0000000000000</v>
      </c>
      <c r="AT749" t="str">
        <f>T("9791166069666")</f>
        <v>9791166069666</v>
      </c>
      <c r="AV749" t="str">
        <f>T("웹툰 &gt; 해외 순정")</f>
        <v>웹툰 &gt; 해외 순정</v>
      </c>
      <c r="AW749" t="str">
        <f>T("웹툰 &gt; 로판")</f>
        <v>웹툰 &gt; 로판</v>
      </c>
    </row>
    <row r="750" spans="1:49" x14ac:dyDescent="0.4">
      <c r="A750">
        <v>4421000069</v>
      </c>
      <c r="B750">
        <v>4421000070</v>
      </c>
      <c r="C750" t="str">
        <f>T("너랑 나랑 하면 1화")</f>
        <v>너랑 나랑 하면 1화</v>
      </c>
      <c r="D750" t="str">
        <f>T("1")</f>
        <v>1</v>
      </c>
      <c r="E750" t="str">
        <f>T("NISANSUI")</f>
        <v>NISANSUI</v>
      </c>
      <c r="G750" t="str">
        <f>T("ZIQUAN")</f>
        <v>ZIQUAN</v>
      </c>
      <c r="H750" t="str">
        <f t="shared" si="93"/>
        <v>스토리위즈</v>
      </c>
      <c r="I750" t="str">
        <f>T("너랑 나랑 하면")</f>
        <v>너랑 나랑 하면</v>
      </c>
      <c r="J750">
        <v>400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 s="3">
        <v>0</v>
      </c>
      <c r="AH750" s="3">
        <v>5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R750" t="str">
        <f t="shared" si="95"/>
        <v>0000000000000</v>
      </c>
      <c r="AT750" t="str">
        <f>T("9791166067884")</f>
        <v>9791166067884</v>
      </c>
      <c r="AV750" t="str">
        <f>T("BL 웹툰 &gt; 웹툰")</f>
        <v>BL 웹툰 &gt; 웹툰</v>
      </c>
    </row>
    <row r="751" spans="1:49" x14ac:dyDescent="0.4">
      <c r="A751">
        <v>4421000887</v>
      </c>
      <c r="B751">
        <v>4421000908</v>
      </c>
      <c r="C751" t="str">
        <f>T("폭군의 눈물 22화")</f>
        <v>폭군의 눈물 22화</v>
      </c>
      <c r="D751" t="str">
        <f>T("22")</f>
        <v>22</v>
      </c>
      <c r="E751" t="str">
        <f>T("Ice×FANFAN COMIC")</f>
        <v>Ice×FANFAN COMIC</v>
      </c>
      <c r="G751" t="str">
        <f>T("Ice×FANFAN COMIC")</f>
        <v>Ice×FANFAN COMIC</v>
      </c>
      <c r="H751" t="str">
        <f t="shared" si="93"/>
        <v>스토리위즈</v>
      </c>
      <c r="I751" t="str">
        <f>T("폭군의 눈물")</f>
        <v>폭군의 눈물</v>
      </c>
      <c r="J751">
        <v>400</v>
      </c>
      <c r="K751">
        <v>0</v>
      </c>
      <c r="L751">
        <v>0</v>
      </c>
      <c r="M751">
        <v>0</v>
      </c>
      <c r="N751">
        <v>600</v>
      </c>
      <c r="O751">
        <v>3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 s="3">
        <v>600</v>
      </c>
      <c r="AH751" s="3">
        <v>3</v>
      </c>
      <c r="AI751" s="3">
        <v>0</v>
      </c>
      <c r="AJ751" s="3">
        <v>0</v>
      </c>
      <c r="AK751" s="3">
        <v>400</v>
      </c>
      <c r="AL751" s="3">
        <v>0</v>
      </c>
      <c r="AM751" s="3">
        <v>240</v>
      </c>
      <c r="AN751" s="3">
        <v>-72</v>
      </c>
      <c r="AO751" s="3">
        <v>0</v>
      </c>
      <c r="AP751" s="3">
        <v>397.6</v>
      </c>
      <c r="AR751" t="str">
        <f t="shared" si="95"/>
        <v>0000000000000</v>
      </c>
      <c r="AT751" t="str">
        <f>T("9791137601291")</f>
        <v>9791137601291</v>
      </c>
      <c r="AV751" t="str">
        <f>T("웹툰 &gt; 해외 순정")</f>
        <v>웹툰 &gt; 해외 순정</v>
      </c>
      <c r="AW751" t="str">
        <f>T("웹툰 &gt; 로판")</f>
        <v>웹툰 &gt; 로판</v>
      </c>
    </row>
    <row r="752" spans="1:49" x14ac:dyDescent="0.4">
      <c r="A752">
        <v>4421000069</v>
      </c>
      <c r="B752">
        <v>4421000119</v>
      </c>
      <c r="C752" t="str">
        <f>T("너랑 나랑 하면 49화")</f>
        <v>너랑 나랑 하면 49화</v>
      </c>
      <c r="D752" t="str">
        <f>T("49")</f>
        <v>49</v>
      </c>
      <c r="E752" t="str">
        <f>T("NISANSUI")</f>
        <v>NISANSUI</v>
      </c>
      <c r="G752" t="str">
        <f>T("ZIQUAN")</f>
        <v>ZIQUAN</v>
      </c>
      <c r="H752" t="str">
        <f t="shared" si="93"/>
        <v>스토리위즈</v>
      </c>
      <c r="I752" t="str">
        <f>T("너랑 나랑 하면")</f>
        <v>너랑 나랑 하면</v>
      </c>
      <c r="J752">
        <v>400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3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 s="3">
        <v>0</v>
      </c>
      <c r="AH752" s="3">
        <v>3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R752" t="str">
        <f t="shared" si="95"/>
        <v>0000000000000</v>
      </c>
      <c r="AT752" t="str">
        <f>T("9791166067884")</f>
        <v>9791166067884</v>
      </c>
      <c r="AV752" t="str">
        <f>T("BL 웹툰 &gt; 웹툰")</f>
        <v>BL 웹툰 &gt; 웹툰</v>
      </c>
    </row>
    <row r="753" spans="1:49" x14ac:dyDescent="0.4">
      <c r="A753">
        <v>4421001340</v>
      </c>
      <c r="B753">
        <v>4421001345</v>
      </c>
      <c r="C753" t="str">
        <f>T("가출천사 육성계약 6화")</f>
        <v>가출천사 육성계약 6화</v>
      </c>
      <c r="D753" t="str">
        <f>T("6")</f>
        <v>6</v>
      </c>
      <c r="E753" t="str">
        <f>T("Bae.C, IIAKI, 박제후")</f>
        <v>Bae.C, IIAKI, 박제후</v>
      </c>
      <c r="G753" t="str">
        <f>T("Bae.C, 조우")</f>
        <v>Bae.C, 조우</v>
      </c>
      <c r="H753" t="str">
        <f t="shared" si="93"/>
        <v>스토리위즈</v>
      </c>
      <c r="I753" t="str">
        <f>T("가출천사 육성계약")</f>
        <v>가출천사 육성계약</v>
      </c>
      <c r="J753">
        <v>400</v>
      </c>
      <c r="K753">
        <v>0</v>
      </c>
      <c r="L753">
        <v>0</v>
      </c>
      <c r="M753">
        <v>0</v>
      </c>
      <c r="N753">
        <v>200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 s="3">
        <v>200</v>
      </c>
      <c r="AH753" s="3">
        <v>1</v>
      </c>
      <c r="AI753" s="3">
        <v>0</v>
      </c>
      <c r="AJ753" s="3">
        <v>0</v>
      </c>
      <c r="AK753" s="3">
        <v>200</v>
      </c>
      <c r="AL753" s="3">
        <v>0</v>
      </c>
      <c r="AM753" s="3">
        <v>0</v>
      </c>
      <c r="AN753" s="3">
        <v>0</v>
      </c>
      <c r="AO753" s="3">
        <v>0</v>
      </c>
      <c r="AP753" s="3">
        <v>140</v>
      </c>
      <c r="AR753" t="str">
        <f t="shared" si="95"/>
        <v>0000000000000</v>
      </c>
      <c r="AT753" t="str">
        <f>T("9791191765663")</f>
        <v>9791191765663</v>
      </c>
      <c r="AV753" t="str">
        <f>T("웹툰 &gt; 판타지/SF")</f>
        <v>웹툰 &gt; 판타지/SF</v>
      </c>
    </row>
    <row r="754" spans="1:49" x14ac:dyDescent="0.4">
      <c r="A754">
        <v>4421001936</v>
      </c>
      <c r="B754">
        <v>4421002718</v>
      </c>
      <c r="C754" t="str">
        <f>T("보스 오빠, 살살! 59화")</f>
        <v>보스 오빠, 살살! 59화</v>
      </c>
      <c r="D754" t="str">
        <f>T("59")</f>
        <v>59</v>
      </c>
      <c r="E754" t="str">
        <f>T("웹티")</f>
        <v>웹티</v>
      </c>
      <c r="H754" t="str">
        <f t="shared" si="93"/>
        <v>스토리위즈</v>
      </c>
      <c r="I754" t="str">
        <f>T("보스 오빠, 살살!")</f>
        <v>보스 오빠, 살살!</v>
      </c>
      <c r="J754">
        <v>500</v>
      </c>
      <c r="K754">
        <v>0</v>
      </c>
      <c r="L754">
        <v>0</v>
      </c>
      <c r="M754">
        <v>0</v>
      </c>
      <c r="N754">
        <v>200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 s="3">
        <v>200</v>
      </c>
      <c r="AH754" s="3">
        <v>1</v>
      </c>
      <c r="AI754" s="3">
        <v>0</v>
      </c>
      <c r="AJ754" s="3">
        <v>0</v>
      </c>
      <c r="AK754" s="3">
        <v>0</v>
      </c>
      <c r="AL754" s="3">
        <v>0</v>
      </c>
      <c r="AM754" s="3">
        <v>240</v>
      </c>
      <c r="AN754" s="3">
        <v>-72</v>
      </c>
      <c r="AO754" s="3">
        <v>0</v>
      </c>
      <c r="AP754" s="3">
        <v>117.6</v>
      </c>
      <c r="AT754" t="str">
        <f>T("9791190702331")</f>
        <v>9791190702331</v>
      </c>
      <c r="AV754" t="str">
        <f>T("웹툰 &gt; 로맨스")</f>
        <v>웹툰 &gt; 로맨스</v>
      </c>
    </row>
    <row r="755" spans="1:49" x14ac:dyDescent="0.4">
      <c r="A755">
        <v>4421000866</v>
      </c>
      <c r="B755">
        <v>4421000868</v>
      </c>
      <c r="C755" t="str">
        <f>T("최애에게 들켜버렸다 2화")</f>
        <v>최애에게 들켜버렸다 2화</v>
      </c>
      <c r="D755" t="str">
        <f>T("2")</f>
        <v>2</v>
      </c>
      <c r="E755" t="str">
        <f>T("Lv")</f>
        <v>Lv</v>
      </c>
      <c r="G755" t="str">
        <f>T("Lv")</f>
        <v>Lv</v>
      </c>
      <c r="H755" t="str">
        <f t="shared" si="93"/>
        <v>스토리위즈</v>
      </c>
      <c r="I755" t="str">
        <f>T("최애에게 들켜버렸다")</f>
        <v>최애에게 들켜버렸다</v>
      </c>
      <c r="J755">
        <v>400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79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 s="3">
        <v>0</v>
      </c>
      <c r="AH755" s="3">
        <v>79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R755" t="str">
        <f t="shared" ref="AR755:AR773" si="96">T("0000000000000")</f>
        <v>0000000000000</v>
      </c>
      <c r="AT755" t="str">
        <f>T("9791137601253")</f>
        <v>9791137601253</v>
      </c>
      <c r="AV755" t="str">
        <f>T("웹툰 &gt; 해외 순정")</f>
        <v>웹툰 &gt; 해외 순정</v>
      </c>
      <c r="AW755" t="str">
        <f>T("웹툰 &gt; 로맨스")</f>
        <v>웹툰 &gt; 로맨스</v>
      </c>
    </row>
    <row r="756" spans="1:49" x14ac:dyDescent="0.4">
      <c r="A756">
        <v>4421000337</v>
      </c>
      <c r="B756">
        <v>4421000365</v>
      </c>
      <c r="C756" t="str">
        <f>T("계약연애, 오늘부터 1일 29화")</f>
        <v>계약연애, 오늘부터 1일 29화</v>
      </c>
      <c r="D756" t="str">
        <f>T("29")</f>
        <v>29</v>
      </c>
      <c r="E756" t="str">
        <f>T("원기공장")</f>
        <v>원기공장</v>
      </c>
      <c r="H756" t="str">
        <f t="shared" si="93"/>
        <v>스토리위즈</v>
      </c>
      <c r="I756" t="str">
        <f>T("계약연애, 오늘부터 1일")</f>
        <v>계약연애, 오늘부터 1일</v>
      </c>
      <c r="J756">
        <v>200</v>
      </c>
      <c r="K756">
        <v>0</v>
      </c>
      <c r="L756">
        <v>0</v>
      </c>
      <c r="M756">
        <v>0</v>
      </c>
      <c r="N756">
        <v>100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 s="3">
        <v>100</v>
      </c>
      <c r="AH756" s="3">
        <v>1</v>
      </c>
      <c r="AI756" s="3">
        <v>0</v>
      </c>
      <c r="AJ756" s="3">
        <v>0</v>
      </c>
      <c r="AK756" s="3">
        <v>100</v>
      </c>
      <c r="AL756" s="3">
        <v>0</v>
      </c>
      <c r="AM756" s="3">
        <v>0</v>
      </c>
      <c r="AN756" s="3">
        <v>0</v>
      </c>
      <c r="AO756" s="3">
        <v>0</v>
      </c>
      <c r="AP756" s="3">
        <v>70</v>
      </c>
      <c r="AR756" t="str">
        <f t="shared" si="96"/>
        <v>0000000000000</v>
      </c>
      <c r="AT756" t="str">
        <f>T("9791166068027")</f>
        <v>9791166068027</v>
      </c>
      <c r="AV756" t="str">
        <f>T("웹툰 &gt; 해외 순정")</f>
        <v>웹툰 &gt; 해외 순정</v>
      </c>
      <c r="AW756" t="str">
        <f>T("웹툰 &gt; 로맨스")</f>
        <v>웹툰 &gt; 로맨스</v>
      </c>
    </row>
    <row r="757" spans="1:49" x14ac:dyDescent="0.4">
      <c r="A757">
        <v>4421001325</v>
      </c>
      <c r="B757">
        <v>4421002892</v>
      </c>
      <c r="C757" t="str">
        <f>T("커피여우 김삼월 31화")</f>
        <v>커피여우 김삼월 31화</v>
      </c>
      <c r="D757" t="str">
        <f>T("31")</f>
        <v>31</v>
      </c>
      <c r="E757" t="str">
        <f>T("Nica")</f>
        <v>Nica</v>
      </c>
      <c r="G757" t="str">
        <f>T("A.Noa, RK Studio")</f>
        <v>A.Noa, RK Studio</v>
      </c>
      <c r="H757" t="str">
        <f t="shared" si="93"/>
        <v>스토리위즈</v>
      </c>
      <c r="I757" t="str">
        <f>T("커피여우 김삼월")</f>
        <v>커피여우 김삼월</v>
      </c>
      <c r="J757">
        <v>500</v>
      </c>
      <c r="K757">
        <v>0</v>
      </c>
      <c r="L757">
        <v>0</v>
      </c>
      <c r="M757">
        <v>0</v>
      </c>
      <c r="N757">
        <v>200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 s="3">
        <v>200</v>
      </c>
      <c r="AH757" s="3">
        <v>1</v>
      </c>
      <c r="AI757" s="3">
        <v>0</v>
      </c>
      <c r="AJ757" s="3">
        <v>0</v>
      </c>
      <c r="AK757" s="3">
        <v>200</v>
      </c>
      <c r="AL757" s="3">
        <v>0</v>
      </c>
      <c r="AM757" s="3">
        <v>0</v>
      </c>
      <c r="AN757" s="3">
        <v>0</v>
      </c>
      <c r="AO757" s="3">
        <v>0</v>
      </c>
      <c r="AP757" s="3">
        <v>140</v>
      </c>
      <c r="AR757" t="str">
        <f t="shared" si="96"/>
        <v>0000000000000</v>
      </c>
      <c r="AT757" t="str">
        <f>T("9791191241792")</f>
        <v>9791191241792</v>
      </c>
      <c r="AV757" t="str">
        <f>T("웹툰 &gt; 로맨스")</f>
        <v>웹툰 &gt; 로맨스</v>
      </c>
    </row>
    <row r="758" spans="1:49" x14ac:dyDescent="0.4">
      <c r="A758">
        <v>4421000069</v>
      </c>
      <c r="B758">
        <v>4421001265</v>
      </c>
      <c r="C758" t="str">
        <f>T("너랑 나랑 하면 159화 (완결)")</f>
        <v>너랑 나랑 하면 159화 (완결)</v>
      </c>
      <c r="D758" t="str">
        <f>T("159")</f>
        <v>159</v>
      </c>
      <c r="E758" t="str">
        <f>T("NISANSUI")</f>
        <v>NISANSUI</v>
      </c>
      <c r="G758" t="str">
        <f>T("ZIQUAN")</f>
        <v>ZIQUAN</v>
      </c>
      <c r="H758" t="str">
        <f t="shared" si="93"/>
        <v>스토리위즈</v>
      </c>
      <c r="I758" t="str">
        <f>T("너랑 나랑 하면")</f>
        <v>너랑 나랑 하면</v>
      </c>
      <c r="J758">
        <v>400</v>
      </c>
      <c r="K758">
        <v>0</v>
      </c>
      <c r="L758">
        <v>0</v>
      </c>
      <c r="M758">
        <v>0</v>
      </c>
      <c r="N758">
        <v>200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 s="3">
        <v>200</v>
      </c>
      <c r="AH758" s="3">
        <v>1</v>
      </c>
      <c r="AI758" s="3">
        <v>0</v>
      </c>
      <c r="AJ758" s="3">
        <v>0</v>
      </c>
      <c r="AK758" s="3">
        <v>200</v>
      </c>
      <c r="AL758" s="3">
        <v>0</v>
      </c>
      <c r="AM758" s="3">
        <v>0</v>
      </c>
      <c r="AN758" s="3">
        <v>0</v>
      </c>
      <c r="AO758" s="3">
        <v>0</v>
      </c>
      <c r="AP758" s="3">
        <v>140</v>
      </c>
      <c r="AR758" t="str">
        <f t="shared" si="96"/>
        <v>0000000000000</v>
      </c>
      <c r="AT758" t="str">
        <f>T("9791166067884")</f>
        <v>9791166067884</v>
      </c>
      <c r="AV758" t="str">
        <f>T("BL 웹툰 &gt; 웹툰")</f>
        <v>BL 웹툰 &gt; 웹툰</v>
      </c>
    </row>
    <row r="759" spans="1:49" x14ac:dyDescent="0.4">
      <c r="A759">
        <v>4421000069</v>
      </c>
      <c r="B759">
        <v>4421000103</v>
      </c>
      <c r="C759" t="str">
        <f>T("너랑 나랑 하면 33화")</f>
        <v>너랑 나랑 하면 33화</v>
      </c>
      <c r="D759" t="str">
        <f>T("33")</f>
        <v>33</v>
      </c>
      <c r="E759" t="str">
        <f>T("NISANSUI")</f>
        <v>NISANSUI</v>
      </c>
      <c r="G759" t="str">
        <f>T("ZIQUAN")</f>
        <v>ZIQUAN</v>
      </c>
      <c r="H759" t="str">
        <f t="shared" si="93"/>
        <v>스토리위즈</v>
      </c>
      <c r="I759" t="str">
        <f>T("너랑 나랑 하면")</f>
        <v>너랑 나랑 하면</v>
      </c>
      <c r="J759">
        <v>400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 s="3">
        <v>0</v>
      </c>
      <c r="AH759" s="3">
        <v>3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R759" t="str">
        <f t="shared" si="96"/>
        <v>0000000000000</v>
      </c>
      <c r="AT759" t="str">
        <f>T("9791166067884")</f>
        <v>9791166067884</v>
      </c>
      <c r="AV759" t="str">
        <f>T("BL 웹툰 &gt; 웹툰")</f>
        <v>BL 웹툰 &gt; 웹툰</v>
      </c>
    </row>
    <row r="760" spans="1:49" x14ac:dyDescent="0.4">
      <c r="A760">
        <v>4421000916</v>
      </c>
      <c r="B760">
        <v>4421001537</v>
      </c>
      <c r="C760" t="str">
        <f>T("별빛 아래 우리 75화")</f>
        <v>별빛 아래 우리 75화</v>
      </c>
      <c r="D760" t="str">
        <f>T("75")</f>
        <v>75</v>
      </c>
      <c r="E760" t="str">
        <f>T("건일")</f>
        <v>건일</v>
      </c>
      <c r="G760" t="str">
        <f>T("건일")</f>
        <v>건일</v>
      </c>
      <c r="H760" t="str">
        <f t="shared" si="93"/>
        <v>스토리위즈</v>
      </c>
      <c r="I760" t="str">
        <f>T("별빛 아래 우리")</f>
        <v>별빛 아래 우리</v>
      </c>
      <c r="J760">
        <v>400</v>
      </c>
      <c r="K760">
        <v>0</v>
      </c>
      <c r="L760">
        <v>0</v>
      </c>
      <c r="M760">
        <v>0</v>
      </c>
      <c r="N760">
        <v>1600</v>
      </c>
      <c r="O760">
        <v>8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 s="3">
        <v>1600</v>
      </c>
      <c r="AH760" s="3">
        <v>8</v>
      </c>
      <c r="AI760" s="3">
        <v>0</v>
      </c>
      <c r="AJ760" s="3">
        <v>0</v>
      </c>
      <c r="AK760" s="3">
        <v>980</v>
      </c>
      <c r="AL760" s="3">
        <v>0</v>
      </c>
      <c r="AM760" s="3">
        <v>744.83</v>
      </c>
      <c r="AN760" s="3">
        <v>-223.45</v>
      </c>
      <c r="AO760" s="3">
        <v>0</v>
      </c>
      <c r="AP760" s="3">
        <v>1050.97</v>
      </c>
      <c r="AR760" t="str">
        <f t="shared" si="96"/>
        <v>0000000000000</v>
      </c>
      <c r="AT760" t="str">
        <f>T("9791137601413")</f>
        <v>9791137601413</v>
      </c>
      <c r="AV760" t="str">
        <f>T("웹툰 &gt; 해외 순정")</f>
        <v>웹툰 &gt; 해외 순정</v>
      </c>
      <c r="AW760" t="str">
        <f>T("웹툰 &gt; 로맨스")</f>
        <v>웹툰 &gt; 로맨스</v>
      </c>
    </row>
    <row r="761" spans="1:49" x14ac:dyDescent="0.4">
      <c r="A761">
        <v>4421000198</v>
      </c>
      <c r="B761">
        <v>4421000212</v>
      </c>
      <c r="C761" t="str">
        <f>T("공주전쟁 15화")</f>
        <v>공주전쟁 15화</v>
      </c>
      <c r="D761" t="str">
        <f>T("15")</f>
        <v>15</v>
      </c>
      <c r="E761" t="str">
        <f>T("Hujing")</f>
        <v>Hujing</v>
      </c>
      <c r="G761" t="str">
        <f>T("Luojie")</f>
        <v>Luojie</v>
      </c>
      <c r="H761" t="str">
        <f t="shared" si="93"/>
        <v>스토리위즈</v>
      </c>
      <c r="I761" t="str">
        <f>T("공주전쟁")</f>
        <v>공주전쟁</v>
      </c>
      <c r="J761">
        <v>400</v>
      </c>
      <c r="K761">
        <v>0</v>
      </c>
      <c r="L761">
        <v>0</v>
      </c>
      <c r="M761">
        <v>0</v>
      </c>
      <c r="N761">
        <v>600</v>
      </c>
      <c r="O761">
        <v>3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 s="3">
        <v>600</v>
      </c>
      <c r="AH761" s="3">
        <v>3</v>
      </c>
      <c r="AI761" s="3">
        <v>0</v>
      </c>
      <c r="AJ761" s="3">
        <v>0</v>
      </c>
      <c r="AK761" s="3">
        <v>400</v>
      </c>
      <c r="AL761" s="3">
        <v>0</v>
      </c>
      <c r="AM761" s="3">
        <v>240</v>
      </c>
      <c r="AN761" s="3">
        <v>-72</v>
      </c>
      <c r="AO761" s="3">
        <v>0</v>
      </c>
      <c r="AP761" s="3">
        <v>397.6</v>
      </c>
      <c r="AR761" t="str">
        <f t="shared" si="96"/>
        <v>0000000000000</v>
      </c>
      <c r="AT761" t="str">
        <f>T("9791166069666")</f>
        <v>9791166069666</v>
      </c>
      <c r="AV761" t="str">
        <f>T("웹툰 &gt; 해외 순정")</f>
        <v>웹툰 &gt; 해외 순정</v>
      </c>
      <c r="AW761" t="str">
        <f>T("웹툰 &gt; 로판")</f>
        <v>웹툰 &gt; 로판</v>
      </c>
    </row>
    <row r="762" spans="1:49" x14ac:dyDescent="0.4">
      <c r="A762">
        <v>4421001377</v>
      </c>
      <c r="B762">
        <v>4421001377</v>
      </c>
      <c r="C762" t="str">
        <f>T("요괴님은 수련중 1화")</f>
        <v>요괴님은 수련중 1화</v>
      </c>
      <c r="D762" t="str">
        <f>T("1")</f>
        <v>1</v>
      </c>
      <c r="E762" t="str">
        <f>T("화방")</f>
        <v>화방</v>
      </c>
      <c r="G762" t="str">
        <f>T("망북")</f>
        <v>망북</v>
      </c>
      <c r="H762" t="str">
        <f t="shared" si="93"/>
        <v>스토리위즈</v>
      </c>
      <c r="I762" t="str">
        <f>T("요괴님은 수련중")</f>
        <v>요괴님은 수련중</v>
      </c>
      <c r="J762">
        <v>400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41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 s="3">
        <v>0</v>
      </c>
      <c r="AH762" s="3">
        <v>41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R762" t="str">
        <f t="shared" si="96"/>
        <v>0000000000000</v>
      </c>
      <c r="AT762" t="str">
        <f>T("9791137603899")</f>
        <v>9791137603899</v>
      </c>
      <c r="AV762" t="str">
        <f>T("웹툰 &gt; 해외 순정")</f>
        <v>웹툰 &gt; 해외 순정</v>
      </c>
      <c r="AW762" t="str">
        <f>T("웹툰 &gt; 로판")</f>
        <v>웹툰 &gt; 로판</v>
      </c>
    </row>
    <row r="763" spans="1:49" x14ac:dyDescent="0.4">
      <c r="A763">
        <v>4421000337</v>
      </c>
      <c r="B763">
        <v>4421000437</v>
      </c>
      <c r="C763" t="str">
        <f>T("계약연애, 오늘부터 1일 101화")</f>
        <v>계약연애, 오늘부터 1일 101화</v>
      </c>
      <c r="D763" t="str">
        <f>T("101")</f>
        <v>101</v>
      </c>
      <c r="E763" t="str">
        <f>T("원기공장")</f>
        <v>원기공장</v>
      </c>
      <c r="H763" t="str">
        <f t="shared" si="93"/>
        <v>스토리위즈</v>
      </c>
      <c r="I763" t="str">
        <f>T("계약연애, 오늘부터 1일")</f>
        <v>계약연애, 오늘부터 1일</v>
      </c>
      <c r="J763">
        <v>200</v>
      </c>
      <c r="K763">
        <v>0</v>
      </c>
      <c r="L763">
        <v>0</v>
      </c>
      <c r="M763">
        <v>0</v>
      </c>
      <c r="N763">
        <v>100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 s="3">
        <v>100</v>
      </c>
      <c r="AH763" s="3">
        <v>1</v>
      </c>
      <c r="AI763" s="3">
        <v>0</v>
      </c>
      <c r="AJ763" s="3">
        <v>0</v>
      </c>
      <c r="AK763" s="3">
        <v>100</v>
      </c>
      <c r="AL763" s="3">
        <v>0</v>
      </c>
      <c r="AM763" s="3">
        <v>0</v>
      </c>
      <c r="AN763" s="3">
        <v>0</v>
      </c>
      <c r="AO763" s="3">
        <v>0</v>
      </c>
      <c r="AP763" s="3">
        <v>70</v>
      </c>
      <c r="AR763" t="str">
        <f t="shared" si="96"/>
        <v>0000000000000</v>
      </c>
      <c r="AT763" t="str">
        <f>T("9791166068027")</f>
        <v>9791166068027</v>
      </c>
      <c r="AV763" t="str">
        <f>T("웹툰 &gt; 해외 순정")</f>
        <v>웹툰 &gt; 해외 순정</v>
      </c>
      <c r="AW763" t="str">
        <f>T("웹툰 &gt; 로맨스")</f>
        <v>웹툰 &gt; 로맨스</v>
      </c>
    </row>
    <row r="764" spans="1:49" x14ac:dyDescent="0.4">
      <c r="A764">
        <v>4421000916</v>
      </c>
      <c r="B764">
        <v>4421000940</v>
      </c>
      <c r="C764" t="str">
        <f>T("별빛 아래 우리 25화")</f>
        <v>별빛 아래 우리 25화</v>
      </c>
      <c r="D764" t="str">
        <f>T("25")</f>
        <v>25</v>
      </c>
      <c r="E764" t="str">
        <f>T("건일")</f>
        <v>건일</v>
      </c>
      <c r="G764" t="str">
        <f>T("건일")</f>
        <v>건일</v>
      </c>
      <c r="H764" t="str">
        <f t="shared" si="93"/>
        <v>스토리위즈</v>
      </c>
      <c r="I764" t="str">
        <f>T("별빛 아래 우리")</f>
        <v>별빛 아래 우리</v>
      </c>
      <c r="J764">
        <v>400</v>
      </c>
      <c r="K764">
        <v>0</v>
      </c>
      <c r="L764">
        <v>0</v>
      </c>
      <c r="M764">
        <v>0</v>
      </c>
      <c r="N764">
        <v>1000</v>
      </c>
      <c r="O764">
        <v>5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 s="3">
        <v>1000</v>
      </c>
      <c r="AH764" s="3">
        <v>5</v>
      </c>
      <c r="AI764" s="3">
        <v>0</v>
      </c>
      <c r="AJ764" s="3">
        <v>0</v>
      </c>
      <c r="AK764" s="3">
        <v>400</v>
      </c>
      <c r="AL764" s="3">
        <v>0</v>
      </c>
      <c r="AM764" s="3">
        <v>718.3</v>
      </c>
      <c r="AN764" s="3">
        <v>-215.49</v>
      </c>
      <c r="AO764" s="3">
        <v>0</v>
      </c>
      <c r="AP764" s="3">
        <v>631.97</v>
      </c>
      <c r="AR764" t="str">
        <f t="shared" si="96"/>
        <v>0000000000000</v>
      </c>
      <c r="AT764" t="str">
        <f>T("9791137601413")</f>
        <v>9791137601413</v>
      </c>
      <c r="AV764" t="str">
        <f>T("웹툰 &gt; 해외 순정")</f>
        <v>웹툰 &gt; 해외 순정</v>
      </c>
      <c r="AW764" t="str">
        <f>T("웹툰 &gt; 로맨스")</f>
        <v>웹툰 &gt; 로맨스</v>
      </c>
    </row>
    <row r="765" spans="1:49" x14ac:dyDescent="0.4">
      <c r="A765">
        <v>4421001764</v>
      </c>
      <c r="B765">
        <v>4421001771</v>
      </c>
      <c r="C765" t="str">
        <f>T("예쁜 남자 잘생긴 여자 8화")</f>
        <v>예쁜 남자 잘생긴 여자 8화</v>
      </c>
      <c r="D765" t="str">
        <f>T("8")</f>
        <v>8</v>
      </c>
      <c r="E765" t="str">
        <f>T("웹티")</f>
        <v>웹티</v>
      </c>
      <c r="H765" t="str">
        <f t="shared" si="93"/>
        <v>스토리위즈</v>
      </c>
      <c r="I765" t="str">
        <f>T("예쁜 남자 잘생긴 여자")</f>
        <v>예쁜 남자 잘생긴 여자</v>
      </c>
      <c r="J765">
        <v>500</v>
      </c>
      <c r="K765">
        <v>0</v>
      </c>
      <c r="L765">
        <v>0</v>
      </c>
      <c r="M765">
        <v>0</v>
      </c>
      <c r="N765">
        <v>200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 s="3">
        <v>200</v>
      </c>
      <c r="AH765" s="3">
        <v>1</v>
      </c>
      <c r="AI765" s="3">
        <v>0</v>
      </c>
      <c r="AJ765" s="3">
        <v>0</v>
      </c>
      <c r="AK765" s="3">
        <v>0</v>
      </c>
      <c r="AL765" s="3">
        <v>0</v>
      </c>
      <c r="AM765" s="3">
        <v>240.82</v>
      </c>
      <c r="AN765" s="3">
        <v>-72.25</v>
      </c>
      <c r="AO765" s="3">
        <v>0</v>
      </c>
      <c r="AP765" s="3">
        <v>118</v>
      </c>
      <c r="AR765" t="str">
        <f t="shared" si="96"/>
        <v>0000000000000</v>
      </c>
      <c r="AT765" t="str">
        <f>T("9791190702164")</f>
        <v>9791190702164</v>
      </c>
      <c r="AV765" t="str">
        <f>T("웹툰 &gt; 로맨스")</f>
        <v>웹툰 &gt; 로맨스</v>
      </c>
    </row>
    <row r="766" spans="1:49" x14ac:dyDescent="0.4">
      <c r="A766">
        <v>4421000337</v>
      </c>
      <c r="B766">
        <v>4421000397</v>
      </c>
      <c r="C766" t="str">
        <f>T("계약연애, 오늘부터 1일 61화")</f>
        <v>계약연애, 오늘부터 1일 61화</v>
      </c>
      <c r="D766" t="str">
        <f>T("61")</f>
        <v>61</v>
      </c>
      <c r="E766" t="str">
        <f>T("원기공장")</f>
        <v>원기공장</v>
      </c>
      <c r="H766" t="str">
        <f t="shared" si="93"/>
        <v>스토리위즈</v>
      </c>
      <c r="I766" t="str">
        <f>T("계약연애, 오늘부터 1일")</f>
        <v>계약연애, 오늘부터 1일</v>
      </c>
      <c r="J766">
        <v>200</v>
      </c>
      <c r="K766">
        <v>0</v>
      </c>
      <c r="L766">
        <v>0</v>
      </c>
      <c r="M766">
        <v>0</v>
      </c>
      <c r="N766">
        <v>100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 s="3">
        <v>100</v>
      </c>
      <c r="AH766" s="3">
        <v>1</v>
      </c>
      <c r="AI766" s="3">
        <v>0</v>
      </c>
      <c r="AJ766" s="3">
        <v>0</v>
      </c>
      <c r="AK766" s="3">
        <v>100</v>
      </c>
      <c r="AL766" s="3">
        <v>0</v>
      </c>
      <c r="AM766" s="3">
        <v>0</v>
      </c>
      <c r="AN766" s="3">
        <v>0</v>
      </c>
      <c r="AO766" s="3">
        <v>0</v>
      </c>
      <c r="AP766" s="3">
        <v>70</v>
      </c>
      <c r="AR766" t="str">
        <f t="shared" si="96"/>
        <v>0000000000000</v>
      </c>
      <c r="AT766" t="str">
        <f>T("9791166068027")</f>
        <v>9791166068027</v>
      </c>
      <c r="AV766" t="str">
        <f>T("웹툰 &gt; 해외 순정")</f>
        <v>웹툰 &gt; 해외 순정</v>
      </c>
      <c r="AW766" t="str">
        <f>T("웹툰 &gt; 로맨스")</f>
        <v>웹툰 &gt; 로맨스</v>
      </c>
    </row>
    <row r="767" spans="1:49" x14ac:dyDescent="0.4">
      <c r="A767">
        <v>4421001568</v>
      </c>
      <c r="B767">
        <v>4421001579</v>
      </c>
      <c r="C767" t="str">
        <f>T("구름의 연인 12화")</f>
        <v>구름의 연인 12화</v>
      </c>
      <c r="D767" t="str">
        <f>T("12")</f>
        <v>12</v>
      </c>
      <c r="E767" t="str">
        <f>T("웹티")</f>
        <v>웹티</v>
      </c>
      <c r="H767" t="str">
        <f t="shared" si="93"/>
        <v>스토리위즈</v>
      </c>
      <c r="I767" t="str">
        <f>T("구름의 연인")</f>
        <v>구름의 연인</v>
      </c>
      <c r="J767">
        <v>500</v>
      </c>
      <c r="K767">
        <v>0</v>
      </c>
      <c r="L767">
        <v>0</v>
      </c>
      <c r="M767">
        <v>0</v>
      </c>
      <c r="N767">
        <v>200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 s="3">
        <v>200</v>
      </c>
      <c r="AH767" s="3">
        <v>1</v>
      </c>
      <c r="AI767" s="3">
        <v>0</v>
      </c>
      <c r="AJ767" s="3">
        <v>0</v>
      </c>
      <c r="AK767" s="3">
        <v>200</v>
      </c>
      <c r="AL767" s="3">
        <v>0</v>
      </c>
      <c r="AM767" s="3">
        <v>0</v>
      </c>
      <c r="AN767" s="3">
        <v>0</v>
      </c>
      <c r="AO767" s="3">
        <v>0</v>
      </c>
      <c r="AP767" s="3">
        <v>140</v>
      </c>
      <c r="AR767" t="str">
        <f t="shared" si="96"/>
        <v>0000000000000</v>
      </c>
      <c r="AT767" t="str">
        <f>T("9791196402730")</f>
        <v>9791196402730</v>
      </c>
      <c r="AV767" t="str">
        <f>T("웹툰 &gt; 로맨스")</f>
        <v>웹툰 &gt; 로맨스</v>
      </c>
    </row>
    <row r="768" spans="1:49" x14ac:dyDescent="0.4">
      <c r="A768">
        <v>4421000866</v>
      </c>
      <c r="B768">
        <v>4421001297</v>
      </c>
      <c r="C768" t="str">
        <f>T("최애에게 들켜버렸다 68화")</f>
        <v>최애에게 들켜버렸다 68화</v>
      </c>
      <c r="D768" t="str">
        <f>T("71")</f>
        <v>71</v>
      </c>
      <c r="E768" t="str">
        <f>T("Lv")</f>
        <v>Lv</v>
      </c>
      <c r="G768" t="str">
        <f>T("Lv")</f>
        <v>Lv</v>
      </c>
      <c r="H768" t="str">
        <f t="shared" si="93"/>
        <v>스토리위즈</v>
      </c>
      <c r="I768" t="str">
        <f>T("최애에게 들켜버렸다")</f>
        <v>최애에게 들켜버렸다</v>
      </c>
      <c r="J768">
        <v>400</v>
      </c>
      <c r="K768">
        <v>0</v>
      </c>
      <c r="L768">
        <v>0</v>
      </c>
      <c r="M768">
        <v>0</v>
      </c>
      <c r="N768">
        <v>600</v>
      </c>
      <c r="O768">
        <v>3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 s="3">
        <v>600</v>
      </c>
      <c r="AH768" s="3">
        <v>3</v>
      </c>
      <c r="AI768" s="3">
        <v>0</v>
      </c>
      <c r="AJ768" s="3">
        <v>0</v>
      </c>
      <c r="AK768" s="3">
        <v>424</v>
      </c>
      <c r="AL768" s="3">
        <v>0</v>
      </c>
      <c r="AM768" s="3">
        <v>211.38</v>
      </c>
      <c r="AN768" s="3">
        <v>-63.41</v>
      </c>
      <c r="AO768" s="3">
        <v>0</v>
      </c>
      <c r="AP768" s="3">
        <v>400.38</v>
      </c>
      <c r="AR768" t="str">
        <f t="shared" si="96"/>
        <v>0000000000000</v>
      </c>
      <c r="AT768" t="str">
        <f>T("9791137601253")</f>
        <v>9791137601253</v>
      </c>
      <c r="AV768" t="str">
        <f>T("웹툰 &gt; 해외 순정")</f>
        <v>웹툰 &gt; 해외 순정</v>
      </c>
      <c r="AW768" t="str">
        <f>T("웹툰 &gt; 로맨스")</f>
        <v>웹툰 &gt; 로맨스</v>
      </c>
    </row>
    <row r="769" spans="1:49" x14ac:dyDescent="0.4">
      <c r="A769">
        <v>4421000916</v>
      </c>
      <c r="B769">
        <v>4421001194</v>
      </c>
      <c r="C769" t="str">
        <f>T("별빛 아래 우리 42화")</f>
        <v>별빛 아래 우리 42화</v>
      </c>
      <c r="D769" t="str">
        <f>T("42")</f>
        <v>42</v>
      </c>
      <c r="E769" t="str">
        <f>T("건일")</f>
        <v>건일</v>
      </c>
      <c r="G769" t="str">
        <f>T("건일")</f>
        <v>건일</v>
      </c>
      <c r="H769" t="str">
        <f t="shared" si="93"/>
        <v>스토리위즈</v>
      </c>
      <c r="I769" t="str">
        <f>T("별빛 아래 우리")</f>
        <v>별빛 아래 우리</v>
      </c>
      <c r="J769">
        <v>400</v>
      </c>
      <c r="K769">
        <v>0</v>
      </c>
      <c r="L769">
        <v>0</v>
      </c>
      <c r="M769">
        <v>0</v>
      </c>
      <c r="N769">
        <v>800</v>
      </c>
      <c r="O769">
        <v>4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 s="3">
        <v>800</v>
      </c>
      <c r="AH769" s="3">
        <v>4</v>
      </c>
      <c r="AI769" s="3">
        <v>0</v>
      </c>
      <c r="AJ769" s="3">
        <v>0</v>
      </c>
      <c r="AK769" s="3">
        <v>379</v>
      </c>
      <c r="AL769" s="3">
        <v>0</v>
      </c>
      <c r="AM769" s="3">
        <v>505.2</v>
      </c>
      <c r="AN769" s="3">
        <v>-151.56</v>
      </c>
      <c r="AO769" s="3">
        <v>0</v>
      </c>
      <c r="AP769" s="3">
        <v>512.85</v>
      </c>
      <c r="AR769" t="str">
        <f t="shared" si="96"/>
        <v>0000000000000</v>
      </c>
      <c r="AT769" t="str">
        <f>T("9791137601413")</f>
        <v>9791137601413</v>
      </c>
      <c r="AV769" t="str">
        <f>T("웹툰 &gt; 해외 순정")</f>
        <v>웹툰 &gt; 해외 순정</v>
      </c>
      <c r="AW769" t="str">
        <f>T("웹툰 &gt; 로맨스")</f>
        <v>웹툰 &gt; 로맨스</v>
      </c>
    </row>
    <row r="770" spans="1:49" x14ac:dyDescent="0.4">
      <c r="A770">
        <v>4421000450</v>
      </c>
      <c r="B770">
        <v>4421000469</v>
      </c>
      <c r="C770" t="str">
        <f>T("내 남편의 스토커 19화")</f>
        <v>내 남편의 스토커 19화</v>
      </c>
      <c r="D770" t="str">
        <f>T("19")</f>
        <v>19</v>
      </c>
      <c r="E770" t="str">
        <f>T("혜원")</f>
        <v>혜원</v>
      </c>
      <c r="G770" t="str">
        <f>T("혜원")</f>
        <v>혜원</v>
      </c>
      <c r="H770" t="str">
        <f t="shared" ref="H770:H833" si="97">T("스토리위즈")</f>
        <v>스토리위즈</v>
      </c>
      <c r="I770" t="str">
        <f>T("내 남편의 스토커")</f>
        <v>내 남편의 스토커</v>
      </c>
      <c r="J770">
        <v>400</v>
      </c>
      <c r="K770">
        <v>0</v>
      </c>
      <c r="L770">
        <v>0</v>
      </c>
      <c r="M770">
        <v>0</v>
      </c>
      <c r="N770">
        <v>200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 s="3">
        <v>200</v>
      </c>
      <c r="AH770" s="3">
        <v>1</v>
      </c>
      <c r="AI770" s="3">
        <v>0</v>
      </c>
      <c r="AJ770" s="3">
        <v>0</v>
      </c>
      <c r="AK770" s="3">
        <v>200</v>
      </c>
      <c r="AL770" s="3">
        <v>0</v>
      </c>
      <c r="AM770" s="3">
        <v>0</v>
      </c>
      <c r="AN770" s="3">
        <v>0</v>
      </c>
      <c r="AO770" s="3">
        <v>0</v>
      </c>
      <c r="AP770" s="3">
        <v>140</v>
      </c>
      <c r="AR770" t="str">
        <f t="shared" si="96"/>
        <v>0000000000000</v>
      </c>
      <c r="AT770" t="str">
        <f>T("9791166068034")</f>
        <v>9791166068034</v>
      </c>
      <c r="AV770" t="str">
        <f>T("웹툰 &gt; 로맨스")</f>
        <v>웹툰 &gt; 로맨스</v>
      </c>
    </row>
    <row r="771" spans="1:49" x14ac:dyDescent="0.4">
      <c r="A771">
        <v>4421000450</v>
      </c>
      <c r="B771">
        <v>4421000477</v>
      </c>
      <c r="C771" t="str">
        <f>T("내 남편의 스토커 27화")</f>
        <v>내 남편의 스토커 27화</v>
      </c>
      <c r="D771" t="str">
        <f>T("27")</f>
        <v>27</v>
      </c>
      <c r="E771" t="str">
        <f>T("혜원")</f>
        <v>혜원</v>
      </c>
      <c r="G771" t="str">
        <f>T("혜원")</f>
        <v>혜원</v>
      </c>
      <c r="H771" t="str">
        <f t="shared" si="97"/>
        <v>스토리위즈</v>
      </c>
      <c r="I771" t="str">
        <f>T("내 남편의 스토커")</f>
        <v>내 남편의 스토커</v>
      </c>
      <c r="J771">
        <v>400</v>
      </c>
      <c r="K771">
        <v>0</v>
      </c>
      <c r="L771">
        <v>0</v>
      </c>
      <c r="M771">
        <v>0</v>
      </c>
      <c r="N771">
        <v>200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 s="3">
        <v>200</v>
      </c>
      <c r="AH771" s="3">
        <v>1</v>
      </c>
      <c r="AI771" s="3">
        <v>0</v>
      </c>
      <c r="AJ771" s="3">
        <v>0</v>
      </c>
      <c r="AK771" s="3">
        <v>200</v>
      </c>
      <c r="AL771" s="3">
        <v>0</v>
      </c>
      <c r="AM771" s="3">
        <v>0</v>
      </c>
      <c r="AN771" s="3">
        <v>0</v>
      </c>
      <c r="AO771" s="3">
        <v>0</v>
      </c>
      <c r="AP771" s="3">
        <v>140</v>
      </c>
      <c r="AR771" t="str">
        <f t="shared" si="96"/>
        <v>0000000000000</v>
      </c>
      <c r="AT771" t="str">
        <f>T("9791166068034")</f>
        <v>9791166068034</v>
      </c>
      <c r="AV771" t="str">
        <f>T("웹툰 &gt; 로맨스")</f>
        <v>웹툰 &gt; 로맨스</v>
      </c>
    </row>
    <row r="772" spans="1:49" x14ac:dyDescent="0.4">
      <c r="A772">
        <v>4421000198</v>
      </c>
      <c r="B772">
        <v>4421000244</v>
      </c>
      <c r="C772" t="str">
        <f>T("공주전쟁 47화")</f>
        <v>공주전쟁 47화</v>
      </c>
      <c r="D772" t="str">
        <f>T("47")</f>
        <v>47</v>
      </c>
      <c r="E772" t="str">
        <f>T("Hujing")</f>
        <v>Hujing</v>
      </c>
      <c r="G772" t="str">
        <f>T("Luojie")</f>
        <v>Luojie</v>
      </c>
      <c r="H772" t="str">
        <f t="shared" si="97"/>
        <v>스토리위즈</v>
      </c>
      <c r="I772" t="str">
        <f>T("공주전쟁")</f>
        <v>공주전쟁</v>
      </c>
      <c r="J772">
        <v>400</v>
      </c>
      <c r="K772">
        <v>0</v>
      </c>
      <c r="L772">
        <v>0</v>
      </c>
      <c r="M772">
        <v>0</v>
      </c>
      <c r="N772">
        <v>400</v>
      </c>
      <c r="O772">
        <v>2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 s="3">
        <v>400</v>
      </c>
      <c r="AH772" s="3">
        <v>2</v>
      </c>
      <c r="AI772" s="3">
        <v>0</v>
      </c>
      <c r="AJ772" s="3">
        <v>0</v>
      </c>
      <c r="AK772" s="3">
        <v>200</v>
      </c>
      <c r="AL772" s="3">
        <v>0</v>
      </c>
      <c r="AM772" s="3">
        <v>240</v>
      </c>
      <c r="AN772" s="3">
        <v>-72</v>
      </c>
      <c r="AO772" s="3">
        <v>0</v>
      </c>
      <c r="AP772" s="3">
        <v>257.60000000000002</v>
      </c>
      <c r="AR772" t="str">
        <f t="shared" si="96"/>
        <v>0000000000000</v>
      </c>
      <c r="AT772" t="str">
        <f>T("9791166069666")</f>
        <v>9791166069666</v>
      </c>
      <c r="AV772" t="str">
        <f>T("웹툰 &gt; 해외 순정")</f>
        <v>웹툰 &gt; 해외 순정</v>
      </c>
      <c r="AW772" t="str">
        <f>T("웹툰 &gt; 로판")</f>
        <v>웹툰 &gt; 로판</v>
      </c>
    </row>
    <row r="773" spans="1:49" x14ac:dyDescent="0.4">
      <c r="A773">
        <v>4421000866</v>
      </c>
      <c r="B773">
        <v>4421000993</v>
      </c>
      <c r="C773" t="str">
        <f>T("최애에게 들켜버렸다 35화")</f>
        <v>최애에게 들켜버렸다 35화</v>
      </c>
      <c r="D773" t="str">
        <f>T("36")</f>
        <v>36</v>
      </c>
      <c r="E773" t="str">
        <f>T("Lv")</f>
        <v>Lv</v>
      </c>
      <c r="G773" t="str">
        <f>T("Lv")</f>
        <v>Lv</v>
      </c>
      <c r="H773" t="str">
        <f t="shared" si="97"/>
        <v>스토리위즈</v>
      </c>
      <c r="I773" t="str">
        <f>T("최애에게 들켜버렸다")</f>
        <v>최애에게 들켜버렸다</v>
      </c>
      <c r="J773">
        <v>400</v>
      </c>
      <c r="K773">
        <v>0</v>
      </c>
      <c r="L773">
        <v>0</v>
      </c>
      <c r="M773">
        <v>0</v>
      </c>
      <c r="N773">
        <v>800</v>
      </c>
      <c r="O773">
        <v>4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 s="3">
        <v>800</v>
      </c>
      <c r="AH773" s="3">
        <v>4</v>
      </c>
      <c r="AI773" s="3">
        <v>0</v>
      </c>
      <c r="AJ773" s="3">
        <v>0</v>
      </c>
      <c r="AK773" s="3">
        <v>624</v>
      </c>
      <c r="AL773" s="3">
        <v>0</v>
      </c>
      <c r="AM773" s="3">
        <v>211.38</v>
      </c>
      <c r="AN773" s="3">
        <v>-63.41</v>
      </c>
      <c r="AO773" s="3">
        <v>0</v>
      </c>
      <c r="AP773" s="3">
        <v>540.38</v>
      </c>
      <c r="AR773" t="str">
        <f t="shared" si="96"/>
        <v>0000000000000</v>
      </c>
      <c r="AT773" t="str">
        <f>T("9791137601253")</f>
        <v>9791137601253</v>
      </c>
      <c r="AV773" t="str">
        <f>T("웹툰 &gt; 해외 순정")</f>
        <v>웹툰 &gt; 해외 순정</v>
      </c>
      <c r="AW773" t="str">
        <f>T("웹툰 &gt; 로맨스")</f>
        <v>웹툰 &gt; 로맨스</v>
      </c>
    </row>
    <row r="774" spans="1:49" x14ac:dyDescent="0.4">
      <c r="A774">
        <v>4421001936</v>
      </c>
      <c r="B774">
        <v>4421001944</v>
      </c>
      <c r="C774" t="str">
        <f>T("보스 오빠, 살살! 9화")</f>
        <v>보스 오빠, 살살! 9화</v>
      </c>
      <c r="D774" t="str">
        <f>T("9")</f>
        <v>9</v>
      </c>
      <c r="E774" t="str">
        <f>T("웹티")</f>
        <v>웹티</v>
      </c>
      <c r="H774" t="str">
        <f t="shared" si="97"/>
        <v>스토리위즈</v>
      </c>
      <c r="I774" t="str">
        <f>T("보스 오빠, 살살!")</f>
        <v>보스 오빠, 살살!</v>
      </c>
      <c r="J774">
        <v>500</v>
      </c>
      <c r="K774">
        <v>0</v>
      </c>
      <c r="L774">
        <v>0</v>
      </c>
      <c r="M774">
        <v>0</v>
      </c>
      <c r="N774">
        <v>200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 s="3">
        <v>200</v>
      </c>
      <c r="AH774" s="3">
        <v>1</v>
      </c>
      <c r="AI774" s="3">
        <v>0</v>
      </c>
      <c r="AJ774" s="3">
        <v>0</v>
      </c>
      <c r="AK774" s="3">
        <v>0</v>
      </c>
      <c r="AL774" s="3">
        <v>0</v>
      </c>
      <c r="AM774" s="3">
        <v>240</v>
      </c>
      <c r="AN774" s="3">
        <v>-72</v>
      </c>
      <c r="AO774" s="3">
        <v>0</v>
      </c>
      <c r="AP774" s="3">
        <v>117.6</v>
      </c>
      <c r="AT774" t="str">
        <f>T("9791190702331")</f>
        <v>9791190702331</v>
      </c>
      <c r="AV774" t="str">
        <f>T("웹툰 &gt; 로맨스")</f>
        <v>웹툰 &gt; 로맨스</v>
      </c>
    </row>
    <row r="775" spans="1:49" x14ac:dyDescent="0.4">
      <c r="A775">
        <v>4421000866</v>
      </c>
      <c r="B775">
        <v>4421000876</v>
      </c>
      <c r="C775" t="str">
        <f>T("최애에게 들켜버렸다 10화")</f>
        <v>최애에게 들켜버렸다 10화</v>
      </c>
      <c r="D775" t="str">
        <f>T("10")</f>
        <v>10</v>
      </c>
      <c r="E775" t="str">
        <f>T("Lv")</f>
        <v>Lv</v>
      </c>
      <c r="G775" t="str">
        <f>T("Lv")</f>
        <v>Lv</v>
      </c>
      <c r="H775" t="str">
        <f t="shared" si="97"/>
        <v>스토리위즈</v>
      </c>
      <c r="I775" t="str">
        <f>T("최애에게 들켜버렸다")</f>
        <v>최애에게 들켜버렸다</v>
      </c>
      <c r="J775">
        <v>400</v>
      </c>
      <c r="K775">
        <v>0</v>
      </c>
      <c r="L775">
        <v>0</v>
      </c>
      <c r="M775">
        <v>0</v>
      </c>
      <c r="N775">
        <v>1000</v>
      </c>
      <c r="O775">
        <v>5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 s="3">
        <v>1000</v>
      </c>
      <c r="AH775" s="3">
        <v>5</v>
      </c>
      <c r="AI775" s="3">
        <v>0</v>
      </c>
      <c r="AJ775" s="3">
        <v>0</v>
      </c>
      <c r="AK775" s="3">
        <v>624</v>
      </c>
      <c r="AL775" s="3">
        <v>0</v>
      </c>
      <c r="AM775" s="3">
        <v>451.38</v>
      </c>
      <c r="AN775" s="3">
        <v>-135.41</v>
      </c>
      <c r="AO775" s="3">
        <v>0</v>
      </c>
      <c r="AP775" s="3">
        <v>657.98</v>
      </c>
      <c r="AR775" t="str">
        <f t="shared" ref="AR775:AR787" si="98">T("0000000000000")</f>
        <v>0000000000000</v>
      </c>
      <c r="AT775" t="str">
        <f>T("9791137601253")</f>
        <v>9791137601253</v>
      </c>
      <c r="AV775" t="str">
        <f>T("웹툰 &gt; 해외 순정")</f>
        <v>웹툰 &gt; 해외 순정</v>
      </c>
      <c r="AW775" t="str">
        <f>T("웹툰 &gt; 로맨스")</f>
        <v>웹툰 &gt; 로맨스</v>
      </c>
    </row>
    <row r="776" spans="1:49" x14ac:dyDescent="0.4">
      <c r="A776">
        <v>4421001340</v>
      </c>
      <c r="B776">
        <v>4421001530</v>
      </c>
      <c r="C776" t="str">
        <f>T("가출천사 육성계약 40화")</f>
        <v>가출천사 육성계약 40화</v>
      </c>
      <c r="D776" t="str">
        <f>T("40")</f>
        <v>40</v>
      </c>
      <c r="E776" t="str">
        <f>T("Bae.C, IIAKI, 박제후")</f>
        <v>Bae.C, IIAKI, 박제후</v>
      </c>
      <c r="G776" t="str">
        <f>T("Bae.C, 조우")</f>
        <v>Bae.C, 조우</v>
      </c>
      <c r="H776" t="str">
        <f t="shared" si="97"/>
        <v>스토리위즈</v>
      </c>
      <c r="I776" t="str">
        <f>T("가출천사 육성계약")</f>
        <v>가출천사 육성계약</v>
      </c>
      <c r="J776">
        <v>400</v>
      </c>
      <c r="K776">
        <v>0</v>
      </c>
      <c r="L776">
        <v>0</v>
      </c>
      <c r="M776">
        <v>0</v>
      </c>
      <c r="N776">
        <v>200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 s="3">
        <v>200</v>
      </c>
      <c r="AH776" s="3">
        <v>1</v>
      </c>
      <c r="AI776" s="3">
        <v>0</v>
      </c>
      <c r="AJ776" s="3">
        <v>0</v>
      </c>
      <c r="AK776" s="3">
        <v>200</v>
      </c>
      <c r="AL776" s="3">
        <v>0</v>
      </c>
      <c r="AM776" s="3">
        <v>0</v>
      </c>
      <c r="AN776" s="3">
        <v>0</v>
      </c>
      <c r="AO776" s="3">
        <v>0</v>
      </c>
      <c r="AP776" s="3">
        <v>140</v>
      </c>
      <c r="AR776" t="str">
        <f t="shared" si="98"/>
        <v>0000000000000</v>
      </c>
      <c r="AT776" t="str">
        <f>T("9791191765663")</f>
        <v>9791191765663</v>
      </c>
      <c r="AV776" t="str">
        <f>T("웹툰 &gt; 판타지/SF")</f>
        <v>웹툰 &gt; 판타지/SF</v>
      </c>
    </row>
    <row r="777" spans="1:49" x14ac:dyDescent="0.4">
      <c r="A777">
        <v>4421000198</v>
      </c>
      <c r="B777">
        <v>4421000205</v>
      </c>
      <c r="C777" t="str">
        <f>T("공주전쟁 8화")</f>
        <v>공주전쟁 8화</v>
      </c>
      <c r="D777" t="str">
        <f>T("8")</f>
        <v>8</v>
      </c>
      <c r="E777" t="str">
        <f>T("Hujing")</f>
        <v>Hujing</v>
      </c>
      <c r="G777" t="str">
        <f>T("Luojie")</f>
        <v>Luojie</v>
      </c>
      <c r="H777" t="str">
        <f t="shared" si="97"/>
        <v>스토리위즈</v>
      </c>
      <c r="I777" t="str">
        <f>T("공주전쟁")</f>
        <v>공주전쟁</v>
      </c>
      <c r="J777">
        <v>400</v>
      </c>
      <c r="K777">
        <v>0</v>
      </c>
      <c r="L777">
        <v>0</v>
      </c>
      <c r="M777">
        <v>0</v>
      </c>
      <c r="N777">
        <v>600</v>
      </c>
      <c r="O777">
        <v>3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 s="3">
        <v>600</v>
      </c>
      <c r="AH777" s="3">
        <v>3</v>
      </c>
      <c r="AI777" s="3">
        <v>0</v>
      </c>
      <c r="AJ777" s="3">
        <v>0</v>
      </c>
      <c r="AK777" s="3">
        <v>400</v>
      </c>
      <c r="AL777" s="3">
        <v>0</v>
      </c>
      <c r="AM777" s="3">
        <v>240</v>
      </c>
      <c r="AN777" s="3">
        <v>-72</v>
      </c>
      <c r="AO777" s="3">
        <v>0</v>
      </c>
      <c r="AP777" s="3">
        <v>397.6</v>
      </c>
      <c r="AR777" t="str">
        <f t="shared" si="98"/>
        <v>0000000000000</v>
      </c>
      <c r="AT777" t="str">
        <f>T("9791166069666")</f>
        <v>9791166069666</v>
      </c>
      <c r="AV777" t="str">
        <f>T("웹툰 &gt; 해외 순정")</f>
        <v>웹툰 &gt; 해외 순정</v>
      </c>
      <c r="AW777" t="str">
        <f>T("웹툰 &gt; 로판")</f>
        <v>웹툰 &gt; 로판</v>
      </c>
    </row>
    <row r="778" spans="1:49" x14ac:dyDescent="0.4">
      <c r="A778">
        <v>4421001340</v>
      </c>
      <c r="B778">
        <v>4421001370</v>
      </c>
      <c r="C778" t="str">
        <f>T("가출천사 육성계약 31화")</f>
        <v>가출천사 육성계약 31화</v>
      </c>
      <c r="D778" t="str">
        <f>T("31")</f>
        <v>31</v>
      </c>
      <c r="E778" t="str">
        <f>T("Bae.C, IIAKI, 박제후")</f>
        <v>Bae.C, IIAKI, 박제후</v>
      </c>
      <c r="G778" t="str">
        <f>T("Bae.C, 조우")</f>
        <v>Bae.C, 조우</v>
      </c>
      <c r="H778" t="str">
        <f t="shared" si="97"/>
        <v>스토리위즈</v>
      </c>
      <c r="I778" t="str">
        <f>T("가출천사 육성계약")</f>
        <v>가출천사 육성계약</v>
      </c>
      <c r="J778">
        <v>400</v>
      </c>
      <c r="K778">
        <v>0</v>
      </c>
      <c r="L778">
        <v>0</v>
      </c>
      <c r="M778">
        <v>0</v>
      </c>
      <c r="N778">
        <v>200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 s="3">
        <v>200</v>
      </c>
      <c r="AH778" s="3">
        <v>1</v>
      </c>
      <c r="AI778" s="3">
        <v>0</v>
      </c>
      <c r="AJ778" s="3">
        <v>0</v>
      </c>
      <c r="AK778" s="3">
        <v>200</v>
      </c>
      <c r="AL778" s="3">
        <v>0</v>
      </c>
      <c r="AM778" s="3">
        <v>0</v>
      </c>
      <c r="AN778" s="3">
        <v>0</v>
      </c>
      <c r="AO778" s="3">
        <v>0</v>
      </c>
      <c r="AP778" s="3">
        <v>140</v>
      </c>
      <c r="AR778" t="str">
        <f t="shared" si="98"/>
        <v>0000000000000</v>
      </c>
      <c r="AT778" t="str">
        <f>T("9791191765663")</f>
        <v>9791191765663</v>
      </c>
      <c r="AV778" t="str">
        <f>T("웹툰 &gt; 판타지/SF")</f>
        <v>웹툰 &gt; 판타지/SF</v>
      </c>
    </row>
    <row r="779" spans="1:49" x14ac:dyDescent="0.4">
      <c r="A779">
        <v>4421000337</v>
      </c>
      <c r="B779">
        <v>4421000430</v>
      </c>
      <c r="C779" t="str">
        <f>T("계약연애, 오늘부터 1일 94화")</f>
        <v>계약연애, 오늘부터 1일 94화</v>
      </c>
      <c r="D779" t="str">
        <f>T("94")</f>
        <v>94</v>
      </c>
      <c r="E779" t="str">
        <f>T("원기공장")</f>
        <v>원기공장</v>
      </c>
      <c r="H779" t="str">
        <f t="shared" si="97"/>
        <v>스토리위즈</v>
      </c>
      <c r="I779" t="str">
        <f>T("계약연애, 오늘부터 1일")</f>
        <v>계약연애, 오늘부터 1일</v>
      </c>
      <c r="J779">
        <v>200</v>
      </c>
      <c r="K779">
        <v>0</v>
      </c>
      <c r="L779">
        <v>0</v>
      </c>
      <c r="M779">
        <v>0</v>
      </c>
      <c r="N779">
        <v>100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 s="3">
        <v>100</v>
      </c>
      <c r="AH779" s="3">
        <v>1</v>
      </c>
      <c r="AI779" s="3">
        <v>0</v>
      </c>
      <c r="AJ779" s="3">
        <v>0</v>
      </c>
      <c r="AK779" s="3">
        <v>100</v>
      </c>
      <c r="AL779" s="3">
        <v>0</v>
      </c>
      <c r="AM779" s="3">
        <v>0</v>
      </c>
      <c r="AN779" s="3">
        <v>0</v>
      </c>
      <c r="AO779" s="3">
        <v>0</v>
      </c>
      <c r="AP779" s="3">
        <v>70</v>
      </c>
      <c r="AR779" t="str">
        <f t="shared" si="98"/>
        <v>0000000000000</v>
      </c>
      <c r="AT779" t="str">
        <f>T("9791166068027")</f>
        <v>9791166068027</v>
      </c>
      <c r="AV779" t="str">
        <f>T("웹툰 &gt; 해외 순정")</f>
        <v>웹툰 &gt; 해외 순정</v>
      </c>
      <c r="AW779" t="str">
        <f>T("웹툰 &gt; 로맨스")</f>
        <v>웹툰 &gt; 로맨스</v>
      </c>
    </row>
    <row r="780" spans="1:49" x14ac:dyDescent="0.4">
      <c r="A780">
        <v>4421000916</v>
      </c>
      <c r="B780">
        <v>4421000933</v>
      </c>
      <c r="C780" t="str">
        <f>T("별빛 아래 우리 18화")</f>
        <v>별빛 아래 우리 18화</v>
      </c>
      <c r="D780" t="str">
        <f>T("18")</f>
        <v>18</v>
      </c>
      <c r="E780" t="str">
        <f>T("건일")</f>
        <v>건일</v>
      </c>
      <c r="G780" t="str">
        <f>T("건일")</f>
        <v>건일</v>
      </c>
      <c r="H780" t="str">
        <f t="shared" si="97"/>
        <v>스토리위즈</v>
      </c>
      <c r="I780" t="str">
        <f>T("별빛 아래 우리")</f>
        <v>별빛 아래 우리</v>
      </c>
      <c r="J780">
        <v>400</v>
      </c>
      <c r="K780">
        <v>0</v>
      </c>
      <c r="L780">
        <v>0</v>
      </c>
      <c r="M780">
        <v>0</v>
      </c>
      <c r="N780">
        <v>1600</v>
      </c>
      <c r="O780">
        <v>8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 s="3">
        <v>1600</v>
      </c>
      <c r="AH780" s="3">
        <v>8</v>
      </c>
      <c r="AI780" s="3">
        <v>0</v>
      </c>
      <c r="AJ780" s="3">
        <v>0</v>
      </c>
      <c r="AK780" s="3">
        <v>400</v>
      </c>
      <c r="AL780" s="3">
        <v>0</v>
      </c>
      <c r="AM780" s="3">
        <v>1441.02</v>
      </c>
      <c r="AN780" s="3">
        <v>-432.31</v>
      </c>
      <c r="AO780" s="3">
        <v>0</v>
      </c>
      <c r="AP780" s="3">
        <v>986.1</v>
      </c>
      <c r="AR780" t="str">
        <f t="shared" si="98"/>
        <v>0000000000000</v>
      </c>
      <c r="AT780" t="str">
        <f>T("9791137601413")</f>
        <v>9791137601413</v>
      </c>
      <c r="AV780" t="str">
        <f>T("웹툰 &gt; 해외 순정")</f>
        <v>웹툰 &gt; 해외 순정</v>
      </c>
      <c r="AW780" t="str">
        <f>T("웹툰 &gt; 로맨스")</f>
        <v>웹툰 &gt; 로맨스</v>
      </c>
    </row>
    <row r="781" spans="1:49" x14ac:dyDescent="0.4">
      <c r="A781">
        <v>4421001764</v>
      </c>
      <c r="B781">
        <v>4421001764</v>
      </c>
      <c r="C781" t="str">
        <f>T("예쁜 남자 잘생긴 여자 1화")</f>
        <v>예쁜 남자 잘생긴 여자 1화</v>
      </c>
      <c r="D781" t="str">
        <f>T("1")</f>
        <v>1</v>
      </c>
      <c r="E781" t="str">
        <f>T("웹티")</f>
        <v>웹티</v>
      </c>
      <c r="H781" t="str">
        <f t="shared" si="97"/>
        <v>스토리위즈</v>
      </c>
      <c r="I781" t="str">
        <f>T("예쁜 남자 잘생긴 여자")</f>
        <v>예쁜 남자 잘생긴 여자</v>
      </c>
      <c r="J781">
        <v>0</v>
      </c>
      <c r="K781">
        <v>0</v>
      </c>
      <c r="L781">
        <v>0</v>
      </c>
      <c r="M781">
        <v>3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 s="3">
        <v>0</v>
      </c>
      <c r="AH781" s="3">
        <v>3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R781" t="str">
        <f t="shared" si="98"/>
        <v>0000000000000</v>
      </c>
      <c r="AT781" t="str">
        <f>T("9791190702164")</f>
        <v>9791190702164</v>
      </c>
      <c r="AV781" t="str">
        <f>T("웹툰 &gt; 로맨스")</f>
        <v>웹툰 &gt; 로맨스</v>
      </c>
    </row>
    <row r="782" spans="1:49" x14ac:dyDescent="0.4">
      <c r="A782">
        <v>4421000337</v>
      </c>
      <c r="B782">
        <v>4421000390</v>
      </c>
      <c r="C782" t="str">
        <f>T("계약연애, 오늘부터 1일 54화")</f>
        <v>계약연애, 오늘부터 1일 54화</v>
      </c>
      <c r="D782" t="str">
        <f>T("54")</f>
        <v>54</v>
      </c>
      <c r="E782" t="str">
        <f>T("원기공장")</f>
        <v>원기공장</v>
      </c>
      <c r="H782" t="str">
        <f t="shared" si="97"/>
        <v>스토리위즈</v>
      </c>
      <c r="I782" t="str">
        <f>T("계약연애, 오늘부터 1일")</f>
        <v>계약연애, 오늘부터 1일</v>
      </c>
      <c r="J782">
        <v>200</v>
      </c>
      <c r="K782">
        <v>0</v>
      </c>
      <c r="L782">
        <v>0</v>
      </c>
      <c r="M782">
        <v>0</v>
      </c>
      <c r="N782">
        <v>100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 s="3">
        <v>100</v>
      </c>
      <c r="AH782" s="3">
        <v>1</v>
      </c>
      <c r="AI782" s="3">
        <v>0</v>
      </c>
      <c r="AJ782" s="3">
        <v>0</v>
      </c>
      <c r="AK782" s="3">
        <v>100</v>
      </c>
      <c r="AL782" s="3">
        <v>0</v>
      </c>
      <c r="AM782" s="3">
        <v>0</v>
      </c>
      <c r="AN782" s="3">
        <v>0</v>
      </c>
      <c r="AO782" s="3">
        <v>0</v>
      </c>
      <c r="AP782" s="3">
        <v>70</v>
      </c>
      <c r="AR782" t="str">
        <f t="shared" si="98"/>
        <v>0000000000000</v>
      </c>
      <c r="AT782" t="str">
        <f>T("9791166068027")</f>
        <v>9791166068027</v>
      </c>
      <c r="AV782" t="str">
        <f>T("웹툰 &gt; 해외 순정")</f>
        <v>웹툰 &gt; 해외 순정</v>
      </c>
      <c r="AW782" t="str">
        <f>T("웹툰 &gt; 로맨스")</f>
        <v>웹툰 &gt; 로맨스</v>
      </c>
    </row>
    <row r="783" spans="1:49" x14ac:dyDescent="0.4">
      <c r="A783">
        <v>4421001568</v>
      </c>
      <c r="B783">
        <v>4421001572</v>
      </c>
      <c r="C783" t="str">
        <f>T("구름의 연인 5화")</f>
        <v>구름의 연인 5화</v>
      </c>
      <c r="D783" t="str">
        <f>T("5")</f>
        <v>5</v>
      </c>
      <c r="E783" t="str">
        <f>T("웹티")</f>
        <v>웹티</v>
      </c>
      <c r="H783" t="str">
        <f t="shared" si="97"/>
        <v>스토리위즈</v>
      </c>
      <c r="I783" t="str">
        <f>T("구름의 연인")</f>
        <v>구름의 연인</v>
      </c>
      <c r="J783">
        <v>500</v>
      </c>
      <c r="K783">
        <v>0</v>
      </c>
      <c r="L783">
        <v>0</v>
      </c>
      <c r="M783">
        <v>0</v>
      </c>
      <c r="N783">
        <v>200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 s="3">
        <v>200</v>
      </c>
      <c r="AH783" s="3">
        <v>1</v>
      </c>
      <c r="AI783" s="3">
        <v>0</v>
      </c>
      <c r="AJ783" s="3">
        <v>0</v>
      </c>
      <c r="AK783" s="3">
        <v>200</v>
      </c>
      <c r="AL783" s="3">
        <v>0</v>
      </c>
      <c r="AM783" s="3">
        <v>0</v>
      </c>
      <c r="AN783" s="3">
        <v>0</v>
      </c>
      <c r="AO783" s="3">
        <v>0</v>
      </c>
      <c r="AP783" s="3">
        <v>140</v>
      </c>
      <c r="AR783" t="str">
        <f t="shared" si="98"/>
        <v>0000000000000</v>
      </c>
      <c r="AT783" t="str">
        <f>T("9791196402730")</f>
        <v>9791196402730</v>
      </c>
      <c r="AV783" t="str">
        <f>T("웹툰 &gt; 로맨스")</f>
        <v>웹툰 &gt; 로맨스</v>
      </c>
    </row>
    <row r="784" spans="1:49" x14ac:dyDescent="0.4">
      <c r="A784">
        <v>4421000198</v>
      </c>
      <c r="B784">
        <v>4421001290</v>
      </c>
      <c r="C784" t="str">
        <f>T("공주전쟁 88화")</f>
        <v>공주전쟁 88화</v>
      </c>
      <c r="D784" t="str">
        <f>T("88")</f>
        <v>88</v>
      </c>
      <c r="E784" t="str">
        <f>T("Hujing")</f>
        <v>Hujing</v>
      </c>
      <c r="G784" t="str">
        <f>T("Luojie")</f>
        <v>Luojie</v>
      </c>
      <c r="H784" t="str">
        <f t="shared" si="97"/>
        <v>스토리위즈</v>
      </c>
      <c r="I784" t="str">
        <f>T("공주전쟁")</f>
        <v>공주전쟁</v>
      </c>
      <c r="J784">
        <v>400</v>
      </c>
      <c r="K784">
        <v>0</v>
      </c>
      <c r="L784">
        <v>0</v>
      </c>
      <c r="M784">
        <v>0</v>
      </c>
      <c r="N784">
        <v>200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 s="3">
        <v>200</v>
      </c>
      <c r="AH784" s="3">
        <v>1</v>
      </c>
      <c r="AI784" s="3">
        <v>0</v>
      </c>
      <c r="AJ784" s="3">
        <v>0</v>
      </c>
      <c r="AK784" s="3">
        <v>0</v>
      </c>
      <c r="AL784" s="3">
        <v>0</v>
      </c>
      <c r="AM784" s="3">
        <v>240</v>
      </c>
      <c r="AN784" s="3">
        <v>-72</v>
      </c>
      <c r="AO784" s="3">
        <v>0</v>
      </c>
      <c r="AP784" s="3">
        <v>117.6</v>
      </c>
      <c r="AR784" t="str">
        <f t="shared" si="98"/>
        <v>0000000000000</v>
      </c>
      <c r="AT784" t="str">
        <f>T("9791166069666")</f>
        <v>9791166069666</v>
      </c>
      <c r="AV784" t="str">
        <f>T("웹툰 &gt; 해외 순정")</f>
        <v>웹툰 &gt; 해외 순정</v>
      </c>
      <c r="AW784" t="str">
        <f>T("웹툰 &gt; 로판")</f>
        <v>웹툰 &gt; 로판</v>
      </c>
    </row>
    <row r="785" spans="1:49" x14ac:dyDescent="0.4">
      <c r="A785">
        <v>4421000069</v>
      </c>
      <c r="B785">
        <v>4421001187</v>
      </c>
      <c r="C785" t="str">
        <f>T("너랑 나랑 하면 144화")</f>
        <v>너랑 나랑 하면 144화</v>
      </c>
      <c r="D785" t="str">
        <f>T("144")</f>
        <v>144</v>
      </c>
      <c r="E785" t="str">
        <f>T("NISANSUI")</f>
        <v>NISANSUI</v>
      </c>
      <c r="G785" t="str">
        <f>T("ZIQUAN")</f>
        <v>ZIQUAN</v>
      </c>
      <c r="H785" t="str">
        <f t="shared" si="97"/>
        <v>스토리위즈</v>
      </c>
      <c r="I785" t="str">
        <f>T("너랑 나랑 하면")</f>
        <v>너랑 나랑 하면</v>
      </c>
      <c r="J785">
        <v>400</v>
      </c>
      <c r="K785">
        <v>0</v>
      </c>
      <c r="L785">
        <v>0</v>
      </c>
      <c r="M785">
        <v>0</v>
      </c>
      <c r="N785">
        <v>200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 s="3">
        <v>200</v>
      </c>
      <c r="AH785" s="3">
        <v>1</v>
      </c>
      <c r="AI785" s="3">
        <v>0</v>
      </c>
      <c r="AJ785" s="3">
        <v>0</v>
      </c>
      <c r="AK785" s="3">
        <v>200</v>
      </c>
      <c r="AL785" s="3">
        <v>0</v>
      </c>
      <c r="AM785" s="3">
        <v>0</v>
      </c>
      <c r="AN785" s="3">
        <v>0</v>
      </c>
      <c r="AO785" s="3">
        <v>0</v>
      </c>
      <c r="AP785" s="3">
        <v>140</v>
      </c>
      <c r="AR785" t="str">
        <f t="shared" si="98"/>
        <v>0000000000000</v>
      </c>
      <c r="AT785" t="str">
        <f>T("9791166067884")</f>
        <v>9791166067884</v>
      </c>
      <c r="AV785" t="str">
        <f>T("BL 웹툰 &gt; 웹툰")</f>
        <v>BL 웹툰 &gt; 웹툰</v>
      </c>
    </row>
    <row r="786" spans="1:49" x14ac:dyDescent="0.4">
      <c r="A786">
        <v>4421000450</v>
      </c>
      <c r="B786">
        <v>4421000462</v>
      </c>
      <c r="C786" t="str">
        <f>T("내 남편의 스토커 12화")</f>
        <v>내 남편의 스토커 12화</v>
      </c>
      <c r="D786" t="str">
        <f>T("12")</f>
        <v>12</v>
      </c>
      <c r="E786" t="str">
        <f>T("혜원")</f>
        <v>혜원</v>
      </c>
      <c r="G786" t="str">
        <f>T("혜원")</f>
        <v>혜원</v>
      </c>
      <c r="H786" t="str">
        <f t="shared" si="97"/>
        <v>스토리위즈</v>
      </c>
      <c r="I786" t="str">
        <f>T("내 남편의 스토커")</f>
        <v>내 남편의 스토커</v>
      </c>
      <c r="J786">
        <v>400</v>
      </c>
      <c r="K786">
        <v>0</v>
      </c>
      <c r="L786">
        <v>0</v>
      </c>
      <c r="M786">
        <v>0</v>
      </c>
      <c r="N786">
        <v>200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 s="3">
        <v>200</v>
      </c>
      <c r="AH786" s="3">
        <v>1</v>
      </c>
      <c r="AI786" s="3">
        <v>0</v>
      </c>
      <c r="AJ786" s="3">
        <v>0</v>
      </c>
      <c r="AK786" s="3">
        <v>200</v>
      </c>
      <c r="AL786" s="3">
        <v>0</v>
      </c>
      <c r="AM786" s="3">
        <v>0</v>
      </c>
      <c r="AN786" s="3">
        <v>0</v>
      </c>
      <c r="AO786" s="3">
        <v>0</v>
      </c>
      <c r="AP786" s="3">
        <v>140</v>
      </c>
      <c r="AR786" t="str">
        <f t="shared" si="98"/>
        <v>0000000000000</v>
      </c>
      <c r="AT786" t="str">
        <f>T("9791166068034")</f>
        <v>9791166068034</v>
      </c>
      <c r="AV786" t="str">
        <f>T("웹툰 &gt; 로맨스")</f>
        <v>웹툰 &gt; 로맨스</v>
      </c>
    </row>
    <row r="787" spans="1:49" x14ac:dyDescent="0.4">
      <c r="A787">
        <v>4421000198</v>
      </c>
      <c r="B787">
        <v>4421000237</v>
      </c>
      <c r="C787" t="str">
        <f>T("공주전쟁 40화")</f>
        <v>공주전쟁 40화</v>
      </c>
      <c r="D787" t="str">
        <f>T("40")</f>
        <v>40</v>
      </c>
      <c r="E787" t="str">
        <f>T("Hujing")</f>
        <v>Hujing</v>
      </c>
      <c r="G787" t="str">
        <f>T("Luojie")</f>
        <v>Luojie</v>
      </c>
      <c r="H787" t="str">
        <f t="shared" si="97"/>
        <v>스토리위즈</v>
      </c>
      <c r="I787" t="str">
        <f>T("공주전쟁")</f>
        <v>공주전쟁</v>
      </c>
      <c r="J787">
        <v>400</v>
      </c>
      <c r="K787">
        <v>0</v>
      </c>
      <c r="L787">
        <v>0</v>
      </c>
      <c r="M787">
        <v>0</v>
      </c>
      <c r="N787">
        <v>600</v>
      </c>
      <c r="O787">
        <v>3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 s="3">
        <v>600</v>
      </c>
      <c r="AH787" s="3">
        <v>3</v>
      </c>
      <c r="AI787" s="3">
        <v>0</v>
      </c>
      <c r="AJ787" s="3">
        <v>0</v>
      </c>
      <c r="AK787" s="3">
        <v>400</v>
      </c>
      <c r="AL787" s="3">
        <v>0</v>
      </c>
      <c r="AM787" s="3">
        <v>240</v>
      </c>
      <c r="AN787" s="3">
        <v>-72</v>
      </c>
      <c r="AO787" s="3">
        <v>0</v>
      </c>
      <c r="AP787" s="3">
        <v>397.6</v>
      </c>
      <c r="AR787" t="str">
        <f t="shared" si="98"/>
        <v>0000000000000</v>
      </c>
      <c r="AT787" t="str">
        <f>T("9791166069666")</f>
        <v>9791166069666</v>
      </c>
      <c r="AV787" t="str">
        <f>T("웹툰 &gt; 해외 순정")</f>
        <v>웹툰 &gt; 해외 순정</v>
      </c>
      <c r="AW787" t="str">
        <f>T("웹툰 &gt; 로판")</f>
        <v>웹툰 &gt; 로판</v>
      </c>
    </row>
    <row r="788" spans="1:49" x14ac:dyDescent="0.4">
      <c r="A788">
        <v>4421001936</v>
      </c>
      <c r="B788">
        <v>4421001937</v>
      </c>
      <c r="C788" t="str">
        <f>T("보스 오빠, 살살! 2화")</f>
        <v>보스 오빠, 살살! 2화</v>
      </c>
      <c r="D788" t="str">
        <f>T("2")</f>
        <v>2</v>
      </c>
      <c r="E788" t="str">
        <f>T("웹티")</f>
        <v>웹티</v>
      </c>
      <c r="H788" t="str">
        <f t="shared" si="97"/>
        <v>스토리위즈</v>
      </c>
      <c r="I788" t="str">
        <f>T("보스 오빠, 살살!")</f>
        <v>보스 오빠, 살살!</v>
      </c>
      <c r="J788">
        <v>0</v>
      </c>
      <c r="K788">
        <v>0</v>
      </c>
      <c r="L788">
        <v>0</v>
      </c>
      <c r="M788">
        <v>7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 s="3">
        <v>0</v>
      </c>
      <c r="AH788" s="3">
        <v>7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T788" t="str">
        <f>T("9791190702331")</f>
        <v>9791190702331</v>
      </c>
      <c r="AV788" t="str">
        <f>T("웹툰 &gt; 로맨스")</f>
        <v>웹툰 &gt; 로맨스</v>
      </c>
    </row>
    <row r="789" spans="1:49" x14ac:dyDescent="0.4">
      <c r="A789">
        <v>4421001936</v>
      </c>
      <c r="B789">
        <v>4421001956</v>
      </c>
      <c r="C789" t="str">
        <f>T("보스 오빠, 살살! 21화")</f>
        <v>보스 오빠, 살살! 21화</v>
      </c>
      <c r="D789" t="str">
        <f>T("21")</f>
        <v>21</v>
      </c>
      <c r="E789" t="str">
        <f>T("웹티")</f>
        <v>웹티</v>
      </c>
      <c r="H789" t="str">
        <f t="shared" si="97"/>
        <v>스토리위즈</v>
      </c>
      <c r="I789" t="str">
        <f>T("보스 오빠, 살살!")</f>
        <v>보스 오빠, 살살!</v>
      </c>
      <c r="J789">
        <v>500</v>
      </c>
      <c r="K789">
        <v>0</v>
      </c>
      <c r="L789">
        <v>0</v>
      </c>
      <c r="M789">
        <v>0</v>
      </c>
      <c r="N789">
        <v>200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 s="3">
        <v>200</v>
      </c>
      <c r="AH789" s="3">
        <v>1</v>
      </c>
      <c r="AI789" s="3">
        <v>0</v>
      </c>
      <c r="AJ789" s="3">
        <v>0</v>
      </c>
      <c r="AK789" s="3">
        <v>0</v>
      </c>
      <c r="AL789" s="3">
        <v>0</v>
      </c>
      <c r="AM789" s="3">
        <v>240</v>
      </c>
      <c r="AN789" s="3">
        <v>-72</v>
      </c>
      <c r="AO789" s="3">
        <v>0</v>
      </c>
      <c r="AP789" s="3">
        <v>117.6</v>
      </c>
      <c r="AT789" t="str">
        <f>T("9791190702331")</f>
        <v>9791190702331</v>
      </c>
      <c r="AV789" t="str">
        <f>T("웹툰 &gt; 로맨스")</f>
        <v>웹툰 &gt; 로맨스</v>
      </c>
    </row>
    <row r="790" spans="1:49" x14ac:dyDescent="0.4">
      <c r="A790">
        <v>4421000001</v>
      </c>
      <c r="B790">
        <v>4421000023</v>
      </c>
      <c r="C790" t="str">
        <f>T("감옥실험 13화")</f>
        <v>감옥실험 13화</v>
      </c>
      <c r="D790" t="str">
        <f>T("13")</f>
        <v>13</v>
      </c>
      <c r="E790" t="str">
        <f>T("Kantetsu")</f>
        <v>Kantetsu</v>
      </c>
      <c r="G790" t="str">
        <f>T("Minase Chiho")</f>
        <v>Minase Chiho</v>
      </c>
      <c r="H790" t="str">
        <f t="shared" si="97"/>
        <v>스토리위즈</v>
      </c>
      <c r="I790" t="str">
        <f>T("감옥실험")</f>
        <v>감옥실험</v>
      </c>
      <c r="J790">
        <v>500</v>
      </c>
      <c r="K790">
        <v>0</v>
      </c>
      <c r="L790">
        <v>0</v>
      </c>
      <c r="M790">
        <v>0</v>
      </c>
      <c r="N790">
        <v>1200</v>
      </c>
      <c r="O790">
        <v>4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 s="3">
        <v>1200</v>
      </c>
      <c r="AH790" s="3">
        <v>4</v>
      </c>
      <c r="AI790" s="3">
        <v>0</v>
      </c>
      <c r="AJ790" s="3">
        <v>0</v>
      </c>
      <c r="AK790" s="3">
        <v>900</v>
      </c>
      <c r="AL790" s="3">
        <v>0</v>
      </c>
      <c r="AM790" s="3">
        <v>360</v>
      </c>
      <c r="AN790" s="3">
        <v>-108</v>
      </c>
      <c r="AO790" s="3">
        <v>0</v>
      </c>
      <c r="AP790" s="3">
        <v>806.4</v>
      </c>
      <c r="AT790" t="str">
        <f>T("9791166069406")</f>
        <v>9791166069406</v>
      </c>
      <c r="AV790" t="str">
        <f>T("웹툰 &gt; 드라마")</f>
        <v>웹툰 &gt; 드라마</v>
      </c>
    </row>
    <row r="791" spans="1:49" x14ac:dyDescent="0.4">
      <c r="A791">
        <v>4421000518</v>
      </c>
      <c r="B791">
        <v>4421000542</v>
      </c>
      <c r="C791" t="str">
        <f>T("백스테이지 키스신 24화")</f>
        <v>백스테이지 키스신 24화</v>
      </c>
      <c r="D791" t="str">
        <f>T("24")</f>
        <v>24</v>
      </c>
      <c r="E791" t="str">
        <f>T("최도비")</f>
        <v>최도비</v>
      </c>
      <c r="G791" t="str">
        <f>T("수정과")</f>
        <v>수정과</v>
      </c>
      <c r="H791" t="str">
        <f t="shared" si="97"/>
        <v>스토리위즈</v>
      </c>
      <c r="I791" t="str">
        <f>T("백스테이지 키스신")</f>
        <v>백스테이지 키스신</v>
      </c>
      <c r="J791">
        <v>400</v>
      </c>
      <c r="K791">
        <v>0</v>
      </c>
      <c r="L791">
        <v>0</v>
      </c>
      <c r="M791">
        <v>0</v>
      </c>
      <c r="N791">
        <v>200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 s="3">
        <v>200</v>
      </c>
      <c r="AH791" s="3">
        <v>1</v>
      </c>
      <c r="AI791" s="3">
        <v>0</v>
      </c>
      <c r="AJ791" s="3">
        <v>0</v>
      </c>
      <c r="AK791" s="3">
        <v>200</v>
      </c>
      <c r="AL791" s="3">
        <v>0</v>
      </c>
      <c r="AM791" s="3">
        <v>0</v>
      </c>
      <c r="AN791" s="3">
        <v>0</v>
      </c>
      <c r="AO791" s="3">
        <v>0</v>
      </c>
      <c r="AP791" s="3">
        <v>140</v>
      </c>
      <c r="AR791" t="str">
        <f>T("0000000000000")</f>
        <v>0000000000000</v>
      </c>
      <c r="AT791" t="str">
        <f>T("9791166067990")</f>
        <v>9791166067990</v>
      </c>
      <c r="AV791" t="str">
        <f>T("웹툰 &gt; 로맨스")</f>
        <v>웹툰 &gt; 로맨스</v>
      </c>
    </row>
    <row r="792" spans="1:49" x14ac:dyDescent="0.4">
      <c r="A792">
        <v>4421000866</v>
      </c>
      <c r="B792">
        <v>4421001219</v>
      </c>
      <c r="C792" t="str">
        <f>T("최애에게 들켜버렸다 53화")</f>
        <v>최애에게 들켜버렸다 53화</v>
      </c>
      <c r="D792" t="str">
        <f>T("56")</f>
        <v>56</v>
      </c>
      <c r="E792" t="str">
        <f>T("Lv")</f>
        <v>Lv</v>
      </c>
      <c r="G792" t="str">
        <f>T("Lv")</f>
        <v>Lv</v>
      </c>
      <c r="H792" t="str">
        <f t="shared" si="97"/>
        <v>스토리위즈</v>
      </c>
      <c r="I792" t="str">
        <f>T("최애에게 들켜버렸다")</f>
        <v>최애에게 들켜버렸다</v>
      </c>
      <c r="J792">
        <v>400</v>
      </c>
      <c r="K792">
        <v>0</v>
      </c>
      <c r="L792">
        <v>0</v>
      </c>
      <c r="M792">
        <v>0</v>
      </c>
      <c r="N792">
        <v>600</v>
      </c>
      <c r="O792">
        <v>3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 s="3">
        <v>600</v>
      </c>
      <c r="AH792" s="3">
        <v>3</v>
      </c>
      <c r="AI792" s="3">
        <v>0</v>
      </c>
      <c r="AJ792" s="3">
        <v>0</v>
      </c>
      <c r="AK792" s="3">
        <v>424</v>
      </c>
      <c r="AL792" s="3">
        <v>0</v>
      </c>
      <c r="AM792" s="3">
        <v>211.38</v>
      </c>
      <c r="AN792" s="3">
        <v>-63.41</v>
      </c>
      <c r="AO792" s="3">
        <v>0</v>
      </c>
      <c r="AP792" s="3">
        <v>400.38</v>
      </c>
      <c r="AR792" t="str">
        <f>T("0000000000000")</f>
        <v>0000000000000</v>
      </c>
      <c r="AT792" t="str">
        <f>T("9791137601253")</f>
        <v>9791137601253</v>
      </c>
      <c r="AV792" t="str">
        <f>T("웹툰 &gt; 해외 순정")</f>
        <v>웹툰 &gt; 해외 순정</v>
      </c>
      <c r="AW792" t="str">
        <f>T("웹툰 &gt; 로맨스")</f>
        <v>웹툰 &gt; 로맨스</v>
      </c>
    </row>
    <row r="793" spans="1:49" x14ac:dyDescent="0.4">
      <c r="A793">
        <v>4421000450</v>
      </c>
      <c r="B793">
        <v>4421000502</v>
      </c>
      <c r="C793" t="str">
        <f>T("내 남편의 스토커 52화")</f>
        <v>내 남편의 스토커 52화</v>
      </c>
      <c r="D793" t="str">
        <f>T("52")</f>
        <v>52</v>
      </c>
      <c r="E793" t="str">
        <f>T("혜원")</f>
        <v>혜원</v>
      </c>
      <c r="G793" t="str">
        <f>T("혜원")</f>
        <v>혜원</v>
      </c>
      <c r="H793" t="str">
        <f t="shared" si="97"/>
        <v>스토리위즈</v>
      </c>
      <c r="I793" t="str">
        <f>T("내 남편의 스토커")</f>
        <v>내 남편의 스토커</v>
      </c>
      <c r="J793">
        <v>400</v>
      </c>
      <c r="K793">
        <v>0</v>
      </c>
      <c r="L793">
        <v>0</v>
      </c>
      <c r="M793">
        <v>0</v>
      </c>
      <c r="N793">
        <v>200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 s="3">
        <v>200</v>
      </c>
      <c r="AH793" s="3">
        <v>1</v>
      </c>
      <c r="AI793" s="3">
        <v>0</v>
      </c>
      <c r="AJ793" s="3">
        <v>0</v>
      </c>
      <c r="AK793" s="3">
        <v>200</v>
      </c>
      <c r="AL793" s="3">
        <v>0</v>
      </c>
      <c r="AM793" s="3">
        <v>0</v>
      </c>
      <c r="AN793" s="3">
        <v>0</v>
      </c>
      <c r="AO793" s="3">
        <v>0</v>
      </c>
      <c r="AP793" s="3">
        <v>140</v>
      </c>
      <c r="AR793" t="str">
        <f>T("0000000000000")</f>
        <v>0000000000000</v>
      </c>
      <c r="AT793" t="str">
        <f>T("9791166068034")</f>
        <v>9791166068034</v>
      </c>
      <c r="AV793" t="str">
        <f>T("웹툰 &gt; 로맨스")</f>
        <v>웹툰 &gt; 로맨스</v>
      </c>
    </row>
    <row r="794" spans="1:49" x14ac:dyDescent="0.4">
      <c r="A794">
        <v>4421000337</v>
      </c>
      <c r="B794">
        <v>4421000342</v>
      </c>
      <c r="C794" t="str">
        <f>T("계약연애, 오늘부터 1일 6화")</f>
        <v>계약연애, 오늘부터 1일 6화</v>
      </c>
      <c r="D794" t="str">
        <f>T("6")</f>
        <v>6</v>
      </c>
      <c r="E794" t="str">
        <f>T("원기공장")</f>
        <v>원기공장</v>
      </c>
      <c r="H794" t="str">
        <f t="shared" si="97"/>
        <v>스토리위즈</v>
      </c>
      <c r="I794" t="str">
        <f>T("계약연애, 오늘부터 1일")</f>
        <v>계약연애, 오늘부터 1일</v>
      </c>
      <c r="J794">
        <v>200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 s="3">
        <v>0</v>
      </c>
      <c r="AH794" s="3">
        <v>6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R794" t="str">
        <f>T("0000000000000")</f>
        <v>0000000000000</v>
      </c>
      <c r="AT794" t="str">
        <f>T("9791166068027")</f>
        <v>9791166068027</v>
      </c>
      <c r="AV794" t="str">
        <f>T("웹툰 &gt; 해외 순정")</f>
        <v>웹툰 &gt; 해외 순정</v>
      </c>
      <c r="AW794" t="str">
        <f>T("웹툰 &gt; 로맨스")</f>
        <v>웹툰 &gt; 로맨스</v>
      </c>
    </row>
    <row r="795" spans="1:49" x14ac:dyDescent="0.4">
      <c r="A795">
        <v>4421000001</v>
      </c>
      <c r="B795">
        <v>4421000063</v>
      </c>
      <c r="C795" t="str">
        <f>T("감옥실험 43화")</f>
        <v>감옥실험 43화</v>
      </c>
      <c r="D795" t="str">
        <f>T("43")</f>
        <v>43</v>
      </c>
      <c r="E795" t="str">
        <f>T("Kantetsu")</f>
        <v>Kantetsu</v>
      </c>
      <c r="G795" t="str">
        <f>T("Minase Chiho")</f>
        <v>Minase Chiho</v>
      </c>
      <c r="H795" t="str">
        <f t="shared" si="97"/>
        <v>스토리위즈</v>
      </c>
      <c r="I795" t="str">
        <f>T("감옥실험")</f>
        <v>감옥실험</v>
      </c>
      <c r="J795">
        <v>500</v>
      </c>
      <c r="K795">
        <v>0</v>
      </c>
      <c r="L795">
        <v>0</v>
      </c>
      <c r="M795">
        <v>0</v>
      </c>
      <c r="N795">
        <v>600</v>
      </c>
      <c r="O795">
        <v>2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 s="3">
        <v>600</v>
      </c>
      <c r="AH795" s="3">
        <v>2</v>
      </c>
      <c r="AI795" s="3">
        <v>0</v>
      </c>
      <c r="AJ795" s="3">
        <v>0</v>
      </c>
      <c r="AK795" s="3">
        <v>300</v>
      </c>
      <c r="AL795" s="3">
        <v>0</v>
      </c>
      <c r="AM795" s="3">
        <v>360</v>
      </c>
      <c r="AN795" s="3">
        <v>-108</v>
      </c>
      <c r="AO795" s="3">
        <v>0</v>
      </c>
      <c r="AP795" s="3">
        <v>386.4</v>
      </c>
      <c r="AT795" t="str">
        <f>T("9791166069406")</f>
        <v>9791166069406</v>
      </c>
      <c r="AV795" t="str">
        <f>T("웹툰 &gt; 드라마")</f>
        <v>웹툰 &gt; 드라마</v>
      </c>
    </row>
    <row r="796" spans="1:49" x14ac:dyDescent="0.4">
      <c r="A796">
        <v>4421000887</v>
      </c>
      <c r="B796">
        <v>4421000901</v>
      </c>
      <c r="C796" t="str">
        <f>T("폭군의 눈물 15화")</f>
        <v>폭군의 눈물 15화</v>
      </c>
      <c r="D796" t="str">
        <f>T("15")</f>
        <v>15</v>
      </c>
      <c r="E796" t="str">
        <f>T("Ice×FANFAN COMIC")</f>
        <v>Ice×FANFAN COMIC</v>
      </c>
      <c r="G796" t="str">
        <f>T("Ice×FANFAN COMIC")</f>
        <v>Ice×FANFAN COMIC</v>
      </c>
      <c r="H796" t="str">
        <f t="shared" si="97"/>
        <v>스토리위즈</v>
      </c>
      <c r="I796" t="str">
        <f>T("폭군의 눈물")</f>
        <v>폭군의 눈물</v>
      </c>
      <c r="J796">
        <v>400</v>
      </c>
      <c r="K796">
        <v>0</v>
      </c>
      <c r="L796">
        <v>0</v>
      </c>
      <c r="M796">
        <v>0</v>
      </c>
      <c r="N796">
        <v>600</v>
      </c>
      <c r="O796">
        <v>3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 s="3">
        <v>600</v>
      </c>
      <c r="AH796" s="3">
        <v>3</v>
      </c>
      <c r="AI796" s="3">
        <v>0</v>
      </c>
      <c r="AJ796" s="3">
        <v>0</v>
      </c>
      <c r="AK796" s="3">
        <v>400</v>
      </c>
      <c r="AL796" s="3">
        <v>0</v>
      </c>
      <c r="AM796" s="3">
        <v>240</v>
      </c>
      <c r="AN796" s="3">
        <v>-72</v>
      </c>
      <c r="AO796" s="3">
        <v>0</v>
      </c>
      <c r="AP796" s="3">
        <v>397.6</v>
      </c>
      <c r="AR796" t="str">
        <f>T("0000000000000")</f>
        <v>0000000000000</v>
      </c>
      <c r="AT796" t="str">
        <f>T("9791137601291")</f>
        <v>9791137601291</v>
      </c>
      <c r="AV796" t="str">
        <f>T("웹툰 &gt; 해외 순정")</f>
        <v>웹툰 &gt; 해외 순정</v>
      </c>
      <c r="AW796" t="str">
        <f>T("웹툰 &gt; 로판")</f>
        <v>웹툰 &gt; 로판</v>
      </c>
    </row>
    <row r="797" spans="1:49" x14ac:dyDescent="0.4">
      <c r="A797">
        <v>4421002306</v>
      </c>
      <c r="B797">
        <v>4421002324</v>
      </c>
      <c r="C797" t="str">
        <f>T("지금은 여장중! 2화")</f>
        <v>지금은 여장중! 2화</v>
      </c>
      <c r="D797" t="str">
        <f>T("2")</f>
        <v>2</v>
      </c>
      <c r="E797" t="str">
        <f>T("웹티")</f>
        <v>웹티</v>
      </c>
      <c r="H797" t="str">
        <f t="shared" si="97"/>
        <v>스토리위즈</v>
      </c>
      <c r="I797" t="str">
        <f>T("지금은 여장중!")</f>
        <v>지금은 여장중!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 s="3">
        <v>0</v>
      </c>
      <c r="AH797" s="3">
        <v>1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R797" t="str">
        <f>T("0000000000000")</f>
        <v>0000000000000</v>
      </c>
      <c r="AT797" t="str">
        <f>T("9791196608354")</f>
        <v>9791196608354</v>
      </c>
      <c r="AV797" t="str">
        <f>T("웹툰 &gt; 로맨스")</f>
        <v>웹툰 &gt; 로맨스</v>
      </c>
    </row>
    <row r="798" spans="1:49" x14ac:dyDescent="0.4">
      <c r="A798">
        <v>4421000001</v>
      </c>
      <c r="B798">
        <v>4421000055</v>
      </c>
      <c r="C798" t="str">
        <f>T("감옥실험 35화")</f>
        <v>감옥실험 35화</v>
      </c>
      <c r="D798" t="str">
        <f>T("35")</f>
        <v>35</v>
      </c>
      <c r="E798" t="str">
        <f>T("Kantetsu")</f>
        <v>Kantetsu</v>
      </c>
      <c r="G798" t="str">
        <f>T("Minase Chiho")</f>
        <v>Minase Chiho</v>
      </c>
      <c r="H798" t="str">
        <f t="shared" si="97"/>
        <v>스토리위즈</v>
      </c>
      <c r="I798" t="str">
        <f>T("감옥실험")</f>
        <v>감옥실험</v>
      </c>
      <c r="J798">
        <v>500</v>
      </c>
      <c r="K798">
        <v>0</v>
      </c>
      <c r="L798">
        <v>0</v>
      </c>
      <c r="M798">
        <v>0</v>
      </c>
      <c r="N798">
        <v>900</v>
      </c>
      <c r="O798">
        <v>3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 s="3">
        <v>900</v>
      </c>
      <c r="AH798" s="3">
        <v>3</v>
      </c>
      <c r="AI798" s="3">
        <v>0</v>
      </c>
      <c r="AJ798" s="3">
        <v>0</v>
      </c>
      <c r="AK798" s="3">
        <v>606</v>
      </c>
      <c r="AL798" s="3">
        <v>0</v>
      </c>
      <c r="AM798" s="3">
        <v>352.8</v>
      </c>
      <c r="AN798" s="3">
        <v>-105.84</v>
      </c>
      <c r="AO798" s="3">
        <v>0</v>
      </c>
      <c r="AP798" s="3">
        <v>597.07000000000005</v>
      </c>
      <c r="AT798" t="str">
        <f>T("9791166069406")</f>
        <v>9791166069406</v>
      </c>
      <c r="AV798" t="str">
        <f>T("웹툰 &gt; 드라마")</f>
        <v>웹툰 &gt; 드라마</v>
      </c>
    </row>
    <row r="799" spans="1:49" x14ac:dyDescent="0.4">
      <c r="A799">
        <v>4421000198</v>
      </c>
      <c r="B799">
        <v>4421000855</v>
      </c>
      <c r="C799" t="str">
        <f>T("공주전쟁 56화")</f>
        <v>공주전쟁 56화</v>
      </c>
      <c r="D799" t="str">
        <f>T("56")</f>
        <v>56</v>
      </c>
      <c r="E799" t="str">
        <f>T("Hujing")</f>
        <v>Hujing</v>
      </c>
      <c r="G799" t="str">
        <f>T("Luojie")</f>
        <v>Luojie</v>
      </c>
      <c r="H799" t="str">
        <f t="shared" si="97"/>
        <v>스토리위즈</v>
      </c>
      <c r="I799" t="str">
        <f>T("공주전쟁")</f>
        <v>공주전쟁</v>
      </c>
      <c r="J799">
        <v>400</v>
      </c>
      <c r="K799">
        <v>0</v>
      </c>
      <c r="L799">
        <v>0</v>
      </c>
      <c r="M799">
        <v>0</v>
      </c>
      <c r="N799">
        <v>400</v>
      </c>
      <c r="O799">
        <v>2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 s="3">
        <v>400</v>
      </c>
      <c r="AH799" s="3">
        <v>2</v>
      </c>
      <c r="AI799" s="3">
        <v>0</v>
      </c>
      <c r="AJ799" s="3">
        <v>0</v>
      </c>
      <c r="AK799" s="3">
        <v>200</v>
      </c>
      <c r="AL799" s="3">
        <v>0</v>
      </c>
      <c r="AM799" s="3">
        <v>240</v>
      </c>
      <c r="AN799" s="3">
        <v>-72</v>
      </c>
      <c r="AO799" s="3">
        <v>0</v>
      </c>
      <c r="AP799" s="3">
        <v>257.60000000000002</v>
      </c>
      <c r="AR799" t="str">
        <f>T("0000000000000")</f>
        <v>0000000000000</v>
      </c>
      <c r="AT799" t="str">
        <f>T("9791166069666")</f>
        <v>9791166069666</v>
      </c>
      <c r="AV799" t="str">
        <f>T("웹툰 &gt; 해외 순정")</f>
        <v>웹툰 &gt; 해외 순정</v>
      </c>
      <c r="AW799" t="str">
        <f>T("웹툰 &gt; 로판")</f>
        <v>웹툰 &gt; 로판</v>
      </c>
    </row>
    <row r="800" spans="1:49" x14ac:dyDescent="0.4">
      <c r="A800">
        <v>4421001325</v>
      </c>
      <c r="B800">
        <v>4421002865</v>
      </c>
      <c r="C800" t="str">
        <f>T("커피여우 김삼월 26화")</f>
        <v>커피여우 김삼월 26화</v>
      </c>
      <c r="D800" t="str">
        <f>T("26")</f>
        <v>26</v>
      </c>
      <c r="E800" t="str">
        <f>T("Nica")</f>
        <v>Nica</v>
      </c>
      <c r="G800" t="str">
        <f>T("A.Noa, RK Studio")</f>
        <v>A.Noa, RK Studio</v>
      </c>
      <c r="H800" t="str">
        <f t="shared" si="97"/>
        <v>스토리위즈</v>
      </c>
      <c r="I800" t="str">
        <f>T("커피여우 김삼월")</f>
        <v>커피여우 김삼월</v>
      </c>
      <c r="J800">
        <v>500</v>
      </c>
      <c r="K800">
        <v>0</v>
      </c>
      <c r="L800">
        <v>0</v>
      </c>
      <c r="M800">
        <v>0</v>
      </c>
      <c r="N800">
        <v>400</v>
      </c>
      <c r="O800">
        <v>2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 s="3">
        <v>400</v>
      </c>
      <c r="AH800" s="3">
        <v>2</v>
      </c>
      <c r="AI800" s="3">
        <v>0</v>
      </c>
      <c r="AJ800" s="3">
        <v>0</v>
      </c>
      <c r="AK800" s="3">
        <v>400</v>
      </c>
      <c r="AL800" s="3">
        <v>0</v>
      </c>
      <c r="AM800" s="3">
        <v>0</v>
      </c>
      <c r="AN800" s="3">
        <v>0</v>
      </c>
      <c r="AO800" s="3">
        <v>0</v>
      </c>
      <c r="AP800" s="3">
        <v>280</v>
      </c>
      <c r="AR800" t="str">
        <f>T("0000000000000")</f>
        <v>0000000000000</v>
      </c>
      <c r="AT800" t="str">
        <f>T("9791191241792")</f>
        <v>9791191241792</v>
      </c>
      <c r="AV800" t="str">
        <f>T("웹툰 &gt; 로맨스")</f>
        <v>웹툰 &gt; 로맨스</v>
      </c>
    </row>
    <row r="801" spans="1:49" x14ac:dyDescent="0.4">
      <c r="A801">
        <v>4421000866</v>
      </c>
      <c r="B801">
        <v>4421001256</v>
      </c>
      <c r="C801" t="str">
        <f>T("최애에게 들켜버렸다 58화")</f>
        <v>최애에게 들켜버렸다 58화</v>
      </c>
      <c r="D801" t="str">
        <f>T("61")</f>
        <v>61</v>
      </c>
      <c r="E801" t="str">
        <f>T("Lv")</f>
        <v>Lv</v>
      </c>
      <c r="G801" t="str">
        <f>T("Lv")</f>
        <v>Lv</v>
      </c>
      <c r="H801" t="str">
        <f t="shared" si="97"/>
        <v>스토리위즈</v>
      </c>
      <c r="I801" t="str">
        <f>T("최애에게 들켜버렸다")</f>
        <v>최애에게 들켜버렸다</v>
      </c>
      <c r="J801">
        <v>400</v>
      </c>
      <c r="K801">
        <v>0</v>
      </c>
      <c r="L801">
        <v>0</v>
      </c>
      <c r="M801">
        <v>0</v>
      </c>
      <c r="N801">
        <v>600</v>
      </c>
      <c r="O801">
        <v>3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 s="3">
        <v>600</v>
      </c>
      <c r="AH801" s="3">
        <v>3</v>
      </c>
      <c r="AI801" s="3">
        <v>0</v>
      </c>
      <c r="AJ801" s="3">
        <v>0</v>
      </c>
      <c r="AK801" s="3">
        <v>424</v>
      </c>
      <c r="AL801" s="3">
        <v>0</v>
      </c>
      <c r="AM801" s="3">
        <v>211.38</v>
      </c>
      <c r="AN801" s="3">
        <v>-63.41</v>
      </c>
      <c r="AO801" s="3">
        <v>0</v>
      </c>
      <c r="AP801" s="3">
        <v>400.38</v>
      </c>
      <c r="AR801" t="str">
        <f>T("0000000000000")</f>
        <v>0000000000000</v>
      </c>
      <c r="AT801" t="str">
        <f>T("9791137601253")</f>
        <v>9791137601253</v>
      </c>
      <c r="AV801" t="str">
        <f>T("웹툰 &gt; 해외 순정")</f>
        <v>웹툰 &gt; 해외 순정</v>
      </c>
      <c r="AW801" t="str">
        <f>T("웹툰 &gt; 로맨스")</f>
        <v>웹툰 &gt; 로맨스</v>
      </c>
    </row>
    <row r="802" spans="1:49" x14ac:dyDescent="0.4">
      <c r="A802">
        <v>4421000069</v>
      </c>
      <c r="B802">
        <v>4421000095</v>
      </c>
      <c r="C802" t="str">
        <f>T("너랑 나랑 하면 26화")</f>
        <v>너랑 나랑 하면 26화</v>
      </c>
      <c r="D802" t="str">
        <f>T("26")</f>
        <v>26</v>
      </c>
      <c r="E802" t="str">
        <f>T("NISANSUI")</f>
        <v>NISANSUI</v>
      </c>
      <c r="G802" t="str">
        <f>T("ZIQUAN")</f>
        <v>ZIQUAN</v>
      </c>
      <c r="H802" t="str">
        <f t="shared" si="97"/>
        <v>스토리위즈</v>
      </c>
      <c r="I802" t="str">
        <f>T("너랑 나랑 하면")</f>
        <v>너랑 나랑 하면</v>
      </c>
      <c r="J802">
        <v>400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 s="3">
        <v>0</v>
      </c>
      <c r="AH802" s="3">
        <v>3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R802" t="str">
        <f>T("0000000000000")</f>
        <v>0000000000000</v>
      </c>
      <c r="AT802" t="str">
        <f>T("9791166067884")</f>
        <v>9791166067884</v>
      </c>
      <c r="AV802" t="str">
        <f>T("BL 웹툰 &gt; 웹툰")</f>
        <v>BL 웹툰 &gt; 웹툰</v>
      </c>
    </row>
    <row r="803" spans="1:49" x14ac:dyDescent="0.4">
      <c r="A803">
        <v>4421000001</v>
      </c>
      <c r="B803">
        <v>4421000016</v>
      </c>
      <c r="C803" t="str">
        <f>T("감옥실험 6화")</f>
        <v>감옥실험 6화</v>
      </c>
      <c r="D803" t="str">
        <f>T("6")</f>
        <v>6</v>
      </c>
      <c r="E803" t="str">
        <f>T("Kantetsu")</f>
        <v>Kantetsu</v>
      </c>
      <c r="G803" t="str">
        <f>T("Minase Chiho")</f>
        <v>Minase Chiho</v>
      </c>
      <c r="H803" t="str">
        <f t="shared" si="97"/>
        <v>스토리위즈</v>
      </c>
      <c r="I803" t="str">
        <f>T("감옥실험")</f>
        <v>감옥실험</v>
      </c>
      <c r="J803">
        <v>500</v>
      </c>
      <c r="K803">
        <v>0</v>
      </c>
      <c r="L803">
        <v>0</v>
      </c>
      <c r="M803">
        <v>0</v>
      </c>
      <c r="N803">
        <v>5700</v>
      </c>
      <c r="O803">
        <v>19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 s="3">
        <v>5700</v>
      </c>
      <c r="AH803" s="3">
        <v>19</v>
      </c>
      <c r="AI803" s="3">
        <v>0</v>
      </c>
      <c r="AJ803" s="3">
        <v>0</v>
      </c>
      <c r="AK803" s="3">
        <v>5700</v>
      </c>
      <c r="AL803" s="3">
        <v>0</v>
      </c>
      <c r="AM803" s="3">
        <v>0</v>
      </c>
      <c r="AN803" s="3">
        <v>0</v>
      </c>
      <c r="AO803" s="3">
        <v>0</v>
      </c>
      <c r="AP803" s="3">
        <v>3990</v>
      </c>
      <c r="AT803" t="str">
        <f>T("9791166069406")</f>
        <v>9791166069406</v>
      </c>
      <c r="AV803" t="str">
        <f>T("웹툰 &gt; 드라마")</f>
        <v>웹툰 &gt; 드라마</v>
      </c>
    </row>
    <row r="804" spans="1:49" x14ac:dyDescent="0.4">
      <c r="A804">
        <v>4421000518</v>
      </c>
      <c r="B804">
        <v>4421000535</v>
      </c>
      <c r="C804" t="str">
        <f>T("백스테이지 키스신 17화")</f>
        <v>백스테이지 키스신 17화</v>
      </c>
      <c r="D804" t="str">
        <f>T("17")</f>
        <v>17</v>
      </c>
      <c r="E804" t="str">
        <f>T("최도비")</f>
        <v>최도비</v>
      </c>
      <c r="G804" t="str">
        <f>T("수정과")</f>
        <v>수정과</v>
      </c>
      <c r="H804" t="str">
        <f t="shared" si="97"/>
        <v>스토리위즈</v>
      </c>
      <c r="I804" t="str">
        <f>T("백스테이지 키스신")</f>
        <v>백스테이지 키스신</v>
      </c>
      <c r="J804">
        <v>400</v>
      </c>
      <c r="K804">
        <v>0</v>
      </c>
      <c r="L804">
        <v>0</v>
      </c>
      <c r="M804">
        <v>0</v>
      </c>
      <c r="N804">
        <v>200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 s="3">
        <v>200</v>
      </c>
      <c r="AH804" s="3">
        <v>1</v>
      </c>
      <c r="AI804" s="3">
        <v>0</v>
      </c>
      <c r="AJ804" s="3">
        <v>0</v>
      </c>
      <c r="AK804" s="3">
        <v>200</v>
      </c>
      <c r="AL804" s="3">
        <v>0</v>
      </c>
      <c r="AM804" s="3">
        <v>0</v>
      </c>
      <c r="AN804" s="3">
        <v>0</v>
      </c>
      <c r="AO804" s="3">
        <v>0</v>
      </c>
      <c r="AP804" s="3">
        <v>140</v>
      </c>
      <c r="AR804" t="str">
        <f>T("0000000000000")</f>
        <v>0000000000000</v>
      </c>
      <c r="AT804" t="str">
        <f>T("9791166067990")</f>
        <v>9791166067990</v>
      </c>
      <c r="AV804" t="str">
        <f>T("웹툰 &gt; 로맨스")</f>
        <v>웹툰 &gt; 로맨스</v>
      </c>
    </row>
    <row r="805" spans="1:49" x14ac:dyDescent="0.4">
      <c r="A805">
        <v>4421000916</v>
      </c>
      <c r="B805">
        <v>4421001212</v>
      </c>
      <c r="C805" t="str">
        <f>T("별빛 아래 우리 49화")</f>
        <v>별빛 아래 우리 49화</v>
      </c>
      <c r="D805" t="str">
        <f>T("49")</f>
        <v>49</v>
      </c>
      <c r="E805" t="str">
        <f>T("건일")</f>
        <v>건일</v>
      </c>
      <c r="G805" t="str">
        <f>T("건일")</f>
        <v>건일</v>
      </c>
      <c r="H805" t="str">
        <f t="shared" si="97"/>
        <v>스토리위즈</v>
      </c>
      <c r="I805" t="str">
        <f>T("별빛 아래 우리")</f>
        <v>별빛 아래 우리</v>
      </c>
      <c r="J805">
        <v>400</v>
      </c>
      <c r="K805">
        <v>0</v>
      </c>
      <c r="L805">
        <v>0</v>
      </c>
      <c r="M805">
        <v>0</v>
      </c>
      <c r="N805">
        <v>800</v>
      </c>
      <c r="O805">
        <v>4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 s="3">
        <v>800</v>
      </c>
      <c r="AH805" s="3">
        <v>4</v>
      </c>
      <c r="AI805" s="3">
        <v>0</v>
      </c>
      <c r="AJ805" s="3">
        <v>0</v>
      </c>
      <c r="AK805" s="3">
        <v>379</v>
      </c>
      <c r="AL805" s="3">
        <v>0</v>
      </c>
      <c r="AM805" s="3">
        <v>505.2</v>
      </c>
      <c r="AN805" s="3">
        <v>-151.56</v>
      </c>
      <c r="AO805" s="3">
        <v>0</v>
      </c>
      <c r="AP805" s="3">
        <v>512.85</v>
      </c>
      <c r="AR805" t="str">
        <f>T("0000000000000")</f>
        <v>0000000000000</v>
      </c>
      <c r="AT805" t="str">
        <f>T("9791137601413")</f>
        <v>9791137601413</v>
      </c>
      <c r="AV805" t="str">
        <f>T("웹툰 &gt; 해외 순정")</f>
        <v>웹툰 &gt; 해외 순정</v>
      </c>
      <c r="AW805" t="str">
        <f>T("웹툰 &gt; 로맨스")</f>
        <v>웹툰 &gt; 로맨스</v>
      </c>
    </row>
    <row r="806" spans="1:49" x14ac:dyDescent="0.4">
      <c r="A806">
        <v>4421000450</v>
      </c>
      <c r="B806">
        <v>4421000495</v>
      </c>
      <c r="C806" t="str">
        <f>T("내 남편의 스토커 45화")</f>
        <v>내 남편의 스토커 45화</v>
      </c>
      <c r="D806" t="str">
        <f>T("45")</f>
        <v>45</v>
      </c>
      <c r="E806" t="str">
        <f>T("혜원")</f>
        <v>혜원</v>
      </c>
      <c r="G806" t="str">
        <f>T("혜원")</f>
        <v>혜원</v>
      </c>
      <c r="H806" t="str">
        <f t="shared" si="97"/>
        <v>스토리위즈</v>
      </c>
      <c r="I806" t="str">
        <f>T("내 남편의 스토커")</f>
        <v>내 남편의 스토커</v>
      </c>
      <c r="J806">
        <v>400</v>
      </c>
      <c r="K806">
        <v>0</v>
      </c>
      <c r="L806">
        <v>0</v>
      </c>
      <c r="M806">
        <v>0</v>
      </c>
      <c r="N806">
        <v>200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 s="3">
        <v>200</v>
      </c>
      <c r="AH806" s="3">
        <v>1</v>
      </c>
      <c r="AI806" s="3">
        <v>0</v>
      </c>
      <c r="AJ806" s="3">
        <v>0</v>
      </c>
      <c r="AK806" s="3">
        <v>200</v>
      </c>
      <c r="AL806" s="3">
        <v>0</v>
      </c>
      <c r="AM806" s="3">
        <v>0</v>
      </c>
      <c r="AN806" s="3">
        <v>0</v>
      </c>
      <c r="AO806" s="3">
        <v>0</v>
      </c>
      <c r="AP806" s="3">
        <v>140</v>
      </c>
      <c r="AR806" t="str">
        <f>T("0000000000000")</f>
        <v>0000000000000</v>
      </c>
      <c r="AT806" t="str">
        <f>T("9791166068034")</f>
        <v>9791166068034</v>
      </c>
      <c r="AV806" t="str">
        <f>T("웹툰 &gt; 로맨스")</f>
        <v>웹툰 &gt; 로맨스</v>
      </c>
    </row>
    <row r="807" spans="1:49" x14ac:dyDescent="0.4">
      <c r="A807">
        <v>4421000198</v>
      </c>
      <c r="B807">
        <v>4421000262</v>
      </c>
      <c r="C807" t="str">
        <f>T("공주전쟁 54화")</f>
        <v>공주전쟁 54화</v>
      </c>
      <c r="D807" t="str">
        <f>T("54")</f>
        <v>54</v>
      </c>
      <c r="E807" t="str">
        <f>T("Hujing")</f>
        <v>Hujing</v>
      </c>
      <c r="G807" t="str">
        <f>T("Luojie")</f>
        <v>Luojie</v>
      </c>
      <c r="H807" t="str">
        <f t="shared" si="97"/>
        <v>스토리위즈</v>
      </c>
      <c r="I807" t="str">
        <f>T("공주전쟁")</f>
        <v>공주전쟁</v>
      </c>
      <c r="J807">
        <v>400</v>
      </c>
      <c r="K807">
        <v>0</v>
      </c>
      <c r="L807">
        <v>0</v>
      </c>
      <c r="M807">
        <v>0</v>
      </c>
      <c r="N807">
        <v>400</v>
      </c>
      <c r="O807">
        <v>2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 s="3">
        <v>400</v>
      </c>
      <c r="AH807" s="3">
        <v>2</v>
      </c>
      <c r="AI807" s="3">
        <v>0</v>
      </c>
      <c r="AJ807" s="3">
        <v>0</v>
      </c>
      <c r="AK807" s="3">
        <v>200</v>
      </c>
      <c r="AL807" s="3">
        <v>0</v>
      </c>
      <c r="AM807" s="3">
        <v>240</v>
      </c>
      <c r="AN807" s="3">
        <v>-72</v>
      </c>
      <c r="AO807" s="3">
        <v>0</v>
      </c>
      <c r="AP807" s="3">
        <v>257.60000000000002</v>
      </c>
      <c r="AR807" t="str">
        <f>T("0000000000000")</f>
        <v>0000000000000</v>
      </c>
      <c r="AT807" t="str">
        <f>T("9791166069666")</f>
        <v>9791166069666</v>
      </c>
      <c r="AV807" t="str">
        <f>T("웹툰 &gt; 해외 순정")</f>
        <v>웹툰 &gt; 해외 순정</v>
      </c>
      <c r="AW807" t="str">
        <f>T("웹툰 &gt; 로판")</f>
        <v>웹툰 &gt; 로판</v>
      </c>
    </row>
    <row r="808" spans="1:49" x14ac:dyDescent="0.4">
      <c r="A808">
        <v>4421000887</v>
      </c>
      <c r="B808">
        <v>4421000894</v>
      </c>
      <c r="C808" t="str">
        <f>T("폭군의 눈물 8화")</f>
        <v>폭군의 눈물 8화</v>
      </c>
      <c r="D808" t="str">
        <f>T("8")</f>
        <v>8</v>
      </c>
      <c r="E808" t="str">
        <f>T("Ice×FANFAN COMIC")</f>
        <v>Ice×FANFAN COMIC</v>
      </c>
      <c r="G808" t="str">
        <f>T("Ice×FANFAN COMIC")</f>
        <v>Ice×FANFAN COMIC</v>
      </c>
      <c r="H808" t="str">
        <f t="shared" si="97"/>
        <v>스토리위즈</v>
      </c>
      <c r="I808" t="str">
        <f>T("폭군의 눈물")</f>
        <v>폭군의 눈물</v>
      </c>
      <c r="J808">
        <v>400</v>
      </c>
      <c r="K808">
        <v>0</v>
      </c>
      <c r="L808">
        <v>0</v>
      </c>
      <c r="M808">
        <v>0</v>
      </c>
      <c r="N808">
        <v>600</v>
      </c>
      <c r="O808">
        <v>3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 s="3">
        <v>600</v>
      </c>
      <c r="AH808" s="3">
        <v>3</v>
      </c>
      <c r="AI808" s="3">
        <v>0</v>
      </c>
      <c r="AJ808" s="3">
        <v>0</v>
      </c>
      <c r="AK808" s="3">
        <v>400</v>
      </c>
      <c r="AL808" s="3">
        <v>0</v>
      </c>
      <c r="AM808" s="3">
        <v>240</v>
      </c>
      <c r="AN808" s="3">
        <v>-72</v>
      </c>
      <c r="AO808" s="3">
        <v>0</v>
      </c>
      <c r="AP808" s="3">
        <v>397.6</v>
      </c>
      <c r="AR808" t="str">
        <f>T("0000000000000")</f>
        <v>0000000000000</v>
      </c>
      <c r="AT808" t="str">
        <f>T("9791137601291")</f>
        <v>9791137601291</v>
      </c>
      <c r="AV808" t="str">
        <f>T("웹툰 &gt; 해외 순정")</f>
        <v>웹툰 &gt; 해외 순정</v>
      </c>
      <c r="AW808" t="str">
        <f>T("웹툰 &gt; 로판")</f>
        <v>웹툰 &gt; 로판</v>
      </c>
    </row>
    <row r="809" spans="1:49" x14ac:dyDescent="0.4">
      <c r="A809">
        <v>4421002255</v>
      </c>
      <c r="B809">
        <v>4421002255</v>
      </c>
      <c r="C809" t="str">
        <f>T("역전의 샤이닝스타! 1화")</f>
        <v>역전의 샤이닝스타! 1화</v>
      </c>
      <c r="D809" t="str">
        <f>T("1")</f>
        <v>1</v>
      </c>
      <c r="E809" t="str">
        <f>T("웹티")</f>
        <v>웹티</v>
      </c>
      <c r="H809" t="str">
        <f t="shared" si="97"/>
        <v>스토리위즈</v>
      </c>
      <c r="I809" t="str">
        <f>T("역전의 샤이닝스타!")</f>
        <v>역전의 샤이닝스타!</v>
      </c>
      <c r="J809">
        <v>0</v>
      </c>
      <c r="K809">
        <v>0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 s="3">
        <v>0</v>
      </c>
      <c r="AH809" s="3">
        <v>1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T809" t="str">
        <f>T("9791196608330")</f>
        <v>9791196608330</v>
      </c>
      <c r="AV809" t="str">
        <f>T("웹툰 &gt; 로맨스")</f>
        <v>웹툰 &gt; 로맨스</v>
      </c>
    </row>
    <row r="810" spans="1:49" x14ac:dyDescent="0.4">
      <c r="A810">
        <v>4421000001</v>
      </c>
      <c r="B810">
        <v>4421000048</v>
      </c>
      <c r="C810" t="str">
        <f>T("감옥실험 28화")</f>
        <v>감옥실험 28화</v>
      </c>
      <c r="D810" t="str">
        <f>T("28")</f>
        <v>28</v>
      </c>
      <c r="E810" t="str">
        <f>T("Kantetsu")</f>
        <v>Kantetsu</v>
      </c>
      <c r="G810" t="str">
        <f>T("Minase Chiho")</f>
        <v>Minase Chiho</v>
      </c>
      <c r="H810" t="str">
        <f t="shared" si="97"/>
        <v>스토리위즈</v>
      </c>
      <c r="I810" t="str">
        <f>T("감옥실험")</f>
        <v>감옥실험</v>
      </c>
      <c r="J810">
        <v>500</v>
      </c>
      <c r="K810">
        <v>0</v>
      </c>
      <c r="L810">
        <v>0</v>
      </c>
      <c r="M810">
        <v>0</v>
      </c>
      <c r="N810">
        <v>900</v>
      </c>
      <c r="O810">
        <v>3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 s="3">
        <v>900</v>
      </c>
      <c r="AH810" s="3">
        <v>3</v>
      </c>
      <c r="AI810" s="3">
        <v>0</v>
      </c>
      <c r="AJ810" s="3">
        <v>0</v>
      </c>
      <c r="AK810" s="3">
        <v>606</v>
      </c>
      <c r="AL810" s="3">
        <v>0</v>
      </c>
      <c r="AM810" s="3">
        <v>352.8</v>
      </c>
      <c r="AN810" s="3">
        <v>-105.84</v>
      </c>
      <c r="AO810" s="3">
        <v>0</v>
      </c>
      <c r="AP810" s="3">
        <v>597.07000000000005</v>
      </c>
      <c r="AT810" t="str">
        <f>T("9791166069406")</f>
        <v>9791166069406</v>
      </c>
      <c r="AV810" t="str">
        <f>T("웹툰 &gt; 드라마")</f>
        <v>웹툰 &gt; 드라마</v>
      </c>
    </row>
    <row r="811" spans="1:49" x14ac:dyDescent="0.4">
      <c r="A811">
        <v>4421000518</v>
      </c>
      <c r="B811">
        <v>4421000567</v>
      </c>
      <c r="C811" t="str">
        <f>T("백스테이지 키스신 49화")</f>
        <v>백스테이지 키스신 49화</v>
      </c>
      <c r="D811" t="str">
        <f>T("49")</f>
        <v>49</v>
      </c>
      <c r="E811" t="str">
        <f>T("최도비")</f>
        <v>최도비</v>
      </c>
      <c r="G811" t="str">
        <f>T("수정과")</f>
        <v>수정과</v>
      </c>
      <c r="H811" t="str">
        <f t="shared" si="97"/>
        <v>스토리위즈</v>
      </c>
      <c r="I811" t="str">
        <f>T("백스테이지 키스신")</f>
        <v>백스테이지 키스신</v>
      </c>
      <c r="J811">
        <v>400</v>
      </c>
      <c r="K811">
        <v>0</v>
      </c>
      <c r="L811">
        <v>0</v>
      </c>
      <c r="M811">
        <v>0</v>
      </c>
      <c r="N811">
        <v>200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 s="3">
        <v>200</v>
      </c>
      <c r="AH811" s="3">
        <v>1</v>
      </c>
      <c r="AI811" s="3">
        <v>0</v>
      </c>
      <c r="AJ811" s="3">
        <v>0</v>
      </c>
      <c r="AK811" s="3">
        <v>200</v>
      </c>
      <c r="AL811" s="3">
        <v>0</v>
      </c>
      <c r="AM811" s="3">
        <v>0</v>
      </c>
      <c r="AN811" s="3">
        <v>0</v>
      </c>
      <c r="AO811" s="3">
        <v>0</v>
      </c>
      <c r="AP811" s="3">
        <v>140</v>
      </c>
      <c r="AR811" t="str">
        <f t="shared" ref="AR811:AR819" si="99">T("0000000000000")</f>
        <v>0000000000000</v>
      </c>
      <c r="AT811" t="str">
        <f>T("9791166067990")</f>
        <v>9791166067990</v>
      </c>
      <c r="AV811" t="str">
        <f>T("웹툰 &gt; 로맨스")</f>
        <v>웹툰 &gt; 로맨스</v>
      </c>
    </row>
    <row r="812" spans="1:49" x14ac:dyDescent="0.4">
      <c r="A812">
        <v>4421000198</v>
      </c>
      <c r="B812">
        <v>4421002856</v>
      </c>
      <c r="C812" t="str">
        <f>T("공주전쟁 102화")</f>
        <v>공주전쟁 102화</v>
      </c>
      <c r="D812" t="str">
        <f>T("102")</f>
        <v>102</v>
      </c>
      <c r="E812" t="str">
        <f>T("Hujing")</f>
        <v>Hujing</v>
      </c>
      <c r="G812" t="str">
        <f>T("Luojie")</f>
        <v>Luojie</v>
      </c>
      <c r="H812" t="str">
        <f t="shared" si="97"/>
        <v>스토리위즈</v>
      </c>
      <c r="I812" t="str">
        <f>T("공주전쟁")</f>
        <v>공주전쟁</v>
      </c>
      <c r="J812">
        <v>400</v>
      </c>
      <c r="K812">
        <v>0</v>
      </c>
      <c r="L812">
        <v>0</v>
      </c>
      <c r="M812">
        <v>0</v>
      </c>
      <c r="N812">
        <v>200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 s="3">
        <v>200</v>
      </c>
      <c r="AH812" s="3">
        <v>1</v>
      </c>
      <c r="AI812" s="3">
        <v>0</v>
      </c>
      <c r="AJ812" s="3">
        <v>0</v>
      </c>
      <c r="AK812" s="3">
        <v>0</v>
      </c>
      <c r="AL812" s="3">
        <v>0</v>
      </c>
      <c r="AM812" s="3">
        <v>240</v>
      </c>
      <c r="AN812" s="3">
        <v>-72</v>
      </c>
      <c r="AO812" s="3">
        <v>0</v>
      </c>
      <c r="AP812" s="3">
        <v>117.6</v>
      </c>
      <c r="AR812" t="str">
        <f t="shared" si="99"/>
        <v>0000000000000</v>
      </c>
      <c r="AT812" t="str">
        <f>T("9791166069666")</f>
        <v>9791166069666</v>
      </c>
      <c r="AV812" t="str">
        <f>T("웹툰 &gt; 해외 순정")</f>
        <v>웹툰 &gt; 해외 순정</v>
      </c>
      <c r="AW812" t="str">
        <f>T("웹툰 &gt; 로판")</f>
        <v>웹툰 &gt; 로판</v>
      </c>
    </row>
    <row r="813" spans="1:49" x14ac:dyDescent="0.4">
      <c r="A813">
        <v>4421000518</v>
      </c>
      <c r="B813">
        <v>4421000527</v>
      </c>
      <c r="C813" t="str">
        <f>T("백스테이지 키스신 9화")</f>
        <v>백스테이지 키스신 9화</v>
      </c>
      <c r="D813" t="str">
        <f>T("9")</f>
        <v>9</v>
      </c>
      <c r="E813" t="str">
        <f>T("최도비")</f>
        <v>최도비</v>
      </c>
      <c r="G813" t="str">
        <f>T("수정과")</f>
        <v>수정과</v>
      </c>
      <c r="H813" t="str">
        <f t="shared" si="97"/>
        <v>스토리위즈</v>
      </c>
      <c r="I813" t="str">
        <f>T("백스테이지 키스신")</f>
        <v>백스테이지 키스신</v>
      </c>
      <c r="J813">
        <v>400</v>
      </c>
      <c r="K813">
        <v>0</v>
      </c>
      <c r="L813">
        <v>0</v>
      </c>
      <c r="M813">
        <v>0</v>
      </c>
      <c r="N813">
        <v>400</v>
      </c>
      <c r="O813">
        <v>2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 s="3">
        <v>400</v>
      </c>
      <c r="AH813" s="3">
        <v>2</v>
      </c>
      <c r="AI813" s="3">
        <v>0</v>
      </c>
      <c r="AJ813" s="3">
        <v>0</v>
      </c>
      <c r="AK813" s="3">
        <v>200</v>
      </c>
      <c r="AL813" s="3">
        <v>0</v>
      </c>
      <c r="AM813" s="3">
        <v>240</v>
      </c>
      <c r="AN813" s="3">
        <v>-72</v>
      </c>
      <c r="AO813" s="3">
        <v>0</v>
      </c>
      <c r="AP813" s="3">
        <v>257.60000000000002</v>
      </c>
      <c r="AR813" t="str">
        <f t="shared" si="99"/>
        <v>0000000000000</v>
      </c>
      <c r="AT813" t="str">
        <f>T("9791166067990")</f>
        <v>9791166067990</v>
      </c>
      <c r="AV813" t="str">
        <f>T("웹툰 &gt; 로맨스")</f>
        <v>웹툰 &gt; 로맨스</v>
      </c>
    </row>
    <row r="814" spans="1:49" x14ac:dyDescent="0.4">
      <c r="A814">
        <v>4421000916</v>
      </c>
      <c r="B814">
        <v>4421001246</v>
      </c>
      <c r="C814" t="str">
        <f>T("별빛 아래 우리 57화")</f>
        <v>별빛 아래 우리 57화</v>
      </c>
      <c r="D814" t="str">
        <f>T("57")</f>
        <v>57</v>
      </c>
      <c r="E814" t="str">
        <f>T("건일")</f>
        <v>건일</v>
      </c>
      <c r="G814" t="str">
        <f>T("건일")</f>
        <v>건일</v>
      </c>
      <c r="H814" t="str">
        <f t="shared" si="97"/>
        <v>스토리위즈</v>
      </c>
      <c r="I814" t="str">
        <f>T("별빛 아래 우리")</f>
        <v>별빛 아래 우리</v>
      </c>
      <c r="J814">
        <v>400</v>
      </c>
      <c r="K814">
        <v>0</v>
      </c>
      <c r="L814">
        <v>0</v>
      </c>
      <c r="M814">
        <v>0</v>
      </c>
      <c r="N814">
        <v>1000</v>
      </c>
      <c r="O814">
        <v>5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 s="3">
        <v>1000</v>
      </c>
      <c r="AH814" s="3">
        <v>5</v>
      </c>
      <c r="AI814" s="3">
        <v>0</v>
      </c>
      <c r="AJ814" s="3">
        <v>0</v>
      </c>
      <c r="AK814" s="3">
        <v>380</v>
      </c>
      <c r="AL814" s="3">
        <v>0</v>
      </c>
      <c r="AM814" s="3">
        <v>744.01</v>
      </c>
      <c r="AN814" s="3">
        <v>-223.2</v>
      </c>
      <c r="AO814" s="3">
        <v>0</v>
      </c>
      <c r="AP814" s="3">
        <v>630.57000000000005</v>
      </c>
      <c r="AR814" t="str">
        <f t="shared" si="99"/>
        <v>0000000000000</v>
      </c>
      <c r="AT814" t="str">
        <f>T("9791137601413")</f>
        <v>9791137601413</v>
      </c>
      <c r="AV814" t="str">
        <f>T("웹툰 &gt; 해외 순정")</f>
        <v>웹툰 &gt; 해외 순정</v>
      </c>
      <c r="AW814" t="str">
        <f>T("웹툰 &gt; 로맨스")</f>
        <v>웹툰 &gt; 로맨스</v>
      </c>
    </row>
    <row r="815" spans="1:49" x14ac:dyDescent="0.4">
      <c r="A815">
        <v>4421000069</v>
      </c>
      <c r="B815">
        <v>4421000088</v>
      </c>
      <c r="C815" t="str">
        <f>T("너랑 나랑 하면 19화")</f>
        <v>너랑 나랑 하면 19화</v>
      </c>
      <c r="D815" t="str">
        <f>T("19")</f>
        <v>19</v>
      </c>
      <c r="E815" t="str">
        <f>T("NISANSUI")</f>
        <v>NISANSUI</v>
      </c>
      <c r="G815" t="str">
        <f>T("ZIQUAN")</f>
        <v>ZIQUAN</v>
      </c>
      <c r="H815" t="str">
        <f t="shared" si="97"/>
        <v>스토리위즈</v>
      </c>
      <c r="I815" t="str">
        <f>T("너랑 나랑 하면")</f>
        <v>너랑 나랑 하면</v>
      </c>
      <c r="J815">
        <v>400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 s="3">
        <v>0</v>
      </c>
      <c r="AH815" s="3">
        <v>3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R815" t="str">
        <f t="shared" si="99"/>
        <v>0000000000000</v>
      </c>
      <c r="AT815" t="str">
        <f>T("9791166067884")</f>
        <v>9791166067884</v>
      </c>
      <c r="AV815" t="str">
        <f>T("BL 웹툰 &gt; 웹툰")</f>
        <v>BL 웹툰 &gt; 웹툰</v>
      </c>
    </row>
    <row r="816" spans="1:49" x14ac:dyDescent="0.4">
      <c r="A816">
        <v>4421000866</v>
      </c>
      <c r="B816">
        <v>4421001478</v>
      </c>
      <c r="C816" t="str">
        <f>T("최애에게 들켜버렸다 74화")</f>
        <v>최애에게 들켜버렸다 74화</v>
      </c>
      <c r="D816" t="str">
        <f>T("77")</f>
        <v>77</v>
      </c>
      <c r="E816" t="str">
        <f>T("Lv")</f>
        <v>Lv</v>
      </c>
      <c r="G816" t="str">
        <f>T("Lv")</f>
        <v>Lv</v>
      </c>
      <c r="H816" t="str">
        <f t="shared" si="97"/>
        <v>스토리위즈</v>
      </c>
      <c r="I816" t="str">
        <f>T("최애에게 들켜버렸다")</f>
        <v>최애에게 들켜버렸다</v>
      </c>
      <c r="J816">
        <v>400</v>
      </c>
      <c r="K816">
        <v>0</v>
      </c>
      <c r="L816">
        <v>0</v>
      </c>
      <c r="M816">
        <v>0</v>
      </c>
      <c r="N816">
        <v>600</v>
      </c>
      <c r="O816">
        <v>3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 s="3">
        <v>600</v>
      </c>
      <c r="AH816" s="3">
        <v>3</v>
      </c>
      <c r="AI816" s="3">
        <v>0</v>
      </c>
      <c r="AJ816" s="3">
        <v>0</v>
      </c>
      <c r="AK816" s="3">
        <v>424</v>
      </c>
      <c r="AL816" s="3">
        <v>0</v>
      </c>
      <c r="AM816" s="3">
        <v>211.38</v>
      </c>
      <c r="AN816" s="3">
        <v>-63.41</v>
      </c>
      <c r="AO816" s="3">
        <v>0</v>
      </c>
      <c r="AP816" s="3">
        <v>400.38</v>
      </c>
      <c r="AR816" t="str">
        <f t="shared" si="99"/>
        <v>0000000000000</v>
      </c>
      <c r="AT816" t="str">
        <f>T("9791137601253")</f>
        <v>9791137601253</v>
      </c>
      <c r="AV816" t="str">
        <f>T("웹툰 &gt; 해외 순정")</f>
        <v>웹툰 &gt; 해외 순정</v>
      </c>
      <c r="AW816" t="str">
        <f>T("웹툰 &gt; 로맨스")</f>
        <v>웹툰 &gt; 로맨스</v>
      </c>
    </row>
    <row r="817" spans="1:49" x14ac:dyDescent="0.4">
      <c r="A817">
        <v>4421000916</v>
      </c>
      <c r="B817">
        <v>4421000926</v>
      </c>
      <c r="C817" t="str">
        <f>T("별빛 아래 우리 11화")</f>
        <v>별빛 아래 우리 11화</v>
      </c>
      <c r="D817" t="str">
        <f>T("11")</f>
        <v>11</v>
      </c>
      <c r="E817" t="str">
        <f>T("건일")</f>
        <v>건일</v>
      </c>
      <c r="G817" t="str">
        <f>T("건일")</f>
        <v>건일</v>
      </c>
      <c r="H817" t="str">
        <f t="shared" si="97"/>
        <v>스토리위즈</v>
      </c>
      <c r="I817" t="str">
        <f>T("별빛 아래 우리")</f>
        <v>별빛 아래 우리</v>
      </c>
      <c r="J817">
        <v>400</v>
      </c>
      <c r="K817">
        <v>0</v>
      </c>
      <c r="L817">
        <v>0</v>
      </c>
      <c r="M817">
        <v>0</v>
      </c>
      <c r="N817">
        <v>1000</v>
      </c>
      <c r="O817">
        <v>5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 s="3">
        <v>1000</v>
      </c>
      <c r="AH817" s="3">
        <v>5</v>
      </c>
      <c r="AI817" s="3">
        <v>0</v>
      </c>
      <c r="AJ817" s="3">
        <v>0</v>
      </c>
      <c r="AK817" s="3">
        <v>400</v>
      </c>
      <c r="AL817" s="3">
        <v>0</v>
      </c>
      <c r="AM817" s="3">
        <v>720.2</v>
      </c>
      <c r="AN817" s="3">
        <v>-216.06</v>
      </c>
      <c r="AO817" s="3">
        <v>0</v>
      </c>
      <c r="AP817" s="3">
        <v>632.9</v>
      </c>
      <c r="AR817" t="str">
        <f t="shared" si="99"/>
        <v>0000000000000</v>
      </c>
      <c r="AT817" t="str">
        <f>T("9791137601413")</f>
        <v>9791137601413</v>
      </c>
      <c r="AV817" t="str">
        <f>T("웹툰 &gt; 해외 순정")</f>
        <v>웹툰 &gt; 해외 순정</v>
      </c>
      <c r="AW817" t="str">
        <f>T("웹툰 &gt; 로맨스")</f>
        <v>웹툰 &gt; 로맨스</v>
      </c>
    </row>
    <row r="818" spans="1:49" x14ac:dyDescent="0.4">
      <c r="A818">
        <v>4421001340</v>
      </c>
      <c r="B818">
        <v>4421001363</v>
      </c>
      <c r="C818" t="str">
        <f>T("가출천사 육성계약 24화")</f>
        <v>가출천사 육성계약 24화</v>
      </c>
      <c r="D818" t="str">
        <f>T("24")</f>
        <v>24</v>
      </c>
      <c r="E818" t="str">
        <f>T("Bae.C, IIAKI, 박제후")</f>
        <v>Bae.C, IIAKI, 박제후</v>
      </c>
      <c r="G818" t="str">
        <f>T("Bae.C, 조우")</f>
        <v>Bae.C, 조우</v>
      </c>
      <c r="H818" t="str">
        <f t="shared" si="97"/>
        <v>스토리위즈</v>
      </c>
      <c r="I818" t="str">
        <f>T("가출천사 육성계약")</f>
        <v>가출천사 육성계약</v>
      </c>
      <c r="J818">
        <v>400</v>
      </c>
      <c r="K818">
        <v>0</v>
      </c>
      <c r="L818">
        <v>0</v>
      </c>
      <c r="M818">
        <v>0</v>
      </c>
      <c r="N818">
        <v>200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 s="3">
        <v>200</v>
      </c>
      <c r="AH818" s="3">
        <v>1</v>
      </c>
      <c r="AI818" s="3">
        <v>0</v>
      </c>
      <c r="AJ818" s="3">
        <v>0</v>
      </c>
      <c r="AK818" s="3">
        <v>200</v>
      </c>
      <c r="AL818" s="3">
        <v>0</v>
      </c>
      <c r="AM818" s="3">
        <v>0</v>
      </c>
      <c r="AN818" s="3">
        <v>0</v>
      </c>
      <c r="AO818" s="3">
        <v>0</v>
      </c>
      <c r="AP818" s="3">
        <v>140</v>
      </c>
      <c r="AR818" t="str">
        <f t="shared" si="99"/>
        <v>0000000000000</v>
      </c>
      <c r="AT818" t="str">
        <f>T("9791191765663")</f>
        <v>9791191765663</v>
      </c>
      <c r="AV818" t="str">
        <f>T("웹툰 &gt; 판타지/SF")</f>
        <v>웹툰 &gt; 판타지/SF</v>
      </c>
    </row>
    <row r="819" spans="1:49" x14ac:dyDescent="0.4">
      <c r="A819">
        <v>4421000337</v>
      </c>
      <c r="B819">
        <v>4421000423</v>
      </c>
      <c r="C819" t="str">
        <f>T("계약연애, 오늘부터 1일 87화")</f>
        <v>계약연애, 오늘부터 1일 87화</v>
      </c>
      <c r="D819" t="str">
        <f>T("87")</f>
        <v>87</v>
      </c>
      <c r="E819" t="str">
        <f>T("원기공장")</f>
        <v>원기공장</v>
      </c>
      <c r="H819" t="str">
        <f t="shared" si="97"/>
        <v>스토리위즈</v>
      </c>
      <c r="I819" t="str">
        <f>T("계약연애, 오늘부터 1일")</f>
        <v>계약연애, 오늘부터 1일</v>
      </c>
      <c r="J819">
        <v>200</v>
      </c>
      <c r="K819">
        <v>0</v>
      </c>
      <c r="L819">
        <v>0</v>
      </c>
      <c r="M819">
        <v>0</v>
      </c>
      <c r="N819">
        <v>100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 s="3">
        <v>100</v>
      </c>
      <c r="AH819" s="3">
        <v>1</v>
      </c>
      <c r="AI819" s="3">
        <v>0</v>
      </c>
      <c r="AJ819" s="3">
        <v>0</v>
      </c>
      <c r="AK819" s="3">
        <v>100</v>
      </c>
      <c r="AL819" s="3">
        <v>0</v>
      </c>
      <c r="AM819" s="3">
        <v>0</v>
      </c>
      <c r="AN819" s="3">
        <v>0</v>
      </c>
      <c r="AO819" s="3">
        <v>0</v>
      </c>
      <c r="AP819" s="3">
        <v>70</v>
      </c>
      <c r="AR819" t="str">
        <f t="shared" si="99"/>
        <v>0000000000000</v>
      </c>
      <c r="AT819" t="str">
        <f>T("9791166068027")</f>
        <v>9791166068027</v>
      </c>
      <c r="AV819" t="str">
        <f>T("웹툰 &gt; 해외 순정")</f>
        <v>웹툰 &gt; 해외 순정</v>
      </c>
      <c r="AW819" t="str">
        <f>T("웹툰 &gt; 로맨스")</f>
        <v>웹툰 &gt; 로맨스</v>
      </c>
    </row>
    <row r="820" spans="1:49" x14ac:dyDescent="0.4">
      <c r="A820">
        <v>4421001634</v>
      </c>
      <c r="B820">
        <v>4421001636</v>
      </c>
      <c r="C820" t="str">
        <f>T("그남자의 사랑방식 3화")</f>
        <v>그남자의 사랑방식 3화</v>
      </c>
      <c r="D820" t="str">
        <f>T("3")</f>
        <v>3</v>
      </c>
      <c r="E820" t="str">
        <f>T("웹티")</f>
        <v>웹티</v>
      </c>
      <c r="H820" t="str">
        <f t="shared" si="97"/>
        <v>스토리위즈</v>
      </c>
      <c r="I820" t="str">
        <f>T("그남자의 사랑방식")</f>
        <v>그남자의 사랑방식</v>
      </c>
      <c r="J820">
        <v>0</v>
      </c>
      <c r="K820">
        <v>0</v>
      </c>
      <c r="L820">
        <v>0</v>
      </c>
      <c r="M820">
        <v>3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 s="3">
        <v>0</v>
      </c>
      <c r="AH820" s="3">
        <v>3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T820" t="str">
        <f>T("9791190622004")</f>
        <v>9791190622004</v>
      </c>
      <c r="AV820" t="str">
        <f>T("BL 웹툰 &gt; 웹툰")</f>
        <v>BL 웹툰 &gt; 웹툰</v>
      </c>
    </row>
    <row r="821" spans="1:49" x14ac:dyDescent="0.4">
      <c r="A821">
        <v>4421000337</v>
      </c>
      <c r="B821">
        <v>4421000383</v>
      </c>
      <c r="C821" t="str">
        <f>T("계약연애, 오늘부터 1일 47화")</f>
        <v>계약연애, 오늘부터 1일 47화</v>
      </c>
      <c r="D821" t="str">
        <f>T("47")</f>
        <v>47</v>
      </c>
      <c r="E821" t="str">
        <f>T("원기공장")</f>
        <v>원기공장</v>
      </c>
      <c r="H821" t="str">
        <f t="shared" si="97"/>
        <v>스토리위즈</v>
      </c>
      <c r="I821" t="str">
        <f>T("계약연애, 오늘부터 1일")</f>
        <v>계약연애, 오늘부터 1일</v>
      </c>
      <c r="J821">
        <v>200</v>
      </c>
      <c r="K821">
        <v>0</v>
      </c>
      <c r="L821">
        <v>0</v>
      </c>
      <c r="M821">
        <v>0</v>
      </c>
      <c r="N821">
        <v>100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 s="3">
        <v>100</v>
      </c>
      <c r="AH821" s="3">
        <v>1</v>
      </c>
      <c r="AI821" s="3">
        <v>0</v>
      </c>
      <c r="AJ821" s="3">
        <v>0</v>
      </c>
      <c r="AK821" s="3">
        <v>100</v>
      </c>
      <c r="AL821" s="3">
        <v>0</v>
      </c>
      <c r="AM821" s="3">
        <v>0</v>
      </c>
      <c r="AN821" s="3">
        <v>0</v>
      </c>
      <c r="AO821" s="3">
        <v>0</v>
      </c>
      <c r="AP821" s="3">
        <v>70</v>
      </c>
      <c r="AR821" t="str">
        <f t="shared" ref="AR821:AR828" si="100">T("0000000000000")</f>
        <v>0000000000000</v>
      </c>
      <c r="AT821" t="str">
        <f>T("9791166068027")</f>
        <v>9791166068027</v>
      </c>
      <c r="AV821" t="str">
        <f>T("웹툰 &gt; 해외 순정")</f>
        <v>웹툰 &gt; 해외 순정</v>
      </c>
      <c r="AW821" t="str">
        <f>T("웹툰 &gt; 로맨스")</f>
        <v>웹툰 &gt; 로맨스</v>
      </c>
    </row>
    <row r="822" spans="1:49" x14ac:dyDescent="0.4">
      <c r="A822">
        <v>4421000887</v>
      </c>
      <c r="B822">
        <v>4421001283</v>
      </c>
      <c r="C822" t="str">
        <f>T("폭군의 눈물 53화")</f>
        <v>폭군의 눈물 53화</v>
      </c>
      <c r="D822" t="str">
        <f>T("53")</f>
        <v>53</v>
      </c>
      <c r="E822" t="str">
        <f>T("Ice×FANFAN COMIC")</f>
        <v>Ice×FANFAN COMIC</v>
      </c>
      <c r="G822" t="str">
        <f>T("Ice×FANFAN COMIC")</f>
        <v>Ice×FANFAN COMIC</v>
      </c>
      <c r="H822" t="str">
        <f t="shared" si="97"/>
        <v>스토리위즈</v>
      </c>
      <c r="I822" t="str">
        <f>T("폭군의 눈물")</f>
        <v>폭군의 눈물</v>
      </c>
      <c r="J822">
        <v>400</v>
      </c>
      <c r="K822">
        <v>0</v>
      </c>
      <c r="L822">
        <v>0</v>
      </c>
      <c r="M822">
        <v>0</v>
      </c>
      <c r="N822">
        <v>600</v>
      </c>
      <c r="O822">
        <v>3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 s="3">
        <v>600</v>
      </c>
      <c r="AH822" s="3">
        <v>3</v>
      </c>
      <c r="AI822" s="3">
        <v>0</v>
      </c>
      <c r="AJ822" s="3">
        <v>0</v>
      </c>
      <c r="AK822" s="3">
        <v>400</v>
      </c>
      <c r="AL822" s="3">
        <v>0</v>
      </c>
      <c r="AM822" s="3">
        <v>240</v>
      </c>
      <c r="AN822" s="3">
        <v>-72</v>
      </c>
      <c r="AO822" s="3">
        <v>0</v>
      </c>
      <c r="AP822" s="3">
        <v>397.6</v>
      </c>
      <c r="AR822" t="str">
        <f t="shared" si="100"/>
        <v>0000000000000</v>
      </c>
      <c r="AT822" t="str">
        <f>T("9791137601291")</f>
        <v>9791137601291</v>
      </c>
      <c r="AV822" t="str">
        <f>T("웹툰 &gt; 해외 순정")</f>
        <v>웹툰 &gt; 해외 순정</v>
      </c>
      <c r="AW822" t="str">
        <f>T("웹툰 &gt; 로판")</f>
        <v>웹툰 &gt; 로판</v>
      </c>
    </row>
    <row r="823" spans="1:49" x14ac:dyDescent="0.4">
      <c r="A823">
        <v>4421001340</v>
      </c>
      <c r="B823">
        <v>4421001565</v>
      </c>
      <c r="C823" t="str">
        <f>T("가출천사 육성계약 43화")</f>
        <v>가출천사 육성계약 43화</v>
      </c>
      <c r="D823" t="str">
        <f>T("43")</f>
        <v>43</v>
      </c>
      <c r="E823" t="str">
        <f>T("Bae.C, IIAKI, 박제후")</f>
        <v>Bae.C, IIAKI, 박제후</v>
      </c>
      <c r="G823" t="str">
        <f>T("Bae.C, 조우")</f>
        <v>Bae.C, 조우</v>
      </c>
      <c r="H823" t="str">
        <f t="shared" si="97"/>
        <v>스토리위즈</v>
      </c>
      <c r="I823" t="str">
        <f>T("가출천사 육성계약")</f>
        <v>가출천사 육성계약</v>
      </c>
      <c r="J823">
        <v>400</v>
      </c>
      <c r="K823">
        <v>0</v>
      </c>
      <c r="L823">
        <v>0</v>
      </c>
      <c r="M823">
        <v>0</v>
      </c>
      <c r="N823">
        <v>200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 s="3">
        <v>200</v>
      </c>
      <c r="AH823" s="3">
        <v>1</v>
      </c>
      <c r="AI823" s="3">
        <v>0</v>
      </c>
      <c r="AJ823" s="3">
        <v>0</v>
      </c>
      <c r="AK823" s="3">
        <v>200</v>
      </c>
      <c r="AL823" s="3">
        <v>0</v>
      </c>
      <c r="AM823" s="3">
        <v>0</v>
      </c>
      <c r="AN823" s="3">
        <v>0</v>
      </c>
      <c r="AO823" s="3">
        <v>0</v>
      </c>
      <c r="AP823" s="3">
        <v>140</v>
      </c>
      <c r="AR823" t="str">
        <f t="shared" si="100"/>
        <v>0000000000000</v>
      </c>
      <c r="AT823" t="str">
        <f>T("9791191765663")</f>
        <v>9791191765663</v>
      </c>
      <c r="AV823" t="str">
        <f>T("웹툰 &gt; 판타지/SF")</f>
        <v>웹툰 &gt; 판타지/SF</v>
      </c>
    </row>
    <row r="824" spans="1:49" x14ac:dyDescent="0.4">
      <c r="A824">
        <v>4421000198</v>
      </c>
      <c r="B824">
        <v>4421000230</v>
      </c>
      <c r="C824" t="str">
        <f>T("공주전쟁 33화")</f>
        <v>공주전쟁 33화</v>
      </c>
      <c r="D824" t="str">
        <f>T("33")</f>
        <v>33</v>
      </c>
      <c r="E824" t="str">
        <f>T("Hujing")</f>
        <v>Hujing</v>
      </c>
      <c r="G824" t="str">
        <f>T("Luojie")</f>
        <v>Luojie</v>
      </c>
      <c r="H824" t="str">
        <f t="shared" si="97"/>
        <v>스토리위즈</v>
      </c>
      <c r="I824" t="str">
        <f>T("공주전쟁")</f>
        <v>공주전쟁</v>
      </c>
      <c r="J824">
        <v>400</v>
      </c>
      <c r="K824">
        <v>0</v>
      </c>
      <c r="L824">
        <v>0</v>
      </c>
      <c r="M824">
        <v>0</v>
      </c>
      <c r="N824">
        <v>600</v>
      </c>
      <c r="O824">
        <v>3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 s="3">
        <v>600</v>
      </c>
      <c r="AH824" s="3">
        <v>3</v>
      </c>
      <c r="AI824" s="3">
        <v>0</v>
      </c>
      <c r="AJ824" s="3">
        <v>0</v>
      </c>
      <c r="AK824" s="3">
        <v>400</v>
      </c>
      <c r="AL824" s="3">
        <v>0</v>
      </c>
      <c r="AM824" s="3">
        <v>240</v>
      </c>
      <c r="AN824" s="3">
        <v>-72</v>
      </c>
      <c r="AO824" s="3">
        <v>0</v>
      </c>
      <c r="AP824" s="3">
        <v>397.6</v>
      </c>
      <c r="AR824" t="str">
        <f t="shared" si="100"/>
        <v>0000000000000</v>
      </c>
      <c r="AT824" t="str">
        <f>T("9791166069666")</f>
        <v>9791166069666</v>
      </c>
      <c r="AV824" t="str">
        <f>T("웹툰 &gt; 해외 순정")</f>
        <v>웹툰 &gt; 해외 순정</v>
      </c>
      <c r="AW824" t="str">
        <f>T("웹툰 &gt; 로판")</f>
        <v>웹툰 &gt; 로판</v>
      </c>
    </row>
    <row r="825" spans="1:49" x14ac:dyDescent="0.4">
      <c r="A825">
        <v>4421000866</v>
      </c>
      <c r="B825">
        <v>4421001179</v>
      </c>
      <c r="C825" t="str">
        <f>T("최애에게 들켜버렸다 번외편 2화")</f>
        <v>최애에게 들켜버렸다 번외편 2화</v>
      </c>
      <c r="D825" t="str">
        <f>T("46")</f>
        <v>46</v>
      </c>
      <c r="E825" t="str">
        <f>T("Lv")</f>
        <v>Lv</v>
      </c>
      <c r="G825" t="str">
        <f>T("Lv")</f>
        <v>Lv</v>
      </c>
      <c r="H825" t="str">
        <f t="shared" si="97"/>
        <v>스토리위즈</v>
      </c>
      <c r="I825" t="str">
        <f>T("최애에게 들켜버렸다")</f>
        <v>최애에게 들켜버렸다</v>
      </c>
      <c r="J825">
        <v>400</v>
      </c>
      <c r="K825">
        <v>0</v>
      </c>
      <c r="L825">
        <v>0</v>
      </c>
      <c r="M825">
        <v>0</v>
      </c>
      <c r="N825">
        <v>400</v>
      </c>
      <c r="O825">
        <v>2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 s="3">
        <v>400</v>
      </c>
      <c r="AH825" s="3">
        <v>2</v>
      </c>
      <c r="AI825" s="3">
        <v>0</v>
      </c>
      <c r="AJ825" s="3">
        <v>0</v>
      </c>
      <c r="AK825" s="3">
        <v>224</v>
      </c>
      <c r="AL825" s="3">
        <v>0</v>
      </c>
      <c r="AM825" s="3">
        <v>211.38</v>
      </c>
      <c r="AN825" s="3">
        <v>-63.41</v>
      </c>
      <c r="AO825" s="3">
        <v>0</v>
      </c>
      <c r="AP825" s="3">
        <v>260.38</v>
      </c>
      <c r="AR825" t="str">
        <f t="shared" si="100"/>
        <v>0000000000000</v>
      </c>
      <c r="AT825" t="str">
        <f>T("9791137601253")</f>
        <v>9791137601253</v>
      </c>
      <c r="AV825" t="str">
        <f>T("웹툰 &gt; 해외 순정")</f>
        <v>웹툰 &gt; 해외 순정</v>
      </c>
      <c r="AW825" t="str">
        <f>T("웹툰 &gt; 로맨스")</f>
        <v>웹툰 &gt; 로맨스</v>
      </c>
    </row>
    <row r="826" spans="1:49" x14ac:dyDescent="0.4">
      <c r="A826">
        <v>4421001340</v>
      </c>
      <c r="B826">
        <v>4421001467</v>
      </c>
      <c r="C826" t="str">
        <f>T("가출천사 육성계약 35화")</f>
        <v>가출천사 육성계약 35화</v>
      </c>
      <c r="D826" t="str">
        <f>T("35")</f>
        <v>35</v>
      </c>
      <c r="E826" t="str">
        <f>T("Bae.C, IIAKI, 박제후")</f>
        <v>Bae.C, IIAKI, 박제후</v>
      </c>
      <c r="G826" t="str">
        <f>T("Bae.C, 조우")</f>
        <v>Bae.C, 조우</v>
      </c>
      <c r="H826" t="str">
        <f t="shared" si="97"/>
        <v>스토리위즈</v>
      </c>
      <c r="I826" t="str">
        <f>T("가출천사 육성계약")</f>
        <v>가출천사 육성계약</v>
      </c>
      <c r="J826">
        <v>400</v>
      </c>
      <c r="K826">
        <v>0</v>
      </c>
      <c r="L826">
        <v>0</v>
      </c>
      <c r="M826">
        <v>0</v>
      </c>
      <c r="N826">
        <v>200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 s="3">
        <v>200</v>
      </c>
      <c r="AH826" s="3">
        <v>1</v>
      </c>
      <c r="AI826" s="3">
        <v>0</v>
      </c>
      <c r="AJ826" s="3">
        <v>0</v>
      </c>
      <c r="AK826" s="3">
        <v>200</v>
      </c>
      <c r="AL826" s="3">
        <v>0</v>
      </c>
      <c r="AM826" s="3">
        <v>0</v>
      </c>
      <c r="AN826" s="3">
        <v>0</v>
      </c>
      <c r="AO826" s="3">
        <v>0</v>
      </c>
      <c r="AP826" s="3">
        <v>140</v>
      </c>
      <c r="AR826" t="str">
        <f t="shared" si="100"/>
        <v>0000000000000</v>
      </c>
      <c r="AT826" t="str">
        <f>T("9791191765663")</f>
        <v>9791191765663</v>
      </c>
      <c r="AV826" t="str">
        <f>T("웹툰 &gt; 판타지/SF")</f>
        <v>웹툰 &gt; 판타지/SF</v>
      </c>
    </row>
    <row r="827" spans="1:49" x14ac:dyDescent="0.4">
      <c r="A827">
        <v>4421000450</v>
      </c>
      <c r="B827">
        <v>4421000455</v>
      </c>
      <c r="C827" t="str">
        <f>T("내 남편의 스토커 5화")</f>
        <v>내 남편의 스토커 5화</v>
      </c>
      <c r="D827" t="str">
        <f>T("5")</f>
        <v>5</v>
      </c>
      <c r="E827" t="str">
        <f>T("혜원")</f>
        <v>혜원</v>
      </c>
      <c r="G827" t="str">
        <f>T("혜원")</f>
        <v>혜원</v>
      </c>
      <c r="H827" t="str">
        <f t="shared" si="97"/>
        <v>스토리위즈</v>
      </c>
      <c r="I827" t="str">
        <f>T("내 남편의 스토커")</f>
        <v>내 남편의 스토커</v>
      </c>
      <c r="J827">
        <v>400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 s="3">
        <v>0</v>
      </c>
      <c r="AH827" s="3">
        <v>1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R827" t="str">
        <f t="shared" si="100"/>
        <v>0000000000000</v>
      </c>
      <c r="AT827" t="str">
        <f>T("9791166068034")</f>
        <v>9791166068034</v>
      </c>
      <c r="AV827" t="str">
        <f>T("웹툰 &gt; 로맨스")</f>
        <v>웹툰 &gt; 로맨스</v>
      </c>
    </row>
    <row r="828" spans="1:49" x14ac:dyDescent="0.4">
      <c r="A828">
        <v>4421000866</v>
      </c>
      <c r="B828">
        <v>4421000973</v>
      </c>
      <c r="C828" t="str">
        <f>T("최애에게 들켜버렸다 31화")</f>
        <v>최애에게 들켜버렸다 31화</v>
      </c>
      <c r="D828" t="str">
        <f>T("32")</f>
        <v>32</v>
      </c>
      <c r="E828" t="str">
        <f>T("Lv")</f>
        <v>Lv</v>
      </c>
      <c r="G828" t="str">
        <f>T("Lv")</f>
        <v>Lv</v>
      </c>
      <c r="H828" t="str">
        <f t="shared" si="97"/>
        <v>스토리위즈</v>
      </c>
      <c r="I828" t="str">
        <f>T("최애에게 들켜버렸다")</f>
        <v>최애에게 들켜버렸다</v>
      </c>
      <c r="J828">
        <v>400</v>
      </c>
      <c r="K828">
        <v>0</v>
      </c>
      <c r="L828">
        <v>0</v>
      </c>
      <c r="M828">
        <v>0</v>
      </c>
      <c r="N828">
        <v>600</v>
      </c>
      <c r="O828">
        <v>3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 s="3">
        <v>600</v>
      </c>
      <c r="AH828" s="3">
        <v>3</v>
      </c>
      <c r="AI828" s="3">
        <v>0</v>
      </c>
      <c r="AJ828" s="3">
        <v>0</v>
      </c>
      <c r="AK828" s="3">
        <v>424</v>
      </c>
      <c r="AL828" s="3">
        <v>0</v>
      </c>
      <c r="AM828" s="3">
        <v>211.38</v>
      </c>
      <c r="AN828" s="3">
        <v>-63.41</v>
      </c>
      <c r="AO828" s="3">
        <v>0</v>
      </c>
      <c r="AP828" s="3">
        <v>400.38</v>
      </c>
      <c r="AR828" t="str">
        <f t="shared" si="100"/>
        <v>0000000000000</v>
      </c>
      <c r="AT828" t="str">
        <f>T("9791137601253")</f>
        <v>9791137601253</v>
      </c>
      <c r="AV828" t="str">
        <f>T("웹툰 &gt; 해외 순정")</f>
        <v>웹툰 &gt; 해외 순정</v>
      </c>
      <c r="AW828" t="str">
        <f>T("웹툰 &gt; 로맨스")</f>
        <v>웹툰 &gt; 로맨스</v>
      </c>
    </row>
    <row r="829" spans="1:49" x14ac:dyDescent="0.4">
      <c r="A829">
        <v>4421001836</v>
      </c>
      <c r="B829">
        <v>4421001836</v>
      </c>
      <c r="C829" t="str">
        <f>T("무령후 1화")</f>
        <v>무령후 1화</v>
      </c>
      <c r="D829" t="str">
        <f>T("1")</f>
        <v>1</v>
      </c>
      <c r="E829" t="str">
        <f>T("웹티")</f>
        <v>웹티</v>
      </c>
      <c r="H829" t="str">
        <f t="shared" si="97"/>
        <v>스토리위즈</v>
      </c>
      <c r="I829" t="str">
        <f>T("무령후")</f>
        <v>무령후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 s="3">
        <v>0</v>
      </c>
      <c r="AH829" s="3">
        <v>1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T829" t="str">
        <f>T("9791190622066")</f>
        <v>9791190622066</v>
      </c>
      <c r="AV829" t="str">
        <f>T("웹툰 &gt; 액션/무협")</f>
        <v>웹툰 &gt; 액션/무협</v>
      </c>
    </row>
    <row r="830" spans="1:49" x14ac:dyDescent="0.4">
      <c r="A830">
        <v>4421000337</v>
      </c>
      <c r="B830">
        <v>4421000415</v>
      </c>
      <c r="C830" t="str">
        <f>T("계약연애, 오늘부터 1일 79화")</f>
        <v>계약연애, 오늘부터 1일 79화</v>
      </c>
      <c r="D830" t="str">
        <f>T("79")</f>
        <v>79</v>
      </c>
      <c r="E830" t="str">
        <f>T("원기공장")</f>
        <v>원기공장</v>
      </c>
      <c r="H830" t="str">
        <f t="shared" si="97"/>
        <v>스토리위즈</v>
      </c>
      <c r="I830" t="str">
        <f>T("계약연애, 오늘부터 1일")</f>
        <v>계약연애, 오늘부터 1일</v>
      </c>
      <c r="J830">
        <v>200</v>
      </c>
      <c r="K830">
        <v>0</v>
      </c>
      <c r="L830">
        <v>0</v>
      </c>
      <c r="M830">
        <v>0</v>
      </c>
      <c r="N830">
        <v>100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 s="3">
        <v>100</v>
      </c>
      <c r="AH830" s="3">
        <v>1</v>
      </c>
      <c r="AI830" s="3">
        <v>0</v>
      </c>
      <c r="AJ830" s="3">
        <v>0</v>
      </c>
      <c r="AK830" s="3">
        <v>100</v>
      </c>
      <c r="AL830" s="3">
        <v>0</v>
      </c>
      <c r="AM830" s="3">
        <v>0</v>
      </c>
      <c r="AN830" s="3">
        <v>0</v>
      </c>
      <c r="AO830" s="3">
        <v>0</v>
      </c>
      <c r="AP830" s="3">
        <v>70</v>
      </c>
      <c r="AR830" t="str">
        <f t="shared" ref="AR830:AR848" si="101">T("0000000000000")</f>
        <v>0000000000000</v>
      </c>
      <c r="AT830" t="str">
        <f>T("9791166068027")</f>
        <v>9791166068027</v>
      </c>
      <c r="AV830" t="str">
        <f>T("웹툰 &gt; 해외 순정")</f>
        <v>웹툰 &gt; 해외 순정</v>
      </c>
      <c r="AW830" t="str">
        <f>T("웹툰 &gt; 로맨스")</f>
        <v>웹툰 &gt; 로맨스</v>
      </c>
    </row>
    <row r="831" spans="1:49" x14ac:dyDescent="0.4">
      <c r="A831">
        <v>4421001340</v>
      </c>
      <c r="B831">
        <v>4421001468</v>
      </c>
      <c r="C831" t="str">
        <f>T("가출천사 육성계약 36화")</f>
        <v>가출천사 육성계약 36화</v>
      </c>
      <c r="D831" t="str">
        <f>T("36")</f>
        <v>36</v>
      </c>
      <c r="E831" t="str">
        <f>T("Bae.C, IIAKI, 박제후")</f>
        <v>Bae.C, IIAKI, 박제후</v>
      </c>
      <c r="G831" t="str">
        <f>T("Bae.C, 조우")</f>
        <v>Bae.C, 조우</v>
      </c>
      <c r="H831" t="str">
        <f t="shared" si="97"/>
        <v>스토리위즈</v>
      </c>
      <c r="I831" t="str">
        <f>T("가출천사 육성계약")</f>
        <v>가출천사 육성계약</v>
      </c>
      <c r="J831">
        <v>400</v>
      </c>
      <c r="K831">
        <v>0</v>
      </c>
      <c r="L831">
        <v>0</v>
      </c>
      <c r="M831">
        <v>0</v>
      </c>
      <c r="N831">
        <v>200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 s="3">
        <v>200</v>
      </c>
      <c r="AH831" s="3">
        <v>1</v>
      </c>
      <c r="AI831" s="3">
        <v>0</v>
      </c>
      <c r="AJ831" s="3">
        <v>0</v>
      </c>
      <c r="AK831" s="3">
        <v>200</v>
      </c>
      <c r="AL831" s="3">
        <v>0</v>
      </c>
      <c r="AM831" s="3">
        <v>0</v>
      </c>
      <c r="AN831" s="3">
        <v>0</v>
      </c>
      <c r="AO831" s="3">
        <v>0</v>
      </c>
      <c r="AP831" s="3">
        <v>140</v>
      </c>
      <c r="AR831" t="str">
        <f t="shared" si="101"/>
        <v>0000000000000</v>
      </c>
      <c r="AT831" t="str">
        <f>T("9791191765663")</f>
        <v>9791191765663</v>
      </c>
      <c r="AV831" t="str">
        <f>T("웹툰 &gt; 판타지/SF")</f>
        <v>웹툰 &gt; 판타지/SF</v>
      </c>
    </row>
    <row r="832" spans="1:49" x14ac:dyDescent="0.4">
      <c r="A832">
        <v>4421000916</v>
      </c>
      <c r="B832">
        <v>4421000919</v>
      </c>
      <c r="C832" t="str">
        <f>T("별빛 아래 우리 4화")</f>
        <v>별빛 아래 우리 4화</v>
      </c>
      <c r="D832" t="str">
        <f>T("4")</f>
        <v>4</v>
      </c>
      <c r="E832" t="str">
        <f>T("건일")</f>
        <v>건일</v>
      </c>
      <c r="G832" t="str">
        <f>T("건일")</f>
        <v>건일</v>
      </c>
      <c r="H832" t="str">
        <f t="shared" si="97"/>
        <v>스토리위즈</v>
      </c>
      <c r="I832" t="str">
        <f>T("별빛 아래 우리")</f>
        <v>별빛 아래 우리</v>
      </c>
      <c r="J832">
        <v>400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27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 s="3">
        <v>0</v>
      </c>
      <c r="AH832" s="3">
        <v>27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R832" t="str">
        <f t="shared" si="101"/>
        <v>0000000000000</v>
      </c>
      <c r="AT832" t="str">
        <f>T("9791137601413")</f>
        <v>9791137601413</v>
      </c>
      <c r="AV832" t="str">
        <f>T("웹툰 &gt; 해외 순정")</f>
        <v>웹툰 &gt; 해외 순정</v>
      </c>
      <c r="AW832" t="str">
        <f>T("웹툰 &gt; 로맨스")</f>
        <v>웹툰 &gt; 로맨스</v>
      </c>
    </row>
    <row r="833" spans="1:49" x14ac:dyDescent="0.4">
      <c r="A833">
        <v>4421001340</v>
      </c>
      <c r="B833">
        <v>4421001356</v>
      </c>
      <c r="C833" t="str">
        <f>T("가출천사 육성계약 17화")</f>
        <v>가출천사 육성계약 17화</v>
      </c>
      <c r="D833" t="str">
        <f>T("17")</f>
        <v>17</v>
      </c>
      <c r="E833" t="str">
        <f>T("Bae.C, IIAKI, 박제후")</f>
        <v>Bae.C, IIAKI, 박제후</v>
      </c>
      <c r="G833" t="str">
        <f>T("Bae.C, 조우")</f>
        <v>Bae.C, 조우</v>
      </c>
      <c r="H833" t="str">
        <f t="shared" si="97"/>
        <v>스토리위즈</v>
      </c>
      <c r="I833" t="str">
        <f>T("가출천사 육성계약")</f>
        <v>가출천사 육성계약</v>
      </c>
      <c r="J833">
        <v>400</v>
      </c>
      <c r="K833">
        <v>0</v>
      </c>
      <c r="L833">
        <v>0</v>
      </c>
      <c r="M833">
        <v>0</v>
      </c>
      <c r="N833">
        <v>200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 s="3">
        <v>200</v>
      </c>
      <c r="AH833" s="3">
        <v>1</v>
      </c>
      <c r="AI833" s="3">
        <v>0</v>
      </c>
      <c r="AJ833" s="3">
        <v>0</v>
      </c>
      <c r="AK833" s="3">
        <v>200</v>
      </c>
      <c r="AL833" s="3">
        <v>0</v>
      </c>
      <c r="AM833" s="3">
        <v>0</v>
      </c>
      <c r="AN833" s="3">
        <v>0</v>
      </c>
      <c r="AO833" s="3">
        <v>0</v>
      </c>
      <c r="AP833" s="3">
        <v>140</v>
      </c>
      <c r="AR833" t="str">
        <f t="shared" si="101"/>
        <v>0000000000000</v>
      </c>
      <c r="AT833" t="str">
        <f>T("9791191765663")</f>
        <v>9791191765663</v>
      </c>
      <c r="AV833" t="str">
        <f>T("웹툰 &gt; 판타지/SF")</f>
        <v>웹툰 &gt; 판타지/SF</v>
      </c>
    </row>
    <row r="834" spans="1:49" x14ac:dyDescent="0.4">
      <c r="A834">
        <v>4421000337</v>
      </c>
      <c r="B834">
        <v>4421000416</v>
      </c>
      <c r="C834" t="str">
        <f>T("계약연애, 오늘부터 1일 80화")</f>
        <v>계약연애, 오늘부터 1일 80화</v>
      </c>
      <c r="D834" t="str">
        <f>T("80")</f>
        <v>80</v>
      </c>
      <c r="E834" t="str">
        <f>T("원기공장")</f>
        <v>원기공장</v>
      </c>
      <c r="H834" t="str">
        <f t="shared" ref="H834:H897" si="102">T("스토리위즈")</f>
        <v>스토리위즈</v>
      </c>
      <c r="I834" t="str">
        <f>T("계약연애, 오늘부터 1일")</f>
        <v>계약연애, 오늘부터 1일</v>
      </c>
      <c r="J834">
        <v>200</v>
      </c>
      <c r="K834">
        <v>0</v>
      </c>
      <c r="L834">
        <v>0</v>
      </c>
      <c r="M834">
        <v>0</v>
      </c>
      <c r="N834">
        <v>100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 s="3">
        <v>100</v>
      </c>
      <c r="AH834" s="3">
        <v>1</v>
      </c>
      <c r="AI834" s="3">
        <v>0</v>
      </c>
      <c r="AJ834" s="3">
        <v>0</v>
      </c>
      <c r="AK834" s="3">
        <v>100</v>
      </c>
      <c r="AL834" s="3">
        <v>0</v>
      </c>
      <c r="AM834" s="3">
        <v>0</v>
      </c>
      <c r="AN834" s="3">
        <v>0</v>
      </c>
      <c r="AO834" s="3">
        <v>0</v>
      </c>
      <c r="AP834" s="3">
        <v>70</v>
      </c>
      <c r="AR834" t="str">
        <f t="shared" si="101"/>
        <v>0000000000000</v>
      </c>
      <c r="AT834" t="str">
        <f>T("9791166068027")</f>
        <v>9791166068027</v>
      </c>
      <c r="AV834" t="str">
        <f>T("웹툰 &gt; 해외 순정")</f>
        <v>웹툰 &gt; 해외 순정</v>
      </c>
      <c r="AW834" t="str">
        <f>T("웹툰 &gt; 로맨스")</f>
        <v>웹툰 &gt; 로맨스</v>
      </c>
    </row>
    <row r="835" spans="1:49" x14ac:dyDescent="0.4">
      <c r="A835">
        <v>4421001568</v>
      </c>
      <c r="B835">
        <v>4421001582</v>
      </c>
      <c r="C835" t="str">
        <f>T("구름의 연인 15화")</f>
        <v>구름의 연인 15화</v>
      </c>
      <c r="D835" t="str">
        <f>T("15")</f>
        <v>15</v>
      </c>
      <c r="E835" t="str">
        <f>T("웹티")</f>
        <v>웹티</v>
      </c>
      <c r="H835" t="str">
        <f t="shared" si="102"/>
        <v>스토리위즈</v>
      </c>
      <c r="I835" t="str">
        <f>T("구름의 연인")</f>
        <v>구름의 연인</v>
      </c>
      <c r="J835">
        <v>500</v>
      </c>
      <c r="K835">
        <v>0</v>
      </c>
      <c r="L835">
        <v>0</v>
      </c>
      <c r="M835">
        <v>0</v>
      </c>
      <c r="N835">
        <v>200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 s="3">
        <v>200</v>
      </c>
      <c r="AH835" s="3">
        <v>1</v>
      </c>
      <c r="AI835" s="3">
        <v>0</v>
      </c>
      <c r="AJ835" s="3">
        <v>0</v>
      </c>
      <c r="AK835" s="3">
        <v>200</v>
      </c>
      <c r="AL835" s="3">
        <v>0</v>
      </c>
      <c r="AM835" s="3">
        <v>0</v>
      </c>
      <c r="AN835" s="3">
        <v>0</v>
      </c>
      <c r="AO835" s="3">
        <v>0</v>
      </c>
      <c r="AP835" s="3">
        <v>140</v>
      </c>
      <c r="AR835" t="str">
        <f t="shared" si="101"/>
        <v>0000000000000</v>
      </c>
      <c r="AT835" t="str">
        <f>T("9791196402730")</f>
        <v>9791196402730</v>
      </c>
      <c r="AV835" t="str">
        <f>T("웹툰 &gt; 로맨스")</f>
        <v>웹툰 &gt; 로맨스</v>
      </c>
    </row>
    <row r="836" spans="1:49" x14ac:dyDescent="0.4">
      <c r="A836">
        <v>4421000337</v>
      </c>
      <c r="B836">
        <v>4421000376</v>
      </c>
      <c r="C836" t="str">
        <f>T("계약연애, 오늘부터 1일 40화")</f>
        <v>계약연애, 오늘부터 1일 40화</v>
      </c>
      <c r="D836" t="str">
        <f>T("40")</f>
        <v>40</v>
      </c>
      <c r="E836" t="str">
        <f>T("원기공장")</f>
        <v>원기공장</v>
      </c>
      <c r="H836" t="str">
        <f t="shared" si="102"/>
        <v>스토리위즈</v>
      </c>
      <c r="I836" t="str">
        <f>T("계약연애, 오늘부터 1일")</f>
        <v>계약연애, 오늘부터 1일</v>
      </c>
      <c r="J836">
        <v>200</v>
      </c>
      <c r="K836">
        <v>0</v>
      </c>
      <c r="L836">
        <v>0</v>
      </c>
      <c r="M836">
        <v>0</v>
      </c>
      <c r="N836">
        <v>100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 s="3">
        <v>100</v>
      </c>
      <c r="AH836" s="3">
        <v>1</v>
      </c>
      <c r="AI836" s="3">
        <v>0</v>
      </c>
      <c r="AJ836" s="3">
        <v>0</v>
      </c>
      <c r="AK836" s="3">
        <v>100</v>
      </c>
      <c r="AL836" s="3">
        <v>0</v>
      </c>
      <c r="AM836" s="3">
        <v>0</v>
      </c>
      <c r="AN836" s="3">
        <v>0</v>
      </c>
      <c r="AO836" s="3">
        <v>0</v>
      </c>
      <c r="AP836" s="3">
        <v>70</v>
      </c>
      <c r="AR836" t="str">
        <f t="shared" si="101"/>
        <v>0000000000000</v>
      </c>
      <c r="AT836" t="str">
        <f>T("9791166068027")</f>
        <v>9791166068027</v>
      </c>
      <c r="AV836" t="str">
        <f t="shared" ref="AV836:AV841" si="103">T("웹툰 &gt; 해외 순정")</f>
        <v>웹툰 &gt; 해외 순정</v>
      </c>
      <c r="AW836" t="str">
        <f>T("웹툰 &gt; 로맨스")</f>
        <v>웹툰 &gt; 로맨스</v>
      </c>
    </row>
    <row r="837" spans="1:49" x14ac:dyDescent="0.4">
      <c r="A837">
        <v>4421000916</v>
      </c>
      <c r="B837">
        <v>4421001276</v>
      </c>
      <c r="C837" t="str">
        <f>T("별빛 아래 우리 61화")</f>
        <v>별빛 아래 우리 61화</v>
      </c>
      <c r="D837" t="str">
        <f>T("61")</f>
        <v>61</v>
      </c>
      <c r="E837" t="str">
        <f>T("건일")</f>
        <v>건일</v>
      </c>
      <c r="G837" t="str">
        <f>T("건일")</f>
        <v>건일</v>
      </c>
      <c r="H837" t="str">
        <f t="shared" si="102"/>
        <v>스토리위즈</v>
      </c>
      <c r="I837" t="str">
        <f>T("별빛 아래 우리")</f>
        <v>별빛 아래 우리</v>
      </c>
      <c r="J837">
        <v>400</v>
      </c>
      <c r="K837">
        <v>0</v>
      </c>
      <c r="L837">
        <v>0</v>
      </c>
      <c r="M837">
        <v>0</v>
      </c>
      <c r="N837">
        <v>800</v>
      </c>
      <c r="O837">
        <v>4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 s="3">
        <v>800</v>
      </c>
      <c r="AH837" s="3">
        <v>4</v>
      </c>
      <c r="AI837" s="3">
        <v>0</v>
      </c>
      <c r="AJ837" s="3">
        <v>0</v>
      </c>
      <c r="AK837" s="3">
        <v>380</v>
      </c>
      <c r="AL837" s="3">
        <v>0</v>
      </c>
      <c r="AM837" s="3">
        <v>504.01</v>
      </c>
      <c r="AN837" s="3">
        <v>-151.19999999999999</v>
      </c>
      <c r="AO837" s="3">
        <v>0</v>
      </c>
      <c r="AP837" s="3">
        <v>512.97</v>
      </c>
      <c r="AR837" t="str">
        <f t="shared" si="101"/>
        <v>0000000000000</v>
      </c>
      <c r="AT837" t="str">
        <f>T("9791137601413")</f>
        <v>9791137601413</v>
      </c>
      <c r="AV837" t="str">
        <f t="shared" si="103"/>
        <v>웹툰 &gt; 해외 순정</v>
      </c>
      <c r="AW837" t="str">
        <f>T("웹툰 &gt; 로맨스")</f>
        <v>웹툰 &gt; 로맨스</v>
      </c>
    </row>
    <row r="838" spans="1:49" x14ac:dyDescent="0.4">
      <c r="A838">
        <v>4421000198</v>
      </c>
      <c r="B838">
        <v>4421000223</v>
      </c>
      <c r="C838" t="str">
        <f>T("공주전쟁 26화")</f>
        <v>공주전쟁 26화</v>
      </c>
      <c r="D838" t="str">
        <f>T("26")</f>
        <v>26</v>
      </c>
      <c r="E838" t="str">
        <f>T("Hujing")</f>
        <v>Hujing</v>
      </c>
      <c r="G838" t="str">
        <f>T("Luojie")</f>
        <v>Luojie</v>
      </c>
      <c r="H838" t="str">
        <f t="shared" si="102"/>
        <v>스토리위즈</v>
      </c>
      <c r="I838" t="str">
        <f>T("공주전쟁")</f>
        <v>공주전쟁</v>
      </c>
      <c r="J838">
        <v>400</v>
      </c>
      <c r="K838">
        <v>0</v>
      </c>
      <c r="L838">
        <v>0</v>
      </c>
      <c r="M838">
        <v>0</v>
      </c>
      <c r="N838">
        <v>600</v>
      </c>
      <c r="O838">
        <v>3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 s="3">
        <v>600</v>
      </c>
      <c r="AH838" s="3">
        <v>3</v>
      </c>
      <c r="AI838" s="3">
        <v>0</v>
      </c>
      <c r="AJ838" s="3">
        <v>0</v>
      </c>
      <c r="AK838" s="3">
        <v>400</v>
      </c>
      <c r="AL838" s="3">
        <v>0</v>
      </c>
      <c r="AM838" s="3">
        <v>240</v>
      </c>
      <c r="AN838" s="3">
        <v>-72</v>
      </c>
      <c r="AO838" s="3">
        <v>0</v>
      </c>
      <c r="AP838" s="3">
        <v>397.6</v>
      </c>
      <c r="AR838" t="str">
        <f t="shared" si="101"/>
        <v>0000000000000</v>
      </c>
      <c r="AT838" t="str">
        <f>T("9791166069666")</f>
        <v>9791166069666</v>
      </c>
      <c r="AV838" t="str">
        <f t="shared" si="103"/>
        <v>웹툰 &gt; 해외 순정</v>
      </c>
      <c r="AW838" t="str">
        <f>T("웹툰 &gt; 로판")</f>
        <v>웹툰 &gt; 로판</v>
      </c>
    </row>
    <row r="839" spans="1:49" x14ac:dyDescent="0.4">
      <c r="A839">
        <v>4421000866</v>
      </c>
      <c r="B839">
        <v>4421001172</v>
      </c>
      <c r="C839" t="str">
        <f>T("최애에게 들켜버렸다 43화")</f>
        <v>최애에게 들켜버렸다 43화</v>
      </c>
      <c r="D839" t="str">
        <f>T("44")</f>
        <v>44</v>
      </c>
      <c r="E839" t="str">
        <f>T("Lv")</f>
        <v>Lv</v>
      </c>
      <c r="G839" t="str">
        <f>T("Lv")</f>
        <v>Lv</v>
      </c>
      <c r="H839" t="str">
        <f t="shared" si="102"/>
        <v>스토리위즈</v>
      </c>
      <c r="I839" t="str">
        <f>T("최애에게 들켜버렸다")</f>
        <v>최애에게 들켜버렸다</v>
      </c>
      <c r="J839">
        <v>400</v>
      </c>
      <c r="K839">
        <v>0</v>
      </c>
      <c r="L839">
        <v>0</v>
      </c>
      <c r="M839">
        <v>0</v>
      </c>
      <c r="N839">
        <v>600</v>
      </c>
      <c r="O839">
        <v>3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 s="3">
        <v>600</v>
      </c>
      <c r="AH839" s="3">
        <v>3</v>
      </c>
      <c r="AI839" s="3">
        <v>0</v>
      </c>
      <c r="AJ839" s="3">
        <v>0</v>
      </c>
      <c r="AK839" s="3">
        <v>424</v>
      </c>
      <c r="AL839" s="3">
        <v>0</v>
      </c>
      <c r="AM839" s="3">
        <v>211.38</v>
      </c>
      <c r="AN839" s="3">
        <v>-63.41</v>
      </c>
      <c r="AO839" s="3">
        <v>0</v>
      </c>
      <c r="AP839" s="3">
        <v>400.38</v>
      </c>
      <c r="AR839" t="str">
        <f t="shared" si="101"/>
        <v>0000000000000</v>
      </c>
      <c r="AT839" t="str">
        <f>T("9791137601253")</f>
        <v>9791137601253</v>
      </c>
      <c r="AV839" t="str">
        <f t="shared" si="103"/>
        <v>웹툰 &gt; 해외 순정</v>
      </c>
      <c r="AW839" t="str">
        <f>T("웹툰 &gt; 로맨스")</f>
        <v>웹툰 &gt; 로맨스</v>
      </c>
    </row>
    <row r="840" spans="1:49" x14ac:dyDescent="0.4">
      <c r="A840">
        <v>4421000337</v>
      </c>
      <c r="B840">
        <v>4421000448</v>
      </c>
      <c r="C840" t="str">
        <f>T("계약연애, 오늘부터 1일 112화")</f>
        <v>계약연애, 오늘부터 1일 112화</v>
      </c>
      <c r="D840" t="str">
        <f>T("112")</f>
        <v>112</v>
      </c>
      <c r="E840" t="str">
        <f>T("원기공장")</f>
        <v>원기공장</v>
      </c>
      <c r="H840" t="str">
        <f t="shared" si="102"/>
        <v>스토리위즈</v>
      </c>
      <c r="I840" t="str">
        <f>T("계약연애, 오늘부터 1일")</f>
        <v>계약연애, 오늘부터 1일</v>
      </c>
      <c r="J840">
        <v>200</v>
      </c>
      <c r="K840">
        <v>0</v>
      </c>
      <c r="L840">
        <v>0</v>
      </c>
      <c r="M840">
        <v>0</v>
      </c>
      <c r="N840">
        <v>100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 s="3">
        <v>100</v>
      </c>
      <c r="AH840" s="3">
        <v>1</v>
      </c>
      <c r="AI840" s="3">
        <v>0</v>
      </c>
      <c r="AJ840" s="3">
        <v>0</v>
      </c>
      <c r="AK840" s="3">
        <v>100</v>
      </c>
      <c r="AL840" s="3">
        <v>0</v>
      </c>
      <c r="AM840" s="3">
        <v>0</v>
      </c>
      <c r="AN840" s="3">
        <v>0</v>
      </c>
      <c r="AO840" s="3">
        <v>0</v>
      </c>
      <c r="AP840" s="3">
        <v>70</v>
      </c>
      <c r="AR840" t="str">
        <f t="shared" si="101"/>
        <v>0000000000000</v>
      </c>
      <c r="AT840" t="str">
        <f>T("9791166068027")</f>
        <v>9791166068027</v>
      </c>
      <c r="AV840" t="str">
        <f t="shared" si="103"/>
        <v>웹툰 &gt; 해외 순정</v>
      </c>
      <c r="AW840" t="str">
        <f>T("웹툰 &gt; 로맨스")</f>
        <v>웹툰 &gt; 로맨스</v>
      </c>
    </row>
    <row r="841" spans="1:49" x14ac:dyDescent="0.4">
      <c r="A841">
        <v>4421000887</v>
      </c>
      <c r="B841">
        <v>4421000958</v>
      </c>
      <c r="C841" t="str">
        <f>T("폭군의 눈물 29화")</f>
        <v>폭군의 눈물 29화</v>
      </c>
      <c r="D841" t="str">
        <f>T("29")</f>
        <v>29</v>
      </c>
      <c r="E841" t="str">
        <f>T("Ice×FANFAN COMIC")</f>
        <v>Ice×FANFAN COMIC</v>
      </c>
      <c r="G841" t="str">
        <f>T("Ice×FANFAN COMIC")</f>
        <v>Ice×FANFAN COMIC</v>
      </c>
      <c r="H841" t="str">
        <f t="shared" si="102"/>
        <v>스토리위즈</v>
      </c>
      <c r="I841" t="str">
        <f>T("폭군의 눈물")</f>
        <v>폭군의 눈물</v>
      </c>
      <c r="J841">
        <v>400</v>
      </c>
      <c r="K841">
        <v>0</v>
      </c>
      <c r="L841">
        <v>0</v>
      </c>
      <c r="M841">
        <v>0</v>
      </c>
      <c r="N841">
        <v>600</v>
      </c>
      <c r="O841">
        <v>3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 s="3">
        <v>600</v>
      </c>
      <c r="AH841" s="3">
        <v>3</v>
      </c>
      <c r="AI841" s="3">
        <v>0</v>
      </c>
      <c r="AJ841" s="3">
        <v>0</v>
      </c>
      <c r="AK841" s="3">
        <v>400</v>
      </c>
      <c r="AL841" s="3">
        <v>0</v>
      </c>
      <c r="AM841" s="3">
        <v>240</v>
      </c>
      <c r="AN841" s="3">
        <v>-72</v>
      </c>
      <c r="AO841" s="3">
        <v>0</v>
      </c>
      <c r="AP841" s="3">
        <v>397.6</v>
      </c>
      <c r="AR841" t="str">
        <f t="shared" si="101"/>
        <v>0000000000000</v>
      </c>
      <c r="AT841" t="str">
        <f>T("9791137601291")</f>
        <v>9791137601291</v>
      </c>
      <c r="AV841" t="str">
        <f t="shared" si="103"/>
        <v>웹툰 &gt; 해외 순정</v>
      </c>
      <c r="AW841" t="str">
        <f>T("웹툰 &gt; 로판")</f>
        <v>웹툰 &gt; 로판</v>
      </c>
    </row>
    <row r="842" spans="1:49" x14ac:dyDescent="0.4">
      <c r="A842">
        <v>4421001764</v>
      </c>
      <c r="B842">
        <v>4421001782</v>
      </c>
      <c r="C842" t="str">
        <f>T("예쁜 남자 잘생긴 여자 19화")</f>
        <v>예쁜 남자 잘생긴 여자 19화</v>
      </c>
      <c r="D842" t="str">
        <f>T("19")</f>
        <v>19</v>
      </c>
      <c r="E842" t="str">
        <f>T("웹티")</f>
        <v>웹티</v>
      </c>
      <c r="H842" t="str">
        <f t="shared" si="102"/>
        <v>스토리위즈</v>
      </c>
      <c r="I842" t="str">
        <f>T("예쁜 남자 잘생긴 여자")</f>
        <v>예쁜 남자 잘생긴 여자</v>
      </c>
      <c r="J842">
        <v>500</v>
      </c>
      <c r="K842">
        <v>0</v>
      </c>
      <c r="L842">
        <v>0</v>
      </c>
      <c r="M842">
        <v>0</v>
      </c>
      <c r="N842">
        <v>200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 s="3">
        <v>200</v>
      </c>
      <c r="AH842" s="3">
        <v>1</v>
      </c>
      <c r="AI842" s="3">
        <v>0</v>
      </c>
      <c r="AJ842" s="3">
        <v>0</v>
      </c>
      <c r="AK842" s="3">
        <v>0</v>
      </c>
      <c r="AL842" s="3">
        <v>0</v>
      </c>
      <c r="AM842" s="3">
        <v>240.82</v>
      </c>
      <c r="AN842" s="3">
        <v>-72.25</v>
      </c>
      <c r="AO842" s="3">
        <v>0</v>
      </c>
      <c r="AP842" s="3">
        <v>118</v>
      </c>
      <c r="AR842" t="str">
        <f t="shared" si="101"/>
        <v>0000000000000</v>
      </c>
      <c r="AT842" t="str">
        <f>T("9791190702164")</f>
        <v>9791190702164</v>
      </c>
      <c r="AV842" t="str">
        <f>T("웹툰 &gt; 로맨스")</f>
        <v>웹툰 &gt; 로맨스</v>
      </c>
    </row>
    <row r="843" spans="1:49" x14ac:dyDescent="0.4">
      <c r="A843">
        <v>4421000337</v>
      </c>
      <c r="B843">
        <v>4421000408</v>
      </c>
      <c r="C843" t="str">
        <f>T("계약연애, 오늘부터 1일 72화")</f>
        <v>계약연애, 오늘부터 1일 72화</v>
      </c>
      <c r="D843" t="str">
        <f>T("72")</f>
        <v>72</v>
      </c>
      <c r="E843" t="str">
        <f>T("원기공장")</f>
        <v>원기공장</v>
      </c>
      <c r="H843" t="str">
        <f t="shared" si="102"/>
        <v>스토리위즈</v>
      </c>
      <c r="I843" t="str">
        <f>T("계약연애, 오늘부터 1일")</f>
        <v>계약연애, 오늘부터 1일</v>
      </c>
      <c r="J843">
        <v>200</v>
      </c>
      <c r="K843">
        <v>0</v>
      </c>
      <c r="L843">
        <v>0</v>
      </c>
      <c r="M843">
        <v>0</v>
      </c>
      <c r="N843">
        <v>100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 s="3">
        <v>100</v>
      </c>
      <c r="AH843" s="3">
        <v>1</v>
      </c>
      <c r="AI843" s="3">
        <v>0</v>
      </c>
      <c r="AJ843" s="3">
        <v>0</v>
      </c>
      <c r="AK843" s="3">
        <v>100</v>
      </c>
      <c r="AL843" s="3">
        <v>0</v>
      </c>
      <c r="AM843" s="3">
        <v>0</v>
      </c>
      <c r="AN843" s="3">
        <v>0</v>
      </c>
      <c r="AO843" s="3">
        <v>0</v>
      </c>
      <c r="AP843" s="3">
        <v>70</v>
      </c>
      <c r="AR843" t="str">
        <f t="shared" si="101"/>
        <v>0000000000000</v>
      </c>
      <c r="AT843" t="str">
        <f>T("9791166068027")</f>
        <v>9791166068027</v>
      </c>
      <c r="AV843" t="str">
        <f>T("웹툰 &gt; 해외 순정")</f>
        <v>웹툰 &gt; 해외 순정</v>
      </c>
      <c r="AW843" t="str">
        <f>T("웹툰 &gt; 로맨스")</f>
        <v>웹툰 &gt; 로맨스</v>
      </c>
    </row>
    <row r="844" spans="1:49" x14ac:dyDescent="0.4">
      <c r="A844">
        <v>4421000518</v>
      </c>
      <c r="B844">
        <v>4421000528</v>
      </c>
      <c r="C844" t="str">
        <f>T("백스테이지 키스신 10화")</f>
        <v>백스테이지 키스신 10화</v>
      </c>
      <c r="D844" t="str">
        <f>T("10")</f>
        <v>10</v>
      </c>
      <c r="E844" t="str">
        <f>T("최도비")</f>
        <v>최도비</v>
      </c>
      <c r="G844" t="str">
        <f>T("수정과")</f>
        <v>수정과</v>
      </c>
      <c r="H844" t="str">
        <f t="shared" si="102"/>
        <v>스토리위즈</v>
      </c>
      <c r="I844" t="str">
        <f>T("백스테이지 키스신")</f>
        <v>백스테이지 키스신</v>
      </c>
      <c r="J844">
        <v>400</v>
      </c>
      <c r="K844">
        <v>0</v>
      </c>
      <c r="L844">
        <v>0</v>
      </c>
      <c r="M844">
        <v>0</v>
      </c>
      <c r="N844">
        <v>400</v>
      </c>
      <c r="O844">
        <v>2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 s="3">
        <v>400</v>
      </c>
      <c r="AH844" s="3">
        <v>2</v>
      </c>
      <c r="AI844" s="3">
        <v>0</v>
      </c>
      <c r="AJ844" s="3">
        <v>0</v>
      </c>
      <c r="AK844" s="3">
        <v>200</v>
      </c>
      <c r="AL844" s="3">
        <v>0</v>
      </c>
      <c r="AM844" s="3">
        <v>240</v>
      </c>
      <c r="AN844" s="3">
        <v>-72</v>
      </c>
      <c r="AO844" s="3">
        <v>0</v>
      </c>
      <c r="AP844" s="3">
        <v>257.60000000000002</v>
      </c>
      <c r="AR844" t="str">
        <f t="shared" si="101"/>
        <v>0000000000000</v>
      </c>
      <c r="AT844" t="str">
        <f>T("9791166067990")</f>
        <v>9791166067990</v>
      </c>
      <c r="AV844" t="str">
        <f>T("웹툰 &gt; 로맨스")</f>
        <v>웹툰 &gt; 로맨스</v>
      </c>
    </row>
    <row r="845" spans="1:49" x14ac:dyDescent="0.4">
      <c r="A845">
        <v>4421000069</v>
      </c>
      <c r="B845">
        <v>4421001205</v>
      </c>
      <c r="C845" t="str">
        <f>T("너랑 나랑 하면 148화")</f>
        <v>너랑 나랑 하면 148화</v>
      </c>
      <c r="D845" t="str">
        <f>T("148")</f>
        <v>148</v>
      </c>
      <c r="E845" t="str">
        <f>T("NISANSUI")</f>
        <v>NISANSUI</v>
      </c>
      <c r="G845" t="str">
        <f>T("ZIQUAN")</f>
        <v>ZIQUAN</v>
      </c>
      <c r="H845" t="str">
        <f t="shared" si="102"/>
        <v>스토리위즈</v>
      </c>
      <c r="I845" t="str">
        <f>T("너랑 나랑 하면")</f>
        <v>너랑 나랑 하면</v>
      </c>
      <c r="J845">
        <v>400</v>
      </c>
      <c r="K845">
        <v>0</v>
      </c>
      <c r="L845">
        <v>0</v>
      </c>
      <c r="M845">
        <v>0</v>
      </c>
      <c r="N845">
        <v>200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 s="3">
        <v>200</v>
      </c>
      <c r="AH845" s="3">
        <v>1</v>
      </c>
      <c r="AI845" s="3">
        <v>0</v>
      </c>
      <c r="AJ845" s="3">
        <v>0</v>
      </c>
      <c r="AK845" s="3">
        <v>200</v>
      </c>
      <c r="AL845" s="3">
        <v>0</v>
      </c>
      <c r="AM845" s="3">
        <v>0</v>
      </c>
      <c r="AN845" s="3">
        <v>0</v>
      </c>
      <c r="AO845" s="3">
        <v>0</v>
      </c>
      <c r="AP845" s="3">
        <v>140</v>
      </c>
      <c r="AR845" t="str">
        <f t="shared" si="101"/>
        <v>0000000000000</v>
      </c>
      <c r="AT845" t="str">
        <f>T("9791166067884")</f>
        <v>9791166067884</v>
      </c>
      <c r="AV845" t="str">
        <f>T("BL 웹툰 &gt; 웹툰")</f>
        <v>BL 웹툰 &gt; 웹툰</v>
      </c>
    </row>
    <row r="846" spans="1:49" x14ac:dyDescent="0.4">
      <c r="A846">
        <v>4421000450</v>
      </c>
      <c r="B846">
        <v>4421000488</v>
      </c>
      <c r="C846" t="str">
        <f>T("내 남편의 스토커 38화")</f>
        <v>내 남편의 스토커 38화</v>
      </c>
      <c r="D846" t="str">
        <f>T("38")</f>
        <v>38</v>
      </c>
      <c r="E846" t="str">
        <f>T("혜원")</f>
        <v>혜원</v>
      </c>
      <c r="G846" t="str">
        <f>T("혜원")</f>
        <v>혜원</v>
      </c>
      <c r="H846" t="str">
        <f t="shared" si="102"/>
        <v>스토리위즈</v>
      </c>
      <c r="I846" t="str">
        <f>T("내 남편의 스토커")</f>
        <v>내 남편의 스토커</v>
      </c>
      <c r="J846">
        <v>400</v>
      </c>
      <c r="K846">
        <v>0</v>
      </c>
      <c r="L846">
        <v>0</v>
      </c>
      <c r="M846">
        <v>0</v>
      </c>
      <c r="N846">
        <v>200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 s="3">
        <v>200</v>
      </c>
      <c r="AH846" s="3">
        <v>1</v>
      </c>
      <c r="AI846" s="3">
        <v>0</v>
      </c>
      <c r="AJ846" s="3">
        <v>0</v>
      </c>
      <c r="AK846" s="3">
        <v>200</v>
      </c>
      <c r="AL846" s="3">
        <v>0</v>
      </c>
      <c r="AM846" s="3">
        <v>0</v>
      </c>
      <c r="AN846" s="3">
        <v>0</v>
      </c>
      <c r="AO846" s="3">
        <v>0</v>
      </c>
      <c r="AP846" s="3">
        <v>140</v>
      </c>
      <c r="AR846" t="str">
        <f t="shared" si="101"/>
        <v>0000000000000</v>
      </c>
      <c r="AT846" t="str">
        <f>T("9791166068034")</f>
        <v>9791166068034</v>
      </c>
      <c r="AV846" t="str">
        <f>T("웹툰 &gt; 로맨스")</f>
        <v>웹툰 &gt; 로맨스</v>
      </c>
    </row>
    <row r="847" spans="1:49" x14ac:dyDescent="0.4">
      <c r="A847">
        <v>4421000887</v>
      </c>
      <c r="B847">
        <v>4421000887</v>
      </c>
      <c r="C847" t="str">
        <f>T("폭군의 눈물 1화")</f>
        <v>폭군의 눈물 1화</v>
      </c>
      <c r="D847" t="str">
        <f>T("1")</f>
        <v>1</v>
      </c>
      <c r="E847" t="str">
        <f>T("Ice×FANFAN COMIC")</f>
        <v>Ice×FANFAN COMIC</v>
      </c>
      <c r="G847" t="str">
        <f>T("Ice×FANFAN COMIC")</f>
        <v>Ice×FANFAN COMIC</v>
      </c>
      <c r="H847" t="str">
        <f t="shared" si="102"/>
        <v>스토리위즈</v>
      </c>
      <c r="I847" t="str">
        <f>T("폭군의 눈물")</f>
        <v>폭군의 눈물</v>
      </c>
      <c r="J847">
        <v>400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46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 s="3">
        <v>0</v>
      </c>
      <c r="AH847" s="3">
        <v>46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R847" t="str">
        <f t="shared" si="101"/>
        <v>0000000000000</v>
      </c>
      <c r="AT847" t="str">
        <f>T("9791137601291")</f>
        <v>9791137601291</v>
      </c>
      <c r="AV847" t="str">
        <f>T("웹툰 &gt; 해외 순정")</f>
        <v>웹툰 &gt; 해외 순정</v>
      </c>
      <c r="AW847" t="str">
        <f>T("웹툰 &gt; 로판")</f>
        <v>웹툰 &gt; 로판</v>
      </c>
    </row>
    <row r="848" spans="1:49" x14ac:dyDescent="0.4">
      <c r="A848">
        <v>4421002129</v>
      </c>
      <c r="B848">
        <v>4421002131</v>
      </c>
      <c r="C848" t="str">
        <f>T("향수고에서 생긴 일 3화")</f>
        <v>향수고에서 생긴 일 3화</v>
      </c>
      <c r="D848" t="str">
        <f>T("3")</f>
        <v>3</v>
      </c>
      <c r="E848" t="str">
        <f>T("웹티")</f>
        <v>웹티</v>
      </c>
      <c r="H848" t="str">
        <f t="shared" si="102"/>
        <v>스토리위즈</v>
      </c>
      <c r="I848" t="str">
        <f>T("향수고에서 생긴 일")</f>
        <v>향수고에서 생긴 일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 s="3">
        <v>0</v>
      </c>
      <c r="AH848" s="3">
        <v>1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R848" t="str">
        <f t="shared" si="101"/>
        <v>0000000000000</v>
      </c>
      <c r="AT848" t="str">
        <f>T("9791190622035")</f>
        <v>9791190622035</v>
      </c>
      <c r="AV848" t="str">
        <f>T("웹툰 &gt; 드라마")</f>
        <v>웹툰 &gt; 드라마</v>
      </c>
    </row>
    <row r="849" spans="1:49" x14ac:dyDescent="0.4">
      <c r="A849">
        <v>4421000001</v>
      </c>
      <c r="B849">
        <v>4421000041</v>
      </c>
      <c r="C849" t="str">
        <f>T("감옥실험 21화")</f>
        <v>감옥실험 21화</v>
      </c>
      <c r="D849" t="str">
        <f>T("21")</f>
        <v>21</v>
      </c>
      <c r="E849" t="str">
        <f>T("Kantetsu")</f>
        <v>Kantetsu</v>
      </c>
      <c r="G849" t="str">
        <f>T("Minase Chiho")</f>
        <v>Minase Chiho</v>
      </c>
      <c r="H849" t="str">
        <f t="shared" si="102"/>
        <v>스토리위즈</v>
      </c>
      <c r="I849" t="str">
        <f>T("감옥실험")</f>
        <v>감옥실험</v>
      </c>
      <c r="J849">
        <v>500</v>
      </c>
      <c r="K849">
        <v>0</v>
      </c>
      <c r="L849">
        <v>0</v>
      </c>
      <c r="M849">
        <v>0</v>
      </c>
      <c r="N849">
        <v>900</v>
      </c>
      <c r="O849">
        <v>3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 s="3">
        <v>900</v>
      </c>
      <c r="AH849" s="3">
        <v>3</v>
      </c>
      <c r="AI849" s="3">
        <v>0</v>
      </c>
      <c r="AJ849" s="3">
        <v>0</v>
      </c>
      <c r="AK849" s="3">
        <v>600</v>
      </c>
      <c r="AL849" s="3">
        <v>0</v>
      </c>
      <c r="AM849" s="3">
        <v>360</v>
      </c>
      <c r="AN849" s="3">
        <v>-108</v>
      </c>
      <c r="AO849" s="3">
        <v>0</v>
      </c>
      <c r="AP849" s="3">
        <v>596.4</v>
      </c>
      <c r="AT849" t="str">
        <f>T("9791166069406")</f>
        <v>9791166069406</v>
      </c>
      <c r="AV849" t="str">
        <f>T("웹툰 &gt; 드라마")</f>
        <v>웹툰 &gt; 드라마</v>
      </c>
    </row>
    <row r="850" spans="1:49" x14ac:dyDescent="0.4">
      <c r="A850">
        <v>4421000518</v>
      </c>
      <c r="B850">
        <v>4421000560</v>
      </c>
      <c r="C850" t="str">
        <f>T("백스테이지 키스신 42화")</f>
        <v>백스테이지 키스신 42화</v>
      </c>
      <c r="D850" t="str">
        <f>T("42")</f>
        <v>42</v>
      </c>
      <c r="E850" t="str">
        <f>T("최도비")</f>
        <v>최도비</v>
      </c>
      <c r="G850" t="str">
        <f>T("수정과")</f>
        <v>수정과</v>
      </c>
      <c r="H850" t="str">
        <f t="shared" si="102"/>
        <v>스토리위즈</v>
      </c>
      <c r="I850" t="str">
        <f>T("백스테이지 키스신")</f>
        <v>백스테이지 키스신</v>
      </c>
      <c r="J850">
        <v>400</v>
      </c>
      <c r="K850">
        <v>0</v>
      </c>
      <c r="L850">
        <v>0</v>
      </c>
      <c r="M850">
        <v>0</v>
      </c>
      <c r="N850">
        <v>200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 s="3">
        <v>200</v>
      </c>
      <c r="AH850" s="3">
        <v>1</v>
      </c>
      <c r="AI850" s="3">
        <v>0</v>
      </c>
      <c r="AJ850" s="3">
        <v>0</v>
      </c>
      <c r="AK850" s="3">
        <v>200</v>
      </c>
      <c r="AL850" s="3">
        <v>0</v>
      </c>
      <c r="AM850" s="3">
        <v>0</v>
      </c>
      <c r="AN850" s="3">
        <v>0</v>
      </c>
      <c r="AO850" s="3">
        <v>0</v>
      </c>
      <c r="AP850" s="3">
        <v>140</v>
      </c>
      <c r="AR850" t="str">
        <f t="shared" ref="AR850:AR867" si="104">T("0000000000000")</f>
        <v>0000000000000</v>
      </c>
      <c r="AT850" t="str">
        <f>T("9791166067990")</f>
        <v>9791166067990</v>
      </c>
      <c r="AV850" t="str">
        <f>T("웹툰 &gt; 로맨스")</f>
        <v>웹툰 &gt; 로맨스</v>
      </c>
    </row>
    <row r="851" spans="1:49" x14ac:dyDescent="0.4">
      <c r="A851">
        <v>4421000198</v>
      </c>
      <c r="B851">
        <v>4421002849</v>
      </c>
      <c r="C851" t="str">
        <f>T("공주전쟁 101화")</f>
        <v>공주전쟁 101화</v>
      </c>
      <c r="D851" t="str">
        <f>T("101")</f>
        <v>101</v>
      </c>
      <c r="E851" t="str">
        <f>T("Hujing")</f>
        <v>Hujing</v>
      </c>
      <c r="G851" t="str">
        <f>T("Luojie")</f>
        <v>Luojie</v>
      </c>
      <c r="H851" t="str">
        <f t="shared" si="102"/>
        <v>스토리위즈</v>
      </c>
      <c r="I851" t="str">
        <f>T("공주전쟁")</f>
        <v>공주전쟁</v>
      </c>
      <c r="J851">
        <v>400</v>
      </c>
      <c r="K851">
        <v>0</v>
      </c>
      <c r="L851">
        <v>0</v>
      </c>
      <c r="M851">
        <v>0</v>
      </c>
      <c r="N851">
        <v>200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 s="3">
        <v>200</v>
      </c>
      <c r="AH851" s="3">
        <v>1</v>
      </c>
      <c r="AI851" s="3">
        <v>0</v>
      </c>
      <c r="AJ851" s="3">
        <v>0</v>
      </c>
      <c r="AK851" s="3">
        <v>0</v>
      </c>
      <c r="AL851" s="3">
        <v>0</v>
      </c>
      <c r="AM851" s="3">
        <v>240</v>
      </c>
      <c r="AN851" s="3">
        <v>-72</v>
      </c>
      <c r="AO851" s="3">
        <v>0</v>
      </c>
      <c r="AP851" s="3">
        <v>117.6</v>
      </c>
      <c r="AR851" t="str">
        <f t="shared" si="104"/>
        <v>0000000000000</v>
      </c>
      <c r="AT851" t="str">
        <f>T("9791166069666")</f>
        <v>9791166069666</v>
      </c>
      <c r="AV851" t="str">
        <f>T("웹툰 &gt; 해외 순정")</f>
        <v>웹툰 &gt; 해외 순정</v>
      </c>
      <c r="AW851" t="str">
        <f>T("웹툰 &gt; 로판")</f>
        <v>웹툰 &gt; 로판</v>
      </c>
    </row>
    <row r="852" spans="1:49" x14ac:dyDescent="0.4">
      <c r="A852">
        <v>4421000518</v>
      </c>
      <c r="B852">
        <v>4421000520</v>
      </c>
      <c r="C852" t="str">
        <f>T("백스테이지 키스신 2화")</f>
        <v>백스테이지 키스신 2화</v>
      </c>
      <c r="D852" t="str">
        <f>T("2")</f>
        <v>2</v>
      </c>
      <c r="E852" t="str">
        <f>T("최도비")</f>
        <v>최도비</v>
      </c>
      <c r="G852" t="str">
        <f>T("수정과")</f>
        <v>수정과</v>
      </c>
      <c r="H852" t="str">
        <f t="shared" si="102"/>
        <v>스토리위즈</v>
      </c>
      <c r="I852" t="str">
        <f>T("백스테이지 키스신")</f>
        <v>백스테이지 키스신</v>
      </c>
      <c r="J852">
        <v>400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2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 s="3">
        <v>0</v>
      </c>
      <c r="AH852" s="3">
        <v>2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R852" t="str">
        <f t="shared" si="104"/>
        <v>0000000000000</v>
      </c>
      <c r="AT852" t="str">
        <f>T("9791166067990")</f>
        <v>9791166067990</v>
      </c>
      <c r="AV852" t="str">
        <f>T("웹툰 &gt; 로맨스")</f>
        <v>웹툰 &gt; 로맨스</v>
      </c>
    </row>
    <row r="853" spans="1:49" x14ac:dyDescent="0.4">
      <c r="A853">
        <v>4421000866</v>
      </c>
      <c r="B853">
        <v>4421001239</v>
      </c>
      <c r="C853" t="str">
        <f>T("최애에게 들켜버렸다 56화")</f>
        <v>최애에게 들켜버렸다 56화</v>
      </c>
      <c r="D853" t="str">
        <f>T("59")</f>
        <v>59</v>
      </c>
      <c r="E853" t="str">
        <f>T("Lv")</f>
        <v>Lv</v>
      </c>
      <c r="G853" t="str">
        <f>T("Lv")</f>
        <v>Lv</v>
      </c>
      <c r="H853" t="str">
        <f t="shared" si="102"/>
        <v>스토리위즈</v>
      </c>
      <c r="I853" t="str">
        <f>T("최애에게 들켜버렸다")</f>
        <v>최애에게 들켜버렸다</v>
      </c>
      <c r="J853">
        <v>400</v>
      </c>
      <c r="K853">
        <v>0</v>
      </c>
      <c r="L853">
        <v>0</v>
      </c>
      <c r="M853">
        <v>0</v>
      </c>
      <c r="N853">
        <v>600</v>
      </c>
      <c r="O853">
        <v>3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 s="3">
        <v>600</v>
      </c>
      <c r="AH853" s="3">
        <v>3</v>
      </c>
      <c r="AI853" s="3">
        <v>0</v>
      </c>
      <c r="AJ853" s="3">
        <v>0</v>
      </c>
      <c r="AK853" s="3">
        <v>424</v>
      </c>
      <c r="AL853" s="3">
        <v>0</v>
      </c>
      <c r="AM853" s="3">
        <v>211.38</v>
      </c>
      <c r="AN853" s="3">
        <v>-63.41</v>
      </c>
      <c r="AO853" s="3">
        <v>0</v>
      </c>
      <c r="AP853" s="3">
        <v>400.38</v>
      </c>
      <c r="AR853" t="str">
        <f t="shared" si="104"/>
        <v>0000000000000</v>
      </c>
      <c r="AT853" t="str">
        <f>T("9791137601253")</f>
        <v>9791137601253</v>
      </c>
      <c r="AV853" t="str">
        <f>T("웹툰 &gt; 해외 순정")</f>
        <v>웹툰 &gt; 해외 순정</v>
      </c>
      <c r="AW853" t="str">
        <f>T("웹툰 &gt; 로맨스")</f>
        <v>웹툰 &gt; 로맨스</v>
      </c>
    </row>
    <row r="854" spans="1:49" x14ac:dyDescent="0.4">
      <c r="A854">
        <v>4421000069</v>
      </c>
      <c r="B854">
        <v>4421000081</v>
      </c>
      <c r="C854" t="str">
        <f>T("너랑 나랑 하면 12화")</f>
        <v>너랑 나랑 하면 12화</v>
      </c>
      <c r="D854" t="str">
        <f>T("12")</f>
        <v>12</v>
      </c>
      <c r="E854" t="str">
        <f>T("NISANSUI")</f>
        <v>NISANSUI</v>
      </c>
      <c r="G854" t="str">
        <f>T("ZIQUAN")</f>
        <v>ZIQUAN</v>
      </c>
      <c r="H854" t="str">
        <f t="shared" si="102"/>
        <v>스토리위즈</v>
      </c>
      <c r="I854" t="str">
        <f>T("너랑 나랑 하면")</f>
        <v>너랑 나랑 하면</v>
      </c>
      <c r="J854">
        <v>400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 s="3">
        <v>0</v>
      </c>
      <c r="AH854" s="3">
        <v>3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R854" t="str">
        <f t="shared" si="104"/>
        <v>0000000000000</v>
      </c>
      <c r="AT854" t="str">
        <f>T("9791166067884")</f>
        <v>9791166067884</v>
      </c>
      <c r="AV854" t="str">
        <f>T("BL 웹툰 &gt; 웹툰")</f>
        <v>BL 웹툰 &gt; 웹툰</v>
      </c>
    </row>
    <row r="855" spans="1:49" x14ac:dyDescent="0.4">
      <c r="A855">
        <v>4421000198</v>
      </c>
      <c r="B855">
        <v>4421001301</v>
      </c>
      <c r="C855" t="str">
        <f>T("공주전쟁 90화")</f>
        <v>공주전쟁 90화</v>
      </c>
      <c r="D855" t="str">
        <f>T("90")</f>
        <v>90</v>
      </c>
      <c r="E855" t="str">
        <f>T("Hujing")</f>
        <v>Hujing</v>
      </c>
      <c r="G855" t="str">
        <f>T("Luojie")</f>
        <v>Luojie</v>
      </c>
      <c r="H855" t="str">
        <f t="shared" si="102"/>
        <v>스토리위즈</v>
      </c>
      <c r="I855" t="str">
        <f>T("공주전쟁")</f>
        <v>공주전쟁</v>
      </c>
      <c r="J855">
        <v>400</v>
      </c>
      <c r="K855">
        <v>0</v>
      </c>
      <c r="L855">
        <v>0</v>
      </c>
      <c r="M855">
        <v>0</v>
      </c>
      <c r="N855">
        <v>200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 s="3">
        <v>200</v>
      </c>
      <c r="AH855" s="3">
        <v>1</v>
      </c>
      <c r="AI855" s="3">
        <v>0</v>
      </c>
      <c r="AJ855" s="3">
        <v>0</v>
      </c>
      <c r="AK855" s="3">
        <v>0</v>
      </c>
      <c r="AL855" s="3">
        <v>0</v>
      </c>
      <c r="AM855" s="3">
        <v>240</v>
      </c>
      <c r="AN855" s="3">
        <v>-72</v>
      </c>
      <c r="AO855" s="3">
        <v>0</v>
      </c>
      <c r="AP855" s="3">
        <v>117.6</v>
      </c>
      <c r="AR855" t="str">
        <f t="shared" si="104"/>
        <v>0000000000000</v>
      </c>
      <c r="AT855" t="str">
        <f>T("9791166069666")</f>
        <v>9791166069666</v>
      </c>
      <c r="AV855" t="str">
        <f>T("웹툰 &gt; 해외 순정")</f>
        <v>웹툰 &gt; 해외 순정</v>
      </c>
      <c r="AW855" t="str">
        <f>T("웹툰 &gt; 로판")</f>
        <v>웹툰 &gt; 로판</v>
      </c>
    </row>
    <row r="856" spans="1:49" x14ac:dyDescent="0.4">
      <c r="A856">
        <v>4421000916</v>
      </c>
      <c r="B856">
        <v>4421001198</v>
      </c>
      <c r="C856" t="str">
        <f>T("별빛 아래 우리 44화")</f>
        <v>별빛 아래 우리 44화</v>
      </c>
      <c r="D856" t="str">
        <f>T("44")</f>
        <v>44</v>
      </c>
      <c r="E856" t="str">
        <f>T("건일")</f>
        <v>건일</v>
      </c>
      <c r="G856" t="str">
        <f>T("건일")</f>
        <v>건일</v>
      </c>
      <c r="H856" t="str">
        <f t="shared" si="102"/>
        <v>스토리위즈</v>
      </c>
      <c r="I856" t="str">
        <f>T("별빛 아래 우리")</f>
        <v>별빛 아래 우리</v>
      </c>
      <c r="J856">
        <v>400</v>
      </c>
      <c r="K856">
        <v>0</v>
      </c>
      <c r="L856">
        <v>0</v>
      </c>
      <c r="M856">
        <v>0</v>
      </c>
      <c r="N856">
        <v>800</v>
      </c>
      <c r="O856">
        <v>4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 s="3">
        <v>800</v>
      </c>
      <c r="AH856" s="3">
        <v>4</v>
      </c>
      <c r="AI856" s="3">
        <v>0</v>
      </c>
      <c r="AJ856" s="3">
        <v>0</v>
      </c>
      <c r="AK856" s="3">
        <v>379</v>
      </c>
      <c r="AL856" s="3">
        <v>0</v>
      </c>
      <c r="AM856" s="3">
        <v>505.2</v>
      </c>
      <c r="AN856" s="3">
        <v>-151.56</v>
      </c>
      <c r="AO856" s="3">
        <v>0</v>
      </c>
      <c r="AP856" s="3">
        <v>512.85</v>
      </c>
      <c r="AR856" t="str">
        <f t="shared" si="104"/>
        <v>0000000000000</v>
      </c>
      <c r="AT856" t="str">
        <f>T("9791137601413")</f>
        <v>9791137601413</v>
      </c>
      <c r="AV856" t="str">
        <f>T("웹툰 &gt; 해외 순정")</f>
        <v>웹툰 &gt; 해외 순정</v>
      </c>
      <c r="AW856" t="str">
        <f>T("웹툰 &gt; 로맨스")</f>
        <v>웹툰 &gt; 로맨스</v>
      </c>
    </row>
    <row r="857" spans="1:49" x14ac:dyDescent="0.4">
      <c r="A857">
        <v>4421000450</v>
      </c>
      <c r="B857">
        <v>4421000481</v>
      </c>
      <c r="C857" t="str">
        <f>T("내 남편의 스토커 31화")</f>
        <v>내 남편의 스토커 31화</v>
      </c>
      <c r="D857" t="str">
        <f>T("31")</f>
        <v>31</v>
      </c>
      <c r="E857" t="str">
        <f>T("혜원")</f>
        <v>혜원</v>
      </c>
      <c r="G857" t="str">
        <f>T("혜원")</f>
        <v>혜원</v>
      </c>
      <c r="H857" t="str">
        <f t="shared" si="102"/>
        <v>스토리위즈</v>
      </c>
      <c r="I857" t="str">
        <f>T("내 남편의 스토커")</f>
        <v>내 남편의 스토커</v>
      </c>
      <c r="J857">
        <v>400</v>
      </c>
      <c r="K857">
        <v>0</v>
      </c>
      <c r="L857">
        <v>0</v>
      </c>
      <c r="M857">
        <v>0</v>
      </c>
      <c r="N857">
        <v>200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 s="3">
        <v>200</v>
      </c>
      <c r="AH857" s="3">
        <v>1</v>
      </c>
      <c r="AI857" s="3">
        <v>0</v>
      </c>
      <c r="AJ857" s="3">
        <v>0</v>
      </c>
      <c r="AK857" s="3">
        <v>200</v>
      </c>
      <c r="AL857" s="3">
        <v>0</v>
      </c>
      <c r="AM857" s="3">
        <v>0</v>
      </c>
      <c r="AN857" s="3">
        <v>0</v>
      </c>
      <c r="AO857" s="3">
        <v>0</v>
      </c>
      <c r="AP857" s="3">
        <v>140</v>
      </c>
      <c r="AR857" t="str">
        <f t="shared" si="104"/>
        <v>0000000000000</v>
      </c>
      <c r="AT857" t="str">
        <f>T("9791166068034")</f>
        <v>9791166068034</v>
      </c>
      <c r="AV857" t="str">
        <f>T("웹툰 &gt; 로맨스")</f>
        <v>웹툰 &gt; 로맨스</v>
      </c>
    </row>
    <row r="858" spans="1:49" x14ac:dyDescent="0.4">
      <c r="A858">
        <v>4421000866</v>
      </c>
      <c r="B858">
        <v>4421000998</v>
      </c>
      <c r="C858" t="str">
        <f>T("최애에게 들켜버렸다 39화")</f>
        <v>최애에게 들켜버렸다 39화</v>
      </c>
      <c r="D858" t="str">
        <f>T("40")</f>
        <v>40</v>
      </c>
      <c r="E858" t="str">
        <f>T("Lv")</f>
        <v>Lv</v>
      </c>
      <c r="G858" t="str">
        <f>T("Lv")</f>
        <v>Lv</v>
      </c>
      <c r="H858" t="str">
        <f t="shared" si="102"/>
        <v>스토리위즈</v>
      </c>
      <c r="I858" t="str">
        <f>T("최애에게 들켜버렸다")</f>
        <v>최애에게 들켜버렸다</v>
      </c>
      <c r="J858">
        <v>400</v>
      </c>
      <c r="K858">
        <v>0</v>
      </c>
      <c r="L858">
        <v>0</v>
      </c>
      <c r="M858">
        <v>0</v>
      </c>
      <c r="N858">
        <v>800</v>
      </c>
      <c r="O858">
        <v>4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 s="3">
        <v>800</v>
      </c>
      <c r="AH858" s="3">
        <v>4</v>
      </c>
      <c r="AI858" s="3">
        <v>0</v>
      </c>
      <c r="AJ858" s="3">
        <v>0</v>
      </c>
      <c r="AK858" s="3">
        <v>624</v>
      </c>
      <c r="AL858" s="3">
        <v>0</v>
      </c>
      <c r="AM858" s="3">
        <v>211.38</v>
      </c>
      <c r="AN858" s="3">
        <v>-63.41</v>
      </c>
      <c r="AO858" s="3">
        <v>0</v>
      </c>
      <c r="AP858" s="3">
        <v>540.38</v>
      </c>
      <c r="AR858" t="str">
        <f t="shared" si="104"/>
        <v>0000000000000</v>
      </c>
      <c r="AT858" t="str">
        <f>T("9791137601253")</f>
        <v>9791137601253</v>
      </c>
      <c r="AV858" t="str">
        <f>T("웹툰 &gt; 해외 순정")</f>
        <v>웹툰 &gt; 해외 순정</v>
      </c>
      <c r="AW858" t="str">
        <f>T("웹툰 &gt; 로맨스")</f>
        <v>웹툰 &gt; 로맨스</v>
      </c>
    </row>
    <row r="859" spans="1:49" x14ac:dyDescent="0.4">
      <c r="A859">
        <v>4421000866</v>
      </c>
      <c r="B859">
        <v>4421000880</v>
      </c>
      <c r="C859" t="str">
        <f>T("최애에게 들켜버렸다 14화")</f>
        <v>최애에게 들켜버렸다 14화</v>
      </c>
      <c r="D859" t="str">
        <f>T("14")</f>
        <v>14</v>
      </c>
      <c r="E859" t="str">
        <f>T("Lv")</f>
        <v>Lv</v>
      </c>
      <c r="G859" t="str">
        <f>T("Lv")</f>
        <v>Lv</v>
      </c>
      <c r="H859" t="str">
        <f t="shared" si="102"/>
        <v>스토리위즈</v>
      </c>
      <c r="I859" t="str">
        <f>T("최애에게 들켜버렸다")</f>
        <v>최애에게 들켜버렸다</v>
      </c>
      <c r="J859">
        <v>400</v>
      </c>
      <c r="K859">
        <v>0</v>
      </c>
      <c r="L859">
        <v>0</v>
      </c>
      <c r="M859">
        <v>0</v>
      </c>
      <c r="N859">
        <v>1000</v>
      </c>
      <c r="O859">
        <v>5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 s="3">
        <v>1000</v>
      </c>
      <c r="AH859" s="3">
        <v>5</v>
      </c>
      <c r="AI859" s="3">
        <v>0</v>
      </c>
      <c r="AJ859" s="3">
        <v>0</v>
      </c>
      <c r="AK859" s="3">
        <v>624</v>
      </c>
      <c r="AL859" s="3">
        <v>0</v>
      </c>
      <c r="AM859" s="3">
        <v>451.38</v>
      </c>
      <c r="AN859" s="3">
        <v>-135.41</v>
      </c>
      <c r="AO859" s="3">
        <v>0</v>
      </c>
      <c r="AP859" s="3">
        <v>657.98</v>
      </c>
      <c r="AR859" t="str">
        <f t="shared" si="104"/>
        <v>0000000000000</v>
      </c>
      <c r="AT859" t="str">
        <f>T("9791137601253")</f>
        <v>9791137601253</v>
      </c>
      <c r="AV859" t="str">
        <f>T("웹툰 &gt; 해외 순정")</f>
        <v>웹툰 &gt; 해외 순정</v>
      </c>
      <c r="AW859" t="str">
        <f>T("웹툰 &gt; 로맨스")</f>
        <v>웹툰 &gt; 로맨스</v>
      </c>
    </row>
    <row r="860" spans="1:49" x14ac:dyDescent="0.4">
      <c r="A860">
        <v>4421002057</v>
      </c>
      <c r="B860">
        <v>4421002058</v>
      </c>
      <c r="C860" t="str">
        <f>T("달콤한 그와 결혼했습니다 2화")</f>
        <v>달콤한 그와 결혼했습니다 2화</v>
      </c>
      <c r="D860" t="str">
        <f>T("2")</f>
        <v>2</v>
      </c>
      <c r="E860" t="str">
        <f>T("웹티")</f>
        <v>웹티</v>
      </c>
      <c r="H860" t="str">
        <f t="shared" si="102"/>
        <v>스토리위즈</v>
      </c>
      <c r="I860" t="str">
        <f>T("달콤한 그와 결혼했습니다")</f>
        <v>달콤한 그와 결혼했습니다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 s="3">
        <v>0</v>
      </c>
      <c r="AH860" s="3">
        <v>1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R860" t="str">
        <f t="shared" si="104"/>
        <v>0000000000000</v>
      </c>
      <c r="AT860" t="str">
        <f>T("9791196660475")</f>
        <v>9791196660475</v>
      </c>
      <c r="AV860" t="str">
        <f>T("웹툰 &gt; 로맨스")</f>
        <v>웹툰 &gt; 로맨스</v>
      </c>
    </row>
    <row r="861" spans="1:49" x14ac:dyDescent="0.4">
      <c r="A861">
        <v>4421000518</v>
      </c>
      <c r="B861">
        <v>4421000553</v>
      </c>
      <c r="C861" t="str">
        <f>T("백스테이지 키스신 35화")</f>
        <v>백스테이지 키스신 35화</v>
      </c>
      <c r="D861" t="str">
        <f>T("35")</f>
        <v>35</v>
      </c>
      <c r="E861" t="str">
        <f>T("최도비")</f>
        <v>최도비</v>
      </c>
      <c r="G861" t="str">
        <f>T("수정과")</f>
        <v>수정과</v>
      </c>
      <c r="H861" t="str">
        <f t="shared" si="102"/>
        <v>스토리위즈</v>
      </c>
      <c r="I861" t="str">
        <f>T("백스테이지 키스신")</f>
        <v>백스테이지 키스신</v>
      </c>
      <c r="J861">
        <v>400</v>
      </c>
      <c r="K861">
        <v>0</v>
      </c>
      <c r="L861">
        <v>0</v>
      </c>
      <c r="M861">
        <v>0</v>
      </c>
      <c r="N861">
        <v>400</v>
      </c>
      <c r="O861">
        <v>2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 s="3">
        <v>400</v>
      </c>
      <c r="AH861" s="3">
        <v>2</v>
      </c>
      <c r="AI861" s="3">
        <v>0</v>
      </c>
      <c r="AJ861" s="3">
        <v>0</v>
      </c>
      <c r="AK861" s="3">
        <v>200</v>
      </c>
      <c r="AL861" s="3">
        <v>0</v>
      </c>
      <c r="AM861" s="3">
        <v>240</v>
      </c>
      <c r="AN861" s="3">
        <v>-72</v>
      </c>
      <c r="AO861" s="3">
        <v>0</v>
      </c>
      <c r="AP861" s="3">
        <v>257.60000000000002</v>
      </c>
      <c r="AR861" t="str">
        <f t="shared" si="104"/>
        <v>0000000000000</v>
      </c>
      <c r="AT861" t="str">
        <f>T("9791166067990")</f>
        <v>9791166067990</v>
      </c>
      <c r="AV861" t="str">
        <f>T("웹툰 &gt; 로맨스")</f>
        <v>웹툰 &gt; 로맨스</v>
      </c>
    </row>
    <row r="862" spans="1:49" x14ac:dyDescent="0.4">
      <c r="A862">
        <v>4421001325</v>
      </c>
      <c r="B862">
        <v>4421001333</v>
      </c>
      <c r="C862" t="str">
        <f>T("커피여우 김삼월 9화")</f>
        <v>커피여우 김삼월 9화</v>
      </c>
      <c r="D862" t="str">
        <f>T("9")</f>
        <v>9</v>
      </c>
      <c r="E862" t="str">
        <f>T("Nica")</f>
        <v>Nica</v>
      </c>
      <c r="G862" t="str">
        <f>T("A.Noa, RK Studio")</f>
        <v>A.Noa, RK Studio</v>
      </c>
      <c r="H862" t="str">
        <f t="shared" si="102"/>
        <v>스토리위즈</v>
      </c>
      <c r="I862" t="str">
        <f>T("커피여우 김삼월")</f>
        <v>커피여우 김삼월</v>
      </c>
      <c r="J862">
        <v>500</v>
      </c>
      <c r="K862">
        <v>0</v>
      </c>
      <c r="L862">
        <v>0</v>
      </c>
      <c r="M862">
        <v>0</v>
      </c>
      <c r="N862">
        <v>400</v>
      </c>
      <c r="O862">
        <v>2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 s="3">
        <v>400</v>
      </c>
      <c r="AH862" s="3">
        <v>2</v>
      </c>
      <c r="AI862" s="3">
        <v>0</v>
      </c>
      <c r="AJ862" s="3">
        <v>0</v>
      </c>
      <c r="AK862" s="3">
        <v>200</v>
      </c>
      <c r="AL862" s="3">
        <v>0</v>
      </c>
      <c r="AM862" s="3">
        <v>240</v>
      </c>
      <c r="AN862" s="3">
        <v>-72</v>
      </c>
      <c r="AO862" s="3">
        <v>0</v>
      </c>
      <c r="AP862" s="3">
        <v>257.60000000000002</v>
      </c>
      <c r="AR862" t="str">
        <f t="shared" si="104"/>
        <v>0000000000000</v>
      </c>
      <c r="AT862" t="str">
        <f>T("9791191241792")</f>
        <v>9791191241792</v>
      </c>
      <c r="AV862" t="str">
        <f>T("웹툰 &gt; 로맨스")</f>
        <v>웹툰 &gt; 로맨스</v>
      </c>
    </row>
    <row r="863" spans="1:49" x14ac:dyDescent="0.4">
      <c r="A863">
        <v>4421000450</v>
      </c>
      <c r="B863">
        <v>4421000513</v>
      </c>
      <c r="C863" t="str">
        <f>T("내 남편의 스토커 63화")</f>
        <v>내 남편의 스토커 63화</v>
      </c>
      <c r="D863" t="str">
        <f>T("63")</f>
        <v>63</v>
      </c>
      <c r="E863" t="str">
        <f>T("혜원")</f>
        <v>혜원</v>
      </c>
      <c r="G863" t="str">
        <f>T("혜원")</f>
        <v>혜원</v>
      </c>
      <c r="H863" t="str">
        <f t="shared" si="102"/>
        <v>스토리위즈</v>
      </c>
      <c r="I863" t="str">
        <f>T("내 남편의 스토커")</f>
        <v>내 남편의 스토커</v>
      </c>
      <c r="J863">
        <v>400</v>
      </c>
      <c r="K863">
        <v>0</v>
      </c>
      <c r="L863">
        <v>0</v>
      </c>
      <c r="M863">
        <v>0</v>
      </c>
      <c r="N863">
        <v>200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 s="3">
        <v>200</v>
      </c>
      <c r="AH863" s="3">
        <v>1</v>
      </c>
      <c r="AI863" s="3">
        <v>0</v>
      </c>
      <c r="AJ863" s="3">
        <v>0</v>
      </c>
      <c r="AK863" s="3">
        <v>200</v>
      </c>
      <c r="AL863" s="3">
        <v>0</v>
      </c>
      <c r="AM863" s="3">
        <v>0</v>
      </c>
      <c r="AN863" s="3">
        <v>0</v>
      </c>
      <c r="AO863" s="3">
        <v>0</v>
      </c>
      <c r="AP863" s="3">
        <v>140</v>
      </c>
      <c r="AR863" t="str">
        <f t="shared" si="104"/>
        <v>0000000000000</v>
      </c>
      <c r="AT863" t="str">
        <f>T("9791166068034")</f>
        <v>9791166068034</v>
      </c>
      <c r="AV863" t="str">
        <f>T("웹툰 &gt; 로맨스")</f>
        <v>웹툰 &gt; 로맨스</v>
      </c>
    </row>
    <row r="864" spans="1:49" x14ac:dyDescent="0.4">
      <c r="A864">
        <v>4421000337</v>
      </c>
      <c r="B864">
        <v>4421000353</v>
      </c>
      <c r="C864" t="str">
        <f>T("계약연애, 오늘부터 1일 17화")</f>
        <v>계약연애, 오늘부터 1일 17화</v>
      </c>
      <c r="D864" t="str">
        <f>T("17")</f>
        <v>17</v>
      </c>
      <c r="E864" t="str">
        <f>T("원기공장")</f>
        <v>원기공장</v>
      </c>
      <c r="H864" t="str">
        <f t="shared" si="102"/>
        <v>스토리위즈</v>
      </c>
      <c r="I864" t="str">
        <f>T("계약연애, 오늘부터 1일")</f>
        <v>계약연애, 오늘부터 1일</v>
      </c>
      <c r="J864">
        <v>200</v>
      </c>
      <c r="K864">
        <v>0</v>
      </c>
      <c r="L864">
        <v>0</v>
      </c>
      <c r="M864">
        <v>0</v>
      </c>
      <c r="N864">
        <v>100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 s="3">
        <v>100</v>
      </c>
      <c r="AH864" s="3">
        <v>1</v>
      </c>
      <c r="AI864" s="3">
        <v>0</v>
      </c>
      <c r="AJ864" s="3">
        <v>0</v>
      </c>
      <c r="AK864" s="3">
        <v>100</v>
      </c>
      <c r="AL864" s="3">
        <v>0</v>
      </c>
      <c r="AM864" s="3">
        <v>0</v>
      </c>
      <c r="AN864" s="3">
        <v>0</v>
      </c>
      <c r="AO864" s="3">
        <v>0</v>
      </c>
      <c r="AP864" s="3">
        <v>70</v>
      </c>
      <c r="AR864" t="str">
        <f t="shared" si="104"/>
        <v>0000000000000</v>
      </c>
      <c r="AT864" t="str">
        <f>T("9791166068027")</f>
        <v>9791166068027</v>
      </c>
      <c r="AV864" t="str">
        <f>T("웹툰 &gt; 해외 순정")</f>
        <v>웹툰 &gt; 해외 순정</v>
      </c>
      <c r="AW864" t="str">
        <f>T("웹툰 &gt; 로맨스")</f>
        <v>웹툰 &gt; 로맨스</v>
      </c>
    </row>
    <row r="865" spans="1:49" x14ac:dyDescent="0.4">
      <c r="A865">
        <v>4421000916</v>
      </c>
      <c r="B865">
        <v>4421001232</v>
      </c>
      <c r="C865" t="str">
        <f>T("별빛 아래 우리 54화")</f>
        <v>별빛 아래 우리 54화</v>
      </c>
      <c r="D865" t="str">
        <f>T("54")</f>
        <v>54</v>
      </c>
      <c r="E865" t="str">
        <f>T("건일")</f>
        <v>건일</v>
      </c>
      <c r="G865" t="str">
        <f>T("건일")</f>
        <v>건일</v>
      </c>
      <c r="H865" t="str">
        <f t="shared" si="102"/>
        <v>스토리위즈</v>
      </c>
      <c r="I865" t="str">
        <f>T("별빛 아래 우리")</f>
        <v>별빛 아래 우리</v>
      </c>
      <c r="J865">
        <v>400</v>
      </c>
      <c r="K865">
        <v>0</v>
      </c>
      <c r="L865">
        <v>0</v>
      </c>
      <c r="M865">
        <v>0</v>
      </c>
      <c r="N865">
        <v>1000</v>
      </c>
      <c r="O865">
        <v>5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 s="3">
        <v>1000</v>
      </c>
      <c r="AH865" s="3">
        <v>5</v>
      </c>
      <c r="AI865" s="3">
        <v>0</v>
      </c>
      <c r="AJ865" s="3">
        <v>0</v>
      </c>
      <c r="AK865" s="3">
        <v>380</v>
      </c>
      <c r="AL865" s="3">
        <v>0</v>
      </c>
      <c r="AM865" s="3">
        <v>744.01</v>
      </c>
      <c r="AN865" s="3">
        <v>-223.2</v>
      </c>
      <c r="AO865" s="3">
        <v>0</v>
      </c>
      <c r="AP865" s="3">
        <v>630.57000000000005</v>
      </c>
      <c r="AR865" t="str">
        <f t="shared" si="104"/>
        <v>0000000000000</v>
      </c>
      <c r="AT865" t="str">
        <f>T("9791137601413")</f>
        <v>9791137601413</v>
      </c>
      <c r="AV865" t="str">
        <f>T("웹툰 &gt; 해외 순정")</f>
        <v>웹툰 &gt; 해외 순정</v>
      </c>
      <c r="AW865" t="str">
        <f>T("웹툰 &gt; 로맨스")</f>
        <v>웹툰 &gt; 로맨스</v>
      </c>
    </row>
    <row r="866" spans="1:49" x14ac:dyDescent="0.4">
      <c r="A866">
        <v>4421000069</v>
      </c>
      <c r="B866">
        <v>4421000074</v>
      </c>
      <c r="C866" t="str">
        <f>T("너랑 나랑 하면 5화")</f>
        <v>너랑 나랑 하면 5화</v>
      </c>
      <c r="D866" t="str">
        <f>T("5")</f>
        <v>5</v>
      </c>
      <c r="E866" t="str">
        <f>T("NISANSUI")</f>
        <v>NISANSUI</v>
      </c>
      <c r="G866" t="str">
        <f>T("ZIQUAN")</f>
        <v>ZIQUAN</v>
      </c>
      <c r="H866" t="str">
        <f t="shared" si="102"/>
        <v>스토리위즈</v>
      </c>
      <c r="I866" t="str">
        <f>T("너랑 나랑 하면")</f>
        <v>너랑 나랑 하면</v>
      </c>
      <c r="J866">
        <v>400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 s="3">
        <v>0</v>
      </c>
      <c r="AH866" s="3">
        <v>3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R866" t="str">
        <f t="shared" si="104"/>
        <v>0000000000000</v>
      </c>
      <c r="AT866" t="str">
        <f>T("9791166067884")</f>
        <v>9791166067884</v>
      </c>
      <c r="AV866" t="str">
        <f>T("BL 웹툰 &gt; 웹툰")</f>
        <v>BL 웹툰 &gt; 웹툰</v>
      </c>
    </row>
    <row r="867" spans="1:49" x14ac:dyDescent="0.4">
      <c r="A867">
        <v>4421000866</v>
      </c>
      <c r="B867">
        <v>4421000912</v>
      </c>
      <c r="C867" t="str">
        <f>T("최애에게 들켜버렸다 21화")</f>
        <v>최애에게 들켜버렸다 21화</v>
      </c>
      <c r="D867" t="str">
        <f>T("22")</f>
        <v>22</v>
      </c>
      <c r="E867" t="str">
        <f>T("Lv")</f>
        <v>Lv</v>
      </c>
      <c r="G867" t="str">
        <f>T("Lv")</f>
        <v>Lv</v>
      </c>
      <c r="H867" t="str">
        <f t="shared" si="102"/>
        <v>스토리위즈</v>
      </c>
      <c r="I867" t="str">
        <f>T("최애에게 들켜버렸다")</f>
        <v>최애에게 들켜버렸다</v>
      </c>
      <c r="J867">
        <v>400</v>
      </c>
      <c r="K867">
        <v>0</v>
      </c>
      <c r="L867">
        <v>0</v>
      </c>
      <c r="M867">
        <v>0</v>
      </c>
      <c r="N867">
        <v>800</v>
      </c>
      <c r="O867">
        <v>4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 s="3">
        <v>800</v>
      </c>
      <c r="AH867" s="3">
        <v>4</v>
      </c>
      <c r="AI867" s="3">
        <v>0</v>
      </c>
      <c r="AJ867" s="3">
        <v>0</v>
      </c>
      <c r="AK867" s="3">
        <v>624</v>
      </c>
      <c r="AL867" s="3">
        <v>0</v>
      </c>
      <c r="AM867" s="3">
        <v>211.38</v>
      </c>
      <c r="AN867" s="3">
        <v>-63.41</v>
      </c>
      <c r="AO867" s="3">
        <v>0</v>
      </c>
      <c r="AP867" s="3">
        <v>540.38</v>
      </c>
      <c r="AR867" t="str">
        <f t="shared" si="104"/>
        <v>0000000000000</v>
      </c>
      <c r="AT867" t="str">
        <f>T("9791137601253")</f>
        <v>9791137601253</v>
      </c>
      <c r="AV867" t="str">
        <f>T("웹툰 &gt; 해외 순정")</f>
        <v>웹툰 &gt; 해외 순정</v>
      </c>
      <c r="AW867" t="str">
        <f>T("웹툰 &gt; 로맨스")</f>
        <v>웹툰 &gt; 로맨스</v>
      </c>
    </row>
    <row r="868" spans="1:49" x14ac:dyDescent="0.4">
      <c r="A868">
        <v>4421000001</v>
      </c>
      <c r="B868">
        <v>4421000172</v>
      </c>
      <c r="C868" t="str">
        <f>T("감옥실험 51화")</f>
        <v>감옥실험 51화</v>
      </c>
      <c r="D868" t="str">
        <f>T("51")</f>
        <v>51</v>
      </c>
      <c r="E868" t="str">
        <f>T("Kantetsu")</f>
        <v>Kantetsu</v>
      </c>
      <c r="G868" t="str">
        <f>T("Minase Chiho")</f>
        <v>Minase Chiho</v>
      </c>
      <c r="H868" t="str">
        <f t="shared" si="102"/>
        <v>스토리위즈</v>
      </c>
      <c r="I868" t="str">
        <f>T("감옥실험")</f>
        <v>감옥실험</v>
      </c>
      <c r="J868">
        <v>500</v>
      </c>
      <c r="K868">
        <v>0</v>
      </c>
      <c r="L868">
        <v>0</v>
      </c>
      <c r="M868">
        <v>0</v>
      </c>
      <c r="N868">
        <v>600</v>
      </c>
      <c r="O868">
        <v>2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 s="3">
        <v>600</v>
      </c>
      <c r="AH868" s="3">
        <v>2</v>
      </c>
      <c r="AI868" s="3">
        <v>0</v>
      </c>
      <c r="AJ868" s="3">
        <v>0</v>
      </c>
      <c r="AK868" s="3">
        <v>300</v>
      </c>
      <c r="AL868" s="3">
        <v>0</v>
      </c>
      <c r="AM868" s="3">
        <v>360</v>
      </c>
      <c r="AN868" s="3">
        <v>-108</v>
      </c>
      <c r="AO868" s="3">
        <v>0</v>
      </c>
      <c r="AP868" s="3">
        <v>386.4</v>
      </c>
      <c r="AT868" t="str">
        <f>T("9791166069406")</f>
        <v>9791166069406</v>
      </c>
      <c r="AV868" t="str">
        <f>T("웹툰 &gt; 드라마")</f>
        <v>웹툰 &gt; 드라마</v>
      </c>
    </row>
    <row r="869" spans="1:49" x14ac:dyDescent="0.4">
      <c r="A869">
        <v>4421001340</v>
      </c>
      <c r="B869">
        <v>4421001349</v>
      </c>
      <c r="C869" t="str">
        <f>T("가출천사 육성계약 10화")</f>
        <v>가출천사 육성계약 10화</v>
      </c>
      <c r="D869" t="str">
        <f>T("10")</f>
        <v>10</v>
      </c>
      <c r="E869" t="str">
        <f>T("Bae.C, IIAKI, 박제후")</f>
        <v>Bae.C, IIAKI, 박제후</v>
      </c>
      <c r="G869" t="str">
        <f>T("Bae.C, 조우")</f>
        <v>Bae.C, 조우</v>
      </c>
      <c r="H869" t="str">
        <f t="shared" si="102"/>
        <v>스토리위즈</v>
      </c>
      <c r="I869" t="str">
        <f>T("가출천사 육성계약")</f>
        <v>가출천사 육성계약</v>
      </c>
      <c r="J869">
        <v>400</v>
      </c>
      <c r="K869">
        <v>0</v>
      </c>
      <c r="L869">
        <v>0</v>
      </c>
      <c r="M869">
        <v>0</v>
      </c>
      <c r="N869">
        <v>200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 s="3">
        <v>200</v>
      </c>
      <c r="AH869" s="3">
        <v>1</v>
      </c>
      <c r="AI869" s="3">
        <v>0</v>
      </c>
      <c r="AJ869" s="3">
        <v>0</v>
      </c>
      <c r="AK869" s="3">
        <v>200</v>
      </c>
      <c r="AL869" s="3">
        <v>0</v>
      </c>
      <c r="AM869" s="3">
        <v>0</v>
      </c>
      <c r="AN869" s="3">
        <v>0</v>
      </c>
      <c r="AO869" s="3">
        <v>0</v>
      </c>
      <c r="AP869" s="3">
        <v>140</v>
      </c>
      <c r="AR869" t="str">
        <f>T("0000000000000")</f>
        <v>0000000000000</v>
      </c>
      <c r="AT869" t="str">
        <f>T("9791191765663")</f>
        <v>9791191765663</v>
      </c>
      <c r="AV869" t="str">
        <f>T("웹툰 &gt; 판타지/SF")</f>
        <v>웹툰 &gt; 판타지/SF</v>
      </c>
    </row>
    <row r="870" spans="1:49" x14ac:dyDescent="0.4">
      <c r="A870">
        <v>4421001936</v>
      </c>
      <c r="B870">
        <v>4421002749</v>
      </c>
      <c r="C870" t="str">
        <f>T("보스 오빠, 살살! 90화")</f>
        <v>보스 오빠, 살살! 90화</v>
      </c>
      <c r="D870" t="str">
        <f>T("90")</f>
        <v>90</v>
      </c>
      <c r="E870" t="str">
        <f>T("웹티")</f>
        <v>웹티</v>
      </c>
      <c r="H870" t="str">
        <f t="shared" si="102"/>
        <v>스토리위즈</v>
      </c>
      <c r="I870" t="str">
        <f>T("보스 오빠, 살살!")</f>
        <v>보스 오빠, 살살!</v>
      </c>
      <c r="J870">
        <v>500</v>
      </c>
      <c r="K870">
        <v>0</v>
      </c>
      <c r="L870">
        <v>0</v>
      </c>
      <c r="M870">
        <v>0</v>
      </c>
      <c r="N870">
        <v>200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 s="3">
        <v>200</v>
      </c>
      <c r="AH870" s="3">
        <v>1</v>
      </c>
      <c r="AI870" s="3">
        <v>0</v>
      </c>
      <c r="AJ870" s="3">
        <v>0</v>
      </c>
      <c r="AK870" s="3">
        <v>0</v>
      </c>
      <c r="AL870" s="3">
        <v>0</v>
      </c>
      <c r="AM870" s="3">
        <v>240</v>
      </c>
      <c r="AN870" s="3">
        <v>-72</v>
      </c>
      <c r="AO870" s="3">
        <v>0</v>
      </c>
      <c r="AP870" s="3">
        <v>117.6</v>
      </c>
      <c r="AT870" t="str">
        <f>T("9791190702331")</f>
        <v>9791190702331</v>
      </c>
      <c r="AV870" t="str">
        <f>T("웹툰 &gt; 로맨스")</f>
        <v>웹툰 &gt; 로맨스</v>
      </c>
    </row>
    <row r="871" spans="1:49" x14ac:dyDescent="0.4">
      <c r="A871">
        <v>4421000337</v>
      </c>
      <c r="B871">
        <v>4421000369</v>
      </c>
      <c r="C871" t="str">
        <f>T("계약연애, 오늘부터 1일 33화")</f>
        <v>계약연애, 오늘부터 1일 33화</v>
      </c>
      <c r="D871" t="str">
        <f>T("33")</f>
        <v>33</v>
      </c>
      <c r="E871" t="str">
        <f>T("원기공장")</f>
        <v>원기공장</v>
      </c>
      <c r="H871" t="str">
        <f t="shared" si="102"/>
        <v>스토리위즈</v>
      </c>
      <c r="I871" t="str">
        <f>T("계약연애, 오늘부터 1일")</f>
        <v>계약연애, 오늘부터 1일</v>
      </c>
      <c r="J871">
        <v>200</v>
      </c>
      <c r="K871">
        <v>0</v>
      </c>
      <c r="L871">
        <v>0</v>
      </c>
      <c r="M871">
        <v>0</v>
      </c>
      <c r="N871">
        <v>100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 s="3">
        <v>100</v>
      </c>
      <c r="AH871" s="3">
        <v>1</v>
      </c>
      <c r="AI871" s="3">
        <v>0</v>
      </c>
      <c r="AJ871" s="3">
        <v>0</v>
      </c>
      <c r="AK871" s="3">
        <v>100</v>
      </c>
      <c r="AL871" s="3">
        <v>0</v>
      </c>
      <c r="AM871" s="3">
        <v>0</v>
      </c>
      <c r="AN871" s="3">
        <v>0</v>
      </c>
      <c r="AO871" s="3">
        <v>0</v>
      </c>
      <c r="AP871" s="3">
        <v>70</v>
      </c>
      <c r="AR871" t="str">
        <f t="shared" ref="AR871:AR883" si="105">T("0000000000000")</f>
        <v>0000000000000</v>
      </c>
      <c r="AT871" t="str">
        <f>T("9791166068027")</f>
        <v>9791166068027</v>
      </c>
      <c r="AV871" t="str">
        <f>T("웹툰 &gt; 해외 순정")</f>
        <v>웹툰 &gt; 해외 순정</v>
      </c>
      <c r="AW871" t="str">
        <f>T("웹툰 &gt; 로맨스")</f>
        <v>웹툰 &gt; 로맨스</v>
      </c>
    </row>
    <row r="872" spans="1:49" x14ac:dyDescent="0.4">
      <c r="A872">
        <v>4421000866</v>
      </c>
      <c r="B872">
        <v>4421001269</v>
      </c>
      <c r="C872" t="str">
        <f>T("최애에게 들켜버렸다 62화")</f>
        <v>최애에게 들켜버렸다 62화</v>
      </c>
      <c r="D872" t="str">
        <f>T("65")</f>
        <v>65</v>
      </c>
      <c r="E872" t="str">
        <f>T("Lv")</f>
        <v>Lv</v>
      </c>
      <c r="G872" t="str">
        <f>T("Lv")</f>
        <v>Lv</v>
      </c>
      <c r="H872" t="str">
        <f t="shared" si="102"/>
        <v>스토리위즈</v>
      </c>
      <c r="I872" t="str">
        <f>T("최애에게 들켜버렸다")</f>
        <v>최애에게 들켜버렸다</v>
      </c>
      <c r="J872">
        <v>400</v>
      </c>
      <c r="K872">
        <v>0</v>
      </c>
      <c r="L872">
        <v>0</v>
      </c>
      <c r="M872">
        <v>0</v>
      </c>
      <c r="N872">
        <v>600</v>
      </c>
      <c r="O872">
        <v>3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 s="3">
        <v>600</v>
      </c>
      <c r="AH872" s="3">
        <v>3</v>
      </c>
      <c r="AI872" s="3">
        <v>0</v>
      </c>
      <c r="AJ872" s="3">
        <v>0</v>
      </c>
      <c r="AK872" s="3">
        <v>424</v>
      </c>
      <c r="AL872" s="3">
        <v>0</v>
      </c>
      <c r="AM872" s="3">
        <v>211.38</v>
      </c>
      <c r="AN872" s="3">
        <v>-63.41</v>
      </c>
      <c r="AO872" s="3">
        <v>0</v>
      </c>
      <c r="AP872" s="3">
        <v>400.38</v>
      </c>
      <c r="AR872" t="str">
        <f t="shared" si="105"/>
        <v>0000000000000</v>
      </c>
      <c r="AT872" t="str">
        <f>T("9791137601253")</f>
        <v>9791137601253</v>
      </c>
      <c r="AV872" t="str">
        <f>T("웹툰 &gt; 해외 순정")</f>
        <v>웹툰 &gt; 해외 순정</v>
      </c>
      <c r="AW872" t="str">
        <f>T("웹툰 &gt; 로맨스")</f>
        <v>웹툰 &gt; 로맨스</v>
      </c>
    </row>
    <row r="873" spans="1:49" x14ac:dyDescent="0.4">
      <c r="A873">
        <v>4421000069</v>
      </c>
      <c r="B873">
        <v>4421000107</v>
      </c>
      <c r="C873" t="str">
        <f>T("너랑 나랑 하면 37화")</f>
        <v>너랑 나랑 하면 37화</v>
      </c>
      <c r="D873" t="str">
        <f>T("37")</f>
        <v>37</v>
      </c>
      <c r="E873" t="str">
        <f>T("NISANSUI")</f>
        <v>NISANSUI</v>
      </c>
      <c r="G873" t="str">
        <f>T("ZIQUAN")</f>
        <v>ZIQUAN</v>
      </c>
      <c r="H873" t="str">
        <f t="shared" si="102"/>
        <v>스토리위즈</v>
      </c>
      <c r="I873" t="str">
        <f>T("너랑 나랑 하면")</f>
        <v>너랑 나랑 하면</v>
      </c>
      <c r="J873">
        <v>400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3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 s="3">
        <v>0</v>
      </c>
      <c r="AH873" s="3">
        <v>3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R873" t="str">
        <f t="shared" si="105"/>
        <v>0000000000000</v>
      </c>
      <c r="AT873" t="str">
        <f>T("9791166067884")</f>
        <v>9791166067884</v>
      </c>
      <c r="AV873" t="str">
        <f>T("BL 웹툰 &gt; 웹툰")</f>
        <v>BL 웹툰 &gt; 웹툰</v>
      </c>
    </row>
    <row r="874" spans="1:49" x14ac:dyDescent="0.4">
      <c r="A874">
        <v>4421001325</v>
      </c>
      <c r="B874">
        <v>4421001542</v>
      </c>
      <c r="C874" t="str">
        <f>T("커피여우 김삼월 21화")</f>
        <v>커피여우 김삼월 21화</v>
      </c>
      <c r="D874" t="str">
        <f>T("21")</f>
        <v>21</v>
      </c>
      <c r="E874" t="str">
        <f>T("Nica")</f>
        <v>Nica</v>
      </c>
      <c r="G874" t="str">
        <f>T("A.Noa, RK Studio")</f>
        <v>A.Noa, RK Studio</v>
      </c>
      <c r="H874" t="str">
        <f t="shared" si="102"/>
        <v>스토리위즈</v>
      </c>
      <c r="I874" t="str">
        <f>T("커피여우 김삼월")</f>
        <v>커피여우 김삼월</v>
      </c>
      <c r="J874">
        <v>500</v>
      </c>
      <c r="K874">
        <v>0</v>
      </c>
      <c r="L874">
        <v>0</v>
      </c>
      <c r="M874">
        <v>0</v>
      </c>
      <c r="N874">
        <v>200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 s="3">
        <v>200</v>
      </c>
      <c r="AH874" s="3">
        <v>1</v>
      </c>
      <c r="AI874" s="3">
        <v>0</v>
      </c>
      <c r="AJ874" s="3">
        <v>0</v>
      </c>
      <c r="AK874" s="3">
        <v>200</v>
      </c>
      <c r="AL874" s="3">
        <v>0</v>
      </c>
      <c r="AM874" s="3">
        <v>0</v>
      </c>
      <c r="AN874" s="3">
        <v>0</v>
      </c>
      <c r="AO874" s="3">
        <v>0</v>
      </c>
      <c r="AP874" s="3">
        <v>140</v>
      </c>
      <c r="AR874" t="str">
        <f t="shared" si="105"/>
        <v>0000000000000</v>
      </c>
      <c r="AT874" t="str">
        <f>T("9791191241792")</f>
        <v>9791191241792</v>
      </c>
      <c r="AV874" t="str">
        <f>T("웹툰 &gt; 로맨스")</f>
        <v>웹툰 &gt; 로맨스</v>
      </c>
    </row>
    <row r="875" spans="1:49" x14ac:dyDescent="0.4">
      <c r="A875">
        <v>4421000198</v>
      </c>
      <c r="B875">
        <v>4421000216</v>
      </c>
      <c r="C875" t="str">
        <f>T("공주전쟁 19화")</f>
        <v>공주전쟁 19화</v>
      </c>
      <c r="D875" t="str">
        <f>T("19")</f>
        <v>19</v>
      </c>
      <c r="E875" t="str">
        <f>T("Hujing")</f>
        <v>Hujing</v>
      </c>
      <c r="G875" t="str">
        <f>T("Luojie")</f>
        <v>Luojie</v>
      </c>
      <c r="H875" t="str">
        <f t="shared" si="102"/>
        <v>스토리위즈</v>
      </c>
      <c r="I875" t="str">
        <f>T("공주전쟁")</f>
        <v>공주전쟁</v>
      </c>
      <c r="J875">
        <v>400</v>
      </c>
      <c r="K875">
        <v>0</v>
      </c>
      <c r="L875">
        <v>0</v>
      </c>
      <c r="M875">
        <v>0</v>
      </c>
      <c r="N875">
        <v>600</v>
      </c>
      <c r="O875">
        <v>3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 s="3">
        <v>600</v>
      </c>
      <c r="AH875" s="3">
        <v>3</v>
      </c>
      <c r="AI875" s="3">
        <v>0</v>
      </c>
      <c r="AJ875" s="3">
        <v>0</v>
      </c>
      <c r="AK875" s="3">
        <v>400</v>
      </c>
      <c r="AL875" s="3">
        <v>0</v>
      </c>
      <c r="AM875" s="3">
        <v>240</v>
      </c>
      <c r="AN875" s="3">
        <v>-72</v>
      </c>
      <c r="AO875" s="3">
        <v>0</v>
      </c>
      <c r="AP875" s="3">
        <v>397.6</v>
      </c>
      <c r="AR875" t="str">
        <f t="shared" si="105"/>
        <v>0000000000000</v>
      </c>
      <c r="AT875" t="str">
        <f>T("9791166069666")</f>
        <v>9791166069666</v>
      </c>
      <c r="AV875" t="str">
        <f>T("웹툰 &gt; 해외 순정")</f>
        <v>웹툰 &gt; 해외 순정</v>
      </c>
      <c r="AW875" t="str">
        <f>T("웹툰 &gt; 로판")</f>
        <v>웹툰 &gt; 로판</v>
      </c>
    </row>
    <row r="876" spans="1:49" x14ac:dyDescent="0.4">
      <c r="A876">
        <v>4421001377</v>
      </c>
      <c r="B876">
        <v>4421001381</v>
      </c>
      <c r="C876" t="str">
        <f>T("요괴님은 수련중 5화")</f>
        <v>요괴님은 수련중 5화</v>
      </c>
      <c r="D876" t="str">
        <f>T("5")</f>
        <v>5</v>
      </c>
      <c r="E876" t="str">
        <f>T("화방")</f>
        <v>화방</v>
      </c>
      <c r="G876" t="str">
        <f>T("망북")</f>
        <v>망북</v>
      </c>
      <c r="H876" t="str">
        <f t="shared" si="102"/>
        <v>스토리위즈</v>
      </c>
      <c r="I876" t="str">
        <f>T("요괴님은 수련중")</f>
        <v>요괴님은 수련중</v>
      </c>
      <c r="J876">
        <v>400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7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 s="3">
        <v>0</v>
      </c>
      <c r="AH876" s="3">
        <v>7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R876" t="str">
        <f t="shared" si="105"/>
        <v>0000000000000</v>
      </c>
      <c r="AT876" t="str">
        <f>T("9791137603899")</f>
        <v>9791137603899</v>
      </c>
      <c r="AV876" t="str">
        <f>T("웹툰 &gt; 해외 순정")</f>
        <v>웹툰 &gt; 해외 순정</v>
      </c>
      <c r="AW876" t="str">
        <f>T("웹툰 &gt; 로판")</f>
        <v>웹툰 &gt; 로판</v>
      </c>
    </row>
    <row r="877" spans="1:49" x14ac:dyDescent="0.4">
      <c r="A877">
        <v>4421000337</v>
      </c>
      <c r="B877">
        <v>4421000441</v>
      </c>
      <c r="C877" t="str">
        <f>T("계약연애, 오늘부터 1일 105화")</f>
        <v>계약연애, 오늘부터 1일 105화</v>
      </c>
      <c r="D877" t="str">
        <f>T("105")</f>
        <v>105</v>
      </c>
      <c r="E877" t="str">
        <f>T("원기공장")</f>
        <v>원기공장</v>
      </c>
      <c r="H877" t="str">
        <f t="shared" si="102"/>
        <v>스토리위즈</v>
      </c>
      <c r="I877" t="str">
        <f>T("계약연애, 오늘부터 1일")</f>
        <v>계약연애, 오늘부터 1일</v>
      </c>
      <c r="J877">
        <v>200</v>
      </c>
      <c r="K877">
        <v>0</v>
      </c>
      <c r="L877">
        <v>0</v>
      </c>
      <c r="M877">
        <v>0</v>
      </c>
      <c r="N877">
        <v>100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 s="3">
        <v>100</v>
      </c>
      <c r="AH877" s="3">
        <v>1</v>
      </c>
      <c r="AI877" s="3">
        <v>0</v>
      </c>
      <c r="AJ877" s="3">
        <v>0</v>
      </c>
      <c r="AK877" s="3">
        <v>100</v>
      </c>
      <c r="AL877" s="3">
        <v>0</v>
      </c>
      <c r="AM877" s="3">
        <v>0</v>
      </c>
      <c r="AN877" s="3">
        <v>0</v>
      </c>
      <c r="AO877" s="3">
        <v>0</v>
      </c>
      <c r="AP877" s="3">
        <v>70</v>
      </c>
      <c r="AR877" t="str">
        <f t="shared" si="105"/>
        <v>0000000000000</v>
      </c>
      <c r="AT877" t="str">
        <f>T("9791166068027")</f>
        <v>9791166068027</v>
      </c>
      <c r="AV877" t="str">
        <f>T("웹툰 &gt; 해외 순정")</f>
        <v>웹툰 &gt; 해외 순정</v>
      </c>
      <c r="AW877" t="str">
        <f>T("웹툰 &gt; 로맨스")</f>
        <v>웹툰 &gt; 로맨스</v>
      </c>
    </row>
    <row r="878" spans="1:49" x14ac:dyDescent="0.4">
      <c r="A878">
        <v>4421000198</v>
      </c>
      <c r="B878">
        <v>4421000951</v>
      </c>
      <c r="C878" t="str">
        <f>T("공주전쟁 63화")</f>
        <v>공주전쟁 63화</v>
      </c>
      <c r="D878" t="str">
        <f>T("63")</f>
        <v>63</v>
      </c>
      <c r="E878" t="str">
        <f>T("Hujing")</f>
        <v>Hujing</v>
      </c>
      <c r="G878" t="str">
        <f>T("Luojie")</f>
        <v>Luojie</v>
      </c>
      <c r="H878" t="str">
        <f t="shared" si="102"/>
        <v>스토리위즈</v>
      </c>
      <c r="I878" t="str">
        <f>T("공주전쟁")</f>
        <v>공주전쟁</v>
      </c>
      <c r="J878">
        <v>400</v>
      </c>
      <c r="K878">
        <v>0</v>
      </c>
      <c r="L878">
        <v>0</v>
      </c>
      <c r="M878">
        <v>0</v>
      </c>
      <c r="N878">
        <v>400</v>
      </c>
      <c r="O878">
        <v>2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 s="3">
        <v>400</v>
      </c>
      <c r="AH878" s="3">
        <v>2</v>
      </c>
      <c r="AI878" s="3">
        <v>0</v>
      </c>
      <c r="AJ878" s="3">
        <v>0</v>
      </c>
      <c r="AK878" s="3">
        <v>200</v>
      </c>
      <c r="AL878" s="3">
        <v>0</v>
      </c>
      <c r="AM878" s="3">
        <v>240</v>
      </c>
      <c r="AN878" s="3">
        <v>-72</v>
      </c>
      <c r="AO878" s="3">
        <v>0</v>
      </c>
      <c r="AP878" s="3">
        <v>257.60000000000002</v>
      </c>
      <c r="AR878" t="str">
        <f t="shared" si="105"/>
        <v>0000000000000</v>
      </c>
      <c r="AT878" t="str">
        <f>T("9791166069666")</f>
        <v>9791166069666</v>
      </c>
      <c r="AV878" t="str">
        <f>T("웹툰 &gt; 해외 순정")</f>
        <v>웹툰 &gt; 해외 순정</v>
      </c>
      <c r="AW878" t="str">
        <f>T("웹툰 &gt; 로판")</f>
        <v>웹툰 &gt; 로판</v>
      </c>
    </row>
    <row r="879" spans="1:49" x14ac:dyDescent="0.4">
      <c r="A879">
        <v>4421001764</v>
      </c>
      <c r="B879">
        <v>4421001775</v>
      </c>
      <c r="C879" t="str">
        <f>T("예쁜 남자 잘생긴 여자 12화")</f>
        <v>예쁜 남자 잘생긴 여자 12화</v>
      </c>
      <c r="D879" t="str">
        <f>T("12")</f>
        <v>12</v>
      </c>
      <c r="E879" t="str">
        <f>T("웹티")</f>
        <v>웹티</v>
      </c>
      <c r="H879" t="str">
        <f t="shared" si="102"/>
        <v>스토리위즈</v>
      </c>
      <c r="I879" t="str">
        <f>T("예쁜 남자 잘생긴 여자")</f>
        <v>예쁜 남자 잘생긴 여자</v>
      </c>
      <c r="J879">
        <v>500</v>
      </c>
      <c r="K879">
        <v>0</v>
      </c>
      <c r="L879">
        <v>0</v>
      </c>
      <c r="M879">
        <v>0</v>
      </c>
      <c r="N879">
        <v>200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 s="3">
        <v>200</v>
      </c>
      <c r="AH879" s="3">
        <v>1</v>
      </c>
      <c r="AI879" s="3">
        <v>0</v>
      </c>
      <c r="AJ879" s="3">
        <v>0</v>
      </c>
      <c r="AK879" s="3">
        <v>0</v>
      </c>
      <c r="AL879" s="3">
        <v>0</v>
      </c>
      <c r="AM879" s="3">
        <v>240.82</v>
      </c>
      <c r="AN879" s="3">
        <v>-72.25</v>
      </c>
      <c r="AO879" s="3">
        <v>0</v>
      </c>
      <c r="AP879" s="3">
        <v>118</v>
      </c>
      <c r="AR879" t="str">
        <f t="shared" si="105"/>
        <v>0000000000000</v>
      </c>
      <c r="AT879" t="str">
        <f>T("9791190702164")</f>
        <v>9791190702164</v>
      </c>
      <c r="AV879" t="str">
        <f>T("웹툰 &gt; 로맨스")</f>
        <v>웹툰 &gt; 로맨스</v>
      </c>
    </row>
    <row r="880" spans="1:49" x14ac:dyDescent="0.4">
      <c r="A880">
        <v>4421000337</v>
      </c>
      <c r="B880">
        <v>4421000401</v>
      </c>
      <c r="C880" t="str">
        <f>T("계약연애, 오늘부터 1일 65화")</f>
        <v>계약연애, 오늘부터 1일 65화</v>
      </c>
      <c r="D880" t="str">
        <f>T("65")</f>
        <v>65</v>
      </c>
      <c r="E880" t="str">
        <f>T("원기공장")</f>
        <v>원기공장</v>
      </c>
      <c r="H880" t="str">
        <f t="shared" si="102"/>
        <v>스토리위즈</v>
      </c>
      <c r="I880" t="str">
        <f>T("계약연애, 오늘부터 1일")</f>
        <v>계약연애, 오늘부터 1일</v>
      </c>
      <c r="J880">
        <v>200</v>
      </c>
      <c r="K880">
        <v>0</v>
      </c>
      <c r="L880">
        <v>0</v>
      </c>
      <c r="M880">
        <v>0</v>
      </c>
      <c r="N880">
        <v>100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 s="3">
        <v>100</v>
      </c>
      <c r="AH880" s="3">
        <v>1</v>
      </c>
      <c r="AI880" s="3">
        <v>0</v>
      </c>
      <c r="AJ880" s="3">
        <v>0</v>
      </c>
      <c r="AK880" s="3">
        <v>100</v>
      </c>
      <c r="AL880" s="3">
        <v>0</v>
      </c>
      <c r="AM880" s="3">
        <v>0</v>
      </c>
      <c r="AN880" s="3">
        <v>0</v>
      </c>
      <c r="AO880" s="3">
        <v>0</v>
      </c>
      <c r="AP880" s="3">
        <v>70</v>
      </c>
      <c r="AR880" t="str">
        <f t="shared" si="105"/>
        <v>0000000000000</v>
      </c>
      <c r="AT880" t="str">
        <f>T("9791166068027")</f>
        <v>9791166068027</v>
      </c>
      <c r="AV880" t="str">
        <f>T("웹툰 &gt; 해외 순정")</f>
        <v>웹툰 &gt; 해외 순정</v>
      </c>
      <c r="AW880" t="str">
        <f>T("웹툰 &gt; 로맨스")</f>
        <v>웹툰 &gt; 로맨스</v>
      </c>
    </row>
    <row r="881" spans="1:49" x14ac:dyDescent="0.4">
      <c r="A881">
        <v>4421000887</v>
      </c>
      <c r="B881">
        <v>4421000905</v>
      </c>
      <c r="C881" t="str">
        <f>T("폭군의 눈물 19화")</f>
        <v>폭군의 눈물 19화</v>
      </c>
      <c r="D881" t="str">
        <f>T("19")</f>
        <v>19</v>
      </c>
      <c r="E881" t="str">
        <f>T("Ice×FANFAN COMIC")</f>
        <v>Ice×FANFAN COMIC</v>
      </c>
      <c r="G881" t="str">
        <f>T("Ice×FANFAN COMIC")</f>
        <v>Ice×FANFAN COMIC</v>
      </c>
      <c r="H881" t="str">
        <f t="shared" si="102"/>
        <v>스토리위즈</v>
      </c>
      <c r="I881" t="str">
        <f>T("폭군의 눈물")</f>
        <v>폭군의 눈물</v>
      </c>
      <c r="J881">
        <v>400</v>
      </c>
      <c r="K881">
        <v>0</v>
      </c>
      <c r="L881">
        <v>0</v>
      </c>
      <c r="M881">
        <v>0</v>
      </c>
      <c r="N881">
        <v>600</v>
      </c>
      <c r="O881">
        <v>3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 s="3">
        <v>600</v>
      </c>
      <c r="AH881" s="3">
        <v>3</v>
      </c>
      <c r="AI881" s="3">
        <v>0</v>
      </c>
      <c r="AJ881" s="3">
        <v>0</v>
      </c>
      <c r="AK881" s="3">
        <v>400</v>
      </c>
      <c r="AL881" s="3">
        <v>0</v>
      </c>
      <c r="AM881" s="3">
        <v>240</v>
      </c>
      <c r="AN881" s="3">
        <v>-72</v>
      </c>
      <c r="AO881" s="3">
        <v>0</v>
      </c>
      <c r="AP881" s="3">
        <v>397.6</v>
      </c>
      <c r="AR881" t="str">
        <f t="shared" si="105"/>
        <v>0000000000000</v>
      </c>
      <c r="AT881" t="str">
        <f>T("9791137601291")</f>
        <v>9791137601291</v>
      </c>
      <c r="AV881" t="str">
        <f>T("웹툰 &gt; 해외 순정")</f>
        <v>웹툰 &gt; 해외 순정</v>
      </c>
      <c r="AW881" t="str">
        <f>T("웹툰 &gt; 로판")</f>
        <v>웹툰 &gt; 로판</v>
      </c>
    </row>
    <row r="882" spans="1:49" x14ac:dyDescent="0.4">
      <c r="A882">
        <v>4421000069</v>
      </c>
      <c r="B882">
        <v>4421000116</v>
      </c>
      <c r="C882" t="str">
        <f>T("너랑 나랑 하면 46화")</f>
        <v>너랑 나랑 하면 46화</v>
      </c>
      <c r="D882" t="str">
        <f>T("46")</f>
        <v>46</v>
      </c>
      <c r="E882" t="str">
        <f>T("NISANSUI")</f>
        <v>NISANSUI</v>
      </c>
      <c r="G882" t="str">
        <f>T("ZIQUAN")</f>
        <v>ZIQUAN</v>
      </c>
      <c r="H882" t="str">
        <f t="shared" si="102"/>
        <v>스토리위즈</v>
      </c>
      <c r="I882" t="str">
        <f>T("너랑 나랑 하면")</f>
        <v>너랑 나랑 하면</v>
      </c>
      <c r="J882">
        <v>400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3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 s="3">
        <v>0</v>
      </c>
      <c r="AH882" s="3">
        <v>3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R882" t="str">
        <f t="shared" si="105"/>
        <v>0000000000000</v>
      </c>
      <c r="AT882" t="str">
        <f>T("9791166067884")</f>
        <v>9791166067884</v>
      </c>
      <c r="AV882" t="str">
        <f>T("BL 웹툰 &gt; 웹툰")</f>
        <v>BL 웹툰 &gt; 웹툰</v>
      </c>
    </row>
    <row r="883" spans="1:49" x14ac:dyDescent="0.4">
      <c r="A883">
        <v>4421001340</v>
      </c>
      <c r="B883">
        <v>4421001342</v>
      </c>
      <c r="C883" t="str">
        <f>T("가출천사 육성계약 3화")</f>
        <v>가출천사 육성계약 3화</v>
      </c>
      <c r="D883" t="str">
        <f>T("3")</f>
        <v>3</v>
      </c>
      <c r="E883" t="str">
        <f>T("Bae.C, IIAKI, 박제후")</f>
        <v>Bae.C, IIAKI, 박제후</v>
      </c>
      <c r="G883" t="str">
        <f>T("Bae.C, 조우")</f>
        <v>Bae.C, 조우</v>
      </c>
      <c r="H883" t="str">
        <f t="shared" si="102"/>
        <v>스토리위즈</v>
      </c>
      <c r="I883" t="str">
        <f>T("가출천사 육성계약")</f>
        <v>가출천사 육성계약</v>
      </c>
      <c r="J883">
        <v>400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 s="3">
        <v>0</v>
      </c>
      <c r="AH883" s="3">
        <v>3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R883" t="str">
        <f t="shared" si="105"/>
        <v>0000000000000</v>
      </c>
      <c r="AT883" t="str">
        <f>T("9791191765663")</f>
        <v>9791191765663</v>
      </c>
      <c r="AV883" t="str">
        <f>T("웹툰 &gt; 판타지/SF")</f>
        <v>웹툰 &gt; 판타지/SF</v>
      </c>
    </row>
    <row r="884" spans="1:49" x14ac:dyDescent="0.4">
      <c r="A884">
        <v>4421001936</v>
      </c>
      <c r="B884">
        <v>4421002715</v>
      </c>
      <c r="C884" t="str">
        <f>T("보스 오빠, 살살! 56화")</f>
        <v>보스 오빠, 살살! 56화</v>
      </c>
      <c r="D884" t="str">
        <f>T("56")</f>
        <v>56</v>
      </c>
      <c r="E884" t="str">
        <f>T("웹티")</f>
        <v>웹티</v>
      </c>
      <c r="H884" t="str">
        <f t="shared" si="102"/>
        <v>스토리위즈</v>
      </c>
      <c r="I884" t="str">
        <f>T("보스 오빠, 살살!")</f>
        <v>보스 오빠, 살살!</v>
      </c>
      <c r="J884">
        <v>500</v>
      </c>
      <c r="K884">
        <v>0</v>
      </c>
      <c r="L884">
        <v>0</v>
      </c>
      <c r="M884">
        <v>0</v>
      </c>
      <c r="N884">
        <v>200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 s="3">
        <v>200</v>
      </c>
      <c r="AH884" s="3">
        <v>1</v>
      </c>
      <c r="AI884" s="3">
        <v>0</v>
      </c>
      <c r="AJ884" s="3">
        <v>0</v>
      </c>
      <c r="AK884" s="3">
        <v>0</v>
      </c>
      <c r="AL884" s="3">
        <v>0</v>
      </c>
      <c r="AM884" s="3">
        <v>240</v>
      </c>
      <c r="AN884" s="3">
        <v>-72</v>
      </c>
      <c r="AO884" s="3">
        <v>0</v>
      </c>
      <c r="AP884" s="3">
        <v>117.6</v>
      </c>
      <c r="AT884" t="str">
        <f>T("9791190702331")</f>
        <v>9791190702331</v>
      </c>
      <c r="AV884" t="str">
        <f>T("웹툰 &gt; 로맨스")</f>
        <v>웹툰 &gt; 로맨스</v>
      </c>
    </row>
    <row r="885" spans="1:49" x14ac:dyDescent="0.4">
      <c r="A885">
        <v>4421000198</v>
      </c>
      <c r="B885">
        <v>4421000859</v>
      </c>
      <c r="C885" t="str">
        <f>T("공주전쟁 60화")</f>
        <v>공주전쟁 60화</v>
      </c>
      <c r="D885" t="str">
        <f>T("60")</f>
        <v>60</v>
      </c>
      <c r="E885" t="str">
        <f>T("Hujing")</f>
        <v>Hujing</v>
      </c>
      <c r="G885" t="str">
        <f>T("Luojie")</f>
        <v>Luojie</v>
      </c>
      <c r="H885" t="str">
        <f t="shared" si="102"/>
        <v>스토리위즈</v>
      </c>
      <c r="I885" t="str">
        <f>T("공주전쟁")</f>
        <v>공주전쟁</v>
      </c>
      <c r="J885">
        <v>400</v>
      </c>
      <c r="K885">
        <v>0</v>
      </c>
      <c r="L885">
        <v>0</v>
      </c>
      <c r="M885">
        <v>0</v>
      </c>
      <c r="N885">
        <v>400</v>
      </c>
      <c r="O885">
        <v>2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 s="3">
        <v>400</v>
      </c>
      <c r="AH885" s="3">
        <v>2</v>
      </c>
      <c r="AI885" s="3">
        <v>0</v>
      </c>
      <c r="AJ885" s="3">
        <v>0</v>
      </c>
      <c r="AK885" s="3">
        <v>200</v>
      </c>
      <c r="AL885" s="3">
        <v>0</v>
      </c>
      <c r="AM885" s="3">
        <v>240</v>
      </c>
      <c r="AN885" s="3">
        <v>-72</v>
      </c>
      <c r="AO885" s="3">
        <v>0</v>
      </c>
      <c r="AP885" s="3">
        <v>257.60000000000002</v>
      </c>
      <c r="AR885" t="str">
        <f t="shared" ref="AR885:AR902" si="106">T("0000000000000")</f>
        <v>0000000000000</v>
      </c>
      <c r="AT885" t="str">
        <f>T("9791166069666")</f>
        <v>9791166069666</v>
      </c>
      <c r="AV885" t="str">
        <f>T("웹툰 &gt; 해외 순정")</f>
        <v>웹툰 &gt; 해외 순정</v>
      </c>
      <c r="AW885" t="str">
        <f>T("웹툰 &gt; 로판")</f>
        <v>웹툰 &gt; 로판</v>
      </c>
    </row>
    <row r="886" spans="1:49" x14ac:dyDescent="0.4">
      <c r="A886">
        <v>4421000337</v>
      </c>
      <c r="B886">
        <v>4421000362</v>
      </c>
      <c r="C886" t="str">
        <f>T("계약연애, 오늘부터 1일 26화")</f>
        <v>계약연애, 오늘부터 1일 26화</v>
      </c>
      <c r="D886" t="str">
        <f>T("26")</f>
        <v>26</v>
      </c>
      <c r="E886" t="str">
        <f>T("원기공장")</f>
        <v>원기공장</v>
      </c>
      <c r="H886" t="str">
        <f t="shared" si="102"/>
        <v>스토리위즈</v>
      </c>
      <c r="I886" t="str">
        <f>T("계약연애, 오늘부터 1일")</f>
        <v>계약연애, 오늘부터 1일</v>
      </c>
      <c r="J886">
        <v>200</v>
      </c>
      <c r="K886">
        <v>0</v>
      </c>
      <c r="L886">
        <v>0</v>
      </c>
      <c r="M886">
        <v>0</v>
      </c>
      <c r="N886">
        <v>100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 s="3">
        <v>100</v>
      </c>
      <c r="AH886" s="3">
        <v>1</v>
      </c>
      <c r="AI886" s="3">
        <v>0</v>
      </c>
      <c r="AJ886" s="3">
        <v>0</v>
      </c>
      <c r="AK886" s="3">
        <v>100</v>
      </c>
      <c r="AL886" s="3">
        <v>0</v>
      </c>
      <c r="AM886" s="3">
        <v>0</v>
      </c>
      <c r="AN886" s="3">
        <v>0</v>
      </c>
      <c r="AO886" s="3">
        <v>0</v>
      </c>
      <c r="AP886" s="3">
        <v>70</v>
      </c>
      <c r="AR886" t="str">
        <f t="shared" si="106"/>
        <v>0000000000000</v>
      </c>
      <c r="AT886" t="str">
        <f>T("9791166068027")</f>
        <v>9791166068027</v>
      </c>
      <c r="AV886" t="str">
        <f>T("웹툰 &gt; 해외 순정")</f>
        <v>웹툰 &gt; 해외 순정</v>
      </c>
      <c r="AW886" t="str">
        <f>T("웹툰 &gt; 로맨스")</f>
        <v>웹툰 &gt; 로맨스</v>
      </c>
    </row>
    <row r="887" spans="1:49" x14ac:dyDescent="0.4">
      <c r="A887">
        <v>4421000887</v>
      </c>
      <c r="B887">
        <v>4421001260</v>
      </c>
      <c r="C887" t="str">
        <f>T("폭군의 눈물 49화")</f>
        <v>폭군의 눈물 49화</v>
      </c>
      <c r="D887" t="str">
        <f>T("49")</f>
        <v>49</v>
      </c>
      <c r="E887" t="str">
        <f>T("Ice×FANFAN COMIC")</f>
        <v>Ice×FANFAN COMIC</v>
      </c>
      <c r="G887" t="str">
        <f>T("Ice×FANFAN COMIC")</f>
        <v>Ice×FANFAN COMIC</v>
      </c>
      <c r="H887" t="str">
        <f t="shared" si="102"/>
        <v>스토리위즈</v>
      </c>
      <c r="I887" t="str">
        <f>T("폭군의 눈물")</f>
        <v>폭군의 눈물</v>
      </c>
      <c r="J887">
        <v>400</v>
      </c>
      <c r="K887">
        <v>0</v>
      </c>
      <c r="L887">
        <v>0</v>
      </c>
      <c r="M887">
        <v>0</v>
      </c>
      <c r="N887">
        <v>600</v>
      </c>
      <c r="O887">
        <v>3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 s="3">
        <v>600</v>
      </c>
      <c r="AH887" s="3">
        <v>3</v>
      </c>
      <c r="AI887" s="3">
        <v>0</v>
      </c>
      <c r="AJ887" s="3">
        <v>0</v>
      </c>
      <c r="AK887" s="3">
        <v>400</v>
      </c>
      <c r="AL887" s="3">
        <v>0</v>
      </c>
      <c r="AM887" s="3">
        <v>240</v>
      </c>
      <c r="AN887" s="3">
        <v>-72</v>
      </c>
      <c r="AO887" s="3">
        <v>0</v>
      </c>
      <c r="AP887" s="3">
        <v>397.6</v>
      </c>
      <c r="AR887" t="str">
        <f t="shared" si="106"/>
        <v>0000000000000</v>
      </c>
      <c r="AT887" t="str">
        <f>T("9791137601291")</f>
        <v>9791137601291</v>
      </c>
      <c r="AV887" t="str">
        <f>T("웹툰 &gt; 해외 순정")</f>
        <v>웹툰 &gt; 해외 순정</v>
      </c>
      <c r="AW887" t="str">
        <f>T("웹툰 &gt; 로판")</f>
        <v>웹툰 &gt; 로판</v>
      </c>
    </row>
    <row r="888" spans="1:49" x14ac:dyDescent="0.4">
      <c r="A888">
        <v>4421000069</v>
      </c>
      <c r="B888">
        <v>4421000099</v>
      </c>
      <c r="C888" t="str">
        <f>T("너랑 나랑 하면 30화")</f>
        <v>너랑 나랑 하면 30화</v>
      </c>
      <c r="D888" t="str">
        <f>T("30")</f>
        <v>30</v>
      </c>
      <c r="E888" t="str">
        <f>T("NISANSUI")</f>
        <v>NISANSUI</v>
      </c>
      <c r="G888" t="str">
        <f>T("ZIQUAN")</f>
        <v>ZIQUAN</v>
      </c>
      <c r="H888" t="str">
        <f t="shared" si="102"/>
        <v>스토리위즈</v>
      </c>
      <c r="I888" t="str">
        <f>T("너랑 나랑 하면")</f>
        <v>너랑 나랑 하면</v>
      </c>
      <c r="J888">
        <v>400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 s="3">
        <v>0</v>
      </c>
      <c r="AH888" s="3">
        <v>3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R888" t="str">
        <f t="shared" si="106"/>
        <v>0000000000000</v>
      </c>
      <c r="AT888" t="str">
        <f>T("9791166067884")</f>
        <v>9791166067884</v>
      </c>
      <c r="AV888" t="str">
        <f>T("BL 웹툰 &gt; 웹툰")</f>
        <v>BL 웹툰 &gt; 웹툰</v>
      </c>
    </row>
    <row r="889" spans="1:49" x14ac:dyDescent="0.4">
      <c r="A889">
        <v>4421000866</v>
      </c>
      <c r="B889">
        <v>4421001534</v>
      </c>
      <c r="C889" t="str">
        <f>T("최애에게 들켜버렸다 79화")</f>
        <v>최애에게 들켜버렸다 79화</v>
      </c>
      <c r="D889" t="str">
        <f>T("82")</f>
        <v>82</v>
      </c>
      <c r="E889" t="str">
        <f>T("Lv")</f>
        <v>Lv</v>
      </c>
      <c r="G889" t="str">
        <f>T("Lv")</f>
        <v>Lv</v>
      </c>
      <c r="H889" t="str">
        <f t="shared" si="102"/>
        <v>스토리위즈</v>
      </c>
      <c r="I889" t="str">
        <f>T("최애에게 들켜버렸다")</f>
        <v>최애에게 들켜버렸다</v>
      </c>
      <c r="J889">
        <v>400</v>
      </c>
      <c r="K889">
        <v>0</v>
      </c>
      <c r="L889">
        <v>0</v>
      </c>
      <c r="M889">
        <v>0</v>
      </c>
      <c r="N889">
        <v>800</v>
      </c>
      <c r="O889">
        <v>4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 s="3">
        <v>800</v>
      </c>
      <c r="AH889" s="3">
        <v>4</v>
      </c>
      <c r="AI889" s="3">
        <v>0</v>
      </c>
      <c r="AJ889" s="3">
        <v>0</v>
      </c>
      <c r="AK889" s="3">
        <v>425</v>
      </c>
      <c r="AL889" s="3">
        <v>0</v>
      </c>
      <c r="AM889" s="3">
        <v>450.18</v>
      </c>
      <c r="AN889" s="3">
        <v>-135.05000000000001</v>
      </c>
      <c r="AO889" s="3">
        <v>0</v>
      </c>
      <c r="AP889" s="3">
        <v>518.09</v>
      </c>
      <c r="AR889" t="str">
        <f t="shared" si="106"/>
        <v>0000000000000</v>
      </c>
      <c r="AT889" t="str">
        <f>T("9791137601253")</f>
        <v>9791137601253</v>
      </c>
      <c r="AV889" t="str">
        <f>T("웹툰 &gt; 해외 순정")</f>
        <v>웹툰 &gt; 해외 순정</v>
      </c>
      <c r="AW889" t="str">
        <f>T("웹툰 &gt; 로맨스")</f>
        <v>웹툰 &gt; 로맨스</v>
      </c>
    </row>
    <row r="890" spans="1:49" x14ac:dyDescent="0.4">
      <c r="A890">
        <v>4421000198</v>
      </c>
      <c r="B890">
        <v>4421000209</v>
      </c>
      <c r="C890" t="str">
        <f>T("공주전쟁 12화")</f>
        <v>공주전쟁 12화</v>
      </c>
      <c r="D890" t="str">
        <f>T("12")</f>
        <v>12</v>
      </c>
      <c r="E890" t="str">
        <f>T("Hujing")</f>
        <v>Hujing</v>
      </c>
      <c r="G890" t="str">
        <f>T("Luojie")</f>
        <v>Luojie</v>
      </c>
      <c r="H890" t="str">
        <f t="shared" si="102"/>
        <v>스토리위즈</v>
      </c>
      <c r="I890" t="str">
        <f>T("공주전쟁")</f>
        <v>공주전쟁</v>
      </c>
      <c r="J890">
        <v>400</v>
      </c>
      <c r="K890">
        <v>0</v>
      </c>
      <c r="L890">
        <v>0</v>
      </c>
      <c r="M890">
        <v>0</v>
      </c>
      <c r="N890">
        <v>600</v>
      </c>
      <c r="O890">
        <v>3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 s="3">
        <v>600</v>
      </c>
      <c r="AH890" s="3">
        <v>3</v>
      </c>
      <c r="AI890" s="3">
        <v>0</v>
      </c>
      <c r="AJ890" s="3">
        <v>0</v>
      </c>
      <c r="AK890" s="3">
        <v>400</v>
      </c>
      <c r="AL890" s="3">
        <v>0</v>
      </c>
      <c r="AM890" s="3">
        <v>240</v>
      </c>
      <c r="AN890" s="3">
        <v>-72</v>
      </c>
      <c r="AO890" s="3">
        <v>0</v>
      </c>
      <c r="AP890" s="3">
        <v>397.6</v>
      </c>
      <c r="AR890" t="str">
        <f t="shared" si="106"/>
        <v>0000000000000</v>
      </c>
      <c r="AT890" t="str">
        <f>T("9791166069666")</f>
        <v>9791166069666</v>
      </c>
      <c r="AV890" t="str">
        <f>T("웹툰 &gt; 해외 순정")</f>
        <v>웹툰 &gt; 해외 순정</v>
      </c>
      <c r="AW890" t="str">
        <f>T("웹툰 &gt; 로판")</f>
        <v>웹툰 &gt; 로판</v>
      </c>
    </row>
    <row r="891" spans="1:49" x14ac:dyDescent="0.4">
      <c r="A891">
        <v>4421000198</v>
      </c>
      <c r="B891">
        <v>4421001374</v>
      </c>
      <c r="C891" t="str">
        <f>T("공주전쟁 92화")</f>
        <v>공주전쟁 92화</v>
      </c>
      <c r="D891" t="str">
        <f>T("92")</f>
        <v>92</v>
      </c>
      <c r="E891" t="str">
        <f>T("Hujing")</f>
        <v>Hujing</v>
      </c>
      <c r="G891" t="str">
        <f>T("Luojie")</f>
        <v>Luojie</v>
      </c>
      <c r="H891" t="str">
        <f t="shared" si="102"/>
        <v>스토리위즈</v>
      </c>
      <c r="I891" t="str">
        <f>T("공주전쟁")</f>
        <v>공주전쟁</v>
      </c>
      <c r="J891">
        <v>400</v>
      </c>
      <c r="K891">
        <v>0</v>
      </c>
      <c r="L891">
        <v>0</v>
      </c>
      <c r="M891">
        <v>0</v>
      </c>
      <c r="N891">
        <v>200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 s="3">
        <v>200</v>
      </c>
      <c r="AH891" s="3">
        <v>1</v>
      </c>
      <c r="AI891" s="3">
        <v>0</v>
      </c>
      <c r="AJ891" s="3">
        <v>0</v>
      </c>
      <c r="AK891" s="3">
        <v>0</v>
      </c>
      <c r="AL891" s="3">
        <v>0</v>
      </c>
      <c r="AM891" s="3">
        <v>240</v>
      </c>
      <c r="AN891" s="3">
        <v>-72</v>
      </c>
      <c r="AO891" s="3">
        <v>0</v>
      </c>
      <c r="AP891" s="3">
        <v>117.6</v>
      </c>
      <c r="AR891" t="str">
        <f t="shared" si="106"/>
        <v>0000000000000</v>
      </c>
      <c r="AT891" t="str">
        <f>T("9791166069666")</f>
        <v>9791166069666</v>
      </c>
      <c r="AV891" t="str">
        <f>T("웹툰 &gt; 해외 순정")</f>
        <v>웹툰 &gt; 해외 순정</v>
      </c>
      <c r="AW891" t="str">
        <f>T("웹툰 &gt; 로판")</f>
        <v>웹툰 &gt; 로판</v>
      </c>
    </row>
    <row r="892" spans="1:49" x14ac:dyDescent="0.4">
      <c r="A892">
        <v>4421000337</v>
      </c>
      <c r="B892">
        <v>4421000434</v>
      </c>
      <c r="C892" t="str">
        <f>T("계약연애, 오늘부터 1일 98화")</f>
        <v>계약연애, 오늘부터 1일 98화</v>
      </c>
      <c r="D892" t="str">
        <f>T("98")</f>
        <v>98</v>
      </c>
      <c r="E892" t="str">
        <f>T("원기공장")</f>
        <v>원기공장</v>
      </c>
      <c r="H892" t="str">
        <f t="shared" si="102"/>
        <v>스토리위즈</v>
      </c>
      <c r="I892" t="str">
        <f>T("계약연애, 오늘부터 1일")</f>
        <v>계약연애, 오늘부터 1일</v>
      </c>
      <c r="J892">
        <v>200</v>
      </c>
      <c r="K892">
        <v>0</v>
      </c>
      <c r="L892">
        <v>0</v>
      </c>
      <c r="M892">
        <v>0</v>
      </c>
      <c r="N892">
        <v>100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 s="3">
        <v>100</v>
      </c>
      <c r="AH892" s="3">
        <v>1</v>
      </c>
      <c r="AI892" s="3">
        <v>0</v>
      </c>
      <c r="AJ892" s="3">
        <v>0</v>
      </c>
      <c r="AK892" s="3">
        <v>100</v>
      </c>
      <c r="AL892" s="3">
        <v>0</v>
      </c>
      <c r="AM892" s="3">
        <v>0</v>
      </c>
      <c r="AN892" s="3">
        <v>0</v>
      </c>
      <c r="AO892" s="3">
        <v>0</v>
      </c>
      <c r="AP892" s="3">
        <v>70</v>
      </c>
      <c r="AR892" t="str">
        <f t="shared" si="106"/>
        <v>0000000000000</v>
      </c>
      <c r="AT892" t="str">
        <f>T("9791166068027")</f>
        <v>9791166068027</v>
      </c>
      <c r="AV892" t="str">
        <f>T("웹툰 &gt; 해외 순정")</f>
        <v>웹툰 &gt; 해외 순정</v>
      </c>
      <c r="AW892" t="str">
        <f>T("웹툰 &gt; 로맨스")</f>
        <v>웹툰 &gt; 로맨스</v>
      </c>
    </row>
    <row r="893" spans="1:49" x14ac:dyDescent="0.4">
      <c r="A893">
        <v>4421000916</v>
      </c>
      <c r="B893">
        <v>4421000937</v>
      </c>
      <c r="C893" t="str">
        <f>T("별빛 아래 우리 22화")</f>
        <v>별빛 아래 우리 22화</v>
      </c>
      <c r="D893" t="str">
        <f>T("22")</f>
        <v>22</v>
      </c>
      <c r="E893" t="str">
        <f>T("건일")</f>
        <v>건일</v>
      </c>
      <c r="G893" t="str">
        <f>T("건일")</f>
        <v>건일</v>
      </c>
      <c r="H893" t="str">
        <f t="shared" si="102"/>
        <v>스토리위즈</v>
      </c>
      <c r="I893" t="str">
        <f>T("별빛 아래 우리")</f>
        <v>별빛 아래 우리</v>
      </c>
      <c r="J893">
        <v>400</v>
      </c>
      <c r="K893">
        <v>0</v>
      </c>
      <c r="L893">
        <v>0</v>
      </c>
      <c r="M893">
        <v>0</v>
      </c>
      <c r="N893">
        <v>1200</v>
      </c>
      <c r="O893">
        <v>6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 s="3">
        <v>1200</v>
      </c>
      <c r="AH893" s="3">
        <v>6</v>
      </c>
      <c r="AI893" s="3">
        <v>0</v>
      </c>
      <c r="AJ893" s="3">
        <v>0</v>
      </c>
      <c r="AK893" s="3">
        <v>400</v>
      </c>
      <c r="AL893" s="3">
        <v>0</v>
      </c>
      <c r="AM893" s="3">
        <v>958.3</v>
      </c>
      <c r="AN893" s="3">
        <v>-287.49</v>
      </c>
      <c r="AO893" s="3">
        <v>0</v>
      </c>
      <c r="AP893" s="3">
        <v>749.57</v>
      </c>
      <c r="AR893" t="str">
        <f t="shared" si="106"/>
        <v>0000000000000</v>
      </c>
      <c r="AT893" t="str">
        <f>T("9791137601413")</f>
        <v>9791137601413</v>
      </c>
      <c r="AV893" t="str">
        <f>T("웹툰 &gt; 해외 순정")</f>
        <v>웹툰 &gt; 해외 순정</v>
      </c>
      <c r="AW893" t="str">
        <f>T("웹툰 &gt; 로맨스")</f>
        <v>웹툰 &gt; 로맨스</v>
      </c>
    </row>
    <row r="894" spans="1:49" x14ac:dyDescent="0.4">
      <c r="A894">
        <v>4421001764</v>
      </c>
      <c r="B894">
        <v>4421001768</v>
      </c>
      <c r="C894" t="str">
        <f>T("예쁜 남자 잘생긴 여자 5화")</f>
        <v>예쁜 남자 잘생긴 여자 5화</v>
      </c>
      <c r="D894" t="str">
        <f>T("5")</f>
        <v>5</v>
      </c>
      <c r="E894" t="str">
        <f>T("웹티")</f>
        <v>웹티</v>
      </c>
      <c r="H894" t="str">
        <f t="shared" si="102"/>
        <v>스토리위즈</v>
      </c>
      <c r="I894" t="str">
        <f>T("예쁜 남자 잘생긴 여자")</f>
        <v>예쁜 남자 잘생긴 여자</v>
      </c>
      <c r="J894">
        <v>500</v>
      </c>
      <c r="K894">
        <v>0</v>
      </c>
      <c r="L894">
        <v>0</v>
      </c>
      <c r="M894">
        <v>0</v>
      </c>
      <c r="N894">
        <v>200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 s="3">
        <v>200</v>
      </c>
      <c r="AH894" s="3">
        <v>1</v>
      </c>
      <c r="AI894" s="3">
        <v>0</v>
      </c>
      <c r="AJ894" s="3">
        <v>0</v>
      </c>
      <c r="AK894" s="3">
        <v>0</v>
      </c>
      <c r="AL894" s="3">
        <v>0</v>
      </c>
      <c r="AM894" s="3">
        <v>240.82</v>
      </c>
      <c r="AN894" s="3">
        <v>-72.25</v>
      </c>
      <c r="AO894" s="3">
        <v>0</v>
      </c>
      <c r="AP894" s="3">
        <v>118</v>
      </c>
      <c r="AR894" t="str">
        <f t="shared" si="106"/>
        <v>0000000000000</v>
      </c>
      <c r="AT894" t="str">
        <f>T("9791190702164")</f>
        <v>9791190702164</v>
      </c>
      <c r="AV894" t="str">
        <f>T("웹툰 &gt; 로맨스")</f>
        <v>웹툰 &gt; 로맨스</v>
      </c>
    </row>
    <row r="895" spans="1:49" x14ac:dyDescent="0.4">
      <c r="A895">
        <v>4421000337</v>
      </c>
      <c r="B895">
        <v>4421000394</v>
      </c>
      <c r="C895" t="str">
        <f>T("계약연애, 오늘부터 1일 58화")</f>
        <v>계약연애, 오늘부터 1일 58화</v>
      </c>
      <c r="D895" t="str">
        <f>T("58")</f>
        <v>58</v>
      </c>
      <c r="E895" t="str">
        <f>T("원기공장")</f>
        <v>원기공장</v>
      </c>
      <c r="H895" t="str">
        <f t="shared" si="102"/>
        <v>스토리위즈</v>
      </c>
      <c r="I895" t="str">
        <f>T("계약연애, 오늘부터 1일")</f>
        <v>계약연애, 오늘부터 1일</v>
      </c>
      <c r="J895">
        <v>200</v>
      </c>
      <c r="K895">
        <v>0</v>
      </c>
      <c r="L895">
        <v>0</v>
      </c>
      <c r="M895">
        <v>0</v>
      </c>
      <c r="N895">
        <v>100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 s="3">
        <v>100</v>
      </c>
      <c r="AH895" s="3">
        <v>1</v>
      </c>
      <c r="AI895" s="3">
        <v>0</v>
      </c>
      <c r="AJ895" s="3">
        <v>0</v>
      </c>
      <c r="AK895" s="3">
        <v>100</v>
      </c>
      <c r="AL895" s="3">
        <v>0</v>
      </c>
      <c r="AM895" s="3">
        <v>0</v>
      </c>
      <c r="AN895" s="3">
        <v>0</v>
      </c>
      <c r="AO895" s="3">
        <v>0</v>
      </c>
      <c r="AP895" s="3">
        <v>70</v>
      </c>
      <c r="AR895" t="str">
        <f t="shared" si="106"/>
        <v>0000000000000</v>
      </c>
      <c r="AT895" t="str">
        <f>T("9791166068027")</f>
        <v>9791166068027</v>
      </c>
      <c r="AV895" t="str">
        <f>T("웹툰 &gt; 해외 순정")</f>
        <v>웹툰 &gt; 해외 순정</v>
      </c>
      <c r="AW895" t="str">
        <f>T("웹툰 &gt; 로맨스")</f>
        <v>웹툰 &gt; 로맨스</v>
      </c>
    </row>
    <row r="896" spans="1:49" x14ac:dyDescent="0.4">
      <c r="A896">
        <v>4421001568</v>
      </c>
      <c r="B896">
        <v>4421001576</v>
      </c>
      <c r="C896" t="str">
        <f>T("구름의 연인 9화")</f>
        <v>구름의 연인 9화</v>
      </c>
      <c r="D896" t="str">
        <f>T("9")</f>
        <v>9</v>
      </c>
      <c r="E896" t="str">
        <f>T("웹티")</f>
        <v>웹티</v>
      </c>
      <c r="H896" t="str">
        <f t="shared" si="102"/>
        <v>스토리위즈</v>
      </c>
      <c r="I896" t="str">
        <f>T("구름의 연인")</f>
        <v>구름의 연인</v>
      </c>
      <c r="J896">
        <v>500</v>
      </c>
      <c r="K896">
        <v>0</v>
      </c>
      <c r="L896">
        <v>0</v>
      </c>
      <c r="M896">
        <v>0</v>
      </c>
      <c r="N896">
        <v>200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 s="3">
        <v>200</v>
      </c>
      <c r="AH896" s="3">
        <v>1</v>
      </c>
      <c r="AI896" s="3">
        <v>0</v>
      </c>
      <c r="AJ896" s="3">
        <v>0</v>
      </c>
      <c r="AK896" s="3">
        <v>200</v>
      </c>
      <c r="AL896" s="3">
        <v>0</v>
      </c>
      <c r="AM896" s="3">
        <v>0</v>
      </c>
      <c r="AN896" s="3">
        <v>0</v>
      </c>
      <c r="AO896" s="3">
        <v>0</v>
      </c>
      <c r="AP896" s="3">
        <v>140</v>
      </c>
      <c r="AR896" t="str">
        <f t="shared" si="106"/>
        <v>0000000000000</v>
      </c>
      <c r="AT896" t="str">
        <f>T("9791196402730")</f>
        <v>9791196402730</v>
      </c>
      <c r="AV896" t="str">
        <f>T("웹툰 &gt; 로맨스")</f>
        <v>웹툰 &gt; 로맨스</v>
      </c>
    </row>
    <row r="897" spans="1:49" x14ac:dyDescent="0.4">
      <c r="A897">
        <v>4421000887</v>
      </c>
      <c r="B897">
        <v>4421001294</v>
      </c>
      <c r="C897" t="str">
        <f>T("폭군의 눈물 55화")</f>
        <v>폭군의 눈물 55화</v>
      </c>
      <c r="D897" t="str">
        <f>T("55")</f>
        <v>55</v>
      </c>
      <c r="E897" t="str">
        <f>T("Ice×FANFAN COMIC")</f>
        <v>Ice×FANFAN COMIC</v>
      </c>
      <c r="G897" t="str">
        <f>T("Ice×FANFAN COMIC")</f>
        <v>Ice×FANFAN COMIC</v>
      </c>
      <c r="H897" t="str">
        <f t="shared" si="102"/>
        <v>스토리위즈</v>
      </c>
      <c r="I897" t="str">
        <f>T("폭군의 눈물")</f>
        <v>폭군의 눈물</v>
      </c>
      <c r="J897">
        <v>400</v>
      </c>
      <c r="K897">
        <v>0</v>
      </c>
      <c r="L897">
        <v>0</v>
      </c>
      <c r="M897">
        <v>0</v>
      </c>
      <c r="N897">
        <v>600</v>
      </c>
      <c r="O897">
        <v>3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 s="3">
        <v>600</v>
      </c>
      <c r="AH897" s="3">
        <v>3</v>
      </c>
      <c r="AI897" s="3">
        <v>0</v>
      </c>
      <c r="AJ897" s="3">
        <v>0</v>
      </c>
      <c r="AK897" s="3">
        <v>400</v>
      </c>
      <c r="AL897" s="3">
        <v>0</v>
      </c>
      <c r="AM897" s="3">
        <v>240</v>
      </c>
      <c r="AN897" s="3">
        <v>-72</v>
      </c>
      <c r="AO897" s="3">
        <v>0</v>
      </c>
      <c r="AP897" s="3">
        <v>397.6</v>
      </c>
      <c r="AR897" t="str">
        <f t="shared" si="106"/>
        <v>0000000000000</v>
      </c>
      <c r="AT897" t="str">
        <f>T("9791137601291")</f>
        <v>9791137601291</v>
      </c>
      <c r="AV897" t="str">
        <f>T("웹툰 &gt; 해외 순정")</f>
        <v>웹툰 &gt; 해외 순정</v>
      </c>
      <c r="AW897" t="str">
        <f>T("웹툰 &gt; 로판")</f>
        <v>웹툰 &gt; 로판</v>
      </c>
    </row>
    <row r="898" spans="1:49" x14ac:dyDescent="0.4">
      <c r="A898">
        <v>4421000866</v>
      </c>
      <c r="B898">
        <v>4421001191</v>
      </c>
      <c r="C898" t="str">
        <f>T("최애에게 들켜버렸다 45화")</f>
        <v>최애에게 들켜버렸다 45화</v>
      </c>
      <c r="D898" t="str">
        <f>T("48")</f>
        <v>48</v>
      </c>
      <c r="E898" t="str">
        <f>T("Lv")</f>
        <v>Lv</v>
      </c>
      <c r="G898" t="str">
        <f>T("Lv")</f>
        <v>Lv</v>
      </c>
      <c r="H898" t="str">
        <f t="shared" ref="H898:H961" si="107">T("스토리위즈")</f>
        <v>스토리위즈</v>
      </c>
      <c r="I898" t="str">
        <f>T("최애에게 들켜버렸다")</f>
        <v>최애에게 들켜버렸다</v>
      </c>
      <c r="J898">
        <v>400</v>
      </c>
      <c r="K898">
        <v>0</v>
      </c>
      <c r="L898">
        <v>0</v>
      </c>
      <c r="M898">
        <v>0</v>
      </c>
      <c r="N898">
        <v>800</v>
      </c>
      <c r="O898">
        <v>4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 s="3">
        <v>800</v>
      </c>
      <c r="AH898" s="3">
        <v>4</v>
      </c>
      <c r="AI898" s="3">
        <v>0</v>
      </c>
      <c r="AJ898" s="3">
        <v>0</v>
      </c>
      <c r="AK898" s="3">
        <v>624</v>
      </c>
      <c r="AL898" s="3">
        <v>0</v>
      </c>
      <c r="AM898" s="3">
        <v>211.38</v>
      </c>
      <c r="AN898" s="3">
        <v>-63.41</v>
      </c>
      <c r="AO898" s="3">
        <v>0</v>
      </c>
      <c r="AP898" s="3">
        <v>540.38</v>
      </c>
      <c r="AR898" t="str">
        <f t="shared" si="106"/>
        <v>0000000000000</v>
      </c>
      <c r="AT898" t="str">
        <f>T("9791137601253")</f>
        <v>9791137601253</v>
      </c>
      <c r="AV898" t="str">
        <f>T("웹툰 &gt; 해외 순정")</f>
        <v>웹툰 &gt; 해외 순정</v>
      </c>
      <c r="AW898" t="str">
        <f>T("웹툰 &gt; 로맨스")</f>
        <v>웹툰 &gt; 로맨스</v>
      </c>
    </row>
    <row r="899" spans="1:49" x14ac:dyDescent="0.4">
      <c r="A899">
        <v>4421000450</v>
      </c>
      <c r="B899">
        <v>4421000466</v>
      </c>
      <c r="C899" t="str">
        <f>T("내 남편의 스토커 16화")</f>
        <v>내 남편의 스토커 16화</v>
      </c>
      <c r="D899" t="str">
        <f>T("16")</f>
        <v>16</v>
      </c>
      <c r="E899" t="str">
        <f>T("혜원")</f>
        <v>혜원</v>
      </c>
      <c r="G899" t="str">
        <f>T("혜원")</f>
        <v>혜원</v>
      </c>
      <c r="H899" t="str">
        <f t="shared" si="107"/>
        <v>스토리위즈</v>
      </c>
      <c r="I899" t="str">
        <f>T("내 남편의 스토커")</f>
        <v>내 남편의 스토커</v>
      </c>
      <c r="J899">
        <v>400</v>
      </c>
      <c r="K899">
        <v>0</v>
      </c>
      <c r="L899">
        <v>0</v>
      </c>
      <c r="M899">
        <v>0</v>
      </c>
      <c r="N899">
        <v>200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 s="3">
        <v>200</v>
      </c>
      <c r="AH899" s="3">
        <v>1</v>
      </c>
      <c r="AI899" s="3">
        <v>0</v>
      </c>
      <c r="AJ899" s="3">
        <v>0</v>
      </c>
      <c r="AK899" s="3">
        <v>200</v>
      </c>
      <c r="AL899" s="3">
        <v>0</v>
      </c>
      <c r="AM899" s="3">
        <v>0</v>
      </c>
      <c r="AN899" s="3">
        <v>0</v>
      </c>
      <c r="AO899" s="3">
        <v>0</v>
      </c>
      <c r="AP899" s="3">
        <v>140</v>
      </c>
      <c r="AR899" t="str">
        <f t="shared" si="106"/>
        <v>0000000000000</v>
      </c>
      <c r="AT899" t="str">
        <f>T("9791166068034")</f>
        <v>9791166068034</v>
      </c>
      <c r="AV899" t="str">
        <f>T("웹툰 &gt; 로맨스")</f>
        <v>웹툰 &gt; 로맨스</v>
      </c>
    </row>
    <row r="900" spans="1:49" x14ac:dyDescent="0.4">
      <c r="A900">
        <v>4421000450</v>
      </c>
      <c r="B900">
        <v>4421000474</v>
      </c>
      <c r="C900" t="str">
        <f>T("내 남편의 스토커 24화")</f>
        <v>내 남편의 스토커 24화</v>
      </c>
      <c r="D900" t="str">
        <f>T("24")</f>
        <v>24</v>
      </c>
      <c r="E900" t="str">
        <f>T("혜원")</f>
        <v>혜원</v>
      </c>
      <c r="G900" t="str">
        <f>T("혜원")</f>
        <v>혜원</v>
      </c>
      <c r="H900" t="str">
        <f t="shared" si="107"/>
        <v>스토리위즈</v>
      </c>
      <c r="I900" t="str">
        <f>T("내 남편의 스토커")</f>
        <v>내 남편의 스토커</v>
      </c>
      <c r="J900">
        <v>400</v>
      </c>
      <c r="K900">
        <v>0</v>
      </c>
      <c r="L900">
        <v>0</v>
      </c>
      <c r="M900">
        <v>0</v>
      </c>
      <c r="N900">
        <v>200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 s="3">
        <v>200</v>
      </c>
      <c r="AH900" s="3">
        <v>1</v>
      </c>
      <c r="AI900" s="3">
        <v>0</v>
      </c>
      <c r="AJ900" s="3">
        <v>0</v>
      </c>
      <c r="AK900" s="3">
        <v>200</v>
      </c>
      <c r="AL900" s="3">
        <v>0</v>
      </c>
      <c r="AM900" s="3">
        <v>0</v>
      </c>
      <c r="AN900" s="3">
        <v>0</v>
      </c>
      <c r="AO900" s="3">
        <v>0</v>
      </c>
      <c r="AP900" s="3">
        <v>140</v>
      </c>
      <c r="AR900" t="str">
        <f t="shared" si="106"/>
        <v>0000000000000</v>
      </c>
      <c r="AT900" t="str">
        <f>T("9791166068034")</f>
        <v>9791166068034</v>
      </c>
      <c r="AV900" t="str">
        <f>T("웹툰 &gt; 로맨스")</f>
        <v>웹툰 &gt; 로맨스</v>
      </c>
    </row>
    <row r="901" spans="1:49" x14ac:dyDescent="0.4">
      <c r="A901">
        <v>4421000198</v>
      </c>
      <c r="B901">
        <v>4421000241</v>
      </c>
      <c r="C901" t="str">
        <f>T("공주전쟁 44화")</f>
        <v>공주전쟁 44화</v>
      </c>
      <c r="D901" t="str">
        <f>T("44")</f>
        <v>44</v>
      </c>
      <c r="E901" t="str">
        <f>T("Hujing")</f>
        <v>Hujing</v>
      </c>
      <c r="G901" t="str">
        <f>T("Luojie")</f>
        <v>Luojie</v>
      </c>
      <c r="H901" t="str">
        <f t="shared" si="107"/>
        <v>스토리위즈</v>
      </c>
      <c r="I901" t="str">
        <f>T("공주전쟁")</f>
        <v>공주전쟁</v>
      </c>
      <c r="J901">
        <v>400</v>
      </c>
      <c r="K901">
        <v>0</v>
      </c>
      <c r="L901">
        <v>0</v>
      </c>
      <c r="M901">
        <v>0</v>
      </c>
      <c r="N901">
        <v>600</v>
      </c>
      <c r="O901">
        <v>3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 s="3">
        <v>600</v>
      </c>
      <c r="AH901" s="3">
        <v>3</v>
      </c>
      <c r="AI901" s="3">
        <v>0</v>
      </c>
      <c r="AJ901" s="3">
        <v>0</v>
      </c>
      <c r="AK901" s="3">
        <v>400</v>
      </c>
      <c r="AL901" s="3">
        <v>0</v>
      </c>
      <c r="AM901" s="3">
        <v>240</v>
      </c>
      <c r="AN901" s="3">
        <v>-72</v>
      </c>
      <c r="AO901" s="3">
        <v>0</v>
      </c>
      <c r="AP901" s="3">
        <v>397.6</v>
      </c>
      <c r="AR901" t="str">
        <f t="shared" si="106"/>
        <v>0000000000000</v>
      </c>
      <c r="AT901" t="str">
        <f>T("9791166069666")</f>
        <v>9791166069666</v>
      </c>
      <c r="AV901" t="str">
        <f>T("웹툰 &gt; 해외 순정")</f>
        <v>웹툰 &gt; 해외 순정</v>
      </c>
      <c r="AW901" t="str">
        <f>T("웹툰 &gt; 로판")</f>
        <v>웹툰 &gt; 로판</v>
      </c>
    </row>
    <row r="902" spans="1:49" x14ac:dyDescent="0.4">
      <c r="A902">
        <v>4421000887</v>
      </c>
      <c r="B902">
        <v>4421000984</v>
      </c>
      <c r="C902" t="str">
        <f>T("폭군의 눈물 32화")</f>
        <v>폭군의 눈물 32화</v>
      </c>
      <c r="D902" t="str">
        <f>T("32")</f>
        <v>32</v>
      </c>
      <c r="E902" t="str">
        <f>T("Ice×FANFAN COMIC")</f>
        <v>Ice×FANFAN COMIC</v>
      </c>
      <c r="G902" t="str">
        <f>T("Ice×FANFAN COMIC")</f>
        <v>Ice×FANFAN COMIC</v>
      </c>
      <c r="H902" t="str">
        <f t="shared" si="107"/>
        <v>스토리위즈</v>
      </c>
      <c r="I902" t="str">
        <f>T("폭군의 눈물")</f>
        <v>폭군의 눈물</v>
      </c>
      <c r="J902">
        <v>400</v>
      </c>
      <c r="K902">
        <v>0</v>
      </c>
      <c r="L902">
        <v>0</v>
      </c>
      <c r="M902">
        <v>0</v>
      </c>
      <c r="N902">
        <v>600</v>
      </c>
      <c r="O902">
        <v>3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 s="3">
        <v>600</v>
      </c>
      <c r="AH902" s="3">
        <v>3</v>
      </c>
      <c r="AI902" s="3">
        <v>0</v>
      </c>
      <c r="AJ902" s="3">
        <v>0</v>
      </c>
      <c r="AK902" s="3">
        <v>400</v>
      </c>
      <c r="AL902" s="3">
        <v>0</v>
      </c>
      <c r="AM902" s="3">
        <v>240</v>
      </c>
      <c r="AN902" s="3">
        <v>-72</v>
      </c>
      <c r="AO902" s="3">
        <v>0</v>
      </c>
      <c r="AP902" s="3">
        <v>397.6</v>
      </c>
      <c r="AR902" t="str">
        <f t="shared" si="106"/>
        <v>0000000000000</v>
      </c>
      <c r="AT902" t="str">
        <f>T("9791137601291")</f>
        <v>9791137601291</v>
      </c>
      <c r="AV902" t="str">
        <f>T("웹툰 &gt; 해외 순정")</f>
        <v>웹툰 &gt; 해외 순정</v>
      </c>
      <c r="AW902" t="str">
        <f>T("웹툰 &gt; 로판")</f>
        <v>웹툰 &gt; 로판</v>
      </c>
    </row>
    <row r="903" spans="1:49" x14ac:dyDescent="0.4">
      <c r="A903">
        <v>4421001936</v>
      </c>
      <c r="B903">
        <v>4421001941</v>
      </c>
      <c r="C903" t="str">
        <f>T("보스 오빠, 살살! 6화")</f>
        <v>보스 오빠, 살살! 6화</v>
      </c>
      <c r="D903" t="str">
        <f>T("6")</f>
        <v>6</v>
      </c>
      <c r="E903" t="str">
        <f>T("웹티")</f>
        <v>웹티</v>
      </c>
      <c r="H903" t="str">
        <f t="shared" si="107"/>
        <v>스토리위즈</v>
      </c>
      <c r="I903" t="str">
        <f>T("보스 오빠, 살살!")</f>
        <v>보스 오빠, 살살!</v>
      </c>
      <c r="J903">
        <v>500</v>
      </c>
      <c r="K903">
        <v>0</v>
      </c>
      <c r="L903">
        <v>0</v>
      </c>
      <c r="M903">
        <v>0</v>
      </c>
      <c r="N903">
        <v>200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 s="3">
        <v>200</v>
      </c>
      <c r="AH903" s="3">
        <v>1</v>
      </c>
      <c r="AI903" s="3">
        <v>0</v>
      </c>
      <c r="AJ903" s="3">
        <v>0</v>
      </c>
      <c r="AK903" s="3">
        <v>0</v>
      </c>
      <c r="AL903" s="3">
        <v>0</v>
      </c>
      <c r="AM903" s="3">
        <v>240</v>
      </c>
      <c r="AN903" s="3">
        <v>-72</v>
      </c>
      <c r="AO903" s="3">
        <v>0</v>
      </c>
      <c r="AP903" s="3">
        <v>117.6</v>
      </c>
      <c r="AT903" t="str">
        <f>T("9791190702331")</f>
        <v>9791190702331</v>
      </c>
      <c r="AV903" t="str">
        <f>T("웹툰 &gt; 로맨스")</f>
        <v>웹툰 &gt; 로맨스</v>
      </c>
    </row>
    <row r="904" spans="1:49" x14ac:dyDescent="0.4">
      <c r="A904">
        <v>4421000866</v>
      </c>
      <c r="B904">
        <v>4421000873</v>
      </c>
      <c r="C904" t="str">
        <f>T("최애에게 들켜버렸다 7화")</f>
        <v>최애에게 들켜버렸다 7화</v>
      </c>
      <c r="D904" t="str">
        <f>T("7")</f>
        <v>7</v>
      </c>
      <c r="E904" t="str">
        <f>T("Lv")</f>
        <v>Lv</v>
      </c>
      <c r="G904" t="str">
        <f>T("Lv")</f>
        <v>Lv</v>
      </c>
      <c r="H904" t="str">
        <f t="shared" si="107"/>
        <v>스토리위즈</v>
      </c>
      <c r="I904" t="str">
        <f>T("최애에게 들켜버렸다")</f>
        <v>최애에게 들켜버렸다</v>
      </c>
      <c r="J904">
        <v>400</v>
      </c>
      <c r="K904">
        <v>0</v>
      </c>
      <c r="L904">
        <v>0</v>
      </c>
      <c r="M904">
        <v>0</v>
      </c>
      <c r="N904">
        <v>1000</v>
      </c>
      <c r="O904">
        <v>5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 s="3">
        <v>1000</v>
      </c>
      <c r="AH904" s="3">
        <v>5</v>
      </c>
      <c r="AI904" s="3">
        <v>0</v>
      </c>
      <c r="AJ904" s="3">
        <v>0</v>
      </c>
      <c r="AK904" s="3">
        <v>624</v>
      </c>
      <c r="AL904" s="3">
        <v>0</v>
      </c>
      <c r="AM904" s="3">
        <v>451.38</v>
      </c>
      <c r="AN904" s="3">
        <v>-135.41</v>
      </c>
      <c r="AO904" s="3">
        <v>0</v>
      </c>
      <c r="AP904" s="3">
        <v>657.98</v>
      </c>
      <c r="AR904" t="str">
        <f>T("0000000000000")</f>
        <v>0000000000000</v>
      </c>
      <c r="AT904" t="str">
        <f>T("9791137601253")</f>
        <v>9791137601253</v>
      </c>
      <c r="AV904" t="str">
        <f>T("웹툰 &gt; 해외 순정")</f>
        <v>웹툰 &gt; 해외 순정</v>
      </c>
      <c r="AW904" t="str">
        <f>T("웹툰 &gt; 로맨스")</f>
        <v>웹툰 &gt; 로맨스</v>
      </c>
    </row>
    <row r="905" spans="1:49" x14ac:dyDescent="0.4">
      <c r="A905">
        <v>4421001936</v>
      </c>
      <c r="B905">
        <v>4421001969</v>
      </c>
      <c r="C905" t="str">
        <f>T("보스 오빠, 살살! 34화")</f>
        <v>보스 오빠, 살살! 34화</v>
      </c>
      <c r="D905" t="str">
        <f>T("34")</f>
        <v>34</v>
      </c>
      <c r="E905" t="str">
        <f>T("웹티")</f>
        <v>웹티</v>
      </c>
      <c r="H905" t="str">
        <f t="shared" si="107"/>
        <v>스토리위즈</v>
      </c>
      <c r="I905" t="str">
        <f>T("보스 오빠, 살살!")</f>
        <v>보스 오빠, 살살!</v>
      </c>
      <c r="J905">
        <v>500</v>
      </c>
      <c r="K905">
        <v>0</v>
      </c>
      <c r="L905">
        <v>0</v>
      </c>
      <c r="M905">
        <v>0</v>
      </c>
      <c r="N905">
        <v>200</v>
      </c>
      <c r="O905"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 s="3">
        <v>200</v>
      </c>
      <c r="AH905" s="3">
        <v>1</v>
      </c>
      <c r="AI905" s="3">
        <v>0</v>
      </c>
      <c r="AJ905" s="3">
        <v>0</v>
      </c>
      <c r="AK905" s="3">
        <v>0</v>
      </c>
      <c r="AL905" s="3">
        <v>0</v>
      </c>
      <c r="AM905" s="3">
        <v>240</v>
      </c>
      <c r="AN905" s="3">
        <v>-72</v>
      </c>
      <c r="AO905" s="3">
        <v>0</v>
      </c>
      <c r="AP905" s="3">
        <v>117.6</v>
      </c>
      <c r="AT905" t="str">
        <f>T("9791190702331")</f>
        <v>9791190702331</v>
      </c>
      <c r="AV905" t="str">
        <f>T("웹툰 &gt; 로맨스")</f>
        <v>웹툰 &gt; 로맨스</v>
      </c>
    </row>
    <row r="906" spans="1:49" x14ac:dyDescent="0.4">
      <c r="A906">
        <v>4421000001</v>
      </c>
      <c r="B906">
        <v>4421000027</v>
      </c>
      <c r="C906" t="str">
        <f>T("감옥실험 17화")</f>
        <v>감옥실험 17화</v>
      </c>
      <c r="D906" t="str">
        <f>T("17")</f>
        <v>17</v>
      </c>
      <c r="E906" t="str">
        <f>T("Kantetsu")</f>
        <v>Kantetsu</v>
      </c>
      <c r="G906" t="str">
        <f>T("Minase Chiho")</f>
        <v>Minase Chiho</v>
      </c>
      <c r="H906" t="str">
        <f t="shared" si="107"/>
        <v>스토리위즈</v>
      </c>
      <c r="I906" t="str">
        <f>T("감옥실험")</f>
        <v>감옥실험</v>
      </c>
      <c r="J906">
        <v>500</v>
      </c>
      <c r="K906">
        <v>0</v>
      </c>
      <c r="L906">
        <v>0</v>
      </c>
      <c r="M906">
        <v>0</v>
      </c>
      <c r="N906">
        <v>1200</v>
      </c>
      <c r="O906">
        <v>4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 s="3">
        <v>1200</v>
      </c>
      <c r="AH906" s="3">
        <v>4</v>
      </c>
      <c r="AI906" s="3">
        <v>0</v>
      </c>
      <c r="AJ906" s="3">
        <v>0</v>
      </c>
      <c r="AK906" s="3">
        <v>900</v>
      </c>
      <c r="AL906" s="3">
        <v>0</v>
      </c>
      <c r="AM906" s="3">
        <v>360</v>
      </c>
      <c r="AN906" s="3">
        <v>-108</v>
      </c>
      <c r="AO906" s="3">
        <v>0</v>
      </c>
      <c r="AP906" s="3">
        <v>806.4</v>
      </c>
      <c r="AT906" t="str">
        <f>T("9791166069406")</f>
        <v>9791166069406</v>
      </c>
      <c r="AV906" t="str">
        <f>T("웹툰 &gt; 드라마")</f>
        <v>웹툰 &gt; 드라마</v>
      </c>
    </row>
    <row r="907" spans="1:49" x14ac:dyDescent="0.4">
      <c r="A907">
        <v>4421000518</v>
      </c>
      <c r="B907">
        <v>4421000546</v>
      </c>
      <c r="C907" t="str">
        <f>T("백스테이지 키스신 28화")</f>
        <v>백스테이지 키스신 28화</v>
      </c>
      <c r="D907" t="str">
        <f>T("28")</f>
        <v>28</v>
      </c>
      <c r="E907" t="str">
        <f>T("최도비")</f>
        <v>최도비</v>
      </c>
      <c r="G907" t="str">
        <f>T("수정과")</f>
        <v>수정과</v>
      </c>
      <c r="H907" t="str">
        <f t="shared" si="107"/>
        <v>스토리위즈</v>
      </c>
      <c r="I907" t="str">
        <f>T("백스테이지 키스신")</f>
        <v>백스테이지 키스신</v>
      </c>
      <c r="J907">
        <v>400</v>
      </c>
      <c r="K907">
        <v>0</v>
      </c>
      <c r="L907">
        <v>0</v>
      </c>
      <c r="M907">
        <v>0</v>
      </c>
      <c r="N907">
        <v>200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 s="3">
        <v>200</v>
      </c>
      <c r="AH907" s="3">
        <v>1</v>
      </c>
      <c r="AI907" s="3">
        <v>0</v>
      </c>
      <c r="AJ907" s="3">
        <v>0</v>
      </c>
      <c r="AK907" s="3">
        <v>200</v>
      </c>
      <c r="AL907" s="3">
        <v>0</v>
      </c>
      <c r="AM907" s="3">
        <v>0</v>
      </c>
      <c r="AN907" s="3">
        <v>0</v>
      </c>
      <c r="AO907" s="3">
        <v>0</v>
      </c>
      <c r="AP907" s="3">
        <v>140</v>
      </c>
      <c r="AR907" t="str">
        <f>T("0000000000000")</f>
        <v>0000000000000</v>
      </c>
      <c r="AT907" t="str">
        <f>T("9791166067990")</f>
        <v>9791166067990</v>
      </c>
      <c r="AV907" t="str">
        <f>T("웹툰 &gt; 로맨스")</f>
        <v>웹툰 &gt; 로맨스</v>
      </c>
    </row>
    <row r="908" spans="1:49" x14ac:dyDescent="0.4">
      <c r="A908">
        <v>4421001325</v>
      </c>
      <c r="B908">
        <v>4421001326</v>
      </c>
      <c r="C908" t="str">
        <f>T("커피여우 김삼월 2화")</f>
        <v>커피여우 김삼월 2화</v>
      </c>
      <c r="D908" t="str">
        <f>T("2")</f>
        <v>2</v>
      </c>
      <c r="E908" t="str">
        <f>T("Nica")</f>
        <v>Nica</v>
      </c>
      <c r="G908" t="str">
        <f>T("A.Noa, RK Studio")</f>
        <v>A.Noa, RK Studio</v>
      </c>
      <c r="H908" t="str">
        <f t="shared" si="107"/>
        <v>스토리위즈</v>
      </c>
      <c r="I908" t="str">
        <f>T("커피여우 김삼월")</f>
        <v>커피여우 김삼월</v>
      </c>
      <c r="J908">
        <v>500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 s="3">
        <v>0</v>
      </c>
      <c r="AH908" s="3">
        <v>5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R908" t="str">
        <f>T("0000000000000")</f>
        <v>0000000000000</v>
      </c>
      <c r="AT908" t="str">
        <f>T("9791191241792")</f>
        <v>9791191241792</v>
      </c>
      <c r="AV908" t="str">
        <f>T("웹툰 &gt; 로맨스")</f>
        <v>웹툰 &gt; 로맨스</v>
      </c>
    </row>
    <row r="909" spans="1:49" x14ac:dyDescent="0.4">
      <c r="A909">
        <v>4421000450</v>
      </c>
      <c r="B909">
        <v>4421000506</v>
      </c>
      <c r="C909" t="str">
        <f>T("내 남편의 스토커 56화")</f>
        <v>내 남편의 스토커 56화</v>
      </c>
      <c r="D909" t="str">
        <f>T("56")</f>
        <v>56</v>
      </c>
      <c r="E909" t="str">
        <f>T("혜원")</f>
        <v>혜원</v>
      </c>
      <c r="G909" t="str">
        <f>T("혜원")</f>
        <v>혜원</v>
      </c>
      <c r="H909" t="str">
        <f t="shared" si="107"/>
        <v>스토리위즈</v>
      </c>
      <c r="I909" t="str">
        <f>T("내 남편의 스토커")</f>
        <v>내 남편의 스토커</v>
      </c>
      <c r="J909">
        <v>400</v>
      </c>
      <c r="K909">
        <v>0</v>
      </c>
      <c r="L909">
        <v>0</v>
      </c>
      <c r="M909">
        <v>0</v>
      </c>
      <c r="N909">
        <v>200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 s="3">
        <v>200</v>
      </c>
      <c r="AH909" s="3">
        <v>1</v>
      </c>
      <c r="AI909" s="3">
        <v>0</v>
      </c>
      <c r="AJ909" s="3">
        <v>0</v>
      </c>
      <c r="AK909" s="3">
        <v>200</v>
      </c>
      <c r="AL909" s="3">
        <v>0</v>
      </c>
      <c r="AM909" s="3">
        <v>0</v>
      </c>
      <c r="AN909" s="3">
        <v>0</v>
      </c>
      <c r="AO909" s="3">
        <v>0</v>
      </c>
      <c r="AP909" s="3">
        <v>140</v>
      </c>
      <c r="AR909" t="str">
        <f>T("0000000000000")</f>
        <v>0000000000000</v>
      </c>
      <c r="AT909" t="str">
        <f>T("9791166068034")</f>
        <v>9791166068034</v>
      </c>
      <c r="AV909" t="str">
        <f>T("웹툰 &gt; 로맨스")</f>
        <v>웹툰 &gt; 로맨스</v>
      </c>
    </row>
    <row r="910" spans="1:49" x14ac:dyDescent="0.4">
      <c r="A910">
        <v>4421000337</v>
      </c>
      <c r="B910">
        <v>4421000346</v>
      </c>
      <c r="C910" t="str">
        <f>T("계약연애, 오늘부터 1일 10화")</f>
        <v>계약연애, 오늘부터 1일 10화</v>
      </c>
      <c r="D910" t="str">
        <f>T("10")</f>
        <v>10</v>
      </c>
      <c r="E910" t="str">
        <f>T("원기공장")</f>
        <v>원기공장</v>
      </c>
      <c r="H910" t="str">
        <f t="shared" si="107"/>
        <v>스토리위즈</v>
      </c>
      <c r="I910" t="str">
        <f>T("계약연애, 오늘부터 1일")</f>
        <v>계약연애, 오늘부터 1일</v>
      </c>
      <c r="J910">
        <v>200</v>
      </c>
      <c r="K910">
        <v>0</v>
      </c>
      <c r="L910">
        <v>0</v>
      </c>
      <c r="M910">
        <v>0</v>
      </c>
      <c r="N910">
        <v>100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 s="3">
        <v>100</v>
      </c>
      <c r="AH910" s="3">
        <v>1</v>
      </c>
      <c r="AI910" s="3">
        <v>0</v>
      </c>
      <c r="AJ910" s="3">
        <v>0</v>
      </c>
      <c r="AK910" s="3">
        <v>100</v>
      </c>
      <c r="AL910" s="3">
        <v>0</v>
      </c>
      <c r="AM910" s="3">
        <v>0</v>
      </c>
      <c r="AN910" s="3">
        <v>0</v>
      </c>
      <c r="AO910" s="3">
        <v>0</v>
      </c>
      <c r="AP910" s="3">
        <v>70</v>
      </c>
      <c r="AR910" t="str">
        <f>T("0000000000000")</f>
        <v>0000000000000</v>
      </c>
      <c r="AT910" t="str">
        <f>T("9791166068027")</f>
        <v>9791166068027</v>
      </c>
      <c r="AV910" t="str">
        <f>T("웹툰 &gt; 해외 순정")</f>
        <v>웹툰 &gt; 해외 순정</v>
      </c>
      <c r="AW910" t="str">
        <f>T("웹툰 &gt; 로맨스")</f>
        <v>웹툰 &gt; 로맨스</v>
      </c>
    </row>
    <row r="911" spans="1:49" x14ac:dyDescent="0.4">
      <c r="A911">
        <v>4421000198</v>
      </c>
      <c r="B911">
        <v>4421001225</v>
      </c>
      <c r="C911" t="str">
        <f>T("공주전쟁 73화")</f>
        <v>공주전쟁 73화</v>
      </c>
      <c r="D911" t="str">
        <f>T("73")</f>
        <v>73</v>
      </c>
      <c r="E911" t="str">
        <f>T("Hujing")</f>
        <v>Hujing</v>
      </c>
      <c r="G911" t="str">
        <f>T("Luojie")</f>
        <v>Luojie</v>
      </c>
      <c r="H911" t="str">
        <f t="shared" si="107"/>
        <v>스토리위즈</v>
      </c>
      <c r="I911" t="str">
        <f>T("공주전쟁")</f>
        <v>공주전쟁</v>
      </c>
      <c r="J911">
        <v>400</v>
      </c>
      <c r="K911">
        <v>0</v>
      </c>
      <c r="L911">
        <v>0</v>
      </c>
      <c r="M911">
        <v>0</v>
      </c>
      <c r="N911">
        <v>400</v>
      </c>
      <c r="O911">
        <v>2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 s="3">
        <v>400</v>
      </c>
      <c r="AH911" s="3">
        <v>2</v>
      </c>
      <c r="AI911" s="3">
        <v>0</v>
      </c>
      <c r="AJ911" s="3">
        <v>0</v>
      </c>
      <c r="AK911" s="3">
        <v>200</v>
      </c>
      <c r="AL911" s="3">
        <v>0</v>
      </c>
      <c r="AM911" s="3">
        <v>240</v>
      </c>
      <c r="AN911" s="3">
        <v>-72</v>
      </c>
      <c r="AO911" s="3">
        <v>0</v>
      </c>
      <c r="AP911" s="3">
        <v>257.60000000000002</v>
      </c>
      <c r="AR911" t="str">
        <f>T("0000000000000")</f>
        <v>0000000000000</v>
      </c>
      <c r="AT911" t="str">
        <f>T("9791166069666")</f>
        <v>9791166069666</v>
      </c>
      <c r="AV911" t="str">
        <f>T("웹툰 &gt; 해외 순정")</f>
        <v>웹툰 &gt; 해외 순정</v>
      </c>
      <c r="AW911" t="str">
        <f>T("웹툰 &gt; 로판")</f>
        <v>웹툰 &gt; 로판</v>
      </c>
    </row>
    <row r="912" spans="1:49" x14ac:dyDescent="0.4">
      <c r="A912">
        <v>4421000001</v>
      </c>
      <c r="B912">
        <v>4421000067</v>
      </c>
      <c r="C912" t="str">
        <f>T("감옥실험 47화")</f>
        <v>감옥실험 47화</v>
      </c>
      <c r="D912" t="str">
        <f>T("47")</f>
        <v>47</v>
      </c>
      <c r="E912" t="str">
        <f>T("Kantetsu")</f>
        <v>Kantetsu</v>
      </c>
      <c r="G912" t="str">
        <f>T("Minase Chiho")</f>
        <v>Minase Chiho</v>
      </c>
      <c r="H912" t="str">
        <f t="shared" si="107"/>
        <v>스토리위즈</v>
      </c>
      <c r="I912" t="str">
        <f>T("감옥실험")</f>
        <v>감옥실험</v>
      </c>
      <c r="J912">
        <v>500</v>
      </c>
      <c r="K912">
        <v>0</v>
      </c>
      <c r="L912">
        <v>0</v>
      </c>
      <c r="M912">
        <v>0</v>
      </c>
      <c r="N912">
        <v>600</v>
      </c>
      <c r="O912">
        <v>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 s="3">
        <v>600</v>
      </c>
      <c r="AH912" s="3">
        <v>2</v>
      </c>
      <c r="AI912" s="3">
        <v>0</v>
      </c>
      <c r="AJ912" s="3">
        <v>0</v>
      </c>
      <c r="AK912" s="3">
        <v>300</v>
      </c>
      <c r="AL912" s="3">
        <v>0</v>
      </c>
      <c r="AM912" s="3">
        <v>360</v>
      </c>
      <c r="AN912" s="3">
        <v>-108</v>
      </c>
      <c r="AO912" s="3">
        <v>0</v>
      </c>
      <c r="AP912" s="3">
        <v>386.4</v>
      </c>
      <c r="AT912" t="str">
        <f>T("9791166069406")</f>
        <v>9791166069406</v>
      </c>
      <c r="AV912" t="str">
        <f>T("웹툰 &gt; 드라마")</f>
        <v>웹툰 &gt; 드라마</v>
      </c>
    </row>
    <row r="913" spans="1:49" x14ac:dyDescent="0.4">
      <c r="A913">
        <v>4421001568</v>
      </c>
      <c r="B913">
        <v>4421001569</v>
      </c>
      <c r="C913" t="str">
        <f>T("구름의 연인 2화")</f>
        <v>구름의 연인 2화</v>
      </c>
      <c r="D913" t="str">
        <f>T("2")</f>
        <v>2</v>
      </c>
      <c r="E913" t="str">
        <f>T("웹티")</f>
        <v>웹티</v>
      </c>
      <c r="H913" t="str">
        <f t="shared" si="107"/>
        <v>스토리위즈</v>
      </c>
      <c r="I913" t="str">
        <f>T("구름의 연인")</f>
        <v>구름의 연인</v>
      </c>
      <c r="J913">
        <v>0</v>
      </c>
      <c r="K913">
        <v>0</v>
      </c>
      <c r="L913">
        <v>0</v>
      </c>
      <c r="M913">
        <v>2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 s="3">
        <v>0</v>
      </c>
      <c r="AH913" s="3">
        <v>2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R913" t="str">
        <f t="shared" ref="AR913:AR918" si="108">T("0000000000000")</f>
        <v>0000000000000</v>
      </c>
      <c r="AT913" t="str">
        <f>T("9791196402730")</f>
        <v>9791196402730</v>
      </c>
      <c r="AV913" t="str">
        <f>T("웹툰 &gt; 로맨스")</f>
        <v>웹툰 &gt; 로맨스</v>
      </c>
    </row>
    <row r="914" spans="1:49" x14ac:dyDescent="0.4">
      <c r="A914">
        <v>4421000916</v>
      </c>
      <c r="B914">
        <v>4421001287</v>
      </c>
      <c r="C914" t="str">
        <f>T("별빛 아래 우리 63화")</f>
        <v>별빛 아래 우리 63화</v>
      </c>
      <c r="D914" t="str">
        <f>T("63")</f>
        <v>63</v>
      </c>
      <c r="E914" t="str">
        <f>T("건일")</f>
        <v>건일</v>
      </c>
      <c r="G914" t="str">
        <f>T("건일")</f>
        <v>건일</v>
      </c>
      <c r="H914" t="str">
        <f t="shared" si="107"/>
        <v>스토리위즈</v>
      </c>
      <c r="I914" t="str">
        <f>T("별빛 아래 우리")</f>
        <v>별빛 아래 우리</v>
      </c>
      <c r="J914">
        <v>400</v>
      </c>
      <c r="K914">
        <v>0</v>
      </c>
      <c r="L914">
        <v>0</v>
      </c>
      <c r="M914">
        <v>0</v>
      </c>
      <c r="N914">
        <v>1000</v>
      </c>
      <c r="O914">
        <v>5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 s="3">
        <v>1000</v>
      </c>
      <c r="AH914" s="3">
        <v>5</v>
      </c>
      <c r="AI914" s="3">
        <v>0</v>
      </c>
      <c r="AJ914" s="3">
        <v>0</v>
      </c>
      <c r="AK914" s="3">
        <v>580</v>
      </c>
      <c r="AL914" s="3">
        <v>0</v>
      </c>
      <c r="AM914" s="3">
        <v>504.01</v>
      </c>
      <c r="AN914" s="3">
        <v>-151.19999999999999</v>
      </c>
      <c r="AO914" s="3">
        <v>0</v>
      </c>
      <c r="AP914" s="3">
        <v>652.97</v>
      </c>
      <c r="AR914" t="str">
        <f t="shared" si="108"/>
        <v>0000000000000</v>
      </c>
      <c r="AT914" t="str">
        <f>T("9791137601413")</f>
        <v>9791137601413</v>
      </c>
      <c r="AV914" t="str">
        <f>T("웹툰 &gt; 해외 순정")</f>
        <v>웹툰 &gt; 해외 순정</v>
      </c>
      <c r="AW914" t="str">
        <f>T("웹툰 &gt; 로맨스")</f>
        <v>웹툰 &gt; 로맨스</v>
      </c>
    </row>
    <row r="915" spans="1:49" x14ac:dyDescent="0.4">
      <c r="A915">
        <v>4421000198</v>
      </c>
      <c r="B915">
        <v>4421001183</v>
      </c>
      <c r="C915" t="str">
        <f>T("공주전쟁 68화")</f>
        <v>공주전쟁 68화</v>
      </c>
      <c r="D915" t="str">
        <f>T("68")</f>
        <v>68</v>
      </c>
      <c r="E915" t="str">
        <f>T("Hujing")</f>
        <v>Hujing</v>
      </c>
      <c r="G915" t="str">
        <f>T("Luojie")</f>
        <v>Luojie</v>
      </c>
      <c r="H915" t="str">
        <f t="shared" si="107"/>
        <v>스토리위즈</v>
      </c>
      <c r="I915" t="str">
        <f>T("공주전쟁")</f>
        <v>공주전쟁</v>
      </c>
      <c r="J915">
        <v>400</v>
      </c>
      <c r="K915">
        <v>0</v>
      </c>
      <c r="L915">
        <v>0</v>
      </c>
      <c r="M915">
        <v>0</v>
      </c>
      <c r="N915">
        <v>400</v>
      </c>
      <c r="O915">
        <v>2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 s="3">
        <v>400</v>
      </c>
      <c r="AH915" s="3">
        <v>2</v>
      </c>
      <c r="AI915" s="3">
        <v>0</v>
      </c>
      <c r="AJ915" s="3">
        <v>0</v>
      </c>
      <c r="AK915" s="3">
        <v>200</v>
      </c>
      <c r="AL915" s="3">
        <v>0</v>
      </c>
      <c r="AM915" s="3">
        <v>240</v>
      </c>
      <c r="AN915" s="3">
        <v>-72</v>
      </c>
      <c r="AO915" s="3">
        <v>0</v>
      </c>
      <c r="AP915" s="3">
        <v>257.60000000000002</v>
      </c>
      <c r="AR915" t="str">
        <f t="shared" si="108"/>
        <v>0000000000000</v>
      </c>
      <c r="AT915" t="str">
        <f>T("9791166069666")</f>
        <v>9791166069666</v>
      </c>
      <c r="AV915" t="str">
        <f>T("웹툰 &gt; 해외 순정")</f>
        <v>웹툰 &gt; 해외 순정</v>
      </c>
      <c r="AW915" t="str">
        <f>T("웹툰 &gt; 로판")</f>
        <v>웹툰 &gt; 로판</v>
      </c>
    </row>
    <row r="916" spans="1:49" x14ac:dyDescent="0.4">
      <c r="A916">
        <v>4421000450</v>
      </c>
      <c r="B916">
        <v>4421000459</v>
      </c>
      <c r="C916" t="str">
        <f>T("내 남편의 스토커 9화")</f>
        <v>내 남편의 스토커 9화</v>
      </c>
      <c r="D916" t="str">
        <f>T("9")</f>
        <v>9</v>
      </c>
      <c r="E916" t="str">
        <f>T("혜원")</f>
        <v>혜원</v>
      </c>
      <c r="G916" t="str">
        <f>T("혜원")</f>
        <v>혜원</v>
      </c>
      <c r="H916" t="str">
        <f t="shared" si="107"/>
        <v>스토리위즈</v>
      </c>
      <c r="I916" t="str">
        <f>T("내 남편의 스토커")</f>
        <v>내 남편의 스토커</v>
      </c>
      <c r="J916">
        <v>400</v>
      </c>
      <c r="K916">
        <v>0</v>
      </c>
      <c r="L916">
        <v>0</v>
      </c>
      <c r="M916">
        <v>0</v>
      </c>
      <c r="N916">
        <v>200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 s="3">
        <v>200</v>
      </c>
      <c r="AH916" s="3">
        <v>1</v>
      </c>
      <c r="AI916" s="3">
        <v>0</v>
      </c>
      <c r="AJ916" s="3">
        <v>0</v>
      </c>
      <c r="AK916" s="3">
        <v>200</v>
      </c>
      <c r="AL916" s="3">
        <v>0</v>
      </c>
      <c r="AM916" s="3">
        <v>0</v>
      </c>
      <c r="AN916" s="3">
        <v>0</v>
      </c>
      <c r="AO916" s="3">
        <v>0</v>
      </c>
      <c r="AP916" s="3">
        <v>140</v>
      </c>
      <c r="AR916" t="str">
        <f t="shared" si="108"/>
        <v>0000000000000</v>
      </c>
      <c r="AT916" t="str">
        <f>T("9791166068034")</f>
        <v>9791166068034</v>
      </c>
      <c r="AV916" t="str">
        <f>T("웹툰 &gt; 로맨스")</f>
        <v>웹툰 &gt; 로맨스</v>
      </c>
    </row>
    <row r="917" spans="1:49" x14ac:dyDescent="0.4">
      <c r="A917">
        <v>4421000198</v>
      </c>
      <c r="B917">
        <v>4421000234</v>
      </c>
      <c r="C917" t="str">
        <f>T("공주전쟁 37화")</f>
        <v>공주전쟁 37화</v>
      </c>
      <c r="D917" t="str">
        <f>T("37")</f>
        <v>37</v>
      </c>
      <c r="E917" t="str">
        <f>T("Hujing")</f>
        <v>Hujing</v>
      </c>
      <c r="G917" t="str">
        <f>T("Luojie")</f>
        <v>Luojie</v>
      </c>
      <c r="H917" t="str">
        <f t="shared" si="107"/>
        <v>스토리위즈</v>
      </c>
      <c r="I917" t="str">
        <f>T("공주전쟁")</f>
        <v>공주전쟁</v>
      </c>
      <c r="J917">
        <v>400</v>
      </c>
      <c r="K917">
        <v>0</v>
      </c>
      <c r="L917">
        <v>0</v>
      </c>
      <c r="M917">
        <v>0</v>
      </c>
      <c r="N917">
        <v>600</v>
      </c>
      <c r="O917">
        <v>3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 s="3">
        <v>600</v>
      </c>
      <c r="AH917" s="3">
        <v>3</v>
      </c>
      <c r="AI917" s="3">
        <v>0</v>
      </c>
      <c r="AJ917" s="3">
        <v>0</v>
      </c>
      <c r="AK917" s="3">
        <v>400</v>
      </c>
      <c r="AL917" s="3">
        <v>0</v>
      </c>
      <c r="AM917" s="3">
        <v>240</v>
      </c>
      <c r="AN917" s="3">
        <v>-72</v>
      </c>
      <c r="AO917" s="3">
        <v>0</v>
      </c>
      <c r="AP917" s="3">
        <v>397.6</v>
      </c>
      <c r="AR917" t="str">
        <f t="shared" si="108"/>
        <v>0000000000000</v>
      </c>
      <c r="AT917" t="str">
        <f>T("9791166069666")</f>
        <v>9791166069666</v>
      </c>
      <c r="AV917" t="str">
        <f>T("웹툰 &gt; 해외 순정")</f>
        <v>웹툰 &gt; 해외 순정</v>
      </c>
      <c r="AW917" t="str">
        <f>T("웹툰 &gt; 로판")</f>
        <v>웹툰 &gt; 로판</v>
      </c>
    </row>
    <row r="918" spans="1:49" x14ac:dyDescent="0.4">
      <c r="A918">
        <v>4421000916</v>
      </c>
      <c r="B918">
        <v>4421000977</v>
      </c>
      <c r="C918" t="str">
        <f>T("별빛 아래 우리 28화")</f>
        <v>별빛 아래 우리 28화</v>
      </c>
      <c r="D918" t="str">
        <f>T("28")</f>
        <v>28</v>
      </c>
      <c r="E918" t="str">
        <f>T("건일")</f>
        <v>건일</v>
      </c>
      <c r="G918" t="str">
        <f>T("건일")</f>
        <v>건일</v>
      </c>
      <c r="H918" t="str">
        <f t="shared" si="107"/>
        <v>스토리위즈</v>
      </c>
      <c r="I918" t="str">
        <f>T("별빛 아래 우리")</f>
        <v>별빛 아래 우리</v>
      </c>
      <c r="J918">
        <v>400</v>
      </c>
      <c r="K918">
        <v>0</v>
      </c>
      <c r="L918">
        <v>0</v>
      </c>
      <c r="M918">
        <v>0</v>
      </c>
      <c r="N918">
        <v>1200</v>
      </c>
      <c r="O918">
        <v>6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 s="3">
        <v>1200</v>
      </c>
      <c r="AH918" s="3">
        <v>6</v>
      </c>
      <c r="AI918" s="3">
        <v>0</v>
      </c>
      <c r="AJ918" s="3">
        <v>0</v>
      </c>
      <c r="AK918" s="3">
        <v>579</v>
      </c>
      <c r="AL918" s="3">
        <v>0</v>
      </c>
      <c r="AM918" s="3">
        <v>743.3</v>
      </c>
      <c r="AN918" s="3">
        <v>-222.99</v>
      </c>
      <c r="AO918" s="3">
        <v>0</v>
      </c>
      <c r="AP918" s="3">
        <v>769.52</v>
      </c>
      <c r="AR918" t="str">
        <f t="shared" si="108"/>
        <v>0000000000000</v>
      </c>
      <c r="AT918" t="str">
        <f>T("9791137601413")</f>
        <v>9791137601413</v>
      </c>
      <c r="AV918" t="str">
        <f>T("웹툰 &gt; 해외 순정")</f>
        <v>웹툰 &gt; 해외 순정</v>
      </c>
      <c r="AW918" t="str">
        <f>T("웹툰 &gt; 로맨스")</f>
        <v>웹툰 &gt; 로맨스</v>
      </c>
    </row>
    <row r="919" spans="1:49" x14ac:dyDescent="0.4">
      <c r="A919">
        <v>4421001886</v>
      </c>
      <c r="B919">
        <v>4421001887</v>
      </c>
      <c r="C919" t="str">
        <f>T("바람의 전설 2화")</f>
        <v>바람의 전설 2화</v>
      </c>
      <c r="D919" t="str">
        <f>T("2")</f>
        <v>2</v>
      </c>
      <c r="E919" t="str">
        <f>T("웹티")</f>
        <v>웹티</v>
      </c>
      <c r="H919" t="str">
        <f t="shared" si="107"/>
        <v>스토리위즈</v>
      </c>
      <c r="I919" t="str">
        <f>T("바람의 전설")</f>
        <v>바람의 전설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 s="3">
        <v>0</v>
      </c>
      <c r="AH919" s="3">
        <v>1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T919" t="str">
        <f>T("9791190622042")</f>
        <v>9791190622042</v>
      </c>
      <c r="AV919" t="str">
        <f>T("웹툰 &gt; 액션/무협")</f>
        <v>웹툰 &gt; 액션/무협</v>
      </c>
    </row>
    <row r="920" spans="1:49" x14ac:dyDescent="0.4">
      <c r="A920">
        <v>4421001936</v>
      </c>
      <c r="B920">
        <v>4421001950</v>
      </c>
      <c r="C920" t="str">
        <f>T("보스 오빠, 살살! 15화")</f>
        <v>보스 오빠, 살살! 15화</v>
      </c>
      <c r="D920" t="str">
        <f>T("15")</f>
        <v>15</v>
      </c>
      <c r="E920" t="str">
        <f>T("웹티")</f>
        <v>웹티</v>
      </c>
      <c r="H920" t="str">
        <f t="shared" si="107"/>
        <v>스토리위즈</v>
      </c>
      <c r="I920" t="str">
        <f>T("보스 오빠, 살살!")</f>
        <v>보스 오빠, 살살!</v>
      </c>
      <c r="J920">
        <v>500</v>
      </c>
      <c r="K920">
        <v>0</v>
      </c>
      <c r="L920">
        <v>0</v>
      </c>
      <c r="M920">
        <v>0</v>
      </c>
      <c r="N920">
        <v>200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 s="3">
        <v>200</v>
      </c>
      <c r="AH920" s="3">
        <v>1</v>
      </c>
      <c r="AI920" s="3">
        <v>0</v>
      </c>
      <c r="AJ920" s="3">
        <v>0</v>
      </c>
      <c r="AK920" s="3">
        <v>0</v>
      </c>
      <c r="AL920" s="3">
        <v>0</v>
      </c>
      <c r="AM920" s="3">
        <v>240</v>
      </c>
      <c r="AN920" s="3">
        <v>-72</v>
      </c>
      <c r="AO920" s="3">
        <v>0</v>
      </c>
      <c r="AP920" s="3">
        <v>117.6</v>
      </c>
      <c r="AT920" t="str">
        <f>T("9791190702331")</f>
        <v>9791190702331</v>
      </c>
      <c r="AV920" t="str">
        <f>T("웹툰 &gt; 로맨스")</f>
        <v>웹툰 &gt; 로맨스</v>
      </c>
    </row>
    <row r="921" spans="1:49" x14ac:dyDescent="0.4">
      <c r="A921">
        <v>4421000001</v>
      </c>
      <c r="B921">
        <v>4421000020</v>
      </c>
      <c r="C921" t="str">
        <f>T("감옥실험 10화")</f>
        <v>감옥실험 10화</v>
      </c>
      <c r="D921" t="str">
        <f>T("10")</f>
        <v>10</v>
      </c>
      <c r="E921" t="str">
        <f>T("Kantetsu")</f>
        <v>Kantetsu</v>
      </c>
      <c r="G921" t="str">
        <f>T("Minase Chiho")</f>
        <v>Minase Chiho</v>
      </c>
      <c r="H921" t="str">
        <f t="shared" si="107"/>
        <v>스토리위즈</v>
      </c>
      <c r="I921" t="str">
        <f>T("감옥실험")</f>
        <v>감옥실험</v>
      </c>
      <c r="J921">
        <v>500</v>
      </c>
      <c r="K921">
        <v>0</v>
      </c>
      <c r="L921">
        <v>0</v>
      </c>
      <c r="M921">
        <v>0</v>
      </c>
      <c r="N921">
        <v>1500</v>
      </c>
      <c r="O921">
        <v>5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 s="3">
        <v>1500</v>
      </c>
      <c r="AH921" s="3">
        <v>5</v>
      </c>
      <c r="AI921" s="3">
        <v>0</v>
      </c>
      <c r="AJ921" s="3">
        <v>0</v>
      </c>
      <c r="AK921" s="3">
        <v>1500</v>
      </c>
      <c r="AL921" s="3">
        <v>0</v>
      </c>
      <c r="AM921" s="3">
        <v>0</v>
      </c>
      <c r="AN921" s="3">
        <v>0</v>
      </c>
      <c r="AO921" s="3">
        <v>0</v>
      </c>
      <c r="AP921" s="3">
        <v>1050</v>
      </c>
      <c r="AT921" t="str">
        <f>T("9791166069406")</f>
        <v>9791166069406</v>
      </c>
      <c r="AV921" t="str">
        <f>T("웹툰 &gt; 드라마")</f>
        <v>웹툰 &gt; 드라마</v>
      </c>
    </row>
    <row r="922" spans="1:49" x14ac:dyDescent="0.4">
      <c r="A922">
        <v>4421000518</v>
      </c>
      <c r="B922">
        <v>4421000539</v>
      </c>
      <c r="C922" t="str">
        <f>T("백스테이지 키스신 21화")</f>
        <v>백스테이지 키스신 21화</v>
      </c>
      <c r="D922" t="str">
        <f>T("21")</f>
        <v>21</v>
      </c>
      <c r="E922" t="str">
        <f>T("최도비")</f>
        <v>최도비</v>
      </c>
      <c r="G922" t="str">
        <f>T("수정과")</f>
        <v>수정과</v>
      </c>
      <c r="H922" t="str">
        <f t="shared" si="107"/>
        <v>스토리위즈</v>
      </c>
      <c r="I922" t="str">
        <f>T("백스테이지 키스신")</f>
        <v>백스테이지 키스신</v>
      </c>
      <c r="J922">
        <v>400</v>
      </c>
      <c r="K922">
        <v>0</v>
      </c>
      <c r="L922">
        <v>0</v>
      </c>
      <c r="M922">
        <v>0</v>
      </c>
      <c r="N922">
        <v>200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 s="3">
        <v>200</v>
      </c>
      <c r="AH922" s="3">
        <v>1</v>
      </c>
      <c r="AI922" s="3">
        <v>0</v>
      </c>
      <c r="AJ922" s="3">
        <v>0</v>
      </c>
      <c r="AK922" s="3">
        <v>200</v>
      </c>
      <c r="AL922" s="3">
        <v>0</v>
      </c>
      <c r="AM922" s="3">
        <v>0</v>
      </c>
      <c r="AN922" s="3">
        <v>0</v>
      </c>
      <c r="AO922" s="3">
        <v>0</v>
      </c>
      <c r="AP922" s="3">
        <v>140</v>
      </c>
      <c r="AR922" t="str">
        <f t="shared" ref="AR922:AR927" si="109">T("0000000000000")</f>
        <v>0000000000000</v>
      </c>
      <c r="AT922" t="str">
        <f>T("9791166067990")</f>
        <v>9791166067990</v>
      </c>
      <c r="AV922" t="str">
        <f>T("웹툰 &gt; 로맨스")</f>
        <v>웹툰 &gt; 로맨스</v>
      </c>
    </row>
    <row r="923" spans="1:49" x14ac:dyDescent="0.4">
      <c r="A923">
        <v>4421000887</v>
      </c>
      <c r="B923">
        <v>4421001216</v>
      </c>
      <c r="C923" t="str">
        <f>T("폭군의 눈물 43화")</f>
        <v>폭군의 눈물 43화</v>
      </c>
      <c r="D923" t="str">
        <f>T("43")</f>
        <v>43</v>
      </c>
      <c r="E923" t="str">
        <f>T("Ice×FANFAN COMIC")</f>
        <v>Ice×FANFAN COMIC</v>
      </c>
      <c r="G923" t="str">
        <f>T("Ice×FANFAN COMIC")</f>
        <v>Ice×FANFAN COMIC</v>
      </c>
      <c r="H923" t="str">
        <f t="shared" si="107"/>
        <v>스토리위즈</v>
      </c>
      <c r="I923" t="str">
        <f>T("폭군의 눈물")</f>
        <v>폭군의 눈물</v>
      </c>
      <c r="J923">
        <v>400</v>
      </c>
      <c r="K923">
        <v>0</v>
      </c>
      <c r="L923">
        <v>0</v>
      </c>
      <c r="M923">
        <v>0</v>
      </c>
      <c r="N923">
        <v>600</v>
      </c>
      <c r="O923">
        <v>3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 s="3">
        <v>600</v>
      </c>
      <c r="AH923" s="3">
        <v>3</v>
      </c>
      <c r="AI923" s="3">
        <v>0</v>
      </c>
      <c r="AJ923" s="3">
        <v>0</v>
      </c>
      <c r="AK923" s="3">
        <v>400</v>
      </c>
      <c r="AL923" s="3">
        <v>0</v>
      </c>
      <c r="AM923" s="3">
        <v>240</v>
      </c>
      <c r="AN923" s="3">
        <v>-72</v>
      </c>
      <c r="AO923" s="3">
        <v>0</v>
      </c>
      <c r="AP923" s="3">
        <v>397.6</v>
      </c>
      <c r="AR923" t="str">
        <f t="shared" si="109"/>
        <v>0000000000000</v>
      </c>
      <c r="AT923" t="str">
        <f>T("9791137601291")</f>
        <v>9791137601291</v>
      </c>
      <c r="AV923" t="str">
        <f>T("웹툰 &gt; 해외 순정")</f>
        <v>웹툰 &gt; 해외 순정</v>
      </c>
      <c r="AW923" t="str">
        <f>T("웹툰 &gt; 로판")</f>
        <v>웹툰 &gt; 로판</v>
      </c>
    </row>
    <row r="924" spans="1:49" x14ac:dyDescent="0.4">
      <c r="A924">
        <v>4421000450</v>
      </c>
      <c r="B924">
        <v>4421000499</v>
      </c>
      <c r="C924" t="str">
        <f>T("내 남편의 스토커 49화")</f>
        <v>내 남편의 스토커 49화</v>
      </c>
      <c r="D924" t="str">
        <f>T("49")</f>
        <v>49</v>
      </c>
      <c r="E924" t="str">
        <f>T("혜원")</f>
        <v>혜원</v>
      </c>
      <c r="G924" t="str">
        <f>T("혜원")</f>
        <v>혜원</v>
      </c>
      <c r="H924" t="str">
        <f t="shared" si="107"/>
        <v>스토리위즈</v>
      </c>
      <c r="I924" t="str">
        <f>T("내 남편의 스토커")</f>
        <v>내 남편의 스토커</v>
      </c>
      <c r="J924">
        <v>400</v>
      </c>
      <c r="K924">
        <v>0</v>
      </c>
      <c r="L924">
        <v>0</v>
      </c>
      <c r="M924">
        <v>0</v>
      </c>
      <c r="N924">
        <v>200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 s="3">
        <v>200</v>
      </c>
      <c r="AH924" s="3">
        <v>1</v>
      </c>
      <c r="AI924" s="3">
        <v>0</v>
      </c>
      <c r="AJ924" s="3">
        <v>0</v>
      </c>
      <c r="AK924" s="3">
        <v>200</v>
      </c>
      <c r="AL924" s="3">
        <v>0</v>
      </c>
      <c r="AM924" s="3">
        <v>0</v>
      </c>
      <c r="AN924" s="3">
        <v>0</v>
      </c>
      <c r="AO924" s="3">
        <v>0</v>
      </c>
      <c r="AP924" s="3">
        <v>140</v>
      </c>
      <c r="AR924" t="str">
        <f t="shared" si="109"/>
        <v>0000000000000</v>
      </c>
      <c r="AT924" t="str">
        <f>T("9791166068034")</f>
        <v>9791166068034</v>
      </c>
      <c r="AV924" t="str">
        <f>T("웹툰 &gt; 로맨스")</f>
        <v>웹툰 &gt; 로맨스</v>
      </c>
    </row>
    <row r="925" spans="1:49" x14ac:dyDescent="0.4">
      <c r="A925">
        <v>4421000337</v>
      </c>
      <c r="B925">
        <v>4421000339</v>
      </c>
      <c r="C925" t="str">
        <f>T("계약연애, 오늘부터 1일 3화")</f>
        <v>계약연애, 오늘부터 1일 3화</v>
      </c>
      <c r="D925" t="str">
        <f>T("3")</f>
        <v>3</v>
      </c>
      <c r="E925" t="str">
        <f>T("원기공장")</f>
        <v>원기공장</v>
      </c>
      <c r="H925" t="str">
        <f t="shared" si="107"/>
        <v>스토리위즈</v>
      </c>
      <c r="I925" t="str">
        <f>T("계약연애, 오늘부터 1일")</f>
        <v>계약연애, 오늘부터 1일</v>
      </c>
      <c r="J925">
        <v>200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8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 s="3">
        <v>0</v>
      </c>
      <c r="AH925" s="3">
        <v>8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R925" t="str">
        <f t="shared" si="109"/>
        <v>0000000000000</v>
      </c>
      <c r="AT925" t="str">
        <f>T("9791166068027")</f>
        <v>9791166068027</v>
      </c>
      <c r="AV925" t="str">
        <f>T("웹툰 &gt; 해외 순정")</f>
        <v>웹툰 &gt; 해외 순정</v>
      </c>
      <c r="AW925" t="str">
        <f>T("웹툰 &gt; 로맨스")</f>
        <v>웹툰 &gt; 로맨스</v>
      </c>
    </row>
    <row r="926" spans="1:49" x14ac:dyDescent="0.4">
      <c r="A926">
        <v>4421000887</v>
      </c>
      <c r="B926">
        <v>4421000898</v>
      </c>
      <c r="C926" t="str">
        <f>T("폭군의 눈물 12화")</f>
        <v>폭군의 눈물 12화</v>
      </c>
      <c r="D926" t="str">
        <f>T("12")</f>
        <v>12</v>
      </c>
      <c r="E926" t="str">
        <f>T("Ice×FANFAN COMIC")</f>
        <v>Ice×FANFAN COMIC</v>
      </c>
      <c r="G926" t="str">
        <f>T("Ice×FANFAN COMIC")</f>
        <v>Ice×FANFAN COMIC</v>
      </c>
      <c r="H926" t="str">
        <f t="shared" si="107"/>
        <v>스토리위즈</v>
      </c>
      <c r="I926" t="str">
        <f>T("폭군의 눈물")</f>
        <v>폭군의 눈물</v>
      </c>
      <c r="J926">
        <v>400</v>
      </c>
      <c r="K926">
        <v>0</v>
      </c>
      <c r="L926">
        <v>0</v>
      </c>
      <c r="M926">
        <v>0</v>
      </c>
      <c r="N926">
        <v>600</v>
      </c>
      <c r="O926">
        <v>3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 s="3">
        <v>600</v>
      </c>
      <c r="AH926" s="3">
        <v>3</v>
      </c>
      <c r="AI926" s="3">
        <v>0</v>
      </c>
      <c r="AJ926" s="3">
        <v>0</v>
      </c>
      <c r="AK926" s="3">
        <v>400</v>
      </c>
      <c r="AL926" s="3">
        <v>0</v>
      </c>
      <c r="AM926" s="3">
        <v>240</v>
      </c>
      <c r="AN926" s="3">
        <v>-72</v>
      </c>
      <c r="AO926" s="3">
        <v>0</v>
      </c>
      <c r="AP926" s="3">
        <v>397.6</v>
      </c>
      <c r="AR926" t="str">
        <f t="shared" si="109"/>
        <v>0000000000000</v>
      </c>
      <c r="AT926" t="str">
        <f>T("9791137601291")</f>
        <v>9791137601291</v>
      </c>
      <c r="AV926" t="str">
        <f>T("웹툰 &gt; 해외 순정")</f>
        <v>웹툰 &gt; 해외 순정</v>
      </c>
      <c r="AW926" t="str">
        <f>T("웹툰 &gt; 로판")</f>
        <v>웹툰 &gt; 로판</v>
      </c>
    </row>
    <row r="927" spans="1:49" x14ac:dyDescent="0.4">
      <c r="A927">
        <v>4421002306</v>
      </c>
      <c r="B927">
        <v>4421002306</v>
      </c>
      <c r="C927" t="str">
        <f>T("지금은 여장중! 1화")</f>
        <v>지금은 여장중! 1화</v>
      </c>
      <c r="D927" t="str">
        <f>T("1")</f>
        <v>1</v>
      </c>
      <c r="E927" t="str">
        <f>T("웹티")</f>
        <v>웹티</v>
      </c>
      <c r="H927" t="str">
        <f t="shared" si="107"/>
        <v>스토리위즈</v>
      </c>
      <c r="I927" t="str">
        <f>T("지금은 여장중!")</f>
        <v>지금은 여장중!</v>
      </c>
      <c r="J927">
        <v>0</v>
      </c>
      <c r="K927">
        <v>0</v>
      </c>
      <c r="L927">
        <v>0</v>
      </c>
      <c r="M927">
        <v>1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 s="3">
        <v>0</v>
      </c>
      <c r="AH927" s="3">
        <v>2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R927" t="str">
        <f t="shared" si="109"/>
        <v>0000000000000</v>
      </c>
      <c r="AT927" t="str">
        <f>T("9791196608354")</f>
        <v>9791196608354</v>
      </c>
      <c r="AV927" t="str">
        <f>T("웹툰 &gt; 로맨스")</f>
        <v>웹툰 &gt; 로맨스</v>
      </c>
    </row>
    <row r="928" spans="1:49" x14ac:dyDescent="0.4">
      <c r="A928">
        <v>4421000001</v>
      </c>
      <c r="B928">
        <v>4421000052</v>
      </c>
      <c r="C928" t="str">
        <f>T("감옥실험 32화")</f>
        <v>감옥실험 32화</v>
      </c>
      <c r="D928" t="str">
        <f>T("32")</f>
        <v>32</v>
      </c>
      <c r="E928" t="str">
        <f>T("Kantetsu")</f>
        <v>Kantetsu</v>
      </c>
      <c r="G928" t="str">
        <f>T("Minase Chiho")</f>
        <v>Minase Chiho</v>
      </c>
      <c r="H928" t="str">
        <f t="shared" si="107"/>
        <v>스토리위즈</v>
      </c>
      <c r="I928" t="str">
        <f>T("감옥실험")</f>
        <v>감옥실험</v>
      </c>
      <c r="J928">
        <v>500</v>
      </c>
      <c r="K928">
        <v>0</v>
      </c>
      <c r="L928">
        <v>0</v>
      </c>
      <c r="M928">
        <v>0</v>
      </c>
      <c r="N928">
        <v>900</v>
      </c>
      <c r="O928">
        <v>3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 s="3">
        <v>900</v>
      </c>
      <c r="AH928" s="3">
        <v>3</v>
      </c>
      <c r="AI928" s="3">
        <v>0</v>
      </c>
      <c r="AJ928" s="3">
        <v>0</v>
      </c>
      <c r="AK928" s="3">
        <v>606</v>
      </c>
      <c r="AL928" s="3">
        <v>0</v>
      </c>
      <c r="AM928" s="3">
        <v>352.8</v>
      </c>
      <c r="AN928" s="3">
        <v>-105.84</v>
      </c>
      <c r="AO928" s="3">
        <v>0</v>
      </c>
      <c r="AP928" s="3">
        <v>597.07000000000005</v>
      </c>
      <c r="AT928" t="str">
        <f>T("9791166069406")</f>
        <v>9791166069406</v>
      </c>
      <c r="AV928" t="str">
        <f>T("웹툰 &gt; 드라마")</f>
        <v>웹툰 &gt; 드라마</v>
      </c>
    </row>
    <row r="929" spans="1:49" x14ac:dyDescent="0.4">
      <c r="A929">
        <v>4421000742</v>
      </c>
      <c r="B929">
        <v>4421000742</v>
      </c>
      <c r="C929" t="str">
        <f>T("연애 2분의 1 1화")</f>
        <v>연애 2분의 1 1화</v>
      </c>
      <c r="D929" t="str">
        <f>T("1")</f>
        <v>1</v>
      </c>
      <c r="E929" t="str">
        <f>T("Zhupi&amp;Yangxuetu")</f>
        <v>Zhupi&amp;Yangxuetu</v>
      </c>
      <c r="H929" t="str">
        <f t="shared" si="107"/>
        <v>스토리위즈</v>
      </c>
      <c r="I929" t="str">
        <f>T("연애 2분의 1")</f>
        <v>연애 2분의 1</v>
      </c>
      <c r="J929">
        <v>200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2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 s="3">
        <v>0</v>
      </c>
      <c r="AH929" s="3">
        <v>2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0</v>
      </c>
      <c r="AR929" t="str">
        <f t="shared" ref="AR929:AR937" si="110">T("0000000000000")</f>
        <v>0000000000000</v>
      </c>
      <c r="AT929" t="str">
        <f>T("9791166067891")</f>
        <v>9791166067891</v>
      </c>
      <c r="AV929" t="str">
        <f>T("웹툰 &gt; 해외 순정")</f>
        <v>웹툰 &gt; 해외 순정</v>
      </c>
      <c r="AW929" t="str">
        <f>T("웹툰 &gt; 로맨스")</f>
        <v>웹툰 &gt; 로맨스</v>
      </c>
    </row>
    <row r="930" spans="1:49" x14ac:dyDescent="0.4">
      <c r="A930">
        <v>4421000198</v>
      </c>
      <c r="B930">
        <v>4421001250</v>
      </c>
      <c r="C930" t="str">
        <f>T("공주전쟁 79화")</f>
        <v>공주전쟁 79화</v>
      </c>
      <c r="D930" t="str">
        <f>T("79")</f>
        <v>79</v>
      </c>
      <c r="E930" t="str">
        <f>T("Hujing")</f>
        <v>Hujing</v>
      </c>
      <c r="G930" t="str">
        <f>T("Luojie")</f>
        <v>Luojie</v>
      </c>
      <c r="H930" t="str">
        <f t="shared" si="107"/>
        <v>스토리위즈</v>
      </c>
      <c r="I930" t="str">
        <f>T("공주전쟁")</f>
        <v>공주전쟁</v>
      </c>
      <c r="J930">
        <v>400</v>
      </c>
      <c r="K930">
        <v>0</v>
      </c>
      <c r="L930">
        <v>0</v>
      </c>
      <c r="M930">
        <v>0</v>
      </c>
      <c r="N930">
        <v>200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 s="3">
        <v>200</v>
      </c>
      <c r="AH930" s="3">
        <v>1</v>
      </c>
      <c r="AI930" s="3">
        <v>0</v>
      </c>
      <c r="AJ930" s="3">
        <v>0</v>
      </c>
      <c r="AK930" s="3">
        <v>0</v>
      </c>
      <c r="AL930" s="3">
        <v>0</v>
      </c>
      <c r="AM930" s="3">
        <v>240</v>
      </c>
      <c r="AN930" s="3">
        <v>-72</v>
      </c>
      <c r="AO930" s="3">
        <v>0</v>
      </c>
      <c r="AP930" s="3">
        <v>117.6</v>
      </c>
      <c r="AR930" t="str">
        <f t="shared" si="110"/>
        <v>0000000000000</v>
      </c>
      <c r="AT930" t="str">
        <f>T("9791166069666")</f>
        <v>9791166069666</v>
      </c>
      <c r="AV930" t="str">
        <f>T("웹툰 &gt; 해외 순정")</f>
        <v>웹툰 &gt; 해외 순정</v>
      </c>
      <c r="AW930" t="str">
        <f>T("웹툰 &gt; 로판")</f>
        <v>웹툰 &gt; 로판</v>
      </c>
    </row>
    <row r="931" spans="1:49" x14ac:dyDescent="0.4">
      <c r="A931">
        <v>4421000069</v>
      </c>
      <c r="B931">
        <v>4421000092</v>
      </c>
      <c r="C931" t="str">
        <f>T("너랑 나랑 하면 23화")</f>
        <v>너랑 나랑 하면 23화</v>
      </c>
      <c r="D931" t="str">
        <f>T("23")</f>
        <v>23</v>
      </c>
      <c r="E931" t="str">
        <f>T("NISANSUI")</f>
        <v>NISANSUI</v>
      </c>
      <c r="G931" t="str">
        <f>T("ZIQUAN")</f>
        <v>ZIQUAN</v>
      </c>
      <c r="H931" t="str">
        <f t="shared" si="107"/>
        <v>스토리위즈</v>
      </c>
      <c r="I931" t="str">
        <f>T("너랑 나랑 하면")</f>
        <v>너랑 나랑 하면</v>
      </c>
      <c r="J931">
        <v>400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 s="3">
        <v>0</v>
      </c>
      <c r="AH931" s="3">
        <v>3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R931" t="str">
        <f t="shared" si="110"/>
        <v>0000000000000</v>
      </c>
      <c r="AT931" t="str">
        <f>T("9791166067884")</f>
        <v>9791166067884</v>
      </c>
      <c r="AV931" t="str">
        <f>T("BL 웹툰 &gt; 웹툰")</f>
        <v>BL 웹툰 &gt; 웹툰</v>
      </c>
    </row>
    <row r="932" spans="1:49" x14ac:dyDescent="0.4">
      <c r="A932">
        <v>4421001340</v>
      </c>
      <c r="B932">
        <v>4421001367</v>
      </c>
      <c r="C932" t="str">
        <f>T("가출천사 육성계약 28화")</f>
        <v>가출천사 육성계약 28화</v>
      </c>
      <c r="D932" t="str">
        <f>T("28")</f>
        <v>28</v>
      </c>
      <c r="E932" t="str">
        <f>T("Bae.C, IIAKI, 박제후")</f>
        <v>Bae.C, IIAKI, 박제후</v>
      </c>
      <c r="G932" t="str">
        <f>T("Bae.C, 조우")</f>
        <v>Bae.C, 조우</v>
      </c>
      <c r="H932" t="str">
        <f t="shared" si="107"/>
        <v>스토리위즈</v>
      </c>
      <c r="I932" t="str">
        <f>T("가출천사 육성계약")</f>
        <v>가출천사 육성계약</v>
      </c>
      <c r="J932">
        <v>400</v>
      </c>
      <c r="K932">
        <v>0</v>
      </c>
      <c r="L932">
        <v>0</v>
      </c>
      <c r="M932">
        <v>0</v>
      </c>
      <c r="N932">
        <v>200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 s="3">
        <v>200</v>
      </c>
      <c r="AH932" s="3">
        <v>1</v>
      </c>
      <c r="AI932" s="3">
        <v>0</v>
      </c>
      <c r="AJ932" s="3">
        <v>0</v>
      </c>
      <c r="AK932" s="3">
        <v>200</v>
      </c>
      <c r="AL932" s="3">
        <v>0</v>
      </c>
      <c r="AM932" s="3">
        <v>0</v>
      </c>
      <c r="AN932" s="3">
        <v>0</v>
      </c>
      <c r="AO932" s="3">
        <v>0</v>
      </c>
      <c r="AP932" s="3">
        <v>140</v>
      </c>
      <c r="AR932" t="str">
        <f t="shared" si="110"/>
        <v>0000000000000</v>
      </c>
      <c r="AT932" t="str">
        <f>T("9791191765663")</f>
        <v>9791191765663</v>
      </c>
      <c r="AV932" t="str">
        <f>T("웹툰 &gt; 판타지/SF")</f>
        <v>웹툰 &gt; 판타지/SF</v>
      </c>
    </row>
    <row r="933" spans="1:49" x14ac:dyDescent="0.4">
      <c r="A933">
        <v>4421000337</v>
      </c>
      <c r="B933">
        <v>4421000427</v>
      </c>
      <c r="C933" t="str">
        <f>T("계약연애, 오늘부터 1일 91화")</f>
        <v>계약연애, 오늘부터 1일 91화</v>
      </c>
      <c r="D933" t="str">
        <f>T("91")</f>
        <v>91</v>
      </c>
      <c r="E933" t="str">
        <f>T("원기공장")</f>
        <v>원기공장</v>
      </c>
      <c r="H933" t="str">
        <f t="shared" si="107"/>
        <v>스토리위즈</v>
      </c>
      <c r="I933" t="str">
        <f>T("계약연애, 오늘부터 1일")</f>
        <v>계약연애, 오늘부터 1일</v>
      </c>
      <c r="J933">
        <v>200</v>
      </c>
      <c r="K933">
        <v>0</v>
      </c>
      <c r="L933">
        <v>0</v>
      </c>
      <c r="M933">
        <v>0</v>
      </c>
      <c r="N933">
        <v>100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 s="3">
        <v>100</v>
      </c>
      <c r="AH933" s="3">
        <v>1</v>
      </c>
      <c r="AI933" s="3">
        <v>0</v>
      </c>
      <c r="AJ933" s="3">
        <v>0</v>
      </c>
      <c r="AK933" s="3">
        <v>100</v>
      </c>
      <c r="AL933" s="3">
        <v>0</v>
      </c>
      <c r="AM933" s="3">
        <v>0</v>
      </c>
      <c r="AN933" s="3">
        <v>0</v>
      </c>
      <c r="AO933" s="3">
        <v>0</v>
      </c>
      <c r="AP933" s="3">
        <v>70</v>
      </c>
      <c r="AR933" t="str">
        <f t="shared" si="110"/>
        <v>0000000000000</v>
      </c>
      <c r="AT933" t="str">
        <f>T("9791166068027")</f>
        <v>9791166068027</v>
      </c>
      <c r="AV933" t="str">
        <f>T("웹툰 &gt; 해외 순정")</f>
        <v>웹툰 &gt; 해외 순정</v>
      </c>
      <c r="AW933" t="str">
        <f>T("웹툰 &gt; 로맨스")</f>
        <v>웹툰 &gt; 로맨스</v>
      </c>
    </row>
    <row r="934" spans="1:49" x14ac:dyDescent="0.4">
      <c r="A934">
        <v>4421000916</v>
      </c>
      <c r="B934">
        <v>4421000930</v>
      </c>
      <c r="C934" t="str">
        <f>T("별빛 아래 우리 15화")</f>
        <v>별빛 아래 우리 15화</v>
      </c>
      <c r="D934" t="str">
        <f>T("15")</f>
        <v>15</v>
      </c>
      <c r="E934" t="str">
        <f>T("건일")</f>
        <v>건일</v>
      </c>
      <c r="G934" t="str">
        <f>T("건일")</f>
        <v>건일</v>
      </c>
      <c r="H934" t="str">
        <f t="shared" si="107"/>
        <v>스토리위즈</v>
      </c>
      <c r="I934" t="str">
        <f>T("별빛 아래 우리")</f>
        <v>별빛 아래 우리</v>
      </c>
      <c r="J934">
        <v>400</v>
      </c>
      <c r="K934">
        <v>0</v>
      </c>
      <c r="L934">
        <v>0</v>
      </c>
      <c r="M934">
        <v>0</v>
      </c>
      <c r="N934">
        <v>1600</v>
      </c>
      <c r="O934">
        <v>8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 s="3">
        <v>1600</v>
      </c>
      <c r="AH934" s="3">
        <v>8</v>
      </c>
      <c r="AI934" s="3">
        <v>0</v>
      </c>
      <c r="AJ934" s="3">
        <v>0</v>
      </c>
      <c r="AK934" s="3">
        <v>400</v>
      </c>
      <c r="AL934" s="3">
        <v>0</v>
      </c>
      <c r="AM934" s="3">
        <v>1441.02</v>
      </c>
      <c r="AN934" s="3">
        <v>-432.31</v>
      </c>
      <c r="AO934" s="3">
        <v>0</v>
      </c>
      <c r="AP934" s="3">
        <v>986.1</v>
      </c>
      <c r="AR934" t="str">
        <f t="shared" si="110"/>
        <v>0000000000000</v>
      </c>
      <c r="AT934" t="str">
        <f>T("9791137601413")</f>
        <v>9791137601413</v>
      </c>
      <c r="AV934" t="str">
        <f>T("웹툰 &gt; 해외 순정")</f>
        <v>웹툰 &gt; 해외 순정</v>
      </c>
      <c r="AW934" t="str">
        <f>T("웹툰 &gt; 로맨스")</f>
        <v>웹툰 &gt; 로맨스</v>
      </c>
    </row>
    <row r="935" spans="1:49" x14ac:dyDescent="0.4">
      <c r="A935">
        <v>4421001734</v>
      </c>
      <c r="B935">
        <v>4421001734</v>
      </c>
      <c r="C935" t="str">
        <f>T("이웃집 아이돌 1화")</f>
        <v>이웃집 아이돌 1화</v>
      </c>
      <c r="D935" t="str">
        <f>T("1")</f>
        <v>1</v>
      </c>
      <c r="E935" t="str">
        <f>T("웹티")</f>
        <v>웹티</v>
      </c>
      <c r="H935" t="str">
        <f t="shared" si="107"/>
        <v>스토리위즈</v>
      </c>
      <c r="I935" t="str">
        <f>T("이웃집 아이돌")</f>
        <v>이웃집 아이돌</v>
      </c>
      <c r="J935">
        <v>0</v>
      </c>
      <c r="K935">
        <v>0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 s="3">
        <v>0</v>
      </c>
      <c r="AH935" s="3">
        <v>1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R935" t="str">
        <f t="shared" si="110"/>
        <v>0000000000000</v>
      </c>
      <c r="AT935" t="str">
        <f>T("9791196660499")</f>
        <v>9791196660499</v>
      </c>
      <c r="AV935" t="str">
        <f>T("웹툰 &gt; 로맨스")</f>
        <v>웹툰 &gt; 로맨스</v>
      </c>
    </row>
    <row r="936" spans="1:49" x14ac:dyDescent="0.4">
      <c r="A936">
        <v>4421000337</v>
      </c>
      <c r="B936">
        <v>4421000387</v>
      </c>
      <c r="C936" t="str">
        <f>T("계약연애, 오늘부터 1일 51화")</f>
        <v>계약연애, 오늘부터 1일 51화</v>
      </c>
      <c r="D936" t="str">
        <f>T("51")</f>
        <v>51</v>
      </c>
      <c r="E936" t="str">
        <f>T("원기공장")</f>
        <v>원기공장</v>
      </c>
      <c r="H936" t="str">
        <f t="shared" si="107"/>
        <v>스토리위즈</v>
      </c>
      <c r="I936" t="str">
        <f>T("계약연애, 오늘부터 1일")</f>
        <v>계약연애, 오늘부터 1일</v>
      </c>
      <c r="J936">
        <v>200</v>
      </c>
      <c r="K936">
        <v>0</v>
      </c>
      <c r="L936">
        <v>0</v>
      </c>
      <c r="M936">
        <v>0</v>
      </c>
      <c r="N936">
        <v>100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 s="3">
        <v>100</v>
      </c>
      <c r="AH936" s="3">
        <v>1</v>
      </c>
      <c r="AI936" s="3">
        <v>0</v>
      </c>
      <c r="AJ936" s="3">
        <v>0</v>
      </c>
      <c r="AK936" s="3">
        <v>100</v>
      </c>
      <c r="AL936" s="3">
        <v>0</v>
      </c>
      <c r="AM936" s="3">
        <v>0</v>
      </c>
      <c r="AN936" s="3">
        <v>0</v>
      </c>
      <c r="AO936" s="3">
        <v>0</v>
      </c>
      <c r="AP936" s="3">
        <v>70</v>
      </c>
      <c r="AR936" t="str">
        <f t="shared" si="110"/>
        <v>0000000000000</v>
      </c>
      <c r="AT936" t="str">
        <f>T("9791166068027")</f>
        <v>9791166068027</v>
      </c>
      <c r="AV936" t="str">
        <f>T("웹툰 &gt; 해외 순정")</f>
        <v>웹툰 &gt; 해외 순정</v>
      </c>
      <c r="AW936" t="str">
        <f>T("웹툰 &gt; 로맨스")</f>
        <v>웹툰 &gt; 로맨스</v>
      </c>
    </row>
    <row r="937" spans="1:49" x14ac:dyDescent="0.4">
      <c r="A937">
        <v>4421000887</v>
      </c>
      <c r="B937">
        <v>4421000891</v>
      </c>
      <c r="C937" t="str">
        <f>T("폭군의 눈물 5화")</f>
        <v>폭군의 눈물 5화</v>
      </c>
      <c r="D937" t="str">
        <f>T("5")</f>
        <v>5</v>
      </c>
      <c r="E937" t="str">
        <f>T("Ice×FANFAN COMIC")</f>
        <v>Ice×FANFAN COMIC</v>
      </c>
      <c r="G937" t="str">
        <f>T("Ice×FANFAN COMIC")</f>
        <v>Ice×FANFAN COMIC</v>
      </c>
      <c r="H937" t="str">
        <f t="shared" si="107"/>
        <v>스토리위즈</v>
      </c>
      <c r="I937" t="str">
        <f>T("폭군의 눈물")</f>
        <v>폭군의 눈물</v>
      </c>
      <c r="J937">
        <v>400</v>
      </c>
      <c r="K937">
        <v>0</v>
      </c>
      <c r="L937">
        <v>0</v>
      </c>
      <c r="M937">
        <v>0</v>
      </c>
      <c r="N937">
        <v>800</v>
      </c>
      <c r="O937">
        <v>4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 s="3">
        <v>800</v>
      </c>
      <c r="AH937" s="3">
        <v>4</v>
      </c>
      <c r="AI937" s="3">
        <v>0</v>
      </c>
      <c r="AJ937" s="3">
        <v>0</v>
      </c>
      <c r="AK937" s="3">
        <v>300</v>
      </c>
      <c r="AL937" s="3">
        <v>0</v>
      </c>
      <c r="AM937" s="3">
        <v>600</v>
      </c>
      <c r="AN937" s="3">
        <v>-180</v>
      </c>
      <c r="AO937" s="3">
        <v>0</v>
      </c>
      <c r="AP937" s="3">
        <v>504</v>
      </c>
      <c r="AR937" t="str">
        <f t="shared" si="110"/>
        <v>0000000000000</v>
      </c>
      <c r="AT937" t="str">
        <f>T("9791137601291")</f>
        <v>9791137601291</v>
      </c>
      <c r="AV937" t="str">
        <f>T("웹툰 &gt; 해외 순정")</f>
        <v>웹툰 &gt; 해외 순정</v>
      </c>
      <c r="AW937" t="str">
        <f>T("웹툰 &gt; 로판")</f>
        <v>웹툰 &gt; 로판</v>
      </c>
    </row>
    <row r="938" spans="1:49" x14ac:dyDescent="0.4">
      <c r="A938">
        <v>4421002205</v>
      </c>
      <c r="B938">
        <v>4421002205</v>
      </c>
      <c r="C938" t="str">
        <f>T("승부 1화")</f>
        <v>승부 1화</v>
      </c>
      <c r="D938" t="str">
        <f>T("1")</f>
        <v>1</v>
      </c>
      <c r="E938" t="str">
        <f>T("웹티")</f>
        <v>웹티</v>
      </c>
      <c r="H938" t="str">
        <f t="shared" si="107"/>
        <v>스토리위즈</v>
      </c>
      <c r="I938" t="str">
        <f>T("승부")</f>
        <v>승부</v>
      </c>
      <c r="J938">
        <v>0</v>
      </c>
      <c r="K938">
        <v>0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 s="3">
        <v>0</v>
      </c>
      <c r="AH938" s="3">
        <v>1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T938" t="str">
        <f>T("9791190622059")</f>
        <v>9791190622059</v>
      </c>
      <c r="AV938" t="str">
        <f>T("웹툰 &gt; 드라마")</f>
        <v>웹툰 &gt; 드라마</v>
      </c>
    </row>
    <row r="939" spans="1:49" x14ac:dyDescent="0.4">
      <c r="A939">
        <v>4421000001</v>
      </c>
      <c r="B939">
        <v>4421000045</v>
      </c>
      <c r="C939" t="str">
        <f>T("감옥실험 25화")</f>
        <v>감옥실험 25화</v>
      </c>
      <c r="D939" t="str">
        <f>T("25")</f>
        <v>25</v>
      </c>
      <c r="E939" t="str">
        <f>T("Kantetsu")</f>
        <v>Kantetsu</v>
      </c>
      <c r="G939" t="str">
        <f>T("Minase Chiho")</f>
        <v>Minase Chiho</v>
      </c>
      <c r="H939" t="str">
        <f t="shared" si="107"/>
        <v>스토리위즈</v>
      </c>
      <c r="I939" t="str">
        <f>T("감옥실험")</f>
        <v>감옥실험</v>
      </c>
      <c r="J939">
        <v>500</v>
      </c>
      <c r="K939">
        <v>0</v>
      </c>
      <c r="L939">
        <v>0</v>
      </c>
      <c r="M939">
        <v>0</v>
      </c>
      <c r="N939">
        <v>1200</v>
      </c>
      <c r="O939">
        <v>4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 s="3">
        <v>1200</v>
      </c>
      <c r="AH939" s="3">
        <v>4</v>
      </c>
      <c r="AI939" s="3">
        <v>0</v>
      </c>
      <c r="AJ939" s="3">
        <v>0</v>
      </c>
      <c r="AK939" s="3">
        <v>900</v>
      </c>
      <c r="AL939" s="3">
        <v>0</v>
      </c>
      <c r="AM939" s="3">
        <v>360</v>
      </c>
      <c r="AN939" s="3">
        <v>-108</v>
      </c>
      <c r="AO939" s="3">
        <v>0</v>
      </c>
      <c r="AP939" s="3">
        <v>806.4</v>
      </c>
      <c r="AT939" t="str">
        <f>T("9791166069406")</f>
        <v>9791166069406</v>
      </c>
      <c r="AV939" t="str">
        <f>T("웹툰 &gt; 드라마")</f>
        <v>웹툰 &gt; 드라마</v>
      </c>
    </row>
    <row r="940" spans="1:49" x14ac:dyDescent="0.4">
      <c r="A940">
        <v>4421000518</v>
      </c>
      <c r="B940">
        <v>4421000564</v>
      </c>
      <c r="C940" t="str">
        <f>T("백스테이지 키스신 46화")</f>
        <v>백스테이지 키스신 46화</v>
      </c>
      <c r="D940" t="str">
        <f>T("46")</f>
        <v>46</v>
      </c>
      <c r="E940" t="str">
        <f>T("최도비")</f>
        <v>최도비</v>
      </c>
      <c r="G940" t="str">
        <f>T("수정과")</f>
        <v>수정과</v>
      </c>
      <c r="H940" t="str">
        <f t="shared" si="107"/>
        <v>스토리위즈</v>
      </c>
      <c r="I940" t="str">
        <f>T("백스테이지 키스신")</f>
        <v>백스테이지 키스신</v>
      </c>
      <c r="J940">
        <v>400</v>
      </c>
      <c r="K940">
        <v>0</v>
      </c>
      <c r="L940">
        <v>0</v>
      </c>
      <c r="M940">
        <v>0</v>
      </c>
      <c r="N940">
        <v>200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 s="3">
        <v>200</v>
      </c>
      <c r="AH940" s="3">
        <v>1</v>
      </c>
      <c r="AI940" s="3">
        <v>0</v>
      </c>
      <c r="AJ940" s="3">
        <v>0</v>
      </c>
      <c r="AK940" s="3">
        <v>200</v>
      </c>
      <c r="AL940" s="3">
        <v>0</v>
      </c>
      <c r="AM940" s="3">
        <v>0</v>
      </c>
      <c r="AN940" s="3">
        <v>0</v>
      </c>
      <c r="AO940" s="3">
        <v>0</v>
      </c>
      <c r="AP940" s="3">
        <v>140</v>
      </c>
      <c r="AR940" t="str">
        <f t="shared" ref="AR940:AR948" si="111">T("0000000000000")</f>
        <v>0000000000000</v>
      </c>
      <c r="AT940" t="str">
        <f>T("9791166067990")</f>
        <v>9791166067990</v>
      </c>
      <c r="AV940" t="str">
        <f>T("웹툰 &gt; 로맨스")</f>
        <v>웹툰 &gt; 로맨스</v>
      </c>
    </row>
    <row r="941" spans="1:49" x14ac:dyDescent="0.4">
      <c r="A941">
        <v>4421000866</v>
      </c>
      <c r="B941">
        <v>4421002853</v>
      </c>
      <c r="C941" t="str">
        <f>T("최애에게 들켜버렸다 84화")</f>
        <v>최애에게 들켜버렸다 84화</v>
      </c>
      <c r="D941" t="str">
        <f>T("87")</f>
        <v>87</v>
      </c>
      <c r="E941" t="str">
        <f>T("Lv")</f>
        <v>Lv</v>
      </c>
      <c r="G941" t="str">
        <f>T("Lv")</f>
        <v>Lv</v>
      </c>
      <c r="H941" t="str">
        <f t="shared" si="107"/>
        <v>스토리위즈</v>
      </c>
      <c r="I941" t="str">
        <f>T("최애에게 들켜버렸다")</f>
        <v>최애에게 들켜버렸다</v>
      </c>
      <c r="J941">
        <v>400</v>
      </c>
      <c r="K941">
        <v>0</v>
      </c>
      <c r="L941">
        <v>0</v>
      </c>
      <c r="M941">
        <v>0</v>
      </c>
      <c r="N941">
        <v>1400</v>
      </c>
      <c r="O941">
        <v>7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 s="3">
        <v>1400</v>
      </c>
      <c r="AH941" s="3">
        <v>7</v>
      </c>
      <c r="AI941" s="3">
        <v>0</v>
      </c>
      <c r="AJ941" s="3">
        <v>0</v>
      </c>
      <c r="AK941" s="3">
        <v>1025</v>
      </c>
      <c r="AL941" s="3">
        <v>0</v>
      </c>
      <c r="AM941" s="3">
        <v>450.18</v>
      </c>
      <c r="AN941" s="3">
        <v>-135.05000000000001</v>
      </c>
      <c r="AO941" s="3">
        <v>0</v>
      </c>
      <c r="AP941" s="3">
        <v>938.09</v>
      </c>
      <c r="AR941" t="str">
        <f t="shared" si="111"/>
        <v>0000000000000</v>
      </c>
      <c r="AT941" t="str">
        <f>T("9791137601253")</f>
        <v>9791137601253</v>
      </c>
      <c r="AV941" t="str">
        <f>T("웹툰 &gt; 해외 순정")</f>
        <v>웹툰 &gt; 해외 순정</v>
      </c>
      <c r="AW941" t="str">
        <f>T("웹툰 &gt; 로맨스")</f>
        <v>웹툰 &gt; 로맨스</v>
      </c>
    </row>
    <row r="942" spans="1:49" x14ac:dyDescent="0.4">
      <c r="A942">
        <v>4421000518</v>
      </c>
      <c r="B942">
        <v>4421000524</v>
      </c>
      <c r="C942" t="str">
        <f>T("백스테이지 키스신 6화")</f>
        <v>백스테이지 키스신 6화</v>
      </c>
      <c r="D942" t="str">
        <f>T("6")</f>
        <v>6</v>
      </c>
      <c r="E942" t="str">
        <f>T("최도비")</f>
        <v>최도비</v>
      </c>
      <c r="G942" t="str">
        <f>T("수정과")</f>
        <v>수정과</v>
      </c>
      <c r="H942" t="str">
        <f t="shared" si="107"/>
        <v>스토리위즈</v>
      </c>
      <c r="I942" t="str">
        <f>T("백스테이지 키스신")</f>
        <v>백스테이지 키스신</v>
      </c>
      <c r="J942">
        <v>400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2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 s="3">
        <v>0</v>
      </c>
      <c r="AH942" s="3">
        <v>2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R942" t="str">
        <f t="shared" si="111"/>
        <v>0000000000000</v>
      </c>
      <c r="AT942" t="str">
        <f>T("9791166067990")</f>
        <v>9791166067990</v>
      </c>
      <c r="AV942" t="str">
        <f>T("웹툰 &gt; 로맨스")</f>
        <v>웹툰 &gt; 로맨스</v>
      </c>
    </row>
    <row r="943" spans="1:49" x14ac:dyDescent="0.4">
      <c r="A943">
        <v>4421000198</v>
      </c>
      <c r="B943">
        <v>4421001243</v>
      </c>
      <c r="C943" t="str">
        <f>T("공주전쟁 77화")</f>
        <v>공주전쟁 77화</v>
      </c>
      <c r="D943" t="str">
        <f>T("77")</f>
        <v>77</v>
      </c>
      <c r="E943" t="str">
        <f>T("Hujing")</f>
        <v>Hujing</v>
      </c>
      <c r="G943" t="str">
        <f>T("Luojie")</f>
        <v>Luojie</v>
      </c>
      <c r="H943" t="str">
        <f t="shared" si="107"/>
        <v>스토리위즈</v>
      </c>
      <c r="I943" t="str">
        <f>T("공주전쟁")</f>
        <v>공주전쟁</v>
      </c>
      <c r="J943">
        <v>400</v>
      </c>
      <c r="K943">
        <v>0</v>
      </c>
      <c r="L943">
        <v>0</v>
      </c>
      <c r="M943">
        <v>0</v>
      </c>
      <c r="N943">
        <v>200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 s="3">
        <v>200</v>
      </c>
      <c r="AH943" s="3">
        <v>1</v>
      </c>
      <c r="AI943" s="3">
        <v>0</v>
      </c>
      <c r="AJ943" s="3">
        <v>0</v>
      </c>
      <c r="AK943" s="3">
        <v>0</v>
      </c>
      <c r="AL943" s="3">
        <v>0</v>
      </c>
      <c r="AM943" s="3">
        <v>240</v>
      </c>
      <c r="AN943" s="3">
        <v>-72</v>
      </c>
      <c r="AO943" s="3">
        <v>0</v>
      </c>
      <c r="AP943" s="3">
        <v>117.6</v>
      </c>
      <c r="AR943" t="str">
        <f t="shared" si="111"/>
        <v>0000000000000</v>
      </c>
      <c r="AT943" t="str">
        <f>T("9791166069666")</f>
        <v>9791166069666</v>
      </c>
      <c r="AV943" t="str">
        <f>T("웹툰 &gt; 해외 순정")</f>
        <v>웹툰 &gt; 해외 순정</v>
      </c>
      <c r="AW943" t="str">
        <f>T("웹툰 &gt; 로판")</f>
        <v>웹툰 &gt; 로판</v>
      </c>
    </row>
    <row r="944" spans="1:49" x14ac:dyDescent="0.4">
      <c r="A944">
        <v>4421000069</v>
      </c>
      <c r="B944">
        <v>4421000085</v>
      </c>
      <c r="C944" t="str">
        <f>T("너랑 나랑 하면 16화")</f>
        <v>너랑 나랑 하면 16화</v>
      </c>
      <c r="D944" t="str">
        <f>T("16")</f>
        <v>16</v>
      </c>
      <c r="E944" t="str">
        <f>T("NISANSUI")</f>
        <v>NISANSUI</v>
      </c>
      <c r="G944" t="str">
        <f>T("ZIQUAN")</f>
        <v>ZIQUAN</v>
      </c>
      <c r="H944" t="str">
        <f t="shared" si="107"/>
        <v>스토리위즈</v>
      </c>
      <c r="I944" t="str">
        <f>T("너랑 나랑 하면")</f>
        <v>너랑 나랑 하면</v>
      </c>
      <c r="J944">
        <v>400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 s="3">
        <v>0</v>
      </c>
      <c r="AH944" s="3">
        <v>3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R944" t="str">
        <f t="shared" si="111"/>
        <v>0000000000000</v>
      </c>
      <c r="AT944" t="str">
        <f>T("9791166067884")</f>
        <v>9791166067884</v>
      </c>
      <c r="AV944" t="str">
        <f>T("BL 웹툰 &gt; 웹툰")</f>
        <v>BL 웹툰 &gt; 웹툰</v>
      </c>
    </row>
    <row r="945" spans="1:49" x14ac:dyDescent="0.4">
      <c r="A945">
        <v>4421000916</v>
      </c>
      <c r="B945">
        <v>4421001472</v>
      </c>
      <c r="C945" t="str">
        <f>T("별빛 아래 우리 73화")</f>
        <v>별빛 아래 우리 73화</v>
      </c>
      <c r="D945" t="str">
        <f>T("73")</f>
        <v>73</v>
      </c>
      <c r="E945" t="str">
        <f>T("건일")</f>
        <v>건일</v>
      </c>
      <c r="G945" t="str">
        <f>T("건일")</f>
        <v>건일</v>
      </c>
      <c r="H945" t="str">
        <f t="shared" si="107"/>
        <v>스토리위즈</v>
      </c>
      <c r="I945" t="str">
        <f>T("별빛 아래 우리")</f>
        <v>별빛 아래 우리</v>
      </c>
      <c r="J945">
        <v>400</v>
      </c>
      <c r="K945">
        <v>0</v>
      </c>
      <c r="L945">
        <v>0</v>
      </c>
      <c r="M945">
        <v>0</v>
      </c>
      <c r="N945">
        <v>1400</v>
      </c>
      <c r="O945">
        <v>7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 s="3">
        <v>1400</v>
      </c>
      <c r="AH945" s="3">
        <v>7</v>
      </c>
      <c r="AI945" s="3">
        <v>0</v>
      </c>
      <c r="AJ945" s="3">
        <v>0</v>
      </c>
      <c r="AK945" s="3">
        <v>780</v>
      </c>
      <c r="AL945" s="3">
        <v>0</v>
      </c>
      <c r="AM945" s="3">
        <v>744.83</v>
      </c>
      <c r="AN945" s="3">
        <v>-223.45</v>
      </c>
      <c r="AO945" s="3">
        <v>0</v>
      </c>
      <c r="AP945" s="3">
        <v>910.97</v>
      </c>
      <c r="AR945" t="str">
        <f t="shared" si="111"/>
        <v>0000000000000</v>
      </c>
      <c r="AT945" t="str">
        <f>T("9791137601413")</f>
        <v>9791137601413</v>
      </c>
      <c r="AV945" t="str">
        <f>T("웹툰 &gt; 해외 순정")</f>
        <v>웹툰 &gt; 해외 순정</v>
      </c>
      <c r="AW945" t="str">
        <f>T("웹툰 &gt; 로맨스")</f>
        <v>웹툰 &gt; 로맨스</v>
      </c>
    </row>
    <row r="946" spans="1:49" x14ac:dyDescent="0.4">
      <c r="A946">
        <v>4421000916</v>
      </c>
      <c r="B946">
        <v>4421000923</v>
      </c>
      <c r="C946" t="str">
        <f>T("별빛 아래 우리 8화")</f>
        <v>별빛 아래 우리 8화</v>
      </c>
      <c r="D946" t="str">
        <f>T("8")</f>
        <v>8</v>
      </c>
      <c r="E946" t="str">
        <f>T("건일")</f>
        <v>건일</v>
      </c>
      <c r="G946" t="str">
        <f>T("건일")</f>
        <v>건일</v>
      </c>
      <c r="H946" t="str">
        <f t="shared" si="107"/>
        <v>스토리위즈</v>
      </c>
      <c r="I946" t="str">
        <f>T("별빛 아래 우리")</f>
        <v>별빛 아래 우리</v>
      </c>
      <c r="J946">
        <v>400</v>
      </c>
      <c r="K946">
        <v>0</v>
      </c>
      <c r="L946">
        <v>0</v>
      </c>
      <c r="M946">
        <v>0</v>
      </c>
      <c r="N946">
        <v>1200</v>
      </c>
      <c r="O946">
        <v>6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 s="3">
        <v>1200</v>
      </c>
      <c r="AH946" s="3">
        <v>6</v>
      </c>
      <c r="AI946" s="3">
        <v>0</v>
      </c>
      <c r="AJ946" s="3">
        <v>0</v>
      </c>
      <c r="AK946" s="3">
        <v>400</v>
      </c>
      <c r="AL946" s="3">
        <v>0</v>
      </c>
      <c r="AM946" s="3">
        <v>960.2</v>
      </c>
      <c r="AN946" s="3">
        <v>-288.06</v>
      </c>
      <c r="AO946" s="3">
        <v>0</v>
      </c>
      <c r="AP946" s="3">
        <v>750.5</v>
      </c>
      <c r="AR946" t="str">
        <f t="shared" si="111"/>
        <v>0000000000000</v>
      </c>
      <c r="AT946" t="str">
        <f>T("9791137601413")</f>
        <v>9791137601413</v>
      </c>
      <c r="AV946" t="str">
        <f>T("웹툰 &gt; 해외 순정")</f>
        <v>웹툰 &gt; 해외 순정</v>
      </c>
      <c r="AW946" t="str">
        <f>T("웹툰 &gt; 로맨스")</f>
        <v>웹툰 &gt; 로맨스</v>
      </c>
    </row>
    <row r="947" spans="1:49" x14ac:dyDescent="0.4">
      <c r="A947">
        <v>4421001340</v>
      </c>
      <c r="B947">
        <v>4421001360</v>
      </c>
      <c r="C947" t="str">
        <f>T("가출천사 육성계약 21화")</f>
        <v>가출천사 육성계약 21화</v>
      </c>
      <c r="D947" t="str">
        <f>T("21")</f>
        <v>21</v>
      </c>
      <c r="E947" t="str">
        <f>T("Bae.C, IIAKI, 박제후")</f>
        <v>Bae.C, IIAKI, 박제후</v>
      </c>
      <c r="G947" t="str">
        <f>T("Bae.C, 조우")</f>
        <v>Bae.C, 조우</v>
      </c>
      <c r="H947" t="str">
        <f t="shared" si="107"/>
        <v>스토리위즈</v>
      </c>
      <c r="I947" t="str">
        <f>T("가출천사 육성계약")</f>
        <v>가출천사 육성계약</v>
      </c>
      <c r="J947">
        <v>400</v>
      </c>
      <c r="K947">
        <v>0</v>
      </c>
      <c r="L947">
        <v>0</v>
      </c>
      <c r="M947">
        <v>0</v>
      </c>
      <c r="N947">
        <v>200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 s="3">
        <v>200</v>
      </c>
      <c r="AH947" s="3">
        <v>1</v>
      </c>
      <c r="AI947" s="3">
        <v>0</v>
      </c>
      <c r="AJ947" s="3">
        <v>0</v>
      </c>
      <c r="AK947" s="3">
        <v>200</v>
      </c>
      <c r="AL947" s="3">
        <v>0</v>
      </c>
      <c r="AM947" s="3">
        <v>0</v>
      </c>
      <c r="AN947" s="3">
        <v>0</v>
      </c>
      <c r="AO947" s="3">
        <v>0</v>
      </c>
      <c r="AP947" s="3">
        <v>140</v>
      </c>
      <c r="AR947" t="str">
        <f t="shared" si="111"/>
        <v>0000000000000</v>
      </c>
      <c r="AT947" t="str">
        <f>T("9791191765663")</f>
        <v>9791191765663</v>
      </c>
      <c r="AV947" t="str">
        <f>T("웹툰 &gt; 판타지/SF")</f>
        <v>웹툰 &gt; 판타지/SF</v>
      </c>
    </row>
    <row r="948" spans="1:49" x14ac:dyDescent="0.4">
      <c r="A948">
        <v>4421000337</v>
      </c>
      <c r="B948">
        <v>4421000420</v>
      </c>
      <c r="C948" t="str">
        <f>T("계약연애, 오늘부터 1일 84화")</f>
        <v>계약연애, 오늘부터 1일 84화</v>
      </c>
      <c r="D948" t="str">
        <f>T("84")</f>
        <v>84</v>
      </c>
      <c r="E948" t="str">
        <f>T("원기공장")</f>
        <v>원기공장</v>
      </c>
      <c r="H948" t="str">
        <f t="shared" si="107"/>
        <v>스토리위즈</v>
      </c>
      <c r="I948" t="str">
        <f>T("계약연애, 오늘부터 1일")</f>
        <v>계약연애, 오늘부터 1일</v>
      </c>
      <c r="J948">
        <v>200</v>
      </c>
      <c r="K948">
        <v>0</v>
      </c>
      <c r="L948">
        <v>0</v>
      </c>
      <c r="M948">
        <v>0</v>
      </c>
      <c r="N948">
        <v>100</v>
      </c>
      <c r="O948"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 s="3">
        <v>100</v>
      </c>
      <c r="AH948" s="3">
        <v>1</v>
      </c>
      <c r="AI948" s="3">
        <v>0</v>
      </c>
      <c r="AJ948" s="3">
        <v>0</v>
      </c>
      <c r="AK948" s="3">
        <v>100</v>
      </c>
      <c r="AL948" s="3">
        <v>0</v>
      </c>
      <c r="AM948" s="3">
        <v>0</v>
      </c>
      <c r="AN948" s="3">
        <v>0</v>
      </c>
      <c r="AO948" s="3">
        <v>0</v>
      </c>
      <c r="AP948" s="3">
        <v>70</v>
      </c>
      <c r="AR948" t="str">
        <f t="shared" si="111"/>
        <v>0000000000000</v>
      </c>
      <c r="AT948" t="str">
        <f>T("9791166068027")</f>
        <v>9791166068027</v>
      </c>
      <c r="AV948" t="str">
        <f>T("웹툰 &gt; 해외 순정")</f>
        <v>웹툰 &gt; 해외 순정</v>
      </c>
      <c r="AW948" t="str">
        <f>T("웹툰 &gt; 로맨스")</f>
        <v>웹툰 &gt; 로맨스</v>
      </c>
    </row>
    <row r="949" spans="1:49" x14ac:dyDescent="0.4">
      <c r="A949">
        <v>4421001584</v>
      </c>
      <c r="B949">
        <v>4421001586</v>
      </c>
      <c r="C949" t="str">
        <f>T("결혼전쟁 3화")</f>
        <v>결혼전쟁 3화</v>
      </c>
      <c r="D949" t="str">
        <f>T("3")</f>
        <v>3</v>
      </c>
      <c r="E949" t="str">
        <f>T("웹티")</f>
        <v>웹티</v>
      </c>
      <c r="H949" t="str">
        <f t="shared" si="107"/>
        <v>스토리위즈</v>
      </c>
      <c r="I949" t="str">
        <f>T("결혼전쟁")</f>
        <v>결혼전쟁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 s="3">
        <v>0</v>
      </c>
      <c r="AH949" s="3">
        <v>1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T949" t="str">
        <f>T("9791196333720")</f>
        <v>9791196333720</v>
      </c>
      <c r="AV949" t="str">
        <f>T("웹툰 &gt; 로맨스")</f>
        <v>웹툰 &gt; 로맨스</v>
      </c>
    </row>
    <row r="950" spans="1:49" x14ac:dyDescent="0.4">
      <c r="A950">
        <v>4421000337</v>
      </c>
      <c r="B950">
        <v>4421000380</v>
      </c>
      <c r="C950" t="str">
        <f>T("계약연애, 오늘부터 1일 44화")</f>
        <v>계약연애, 오늘부터 1일 44화</v>
      </c>
      <c r="D950" t="str">
        <f>T("44")</f>
        <v>44</v>
      </c>
      <c r="E950" t="str">
        <f>T("원기공장")</f>
        <v>원기공장</v>
      </c>
      <c r="H950" t="str">
        <f t="shared" si="107"/>
        <v>스토리위즈</v>
      </c>
      <c r="I950" t="str">
        <f>T("계약연애, 오늘부터 1일")</f>
        <v>계약연애, 오늘부터 1일</v>
      </c>
      <c r="J950">
        <v>200</v>
      </c>
      <c r="K950">
        <v>0</v>
      </c>
      <c r="L950">
        <v>0</v>
      </c>
      <c r="M950">
        <v>0</v>
      </c>
      <c r="N950">
        <v>100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 s="3">
        <v>100</v>
      </c>
      <c r="AH950" s="3">
        <v>1</v>
      </c>
      <c r="AI950" s="3">
        <v>0</v>
      </c>
      <c r="AJ950" s="3">
        <v>0</v>
      </c>
      <c r="AK950" s="3">
        <v>100</v>
      </c>
      <c r="AL950" s="3">
        <v>0</v>
      </c>
      <c r="AM950" s="3">
        <v>0</v>
      </c>
      <c r="AN950" s="3">
        <v>0</v>
      </c>
      <c r="AO950" s="3">
        <v>0</v>
      </c>
      <c r="AP950" s="3">
        <v>70</v>
      </c>
      <c r="AR950" t="str">
        <f t="shared" ref="AR950:AR959" si="112">T("0000000000000")</f>
        <v>0000000000000</v>
      </c>
      <c r="AT950" t="str">
        <f>T("9791166068027")</f>
        <v>9791166068027</v>
      </c>
      <c r="AV950" t="str">
        <f t="shared" ref="AV950:AV955" si="113">T("웹툰 &gt; 해외 순정")</f>
        <v>웹툰 &gt; 해외 순정</v>
      </c>
      <c r="AW950" t="str">
        <f>T("웹툰 &gt; 로맨스")</f>
        <v>웹툰 &gt; 로맨스</v>
      </c>
    </row>
    <row r="951" spans="1:49" x14ac:dyDescent="0.4">
      <c r="A951">
        <v>4421000866</v>
      </c>
      <c r="B951">
        <v>4421001280</v>
      </c>
      <c r="C951" t="str">
        <f>T("최애에게 들켜버렸다 64화")</f>
        <v>최애에게 들켜버렸다 64화</v>
      </c>
      <c r="D951" t="str">
        <f>T("67")</f>
        <v>67</v>
      </c>
      <c r="E951" t="str">
        <f>T("Lv")</f>
        <v>Lv</v>
      </c>
      <c r="G951" t="str">
        <f>T("Lv")</f>
        <v>Lv</v>
      </c>
      <c r="H951" t="str">
        <f t="shared" si="107"/>
        <v>스토리위즈</v>
      </c>
      <c r="I951" t="str">
        <f>T("최애에게 들켜버렸다")</f>
        <v>최애에게 들켜버렸다</v>
      </c>
      <c r="J951">
        <v>400</v>
      </c>
      <c r="K951">
        <v>0</v>
      </c>
      <c r="L951">
        <v>0</v>
      </c>
      <c r="M951">
        <v>0</v>
      </c>
      <c r="N951">
        <v>600</v>
      </c>
      <c r="O951">
        <v>3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 s="3">
        <v>600</v>
      </c>
      <c r="AH951" s="3">
        <v>3</v>
      </c>
      <c r="AI951" s="3">
        <v>0</v>
      </c>
      <c r="AJ951" s="3">
        <v>0</v>
      </c>
      <c r="AK951" s="3">
        <v>424</v>
      </c>
      <c r="AL951" s="3">
        <v>0</v>
      </c>
      <c r="AM951" s="3">
        <v>211.38</v>
      </c>
      <c r="AN951" s="3">
        <v>-63.41</v>
      </c>
      <c r="AO951" s="3">
        <v>0</v>
      </c>
      <c r="AP951" s="3">
        <v>400.38</v>
      </c>
      <c r="AR951" t="str">
        <f t="shared" si="112"/>
        <v>0000000000000</v>
      </c>
      <c r="AT951" t="str">
        <f>T("9791137601253")</f>
        <v>9791137601253</v>
      </c>
      <c r="AV951" t="str">
        <f t="shared" si="113"/>
        <v>웹툰 &gt; 해외 순정</v>
      </c>
      <c r="AW951" t="str">
        <f>T("웹툰 &gt; 로맨스")</f>
        <v>웹툰 &gt; 로맨스</v>
      </c>
    </row>
    <row r="952" spans="1:49" x14ac:dyDescent="0.4">
      <c r="A952">
        <v>4421000916</v>
      </c>
      <c r="B952">
        <v>4421001562</v>
      </c>
      <c r="C952" t="str">
        <f>T("별빛 아래 우리 78화")</f>
        <v>별빛 아래 우리 78화</v>
      </c>
      <c r="D952" t="str">
        <f>T("78")</f>
        <v>78</v>
      </c>
      <c r="E952" t="str">
        <f>T("건일")</f>
        <v>건일</v>
      </c>
      <c r="G952" t="str">
        <f>T("건일")</f>
        <v>건일</v>
      </c>
      <c r="H952" t="str">
        <f t="shared" si="107"/>
        <v>스토리위즈</v>
      </c>
      <c r="I952" t="str">
        <f>T("별빛 아래 우리")</f>
        <v>별빛 아래 우리</v>
      </c>
      <c r="J952">
        <v>400</v>
      </c>
      <c r="K952">
        <v>0</v>
      </c>
      <c r="L952">
        <v>0</v>
      </c>
      <c r="M952">
        <v>0</v>
      </c>
      <c r="N952">
        <v>1800</v>
      </c>
      <c r="O952">
        <v>9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 s="3">
        <v>1800</v>
      </c>
      <c r="AH952" s="3">
        <v>9</v>
      </c>
      <c r="AI952" s="3">
        <v>0</v>
      </c>
      <c r="AJ952" s="3">
        <v>0</v>
      </c>
      <c r="AK952" s="3">
        <v>1180</v>
      </c>
      <c r="AL952" s="3">
        <v>0</v>
      </c>
      <c r="AM952" s="3">
        <v>744.83</v>
      </c>
      <c r="AN952" s="3">
        <v>-223.45</v>
      </c>
      <c r="AO952" s="3">
        <v>0</v>
      </c>
      <c r="AP952" s="3">
        <v>1190.97</v>
      </c>
      <c r="AR952" t="str">
        <f t="shared" si="112"/>
        <v>0000000000000</v>
      </c>
      <c r="AT952" t="str">
        <f>T("9791137601413")</f>
        <v>9791137601413</v>
      </c>
      <c r="AV952" t="str">
        <f t="shared" si="113"/>
        <v>웹툰 &gt; 해외 순정</v>
      </c>
      <c r="AW952" t="str">
        <f>T("웹툰 &gt; 로맨스")</f>
        <v>웹툰 &gt; 로맨스</v>
      </c>
    </row>
    <row r="953" spans="1:49" x14ac:dyDescent="0.4">
      <c r="A953">
        <v>4421000198</v>
      </c>
      <c r="B953">
        <v>4421000227</v>
      </c>
      <c r="C953" t="str">
        <f>T("공주전쟁 30화")</f>
        <v>공주전쟁 30화</v>
      </c>
      <c r="D953" t="str">
        <f>T("30")</f>
        <v>30</v>
      </c>
      <c r="E953" t="str">
        <f>T("Hujing")</f>
        <v>Hujing</v>
      </c>
      <c r="G953" t="str">
        <f>T("Luojie")</f>
        <v>Luojie</v>
      </c>
      <c r="H953" t="str">
        <f t="shared" si="107"/>
        <v>스토리위즈</v>
      </c>
      <c r="I953" t="str">
        <f>T("공주전쟁")</f>
        <v>공주전쟁</v>
      </c>
      <c r="J953">
        <v>400</v>
      </c>
      <c r="K953">
        <v>0</v>
      </c>
      <c r="L953">
        <v>0</v>
      </c>
      <c r="M953">
        <v>0</v>
      </c>
      <c r="N953">
        <v>600</v>
      </c>
      <c r="O953">
        <v>3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 s="3">
        <v>600</v>
      </c>
      <c r="AH953" s="3">
        <v>3</v>
      </c>
      <c r="AI953" s="3">
        <v>0</v>
      </c>
      <c r="AJ953" s="3">
        <v>0</v>
      </c>
      <c r="AK953" s="3">
        <v>400</v>
      </c>
      <c r="AL953" s="3">
        <v>0</v>
      </c>
      <c r="AM953" s="3">
        <v>240</v>
      </c>
      <c r="AN953" s="3">
        <v>-72</v>
      </c>
      <c r="AO953" s="3">
        <v>0</v>
      </c>
      <c r="AP953" s="3">
        <v>397.6</v>
      </c>
      <c r="AR953" t="str">
        <f t="shared" si="112"/>
        <v>0000000000000</v>
      </c>
      <c r="AT953" t="str">
        <f>T("9791166069666")</f>
        <v>9791166069666</v>
      </c>
      <c r="AV953" t="str">
        <f t="shared" si="113"/>
        <v>웹툰 &gt; 해외 순정</v>
      </c>
      <c r="AW953" t="str">
        <f>T("웹툰 &gt; 로판")</f>
        <v>웹툰 &gt; 로판</v>
      </c>
    </row>
    <row r="954" spans="1:49" x14ac:dyDescent="0.4">
      <c r="A954">
        <v>4421000887</v>
      </c>
      <c r="B954">
        <v>4421001176</v>
      </c>
      <c r="C954" t="str">
        <f>T("폭군의 눈물 36화")</f>
        <v>폭군의 눈물 36화</v>
      </c>
      <c r="D954" t="str">
        <f>T("36")</f>
        <v>36</v>
      </c>
      <c r="E954" t="str">
        <f>T("Ice×FANFAN COMIC")</f>
        <v>Ice×FANFAN COMIC</v>
      </c>
      <c r="G954" t="str">
        <f>T("Ice×FANFAN COMIC")</f>
        <v>Ice×FANFAN COMIC</v>
      </c>
      <c r="H954" t="str">
        <f t="shared" si="107"/>
        <v>스토리위즈</v>
      </c>
      <c r="I954" t="str">
        <f>T("폭군의 눈물")</f>
        <v>폭군의 눈물</v>
      </c>
      <c r="J954">
        <v>400</v>
      </c>
      <c r="K954">
        <v>0</v>
      </c>
      <c r="L954">
        <v>0</v>
      </c>
      <c r="M954">
        <v>0</v>
      </c>
      <c r="N954">
        <v>600</v>
      </c>
      <c r="O954">
        <v>3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 s="3">
        <v>600</v>
      </c>
      <c r="AH954" s="3">
        <v>3</v>
      </c>
      <c r="AI954" s="3">
        <v>0</v>
      </c>
      <c r="AJ954" s="3">
        <v>0</v>
      </c>
      <c r="AK954" s="3">
        <v>400</v>
      </c>
      <c r="AL954" s="3">
        <v>0</v>
      </c>
      <c r="AM954" s="3">
        <v>240</v>
      </c>
      <c r="AN954" s="3">
        <v>-72</v>
      </c>
      <c r="AO954" s="3">
        <v>0</v>
      </c>
      <c r="AP954" s="3">
        <v>397.6</v>
      </c>
      <c r="AR954" t="str">
        <f t="shared" si="112"/>
        <v>0000000000000</v>
      </c>
      <c r="AT954" t="str">
        <f>T("9791137601291")</f>
        <v>9791137601291</v>
      </c>
      <c r="AV954" t="str">
        <f t="shared" si="113"/>
        <v>웹툰 &gt; 해외 순정</v>
      </c>
      <c r="AW954" t="str">
        <f>T("웹툰 &gt; 로판")</f>
        <v>웹툰 &gt; 로판</v>
      </c>
    </row>
    <row r="955" spans="1:49" x14ac:dyDescent="0.4">
      <c r="A955">
        <v>4421000198</v>
      </c>
      <c r="B955">
        <v>4421001462</v>
      </c>
      <c r="C955" t="str">
        <f>T("공주전쟁 95화")</f>
        <v>공주전쟁 95화</v>
      </c>
      <c r="D955" t="str">
        <f>T("95")</f>
        <v>95</v>
      </c>
      <c r="E955" t="str">
        <f>T("Hujing")</f>
        <v>Hujing</v>
      </c>
      <c r="G955" t="str">
        <f>T("Luojie")</f>
        <v>Luojie</v>
      </c>
      <c r="H955" t="str">
        <f t="shared" si="107"/>
        <v>스토리위즈</v>
      </c>
      <c r="I955" t="str">
        <f>T("공주전쟁")</f>
        <v>공주전쟁</v>
      </c>
      <c r="J955">
        <v>400</v>
      </c>
      <c r="K955">
        <v>0</v>
      </c>
      <c r="L955">
        <v>0</v>
      </c>
      <c r="M955">
        <v>0</v>
      </c>
      <c r="N955">
        <v>200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 s="3">
        <v>200</v>
      </c>
      <c r="AH955" s="3">
        <v>1</v>
      </c>
      <c r="AI955" s="3">
        <v>0</v>
      </c>
      <c r="AJ955" s="3">
        <v>0</v>
      </c>
      <c r="AK955" s="3">
        <v>0</v>
      </c>
      <c r="AL955" s="3">
        <v>0</v>
      </c>
      <c r="AM955" s="3">
        <v>240</v>
      </c>
      <c r="AN955" s="3">
        <v>-72</v>
      </c>
      <c r="AO955" s="3">
        <v>0</v>
      </c>
      <c r="AP955" s="3">
        <v>117.6</v>
      </c>
      <c r="AR955" t="str">
        <f t="shared" si="112"/>
        <v>0000000000000</v>
      </c>
      <c r="AT955" t="str">
        <f>T("9791166069666")</f>
        <v>9791166069666</v>
      </c>
      <c r="AV955" t="str">
        <f t="shared" si="113"/>
        <v>웹툰 &gt; 해외 순정</v>
      </c>
      <c r="AW955" t="str">
        <f>T("웹툰 &gt; 로판")</f>
        <v>웹툰 &gt; 로판</v>
      </c>
    </row>
    <row r="956" spans="1:49" x14ac:dyDescent="0.4">
      <c r="A956">
        <v>4421000450</v>
      </c>
      <c r="B956">
        <v>4421000452</v>
      </c>
      <c r="C956" t="str">
        <f>T("내 남편의 스토커 2화")</f>
        <v>내 남편의 스토커 2화</v>
      </c>
      <c r="D956" t="str">
        <f>T("2")</f>
        <v>2</v>
      </c>
      <c r="E956" t="str">
        <f>T("혜원")</f>
        <v>혜원</v>
      </c>
      <c r="G956" t="str">
        <f>T("혜원")</f>
        <v>혜원</v>
      </c>
      <c r="H956" t="str">
        <f t="shared" si="107"/>
        <v>스토리위즈</v>
      </c>
      <c r="I956" t="str">
        <f>T("내 남편의 스토커")</f>
        <v>내 남편의 스토커</v>
      </c>
      <c r="J956">
        <v>400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 s="3">
        <v>0</v>
      </c>
      <c r="AH956" s="3">
        <v>1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R956" t="str">
        <f t="shared" si="112"/>
        <v>0000000000000</v>
      </c>
      <c r="AT956" t="str">
        <f>T("9791166068034")</f>
        <v>9791166068034</v>
      </c>
      <c r="AV956" t="str">
        <f>T("웹툰 &gt; 로맨스")</f>
        <v>웹툰 &gt; 로맨스</v>
      </c>
    </row>
    <row r="957" spans="1:49" x14ac:dyDescent="0.4">
      <c r="A957">
        <v>4421000866</v>
      </c>
      <c r="B957">
        <v>4421000962</v>
      </c>
      <c r="C957" t="str">
        <f>T("최애에게 들켜버렸다 28화")</f>
        <v>최애에게 들켜버렸다 28화</v>
      </c>
      <c r="D957" t="str">
        <f>T("29")</f>
        <v>29</v>
      </c>
      <c r="E957" t="str">
        <f>T("Lv")</f>
        <v>Lv</v>
      </c>
      <c r="G957" t="str">
        <f>T("Lv")</f>
        <v>Lv</v>
      </c>
      <c r="H957" t="str">
        <f t="shared" si="107"/>
        <v>스토리위즈</v>
      </c>
      <c r="I957" t="str">
        <f>T("최애에게 들켜버렸다")</f>
        <v>최애에게 들켜버렸다</v>
      </c>
      <c r="J957">
        <v>400</v>
      </c>
      <c r="K957">
        <v>0</v>
      </c>
      <c r="L957">
        <v>0</v>
      </c>
      <c r="M957">
        <v>0</v>
      </c>
      <c r="N957">
        <v>600</v>
      </c>
      <c r="O957">
        <v>3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 s="3">
        <v>600</v>
      </c>
      <c r="AH957" s="3">
        <v>3</v>
      </c>
      <c r="AI957" s="3">
        <v>0</v>
      </c>
      <c r="AJ957" s="3">
        <v>0</v>
      </c>
      <c r="AK957" s="3">
        <v>424</v>
      </c>
      <c r="AL957" s="3">
        <v>0</v>
      </c>
      <c r="AM957" s="3">
        <v>211.38</v>
      </c>
      <c r="AN957" s="3">
        <v>-63.41</v>
      </c>
      <c r="AO957" s="3">
        <v>0</v>
      </c>
      <c r="AP957" s="3">
        <v>400.38</v>
      </c>
      <c r="AR957" t="str">
        <f t="shared" si="112"/>
        <v>0000000000000</v>
      </c>
      <c r="AT957" t="str">
        <f>T("9791137601253")</f>
        <v>9791137601253</v>
      </c>
      <c r="AV957" t="str">
        <f>T("웹툰 &gt; 해외 순정")</f>
        <v>웹툰 &gt; 해외 순정</v>
      </c>
      <c r="AW957" t="str">
        <f>T("웹툰 &gt; 로맨스")</f>
        <v>웹툰 &gt; 로맨스</v>
      </c>
    </row>
    <row r="958" spans="1:49" x14ac:dyDescent="0.4">
      <c r="A958">
        <v>4421001786</v>
      </c>
      <c r="B958">
        <v>4421001786</v>
      </c>
      <c r="C958" t="str">
        <f>T("사랑을 찾아서 1화")</f>
        <v>사랑을 찾아서 1화</v>
      </c>
      <c r="D958" t="str">
        <f>T("1")</f>
        <v>1</v>
      </c>
      <c r="E958" t="str">
        <f>T("웹티")</f>
        <v>웹티</v>
      </c>
      <c r="H958" t="str">
        <f t="shared" si="107"/>
        <v>스토리위즈</v>
      </c>
      <c r="I958" t="str">
        <f>T("사랑을 찾아서")</f>
        <v>사랑을 찾아서</v>
      </c>
      <c r="J958">
        <v>0</v>
      </c>
      <c r="K958">
        <v>0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 s="3">
        <v>0</v>
      </c>
      <c r="AH958" s="3">
        <v>1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R958" t="str">
        <f t="shared" si="112"/>
        <v>0000000000000</v>
      </c>
      <c r="AT958" t="str">
        <f>T("9791196402709")</f>
        <v>9791196402709</v>
      </c>
      <c r="AV958" t="str">
        <f>T("웹툰 &gt; 로맨스")</f>
        <v>웹툰 &gt; 로맨스</v>
      </c>
    </row>
    <row r="959" spans="1:49" x14ac:dyDescent="0.4">
      <c r="A959">
        <v>4421000337</v>
      </c>
      <c r="B959">
        <v>4421000412</v>
      </c>
      <c r="C959" t="str">
        <f>T("계약연애, 오늘부터 1일 76화")</f>
        <v>계약연애, 오늘부터 1일 76화</v>
      </c>
      <c r="D959" t="str">
        <f>T("76")</f>
        <v>76</v>
      </c>
      <c r="E959" t="str">
        <f>T("원기공장")</f>
        <v>원기공장</v>
      </c>
      <c r="H959" t="str">
        <f t="shared" si="107"/>
        <v>스토리위즈</v>
      </c>
      <c r="I959" t="str">
        <f>T("계약연애, 오늘부터 1일")</f>
        <v>계약연애, 오늘부터 1일</v>
      </c>
      <c r="J959">
        <v>200</v>
      </c>
      <c r="K959">
        <v>0</v>
      </c>
      <c r="L959">
        <v>0</v>
      </c>
      <c r="M959">
        <v>0</v>
      </c>
      <c r="N959">
        <v>100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 s="3">
        <v>100</v>
      </c>
      <c r="AH959" s="3">
        <v>1</v>
      </c>
      <c r="AI959" s="3">
        <v>0</v>
      </c>
      <c r="AJ959" s="3">
        <v>0</v>
      </c>
      <c r="AK959" s="3">
        <v>100</v>
      </c>
      <c r="AL959" s="3">
        <v>0</v>
      </c>
      <c r="AM959" s="3">
        <v>0</v>
      </c>
      <c r="AN959" s="3">
        <v>0</v>
      </c>
      <c r="AO959" s="3">
        <v>0</v>
      </c>
      <c r="AP959" s="3">
        <v>70</v>
      </c>
      <c r="AR959" t="str">
        <f t="shared" si="112"/>
        <v>0000000000000</v>
      </c>
      <c r="AT959" t="str">
        <f>T("9791166068027")</f>
        <v>9791166068027</v>
      </c>
      <c r="AV959" t="str">
        <f>T("웹툰 &gt; 해외 순정")</f>
        <v>웹툰 &gt; 해외 순정</v>
      </c>
      <c r="AW959" t="str">
        <f>T("웹툰 &gt; 로맨스")</f>
        <v>웹툰 &gt; 로맨스</v>
      </c>
    </row>
    <row r="960" spans="1:49" x14ac:dyDescent="0.4">
      <c r="A960">
        <v>4421000001</v>
      </c>
      <c r="B960">
        <v>4421000013</v>
      </c>
      <c r="C960" t="str">
        <f>T("감옥실험 3화")</f>
        <v>감옥실험 3화</v>
      </c>
      <c r="D960" t="str">
        <f>T("3")</f>
        <v>3</v>
      </c>
      <c r="E960" t="str">
        <f>T("Kantetsu")</f>
        <v>Kantetsu</v>
      </c>
      <c r="G960" t="str">
        <f>T("Minase Chiho")</f>
        <v>Minase Chiho</v>
      </c>
      <c r="H960" t="str">
        <f t="shared" si="107"/>
        <v>스토리위즈</v>
      </c>
      <c r="I960" t="str">
        <f>T("감옥실험")</f>
        <v>감옥실험</v>
      </c>
      <c r="J960">
        <v>500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 s="3">
        <v>0</v>
      </c>
      <c r="AH960" s="3">
        <v>12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T960" t="str">
        <f>T("9791166069406")</f>
        <v>9791166069406</v>
      </c>
      <c r="AV960" t="str">
        <f>T("웹툰 &gt; 드라마")</f>
        <v>웹툰 &gt; 드라마</v>
      </c>
    </row>
    <row r="961" spans="1:49" x14ac:dyDescent="0.4">
      <c r="A961">
        <v>4421000518</v>
      </c>
      <c r="B961">
        <v>4421000532</v>
      </c>
      <c r="C961" t="str">
        <f>T("백스테이지 키스신 14화")</f>
        <v>백스테이지 키스신 14화</v>
      </c>
      <c r="D961" t="str">
        <f>T("14")</f>
        <v>14</v>
      </c>
      <c r="E961" t="str">
        <f>T("최도비")</f>
        <v>최도비</v>
      </c>
      <c r="G961" t="str">
        <f>T("수정과")</f>
        <v>수정과</v>
      </c>
      <c r="H961" t="str">
        <f t="shared" si="107"/>
        <v>스토리위즈</v>
      </c>
      <c r="I961" t="str">
        <f>T("백스테이지 키스신")</f>
        <v>백스테이지 키스신</v>
      </c>
      <c r="J961">
        <v>400</v>
      </c>
      <c r="K961">
        <v>0</v>
      </c>
      <c r="L961">
        <v>0</v>
      </c>
      <c r="M961">
        <v>0</v>
      </c>
      <c r="N961">
        <v>200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 s="3">
        <v>200</v>
      </c>
      <c r="AH961" s="3">
        <v>1</v>
      </c>
      <c r="AI961" s="3">
        <v>0</v>
      </c>
      <c r="AJ961" s="3">
        <v>0</v>
      </c>
      <c r="AK961" s="3">
        <v>200</v>
      </c>
      <c r="AL961" s="3">
        <v>0</v>
      </c>
      <c r="AM961" s="3">
        <v>0</v>
      </c>
      <c r="AN961" s="3">
        <v>0</v>
      </c>
      <c r="AO961" s="3">
        <v>0</v>
      </c>
      <c r="AP961" s="3">
        <v>140</v>
      </c>
      <c r="AR961" t="str">
        <f t="shared" ref="AR961:AR1001" si="114">T("0000000000000")</f>
        <v>0000000000000</v>
      </c>
      <c r="AT961" t="str">
        <f>T("9791166067990")</f>
        <v>9791166067990</v>
      </c>
      <c r="AV961" t="str">
        <f>T("웹툰 &gt; 로맨스")</f>
        <v>웹툰 &gt; 로맨스</v>
      </c>
    </row>
    <row r="962" spans="1:49" x14ac:dyDescent="0.4">
      <c r="A962">
        <v>4421000887</v>
      </c>
      <c r="B962">
        <v>4421001209</v>
      </c>
      <c r="C962" t="str">
        <f>T("폭군의 눈물 40화")</f>
        <v>폭군의 눈물 40화</v>
      </c>
      <c r="D962" t="str">
        <f>T("40")</f>
        <v>40</v>
      </c>
      <c r="E962" t="str">
        <f>T("Ice×FANFAN COMIC")</f>
        <v>Ice×FANFAN COMIC</v>
      </c>
      <c r="G962" t="str">
        <f>T("Ice×FANFAN COMIC")</f>
        <v>Ice×FANFAN COMIC</v>
      </c>
      <c r="H962" t="str">
        <f t="shared" ref="H962:H1020" si="115">T("스토리위즈")</f>
        <v>스토리위즈</v>
      </c>
      <c r="I962" t="str">
        <f>T("폭군의 눈물")</f>
        <v>폭군의 눈물</v>
      </c>
      <c r="J962">
        <v>400</v>
      </c>
      <c r="K962">
        <v>0</v>
      </c>
      <c r="L962">
        <v>0</v>
      </c>
      <c r="M962">
        <v>0</v>
      </c>
      <c r="N962">
        <v>600</v>
      </c>
      <c r="O962">
        <v>3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 s="3">
        <v>600</v>
      </c>
      <c r="AH962" s="3">
        <v>3</v>
      </c>
      <c r="AI962" s="3">
        <v>0</v>
      </c>
      <c r="AJ962" s="3">
        <v>0</v>
      </c>
      <c r="AK962" s="3">
        <v>400</v>
      </c>
      <c r="AL962" s="3">
        <v>0</v>
      </c>
      <c r="AM962" s="3">
        <v>240</v>
      </c>
      <c r="AN962" s="3">
        <v>-72</v>
      </c>
      <c r="AO962" s="3">
        <v>0</v>
      </c>
      <c r="AP962" s="3">
        <v>397.6</v>
      </c>
      <c r="AR962" t="str">
        <f t="shared" si="114"/>
        <v>0000000000000</v>
      </c>
      <c r="AT962" t="str">
        <f>T("9791137601291")</f>
        <v>9791137601291</v>
      </c>
      <c r="AV962" t="str">
        <f>T("웹툰 &gt; 해외 순정")</f>
        <v>웹툰 &gt; 해외 순정</v>
      </c>
      <c r="AW962" t="str">
        <f>T("웹툰 &gt; 로판")</f>
        <v>웹툰 &gt; 로판</v>
      </c>
    </row>
    <row r="963" spans="1:49" x14ac:dyDescent="0.4">
      <c r="A963">
        <v>4421000450</v>
      </c>
      <c r="B963">
        <v>4421000492</v>
      </c>
      <c r="C963" t="str">
        <f>T("내 남편의 스토커 42화")</f>
        <v>내 남편의 스토커 42화</v>
      </c>
      <c r="D963" t="str">
        <f>T("42")</f>
        <v>42</v>
      </c>
      <c r="E963" t="str">
        <f>T("혜원")</f>
        <v>혜원</v>
      </c>
      <c r="G963" t="str">
        <f>T("혜원")</f>
        <v>혜원</v>
      </c>
      <c r="H963" t="str">
        <f t="shared" si="115"/>
        <v>스토리위즈</v>
      </c>
      <c r="I963" t="str">
        <f>T("내 남편의 스토커")</f>
        <v>내 남편의 스토커</v>
      </c>
      <c r="J963">
        <v>400</v>
      </c>
      <c r="K963">
        <v>0</v>
      </c>
      <c r="L963">
        <v>0</v>
      </c>
      <c r="M963">
        <v>0</v>
      </c>
      <c r="N963">
        <v>200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 s="3">
        <v>200</v>
      </c>
      <c r="AH963" s="3">
        <v>1</v>
      </c>
      <c r="AI963" s="3">
        <v>0</v>
      </c>
      <c r="AJ963" s="3">
        <v>0</v>
      </c>
      <c r="AK963" s="3">
        <v>200</v>
      </c>
      <c r="AL963" s="3">
        <v>0</v>
      </c>
      <c r="AM963" s="3">
        <v>0</v>
      </c>
      <c r="AN963" s="3">
        <v>0</v>
      </c>
      <c r="AO963" s="3">
        <v>0</v>
      </c>
      <c r="AP963" s="3">
        <v>140</v>
      </c>
      <c r="AR963" t="str">
        <f t="shared" si="114"/>
        <v>0000000000000</v>
      </c>
      <c r="AT963" t="str">
        <f>T("9791166068034")</f>
        <v>9791166068034</v>
      </c>
      <c r="AV963" t="str">
        <f>T("웹툰 &gt; 로맨스")</f>
        <v>웹툰 &gt; 로맨스</v>
      </c>
    </row>
    <row r="964" spans="1:49" x14ac:dyDescent="0.4">
      <c r="A964">
        <v>4421000198</v>
      </c>
      <c r="B964">
        <v>4421000259</v>
      </c>
      <c r="C964" t="str">
        <f>T("공주전쟁 51화")</f>
        <v>공주전쟁 51화</v>
      </c>
      <c r="D964" t="str">
        <f>T("51")</f>
        <v>51</v>
      </c>
      <c r="E964" t="str">
        <f>T("Hujing")</f>
        <v>Hujing</v>
      </c>
      <c r="G964" t="str">
        <f>T("Luojie")</f>
        <v>Luojie</v>
      </c>
      <c r="H964" t="str">
        <f t="shared" si="115"/>
        <v>스토리위즈</v>
      </c>
      <c r="I964" t="str">
        <f>T("공주전쟁")</f>
        <v>공주전쟁</v>
      </c>
      <c r="J964">
        <v>400</v>
      </c>
      <c r="K964">
        <v>0</v>
      </c>
      <c r="L964">
        <v>0</v>
      </c>
      <c r="M964">
        <v>0</v>
      </c>
      <c r="N964">
        <v>400</v>
      </c>
      <c r="O964">
        <v>2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 s="3">
        <v>400</v>
      </c>
      <c r="AH964" s="3">
        <v>2</v>
      </c>
      <c r="AI964" s="3">
        <v>0</v>
      </c>
      <c r="AJ964" s="3">
        <v>0</v>
      </c>
      <c r="AK964" s="3">
        <v>200</v>
      </c>
      <c r="AL964" s="3">
        <v>0</v>
      </c>
      <c r="AM964" s="3">
        <v>240</v>
      </c>
      <c r="AN964" s="3">
        <v>-72</v>
      </c>
      <c r="AO964" s="3">
        <v>0</v>
      </c>
      <c r="AP964" s="3">
        <v>257.60000000000002</v>
      </c>
      <c r="AR964" t="str">
        <f t="shared" si="114"/>
        <v>0000000000000</v>
      </c>
      <c r="AT964" t="str">
        <f>T("9791166069666")</f>
        <v>9791166069666</v>
      </c>
      <c r="AV964" t="str">
        <f>T("웹툰 &gt; 해외 순정")</f>
        <v>웹툰 &gt; 해외 순정</v>
      </c>
      <c r="AW964" t="str">
        <f>T("웹툰 &gt; 로판")</f>
        <v>웹툰 &gt; 로판</v>
      </c>
    </row>
    <row r="965" spans="1:49" x14ac:dyDescent="0.4">
      <c r="A965">
        <v>4421000887</v>
      </c>
      <c r="B965">
        <v>4421001273</v>
      </c>
      <c r="C965" t="str">
        <f>T("폭군의 눈물 50화")</f>
        <v>폭군의 눈물 50화</v>
      </c>
      <c r="D965" t="str">
        <f>T("50")</f>
        <v>50</v>
      </c>
      <c r="E965" t="str">
        <f>T("Ice×FANFAN COMIC")</f>
        <v>Ice×FANFAN COMIC</v>
      </c>
      <c r="G965" t="str">
        <f>T("Ice×FANFAN COMIC")</f>
        <v>Ice×FANFAN COMIC</v>
      </c>
      <c r="H965" t="str">
        <f t="shared" si="115"/>
        <v>스토리위즈</v>
      </c>
      <c r="I965" t="str">
        <f>T("폭군의 눈물")</f>
        <v>폭군의 눈물</v>
      </c>
      <c r="J965">
        <v>400</v>
      </c>
      <c r="K965">
        <v>0</v>
      </c>
      <c r="L965">
        <v>0</v>
      </c>
      <c r="M965">
        <v>0</v>
      </c>
      <c r="N965">
        <v>600</v>
      </c>
      <c r="O965">
        <v>3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 s="3">
        <v>600</v>
      </c>
      <c r="AH965" s="3">
        <v>3</v>
      </c>
      <c r="AI965" s="3">
        <v>0</v>
      </c>
      <c r="AJ965" s="3">
        <v>0</v>
      </c>
      <c r="AK965" s="3">
        <v>400</v>
      </c>
      <c r="AL965" s="3">
        <v>0</v>
      </c>
      <c r="AM965" s="3">
        <v>240</v>
      </c>
      <c r="AN965" s="3">
        <v>-72</v>
      </c>
      <c r="AO965" s="3">
        <v>0</v>
      </c>
      <c r="AP965" s="3">
        <v>397.6</v>
      </c>
      <c r="AR965" t="str">
        <f t="shared" si="114"/>
        <v>0000000000000</v>
      </c>
      <c r="AT965" t="str">
        <f>T("9791137601291")</f>
        <v>9791137601291</v>
      </c>
      <c r="AV965" t="str">
        <f>T("웹툰 &gt; 해외 순정")</f>
        <v>웹툰 &gt; 해외 순정</v>
      </c>
      <c r="AW965" t="str">
        <f>T("웹툰 &gt; 로판")</f>
        <v>웹툰 &gt; 로판</v>
      </c>
    </row>
    <row r="966" spans="1:49" x14ac:dyDescent="0.4">
      <c r="A966">
        <v>4421000069</v>
      </c>
      <c r="B966">
        <v>4421000111</v>
      </c>
      <c r="C966" t="str">
        <f>T("너랑 나랑 하면 41화")</f>
        <v>너랑 나랑 하면 41화</v>
      </c>
      <c r="D966" t="str">
        <f>T("41")</f>
        <v>41</v>
      </c>
      <c r="E966" t="str">
        <f>T("NISANSUI")</f>
        <v>NISANSUI</v>
      </c>
      <c r="G966" t="str">
        <f>T("ZIQUAN")</f>
        <v>ZIQUAN</v>
      </c>
      <c r="H966" t="str">
        <f t="shared" si="115"/>
        <v>스토리위즈</v>
      </c>
      <c r="I966" t="str">
        <f>T("너랑 나랑 하면")</f>
        <v>너랑 나랑 하면</v>
      </c>
      <c r="J966">
        <v>400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3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 s="3">
        <v>0</v>
      </c>
      <c r="AH966" s="3">
        <v>3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R966" t="str">
        <f t="shared" si="114"/>
        <v>0000000000000</v>
      </c>
      <c r="AT966" t="str">
        <f>T("9791166067884")</f>
        <v>9791166067884</v>
      </c>
      <c r="AV966" t="str">
        <f>T("BL 웹툰 &gt; 웹툰")</f>
        <v>BL 웹툰 &gt; 웹툰</v>
      </c>
    </row>
    <row r="967" spans="1:49" x14ac:dyDescent="0.4">
      <c r="A967">
        <v>4421000198</v>
      </c>
      <c r="B967">
        <v>4421001547</v>
      </c>
      <c r="C967" t="str">
        <f>T("공주전쟁 98화")</f>
        <v>공주전쟁 98화</v>
      </c>
      <c r="D967" t="str">
        <f>T("98")</f>
        <v>98</v>
      </c>
      <c r="E967" t="str">
        <f>T("Hujing")</f>
        <v>Hujing</v>
      </c>
      <c r="G967" t="str">
        <f>T("Luojie")</f>
        <v>Luojie</v>
      </c>
      <c r="H967" t="str">
        <f t="shared" si="115"/>
        <v>스토리위즈</v>
      </c>
      <c r="I967" t="str">
        <f>T("공주전쟁")</f>
        <v>공주전쟁</v>
      </c>
      <c r="J967">
        <v>400</v>
      </c>
      <c r="K967">
        <v>0</v>
      </c>
      <c r="L967">
        <v>0</v>
      </c>
      <c r="M967">
        <v>0</v>
      </c>
      <c r="N967">
        <v>200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 s="3">
        <v>200</v>
      </c>
      <c r="AH967" s="3">
        <v>1</v>
      </c>
      <c r="AI967" s="3">
        <v>0</v>
      </c>
      <c r="AJ967" s="3">
        <v>0</v>
      </c>
      <c r="AK967" s="3">
        <v>0</v>
      </c>
      <c r="AL967" s="3">
        <v>0</v>
      </c>
      <c r="AM967" s="3">
        <v>240</v>
      </c>
      <c r="AN967" s="3">
        <v>-72</v>
      </c>
      <c r="AO967" s="3">
        <v>0</v>
      </c>
      <c r="AP967" s="3">
        <v>117.6</v>
      </c>
      <c r="AR967" t="str">
        <f t="shared" si="114"/>
        <v>0000000000000</v>
      </c>
      <c r="AT967" t="str">
        <f>T("9791166069666")</f>
        <v>9791166069666</v>
      </c>
      <c r="AV967" t="str">
        <f>T("웹툰 &gt; 해외 순정")</f>
        <v>웹툰 &gt; 해외 순정</v>
      </c>
      <c r="AW967" t="str">
        <f>T("웹툰 &gt; 로판")</f>
        <v>웹툰 &gt; 로판</v>
      </c>
    </row>
    <row r="968" spans="1:49" x14ac:dyDescent="0.4">
      <c r="A968">
        <v>4421000198</v>
      </c>
      <c r="B968">
        <v>4421000220</v>
      </c>
      <c r="C968" t="str">
        <f>T("공주전쟁 23화")</f>
        <v>공주전쟁 23화</v>
      </c>
      <c r="D968" t="str">
        <f>T("23")</f>
        <v>23</v>
      </c>
      <c r="E968" t="str">
        <f>T("Hujing")</f>
        <v>Hujing</v>
      </c>
      <c r="G968" t="str">
        <f>T("Luojie")</f>
        <v>Luojie</v>
      </c>
      <c r="H968" t="str">
        <f t="shared" si="115"/>
        <v>스토리위즈</v>
      </c>
      <c r="I968" t="str">
        <f>T("공주전쟁")</f>
        <v>공주전쟁</v>
      </c>
      <c r="J968">
        <v>400</v>
      </c>
      <c r="K968">
        <v>0</v>
      </c>
      <c r="L968">
        <v>0</v>
      </c>
      <c r="M968">
        <v>0</v>
      </c>
      <c r="N968">
        <v>600</v>
      </c>
      <c r="O968">
        <v>3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 s="3">
        <v>600</v>
      </c>
      <c r="AH968" s="3">
        <v>3</v>
      </c>
      <c r="AI968" s="3">
        <v>0</v>
      </c>
      <c r="AJ968" s="3">
        <v>0</v>
      </c>
      <c r="AK968" s="3">
        <v>400</v>
      </c>
      <c r="AL968" s="3">
        <v>0</v>
      </c>
      <c r="AM968" s="3">
        <v>240</v>
      </c>
      <c r="AN968" s="3">
        <v>-72</v>
      </c>
      <c r="AO968" s="3">
        <v>0</v>
      </c>
      <c r="AP968" s="3">
        <v>397.6</v>
      </c>
      <c r="AR968" t="str">
        <f t="shared" si="114"/>
        <v>0000000000000</v>
      </c>
      <c r="AT968" t="str">
        <f>T("9791166069666")</f>
        <v>9791166069666</v>
      </c>
      <c r="AV968" t="str">
        <f>T("웹툰 &gt; 해외 순정")</f>
        <v>웹툰 &gt; 해외 순정</v>
      </c>
      <c r="AW968" t="str">
        <f>T("웹툰 &gt; 로판")</f>
        <v>웹툰 &gt; 로판</v>
      </c>
    </row>
    <row r="969" spans="1:49" x14ac:dyDescent="0.4">
      <c r="A969">
        <v>4421000916</v>
      </c>
      <c r="B969">
        <v>4421001169</v>
      </c>
      <c r="C969" t="str">
        <f>T("별빛 아래 우리 38화")</f>
        <v>별빛 아래 우리 38화</v>
      </c>
      <c r="D969" t="str">
        <f>T("38")</f>
        <v>38</v>
      </c>
      <c r="E969" t="str">
        <f>T("건일")</f>
        <v>건일</v>
      </c>
      <c r="G969" t="str">
        <f>T("건일")</f>
        <v>건일</v>
      </c>
      <c r="H969" t="str">
        <f t="shared" si="115"/>
        <v>스토리위즈</v>
      </c>
      <c r="I969" t="str">
        <f>T("별빛 아래 우리")</f>
        <v>별빛 아래 우리</v>
      </c>
      <c r="J969">
        <v>400</v>
      </c>
      <c r="K969">
        <v>0</v>
      </c>
      <c r="L969">
        <v>0</v>
      </c>
      <c r="M969">
        <v>0</v>
      </c>
      <c r="N969">
        <v>800</v>
      </c>
      <c r="O969">
        <v>4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 s="3">
        <v>800</v>
      </c>
      <c r="AH969" s="3">
        <v>4</v>
      </c>
      <c r="AI969" s="3">
        <v>0</v>
      </c>
      <c r="AJ969" s="3">
        <v>0</v>
      </c>
      <c r="AK969" s="3">
        <v>379</v>
      </c>
      <c r="AL969" s="3">
        <v>0</v>
      </c>
      <c r="AM969" s="3">
        <v>505.2</v>
      </c>
      <c r="AN969" s="3">
        <v>-151.56</v>
      </c>
      <c r="AO969" s="3">
        <v>0</v>
      </c>
      <c r="AP969" s="3">
        <v>512.85</v>
      </c>
      <c r="AR969" t="str">
        <f t="shared" si="114"/>
        <v>0000000000000</v>
      </c>
      <c r="AT969" t="str">
        <f>T("9791137601413")</f>
        <v>9791137601413</v>
      </c>
      <c r="AV969" t="str">
        <f>T("웹툰 &gt; 해외 순정")</f>
        <v>웹툰 &gt; 해외 순정</v>
      </c>
      <c r="AW969" t="str">
        <f>T("웹툰 &gt; 로맨스")</f>
        <v>웹툰 &gt; 로맨스</v>
      </c>
    </row>
    <row r="970" spans="1:49" x14ac:dyDescent="0.4">
      <c r="A970">
        <v>4421001325</v>
      </c>
      <c r="B970">
        <v>4421001454</v>
      </c>
      <c r="C970" t="str">
        <f>T("커피여우 김삼월 18화")</f>
        <v>커피여우 김삼월 18화</v>
      </c>
      <c r="D970" t="str">
        <f>T("18")</f>
        <v>18</v>
      </c>
      <c r="E970" t="str">
        <f>T("Nica")</f>
        <v>Nica</v>
      </c>
      <c r="G970" t="str">
        <f>T("A.Noa, RK Studio")</f>
        <v>A.Noa, RK Studio</v>
      </c>
      <c r="H970" t="str">
        <f t="shared" si="115"/>
        <v>스토리위즈</v>
      </c>
      <c r="I970" t="str">
        <f>T("커피여우 김삼월")</f>
        <v>커피여우 김삼월</v>
      </c>
      <c r="J970">
        <v>500</v>
      </c>
      <c r="K970">
        <v>0</v>
      </c>
      <c r="L970">
        <v>0</v>
      </c>
      <c r="M970">
        <v>0</v>
      </c>
      <c r="N970">
        <v>200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 s="3">
        <v>200</v>
      </c>
      <c r="AH970" s="3">
        <v>1</v>
      </c>
      <c r="AI970" s="3">
        <v>0</v>
      </c>
      <c r="AJ970" s="3">
        <v>0</v>
      </c>
      <c r="AK970" s="3">
        <v>200</v>
      </c>
      <c r="AL970" s="3">
        <v>0</v>
      </c>
      <c r="AM970" s="3">
        <v>0</v>
      </c>
      <c r="AN970" s="3">
        <v>0</v>
      </c>
      <c r="AO970" s="3">
        <v>0</v>
      </c>
      <c r="AP970" s="3">
        <v>140</v>
      </c>
      <c r="AR970" t="str">
        <f t="shared" si="114"/>
        <v>0000000000000</v>
      </c>
      <c r="AT970" t="str">
        <f>T("9791191241792")</f>
        <v>9791191241792</v>
      </c>
      <c r="AV970" t="str">
        <f>T("웹툰 &gt; 로맨스")</f>
        <v>웹툰 &gt; 로맨스</v>
      </c>
    </row>
    <row r="971" spans="1:49" x14ac:dyDescent="0.4">
      <c r="A971">
        <v>4421000337</v>
      </c>
      <c r="B971">
        <v>4421000445</v>
      </c>
      <c r="C971" t="str">
        <f>T("계약연애, 오늘부터 1일 109화")</f>
        <v>계약연애, 오늘부터 1일 109화</v>
      </c>
      <c r="D971" t="str">
        <f>T("109")</f>
        <v>109</v>
      </c>
      <c r="E971" t="str">
        <f>T("원기공장")</f>
        <v>원기공장</v>
      </c>
      <c r="H971" t="str">
        <f t="shared" si="115"/>
        <v>스토리위즈</v>
      </c>
      <c r="I971" t="str">
        <f>T("계약연애, 오늘부터 1일")</f>
        <v>계약연애, 오늘부터 1일</v>
      </c>
      <c r="J971">
        <v>200</v>
      </c>
      <c r="K971">
        <v>0</v>
      </c>
      <c r="L971">
        <v>0</v>
      </c>
      <c r="M971">
        <v>0</v>
      </c>
      <c r="N971">
        <v>100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 s="3">
        <v>100</v>
      </c>
      <c r="AH971" s="3">
        <v>1</v>
      </c>
      <c r="AI971" s="3">
        <v>0</v>
      </c>
      <c r="AJ971" s="3">
        <v>0</v>
      </c>
      <c r="AK971" s="3">
        <v>100</v>
      </c>
      <c r="AL971" s="3">
        <v>0</v>
      </c>
      <c r="AM971" s="3">
        <v>0</v>
      </c>
      <c r="AN971" s="3">
        <v>0</v>
      </c>
      <c r="AO971" s="3">
        <v>0</v>
      </c>
      <c r="AP971" s="3">
        <v>70</v>
      </c>
      <c r="AR971" t="str">
        <f t="shared" si="114"/>
        <v>0000000000000</v>
      </c>
      <c r="AT971" t="str">
        <f>T("9791166068027")</f>
        <v>9791166068027</v>
      </c>
      <c r="AV971" t="str">
        <f>T("웹툰 &gt; 해외 순정")</f>
        <v>웹툰 &gt; 해외 순정</v>
      </c>
      <c r="AW971" t="str">
        <f>T("웹툰 &gt; 로맨스")</f>
        <v>웹툰 &gt; 로맨스</v>
      </c>
    </row>
    <row r="972" spans="1:49" x14ac:dyDescent="0.4">
      <c r="A972">
        <v>4421000887</v>
      </c>
      <c r="B972">
        <v>4421000955</v>
      </c>
      <c r="C972" t="str">
        <f>T("폭군의 눈물 26화")</f>
        <v>폭군의 눈물 26화</v>
      </c>
      <c r="D972" t="str">
        <f>T("26")</f>
        <v>26</v>
      </c>
      <c r="E972" t="str">
        <f>T("Ice×FANFAN COMIC")</f>
        <v>Ice×FANFAN COMIC</v>
      </c>
      <c r="G972" t="str">
        <f>T("Ice×FANFAN COMIC")</f>
        <v>Ice×FANFAN COMIC</v>
      </c>
      <c r="H972" t="str">
        <f t="shared" si="115"/>
        <v>스토리위즈</v>
      </c>
      <c r="I972" t="str">
        <f>T("폭군의 눈물")</f>
        <v>폭군의 눈물</v>
      </c>
      <c r="J972">
        <v>400</v>
      </c>
      <c r="K972">
        <v>0</v>
      </c>
      <c r="L972">
        <v>0</v>
      </c>
      <c r="M972">
        <v>0</v>
      </c>
      <c r="N972">
        <v>600</v>
      </c>
      <c r="O972">
        <v>3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 s="3">
        <v>600</v>
      </c>
      <c r="AH972" s="3">
        <v>3</v>
      </c>
      <c r="AI972" s="3">
        <v>0</v>
      </c>
      <c r="AJ972" s="3">
        <v>0</v>
      </c>
      <c r="AK972" s="3">
        <v>400</v>
      </c>
      <c r="AL972" s="3">
        <v>0</v>
      </c>
      <c r="AM972" s="3">
        <v>240</v>
      </c>
      <c r="AN972" s="3">
        <v>-72</v>
      </c>
      <c r="AO972" s="3">
        <v>0</v>
      </c>
      <c r="AP972" s="3">
        <v>397.6</v>
      </c>
      <c r="AR972" t="str">
        <f t="shared" si="114"/>
        <v>0000000000000</v>
      </c>
      <c r="AT972" t="str">
        <f>T("9791137601291")</f>
        <v>9791137601291</v>
      </c>
      <c r="AV972" t="str">
        <f>T("웹툰 &gt; 해외 순정")</f>
        <v>웹툰 &gt; 해외 순정</v>
      </c>
      <c r="AW972" t="str">
        <f>T("웹툰 &gt; 로판")</f>
        <v>웹툰 &gt; 로판</v>
      </c>
    </row>
    <row r="973" spans="1:49" x14ac:dyDescent="0.4">
      <c r="A973">
        <v>4421001764</v>
      </c>
      <c r="B973">
        <v>4421001779</v>
      </c>
      <c r="C973" t="str">
        <f>T("예쁜 남자 잘생긴 여자 16화")</f>
        <v>예쁜 남자 잘생긴 여자 16화</v>
      </c>
      <c r="D973" t="str">
        <f>T("16")</f>
        <v>16</v>
      </c>
      <c r="E973" t="str">
        <f>T("웹티")</f>
        <v>웹티</v>
      </c>
      <c r="H973" t="str">
        <f t="shared" si="115"/>
        <v>스토리위즈</v>
      </c>
      <c r="I973" t="str">
        <f>T("예쁜 남자 잘생긴 여자")</f>
        <v>예쁜 남자 잘생긴 여자</v>
      </c>
      <c r="J973">
        <v>500</v>
      </c>
      <c r="K973">
        <v>0</v>
      </c>
      <c r="L973">
        <v>0</v>
      </c>
      <c r="M973">
        <v>0</v>
      </c>
      <c r="N973">
        <v>200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 s="3">
        <v>200</v>
      </c>
      <c r="AH973" s="3">
        <v>1</v>
      </c>
      <c r="AI973" s="3">
        <v>0</v>
      </c>
      <c r="AJ973" s="3">
        <v>0</v>
      </c>
      <c r="AK973" s="3">
        <v>0</v>
      </c>
      <c r="AL973" s="3">
        <v>0</v>
      </c>
      <c r="AM973" s="3">
        <v>240.82</v>
      </c>
      <c r="AN973" s="3">
        <v>-72.25</v>
      </c>
      <c r="AO973" s="3">
        <v>0</v>
      </c>
      <c r="AP973" s="3">
        <v>118</v>
      </c>
      <c r="AR973" t="str">
        <f t="shared" si="114"/>
        <v>0000000000000</v>
      </c>
      <c r="AT973" t="str">
        <f>T("9791190702164")</f>
        <v>9791190702164</v>
      </c>
      <c r="AV973" t="str">
        <f>T("웹툰 &gt; 로맨스")</f>
        <v>웹툰 &gt; 로맨스</v>
      </c>
    </row>
    <row r="974" spans="1:49" x14ac:dyDescent="0.4">
      <c r="A974">
        <v>4421000337</v>
      </c>
      <c r="B974">
        <v>4421000405</v>
      </c>
      <c r="C974" t="str">
        <f>T("계약연애, 오늘부터 1일 69화")</f>
        <v>계약연애, 오늘부터 1일 69화</v>
      </c>
      <c r="D974" t="str">
        <f>T("69")</f>
        <v>69</v>
      </c>
      <c r="E974" t="str">
        <f>T("원기공장")</f>
        <v>원기공장</v>
      </c>
      <c r="H974" t="str">
        <f t="shared" si="115"/>
        <v>스토리위즈</v>
      </c>
      <c r="I974" t="str">
        <f>T("계약연애, 오늘부터 1일")</f>
        <v>계약연애, 오늘부터 1일</v>
      </c>
      <c r="J974">
        <v>200</v>
      </c>
      <c r="K974">
        <v>0</v>
      </c>
      <c r="L974">
        <v>0</v>
      </c>
      <c r="M974">
        <v>0</v>
      </c>
      <c r="N974">
        <v>100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 s="3">
        <v>100</v>
      </c>
      <c r="AH974" s="3">
        <v>1</v>
      </c>
      <c r="AI974" s="3">
        <v>0</v>
      </c>
      <c r="AJ974" s="3">
        <v>0</v>
      </c>
      <c r="AK974" s="3">
        <v>100</v>
      </c>
      <c r="AL974" s="3">
        <v>0</v>
      </c>
      <c r="AM974" s="3">
        <v>0</v>
      </c>
      <c r="AN974" s="3">
        <v>0</v>
      </c>
      <c r="AO974" s="3">
        <v>0</v>
      </c>
      <c r="AP974" s="3">
        <v>70</v>
      </c>
      <c r="AR974" t="str">
        <f t="shared" si="114"/>
        <v>0000000000000</v>
      </c>
      <c r="AT974" t="str">
        <f>T("9791166068027")</f>
        <v>9791166068027</v>
      </c>
      <c r="AV974" t="str">
        <f>T("웹툰 &gt; 해외 순정")</f>
        <v>웹툰 &gt; 해외 순정</v>
      </c>
      <c r="AW974" t="str">
        <f>T("웹툰 &gt; 로맨스")</f>
        <v>웹툰 &gt; 로맨스</v>
      </c>
    </row>
    <row r="975" spans="1:49" x14ac:dyDescent="0.4">
      <c r="A975">
        <v>4421000866</v>
      </c>
      <c r="B975">
        <v>4421001202</v>
      </c>
      <c r="C975" t="str">
        <f>T("최애에게 들켜버렸다 50화")</f>
        <v>최애에게 들켜버렸다 50화</v>
      </c>
      <c r="D975" t="str">
        <f>T("53")</f>
        <v>53</v>
      </c>
      <c r="E975" t="str">
        <f>T("Lv")</f>
        <v>Lv</v>
      </c>
      <c r="G975" t="str">
        <f>T("Lv")</f>
        <v>Lv</v>
      </c>
      <c r="H975" t="str">
        <f t="shared" si="115"/>
        <v>스토리위즈</v>
      </c>
      <c r="I975" t="str">
        <f>T("최애에게 들켜버렸다")</f>
        <v>최애에게 들켜버렸다</v>
      </c>
      <c r="J975">
        <v>400</v>
      </c>
      <c r="K975">
        <v>0</v>
      </c>
      <c r="L975">
        <v>0</v>
      </c>
      <c r="M975">
        <v>0</v>
      </c>
      <c r="N975">
        <v>600</v>
      </c>
      <c r="O975">
        <v>3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 s="3">
        <v>600</v>
      </c>
      <c r="AH975" s="3">
        <v>3</v>
      </c>
      <c r="AI975" s="3">
        <v>0</v>
      </c>
      <c r="AJ975" s="3">
        <v>0</v>
      </c>
      <c r="AK975" s="3">
        <v>424</v>
      </c>
      <c r="AL975" s="3">
        <v>0</v>
      </c>
      <c r="AM975" s="3">
        <v>211.38</v>
      </c>
      <c r="AN975" s="3">
        <v>-63.41</v>
      </c>
      <c r="AO975" s="3">
        <v>0</v>
      </c>
      <c r="AP975" s="3">
        <v>400.38</v>
      </c>
      <c r="AR975" t="str">
        <f t="shared" si="114"/>
        <v>0000000000000</v>
      </c>
      <c r="AT975" t="str">
        <f>T("9791137601253")</f>
        <v>9791137601253</v>
      </c>
      <c r="AV975" t="str">
        <f>T("웹툰 &gt; 해외 순정")</f>
        <v>웹툰 &gt; 해외 순정</v>
      </c>
      <c r="AW975" t="str">
        <f>T("웹툰 &gt; 로맨스")</f>
        <v>웹툰 &gt; 로맨스</v>
      </c>
    </row>
    <row r="976" spans="1:49" x14ac:dyDescent="0.4">
      <c r="A976">
        <v>4421000450</v>
      </c>
      <c r="B976">
        <v>4421000485</v>
      </c>
      <c r="C976" t="str">
        <f>T("내 남편의 스토커 35화")</f>
        <v>내 남편의 스토커 35화</v>
      </c>
      <c r="D976" t="str">
        <f>T("35")</f>
        <v>35</v>
      </c>
      <c r="E976" t="str">
        <f>T("혜원")</f>
        <v>혜원</v>
      </c>
      <c r="G976" t="str">
        <f>T("혜원")</f>
        <v>혜원</v>
      </c>
      <c r="H976" t="str">
        <f t="shared" si="115"/>
        <v>스토리위즈</v>
      </c>
      <c r="I976" t="str">
        <f>T("내 남편의 스토커")</f>
        <v>내 남편의 스토커</v>
      </c>
      <c r="J976">
        <v>400</v>
      </c>
      <c r="K976">
        <v>0</v>
      </c>
      <c r="L976">
        <v>0</v>
      </c>
      <c r="M976">
        <v>0</v>
      </c>
      <c r="N976">
        <v>200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 s="3">
        <v>200</v>
      </c>
      <c r="AH976" s="3">
        <v>1</v>
      </c>
      <c r="AI976" s="3">
        <v>0</v>
      </c>
      <c r="AJ976" s="3">
        <v>0</v>
      </c>
      <c r="AK976" s="3">
        <v>200</v>
      </c>
      <c r="AL976" s="3">
        <v>0</v>
      </c>
      <c r="AM976" s="3">
        <v>0</v>
      </c>
      <c r="AN976" s="3">
        <v>0</v>
      </c>
      <c r="AO976" s="3">
        <v>0</v>
      </c>
      <c r="AP976" s="3">
        <v>140</v>
      </c>
      <c r="AR976" t="str">
        <f t="shared" si="114"/>
        <v>0000000000000</v>
      </c>
      <c r="AT976" t="str">
        <f>T("9791166068034")</f>
        <v>9791166068034</v>
      </c>
      <c r="AV976" t="str">
        <f>T("웹툰 &gt; 로맨스")</f>
        <v>웹툰 &gt; 로맨스</v>
      </c>
    </row>
    <row r="977" spans="1:49" x14ac:dyDescent="0.4">
      <c r="A977">
        <v>4421001000</v>
      </c>
      <c r="B977">
        <v>4421001002</v>
      </c>
      <c r="C977" t="str">
        <f>T("로맨틱 시그널 3화")</f>
        <v>로맨틱 시그널 3화</v>
      </c>
      <c r="D977" t="str">
        <f>T("3")</f>
        <v>3</v>
      </c>
      <c r="E977" t="str">
        <f>T("Bless+cangshukou")</f>
        <v>Bless+cangshukou</v>
      </c>
      <c r="G977" t="str">
        <f>T("Bless+cangshukou")</f>
        <v>Bless+cangshukou</v>
      </c>
      <c r="H977" t="str">
        <f t="shared" si="115"/>
        <v>스토리위즈</v>
      </c>
      <c r="I977" t="str">
        <f>T("로맨틱 시그널")</f>
        <v>로맨틱 시그널</v>
      </c>
      <c r="J977">
        <v>200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2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 s="3">
        <v>0</v>
      </c>
      <c r="AH977" s="3">
        <v>2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R977" t="str">
        <f t="shared" si="114"/>
        <v>0000000000000</v>
      </c>
      <c r="AT977" t="str">
        <f>T("9791166068041")</f>
        <v>9791166068041</v>
      </c>
      <c r="AV977" t="str">
        <f>T("웹툰 &gt; 해외 순정")</f>
        <v>웹툰 &gt; 해외 순정</v>
      </c>
      <c r="AW977" t="str">
        <f>T("웹툰 &gt; 로맨스")</f>
        <v>웹툰 &gt; 로맨스</v>
      </c>
    </row>
    <row r="978" spans="1:49" x14ac:dyDescent="0.4">
      <c r="A978">
        <v>4421000866</v>
      </c>
      <c r="B978">
        <v>4421000884</v>
      </c>
      <c r="C978" t="str">
        <f>T("최애에게 들켜버렸다 18화")</f>
        <v>최애에게 들켜버렸다 18화</v>
      </c>
      <c r="D978" t="str">
        <f>T("18")</f>
        <v>18</v>
      </c>
      <c r="E978" t="str">
        <f>T("Lv")</f>
        <v>Lv</v>
      </c>
      <c r="G978" t="str">
        <f>T("Lv")</f>
        <v>Lv</v>
      </c>
      <c r="H978" t="str">
        <f t="shared" si="115"/>
        <v>스토리위즈</v>
      </c>
      <c r="I978" t="str">
        <f>T("최애에게 들켜버렸다")</f>
        <v>최애에게 들켜버렸다</v>
      </c>
      <c r="J978">
        <v>400</v>
      </c>
      <c r="K978">
        <v>0</v>
      </c>
      <c r="L978">
        <v>0</v>
      </c>
      <c r="M978">
        <v>0</v>
      </c>
      <c r="N978">
        <v>1000</v>
      </c>
      <c r="O978">
        <v>5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 s="3">
        <v>1000</v>
      </c>
      <c r="AH978" s="3">
        <v>5</v>
      </c>
      <c r="AI978" s="3">
        <v>0</v>
      </c>
      <c r="AJ978" s="3">
        <v>0</v>
      </c>
      <c r="AK978" s="3">
        <v>824</v>
      </c>
      <c r="AL978" s="3">
        <v>0</v>
      </c>
      <c r="AM978" s="3">
        <v>211.38</v>
      </c>
      <c r="AN978" s="3">
        <v>-63.41</v>
      </c>
      <c r="AO978" s="3">
        <v>0</v>
      </c>
      <c r="AP978" s="3">
        <v>680.38</v>
      </c>
      <c r="AR978" t="str">
        <f t="shared" si="114"/>
        <v>0000000000000</v>
      </c>
      <c r="AT978" t="str">
        <f>T("9791137601253")</f>
        <v>9791137601253</v>
      </c>
      <c r="AV978" t="str">
        <f>T("웹툰 &gt; 해외 순정")</f>
        <v>웹툰 &gt; 해외 순정</v>
      </c>
      <c r="AW978" t="str">
        <f>T("웹툰 &gt; 로맨스")</f>
        <v>웹툰 &gt; 로맨스</v>
      </c>
    </row>
    <row r="979" spans="1:49" x14ac:dyDescent="0.4">
      <c r="A979">
        <v>4421001377</v>
      </c>
      <c r="B979">
        <v>4421002950</v>
      </c>
      <c r="C979" t="str">
        <f>T("요괴님은 수련중 35화")</f>
        <v>요괴님은 수련중 35화</v>
      </c>
      <c r="D979" t="str">
        <f>T("35")</f>
        <v>35</v>
      </c>
      <c r="E979" t="str">
        <f>T("화방")</f>
        <v>화방</v>
      </c>
      <c r="G979" t="str">
        <f>T("망북")</f>
        <v>망북</v>
      </c>
      <c r="H979" t="str">
        <f t="shared" si="115"/>
        <v>스토리위즈</v>
      </c>
      <c r="I979" t="str">
        <f>T("요괴님은 수련중")</f>
        <v>요괴님은 수련중</v>
      </c>
      <c r="J979">
        <v>400</v>
      </c>
      <c r="K979">
        <v>0</v>
      </c>
      <c r="L979">
        <v>0</v>
      </c>
      <c r="M979">
        <v>0</v>
      </c>
      <c r="N979">
        <v>200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 s="3">
        <v>200</v>
      </c>
      <c r="AH979" s="3">
        <v>1</v>
      </c>
      <c r="AI979" s="3">
        <v>0</v>
      </c>
      <c r="AJ979" s="3">
        <v>0</v>
      </c>
      <c r="AK979" s="3">
        <v>200</v>
      </c>
      <c r="AL979" s="3">
        <v>0</v>
      </c>
      <c r="AM979" s="3">
        <v>0</v>
      </c>
      <c r="AN979" s="3">
        <v>0</v>
      </c>
      <c r="AO979" s="3">
        <v>0</v>
      </c>
      <c r="AP979" s="3">
        <v>140</v>
      </c>
      <c r="AR979" t="str">
        <f t="shared" si="114"/>
        <v>0000000000000</v>
      </c>
      <c r="AT979" t="str">
        <f>T("9791137603899")</f>
        <v>9791137603899</v>
      </c>
      <c r="AV979" t="str">
        <f>T("웹툰 &gt; 해외 순정")</f>
        <v>웹툰 &gt; 해외 순정</v>
      </c>
      <c r="AW979" t="str">
        <f>T("웹툰 &gt; 로판")</f>
        <v>웹툰 &gt; 로판</v>
      </c>
    </row>
    <row r="980" spans="1:49" x14ac:dyDescent="0.4">
      <c r="A980">
        <v>4421002079</v>
      </c>
      <c r="B980">
        <v>4421002081</v>
      </c>
      <c r="C980" t="str">
        <f>T("황제의 사랑방식 3화")</f>
        <v>황제의 사랑방식 3화</v>
      </c>
      <c r="D980" t="str">
        <f>T("3")</f>
        <v>3</v>
      </c>
      <c r="E980" t="str">
        <f>T("웹티")</f>
        <v>웹티</v>
      </c>
      <c r="H980" t="str">
        <f t="shared" si="115"/>
        <v>스토리위즈</v>
      </c>
      <c r="I980" t="str">
        <f>T("황제의 사랑방식")</f>
        <v>황제의 사랑방식</v>
      </c>
      <c r="J980">
        <v>0</v>
      </c>
      <c r="K980">
        <v>0</v>
      </c>
      <c r="L980">
        <v>0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 s="3">
        <v>0</v>
      </c>
      <c r="AH980" s="3">
        <v>1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R980" t="str">
        <f t="shared" si="114"/>
        <v>0000000000000</v>
      </c>
      <c r="AT980" t="str">
        <f>T("9791196650131")</f>
        <v>9791196650131</v>
      </c>
      <c r="AV980" t="str">
        <f>T("BL 웹툰 &gt; 웹툰")</f>
        <v>BL 웹툰 &gt; 웹툰</v>
      </c>
    </row>
    <row r="981" spans="1:49" x14ac:dyDescent="0.4">
      <c r="A981">
        <v>4421000518</v>
      </c>
      <c r="B981">
        <v>4421000557</v>
      </c>
      <c r="C981" t="str">
        <f>T("백스테이지 키스신 39화")</f>
        <v>백스테이지 키스신 39화</v>
      </c>
      <c r="D981" t="str">
        <f>T("39")</f>
        <v>39</v>
      </c>
      <c r="E981" t="str">
        <f>T("최도비")</f>
        <v>최도비</v>
      </c>
      <c r="G981" t="str">
        <f>T("수정과")</f>
        <v>수정과</v>
      </c>
      <c r="H981" t="str">
        <f t="shared" si="115"/>
        <v>스토리위즈</v>
      </c>
      <c r="I981" t="str">
        <f>T("백스테이지 키스신")</f>
        <v>백스테이지 키스신</v>
      </c>
      <c r="J981">
        <v>400</v>
      </c>
      <c r="K981">
        <v>0</v>
      </c>
      <c r="L981">
        <v>0</v>
      </c>
      <c r="M981">
        <v>0</v>
      </c>
      <c r="N981">
        <v>200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 s="3">
        <v>200</v>
      </c>
      <c r="AH981" s="3">
        <v>1</v>
      </c>
      <c r="AI981" s="3">
        <v>0</v>
      </c>
      <c r="AJ981" s="3">
        <v>0</v>
      </c>
      <c r="AK981" s="3">
        <v>200</v>
      </c>
      <c r="AL981" s="3">
        <v>0</v>
      </c>
      <c r="AM981" s="3">
        <v>0</v>
      </c>
      <c r="AN981" s="3">
        <v>0</v>
      </c>
      <c r="AO981" s="3">
        <v>0</v>
      </c>
      <c r="AP981" s="3">
        <v>140</v>
      </c>
      <c r="AR981" t="str">
        <f t="shared" si="114"/>
        <v>0000000000000</v>
      </c>
      <c r="AT981" t="str">
        <f>T("9791166067990")</f>
        <v>9791166067990</v>
      </c>
      <c r="AV981" t="str">
        <f>T("웹툰 &gt; 로맨스")</f>
        <v>웹툰 &gt; 로맨스</v>
      </c>
    </row>
    <row r="982" spans="1:49" x14ac:dyDescent="0.4">
      <c r="A982">
        <v>4421001325</v>
      </c>
      <c r="B982">
        <v>4421001337</v>
      </c>
      <c r="C982" t="str">
        <f>T("커피여우 김삼월 13화")</f>
        <v>커피여우 김삼월 13화</v>
      </c>
      <c r="D982" t="str">
        <f>T("13")</f>
        <v>13</v>
      </c>
      <c r="E982" t="str">
        <f>T("Nica")</f>
        <v>Nica</v>
      </c>
      <c r="G982" t="str">
        <f>T("A.Noa, RK Studio")</f>
        <v>A.Noa, RK Studio</v>
      </c>
      <c r="H982" t="str">
        <f t="shared" si="115"/>
        <v>스토리위즈</v>
      </c>
      <c r="I982" t="str">
        <f>T("커피여우 김삼월")</f>
        <v>커피여우 김삼월</v>
      </c>
      <c r="J982">
        <v>500</v>
      </c>
      <c r="K982">
        <v>0</v>
      </c>
      <c r="L982">
        <v>0</v>
      </c>
      <c r="M982">
        <v>0</v>
      </c>
      <c r="N982">
        <v>200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 s="3">
        <v>200</v>
      </c>
      <c r="AH982" s="3">
        <v>1</v>
      </c>
      <c r="AI982" s="3">
        <v>0</v>
      </c>
      <c r="AJ982" s="3">
        <v>0</v>
      </c>
      <c r="AK982" s="3">
        <v>200</v>
      </c>
      <c r="AL982" s="3">
        <v>0</v>
      </c>
      <c r="AM982" s="3">
        <v>0</v>
      </c>
      <c r="AN982" s="3">
        <v>0</v>
      </c>
      <c r="AO982" s="3">
        <v>0</v>
      </c>
      <c r="AP982" s="3">
        <v>140</v>
      </c>
      <c r="AR982" t="str">
        <f t="shared" si="114"/>
        <v>0000000000000</v>
      </c>
      <c r="AT982" t="str">
        <f>T("9791191241792")</f>
        <v>9791191241792</v>
      </c>
      <c r="AV982" t="str">
        <f>T("웹툰 &gt; 로맨스")</f>
        <v>웹툰 &gt; 로맨스</v>
      </c>
    </row>
    <row r="983" spans="1:49" x14ac:dyDescent="0.4">
      <c r="A983">
        <v>4421000450</v>
      </c>
      <c r="B983">
        <v>4421000517</v>
      </c>
      <c r="C983" t="str">
        <f>T("내 남편의 스토커 67화 (완결)")</f>
        <v>내 남편의 스토커 67화 (완결)</v>
      </c>
      <c r="D983" t="str">
        <f>T("67")</f>
        <v>67</v>
      </c>
      <c r="E983" t="str">
        <f>T("혜원")</f>
        <v>혜원</v>
      </c>
      <c r="G983" t="str">
        <f>T("혜원")</f>
        <v>혜원</v>
      </c>
      <c r="H983" t="str">
        <f t="shared" si="115"/>
        <v>스토리위즈</v>
      </c>
      <c r="I983" t="str">
        <f>T("내 남편의 스토커")</f>
        <v>내 남편의 스토커</v>
      </c>
      <c r="J983">
        <v>400</v>
      </c>
      <c r="K983">
        <v>0</v>
      </c>
      <c r="L983">
        <v>0</v>
      </c>
      <c r="M983">
        <v>0</v>
      </c>
      <c r="N983">
        <v>200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 s="3">
        <v>200</v>
      </c>
      <c r="AH983" s="3">
        <v>1</v>
      </c>
      <c r="AI983" s="3">
        <v>0</v>
      </c>
      <c r="AJ983" s="3">
        <v>0</v>
      </c>
      <c r="AK983" s="3">
        <v>200</v>
      </c>
      <c r="AL983" s="3">
        <v>0</v>
      </c>
      <c r="AM983" s="3">
        <v>0</v>
      </c>
      <c r="AN983" s="3">
        <v>0</v>
      </c>
      <c r="AO983" s="3">
        <v>0</v>
      </c>
      <c r="AP983" s="3">
        <v>140</v>
      </c>
      <c r="AR983" t="str">
        <f t="shared" si="114"/>
        <v>0000000000000</v>
      </c>
      <c r="AT983" t="str">
        <f>T("9791166068034")</f>
        <v>9791166068034</v>
      </c>
      <c r="AV983" t="str">
        <f>T("웹툰 &gt; 로맨스")</f>
        <v>웹툰 &gt; 로맨스</v>
      </c>
    </row>
    <row r="984" spans="1:49" x14ac:dyDescent="0.4">
      <c r="A984">
        <v>4421000337</v>
      </c>
      <c r="B984">
        <v>4421000357</v>
      </c>
      <c r="C984" t="str">
        <f>T("계약연애, 오늘부터 1일 21화")</f>
        <v>계약연애, 오늘부터 1일 21화</v>
      </c>
      <c r="D984" t="str">
        <f>T("21")</f>
        <v>21</v>
      </c>
      <c r="E984" t="str">
        <f>T("원기공장")</f>
        <v>원기공장</v>
      </c>
      <c r="H984" t="str">
        <f t="shared" si="115"/>
        <v>스토리위즈</v>
      </c>
      <c r="I984" t="str">
        <f>T("계약연애, 오늘부터 1일")</f>
        <v>계약연애, 오늘부터 1일</v>
      </c>
      <c r="J984">
        <v>200</v>
      </c>
      <c r="K984">
        <v>0</v>
      </c>
      <c r="L984">
        <v>0</v>
      </c>
      <c r="M984">
        <v>0</v>
      </c>
      <c r="N984">
        <v>100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 s="3">
        <v>100</v>
      </c>
      <c r="AH984" s="3">
        <v>1</v>
      </c>
      <c r="AI984" s="3">
        <v>0</v>
      </c>
      <c r="AJ984" s="3">
        <v>0</v>
      </c>
      <c r="AK984" s="3">
        <v>100</v>
      </c>
      <c r="AL984" s="3">
        <v>0</v>
      </c>
      <c r="AM984" s="3">
        <v>0</v>
      </c>
      <c r="AN984" s="3">
        <v>0</v>
      </c>
      <c r="AO984" s="3">
        <v>0</v>
      </c>
      <c r="AP984" s="3">
        <v>70</v>
      </c>
      <c r="AR984" t="str">
        <f t="shared" si="114"/>
        <v>0000000000000</v>
      </c>
      <c r="AT984" t="str">
        <f>T("9791166068027")</f>
        <v>9791166068027</v>
      </c>
      <c r="AV984" t="str">
        <f>T("웹툰 &gt; 해외 순정")</f>
        <v>웹툰 &gt; 해외 순정</v>
      </c>
      <c r="AW984" t="str">
        <f>T("웹툰 &gt; 로맨스")</f>
        <v>웹툰 &gt; 로맨스</v>
      </c>
    </row>
    <row r="985" spans="1:49" x14ac:dyDescent="0.4">
      <c r="A985">
        <v>4421000069</v>
      </c>
      <c r="B985">
        <v>4421001236</v>
      </c>
      <c r="C985" t="str">
        <f>T("너랑 나랑 하면 153화")</f>
        <v>너랑 나랑 하면 153화</v>
      </c>
      <c r="D985" t="str">
        <f>T("153")</f>
        <v>153</v>
      </c>
      <c r="E985" t="str">
        <f>T("NISANSUI")</f>
        <v>NISANSUI</v>
      </c>
      <c r="G985" t="str">
        <f>T("ZIQUAN")</f>
        <v>ZIQUAN</v>
      </c>
      <c r="H985" t="str">
        <f t="shared" si="115"/>
        <v>스토리위즈</v>
      </c>
      <c r="I985" t="str">
        <f>T("너랑 나랑 하면")</f>
        <v>너랑 나랑 하면</v>
      </c>
      <c r="J985">
        <v>400</v>
      </c>
      <c r="K985">
        <v>0</v>
      </c>
      <c r="L985">
        <v>0</v>
      </c>
      <c r="M985">
        <v>0</v>
      </c>
      <c r="N985">
        <v>200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 s="3">
        <v>200</v>
      </c>
      <c r="AH985" s="3">
        <v>1</v>
      </c>
      <c r="AI985" s="3">
        <v>0</v>
      </c>
      <c r="AJ985" s="3">
        <v>0</v>
      </c>
      <c r="AK985" s="3">
        <v>200</v>
      </c>
      <c r="AL985" s="3">
        <v>0</v>
      </c>
      <c r="AM985" s="3">
        <v>0</v>
      </c>
      <c r="AN985" s="3">
        <v>0</v>
      </c>
      <c r="AO985" s="3">
        <v>0</v>
      </c>
      <c r="AP985" s="3">
        <v>140</v>
      </c>
      <c r="AR985" t="str">
        <f t="shared" si="114"/>
        <v>0000000000000</v>
      </c>
      <c r="AT985" t="str">
        <f>T("9791166067884")</f>
        <v>9791166067884</v>
      </c>
      <c r="AV985" t="str">
        <f>T("BL 웹툰 &gt; 웹툰")</f>
        <v>BL 웹툰 &gt; 웹툰</v>
      </c>
    </row>
    <row r="986" spans="1:49" x14ac:dyDescent="0.4">
      <c r="A986">
        <v>4421000069</v>
      </c>
      <c r="B986">
        <v>4421000078</v>
      </c>
      <c r="C986" t="str">
        <f>T("너랑 나랑 하면 9화")</f>
        <v>너랑 나랑 하면 9화</v>
      </c>
      <c r="D986" t="str">
        <f>T("9")</f>
        <v>9</v>
      </c>
      <c r="E986" t="str">
        <f>T("NISANSUI")</f>
        <v>NISANSUI</v>
      </c>
      <c r="G986" t="str">
        <f>T("ZIQUAN")</f>
        <v>ZIQUAN</v>
      </c>
      <c r="H986" t="str">
        <f t="shared" si="115"/>
        <v>스토리위즈</v>
      </c>
      <c r="I986" t="str">
        <f>T("너랑 나랑 하면")</f>
        <v>너랑 나랑 하면</v>
      </c>
      <c r="J986">
        <v>400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 s="3">
        <v>0</v>
      </c>
      <c r="AH986" s="3">
        <v>3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R986" t="str">
        <f t="shared" si="114"/>
        <v>0000000000000</v>
      </c>
      <c r="AT986" t="str">
        <f>T("9791166067884")</f>
        <v>9791166067884</v>
      </c>
      <c r="AV986" t="str">
        <f>T("BL 웹툰 &gt; 웹툰")</f>
        <v>BL 웹툰 &gt; 웹툰</v>
      </c>
    </row>
    <row r="987" spans="1:49" x14ac:dyDescent="0.4">
      <c r="A987">
        <v>4421000916</v>
      </c>
      <c r="B987">
        <v>4421000916</v>
      </c>
      <c r="C987" t="str">
        <f>T("별빛 아래 우리 1화")</f>
        <v>별빛 아래 우리 1화</v>
      </c>
      <c r="D987" t="str">
        <f>T("1")</f>
        <v>1</v>
      </c>
      <c r="E987" t="str">
        <f>T("건일")</f>
        <v>건일</v>
      </c>
      <c r="G987" t="str">
        <f>T("건일")</f>
        <v>건일</v>
      </c>
      <c r="H987" t="str">
        <f t="shared" si="115"/>
        <v>스토리위즈</v>
      </c>
      <c r="I987" t="str">
        <f>T("별빛 아래 우리")</f>
        <v>별빛 아래 우리</v>
      </c>
      <c r="J987">
        <v>400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45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 s="3">
        <v>0</v>
      </c>
      <c r="AH987" s="3">
        <v>45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R987" t="str">
        <f t="shared" si="114"/>
        <v>0000000000000</v>
      </c>
      <c r="AT987" t="str">
        <f>T("9791137601413")</f>
        <v>9791137601413</v>
      </c>
      <c r="AV987" t="str">
        <f>T("웹툰 &gt; 해외 순정")</f>
        <v>웹툰 &gt; 해외 순정</v>
      </c>
      <c r="AW987" t="str">
        <f>T("웹툰 &gt; 로맨스")</f>
        <v>웹툰 &gt; 로맨스</v>
      </c>
    </row>
    <row r="988" spans="1:49" x14ac:dyDescent="0.4">
      <c r="A988">
        <v>4421001340</v>
      </c>
      <c r="B988">
        <v>4421001353</v>
      </c>
      <c r="C988" t="str">
        <f>T("가출천사 육성계약 14화")</f>
        <v>가출천사 육성계약 14화</v>
      </c>
      <c r="D988" t="str">
        <f>T("14")</f>
        <v>14</v>
      </c>
      <c r="E988" t="str">
        <f>T("Bae.C, IIAKI, 박제후")</f>
        <v>Bae.C, IIAKI, 박제후</v>
      </c>
      <c r="G988" t="str">
        <f>T("Bae.C, 조우")</f>
        <v>Bae.C, 조우</v>
      </c>
      <c r="H988" t="str">
        <f t="shared" si="115"/>
        <v>스토리위즈</v>
      </c>
      <c r="I988" t="str">
        <f>T("가출천사 육성계약")</f>
        <v>가출천사 육성계약</v>
      </c>
      <c r="J988">
        <v>400</v>
      </c>
      <c r="K988">
        <v>0</v>
      </c>
      <c r="L988">
        <v>0</v>
      </c>
      <c r="M988">
        <v>0</v>
      </c>
      <c r="N988">
        <v>200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 s="3">
        <v>200</v>
      </c>
      <c r="AH988" s="3">
        <v>1</v>
      </c>
      <c r="AI988" s="3">
        <v>0</v>
      </c>
      <c r="AJ988" s="3">
        <v>0</v>
      </c>
      <c r="AK988" s="3">
        <v>200</v>
      </c>
      <c r="AL988" s="3">
        <v>0</v>
      </c>
      <c r="AM988" s="3">
        <v>0</v>
      </c>
      <c r="AN988" s="3">
        <v>0</v>
      </c>
      <c r="AO988" s="3">
        <v>0</v>
      </c>
      <c r="AP988" s="3">
        <v>140</v>
      </c>
      <c r="AR988" t="str">
        <f t="shared" si="114"/>
        <v>0000000000000</v>
      </c>
      <c r="AT988" t="str">
        <f>T("9791191765663")</f>
        <v>9791191765663</v>
      </c>
      <c r="AV988" t="str">
        <f>T("웹툰 &gt; 판타지/SF")</f>
        <v>웹툰 &gt; 판타지/SF</v>
      </c>
    </row>
    <row r="989" spans="1:49" x14ac:dyDescent="0.4">
      <c r="A989">
        <v>4421002774</v>
      </c>
      <c r="B989">
        <v>4421002776</v>
      </c>
      <c r="C989" t="str">
        <f>T("엔젤일진 2화")</f>
        <v>엔젤일진 2화</v>
      </c>
      <c r="D989" t="str">
        <f>T("2")</f>
        <v>2</v>
      </c>
      <c r="E989" t="str">
        <f>T("대운")</f>
        <v>대운</v>
      </c>
      <c r="H989" t="str">
        <f t="shared" si="115"/>
        <v>스토리위즈</v>
      </c>
      <c r="I989" t="str">
        <f>T("엔젤일진")</f>
        <v>엔젤일진</v>
      </c>
      <c r="J989">
        <v>0</v>
      </c>
      <c r="K989">
        <v>0</v>
      </c>
      <c r="L989">
        <v>0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 s="3">
        <v>0</v>
      </c>
      <c r="AH989" s="3">
        <v>1</v>
      </c>
      <c r="AI989" s="3">
        <v>0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R989" t="str">
        <f t="shared" si="114"/>
        <v>0000000000000</v>
      </c>
      <c r="AT989" t="str">
        <f>T("9791188082087")</f>
        <v>9791188082087</v>
      </c>
      <c r="AV989" t="str">
        <f>T("웹툰 &gt; 액션/무협")</f>
        <v>웹툰 &gt; 액션/무협</v>
      </c>
    </row>
    <row r="990" spans="1:49" x14ac:dyDescent="0.4">
      <c r="A990">
        <v>4421000337</v>
      </c>
      <c r="B990">
        <v>4421000373</v>
      </c>
      <c r="C990" t="str">
        <f>T("계약연애, 오늘부터 1일 37화")</f>
        <v>계약연애, 오늘부터 1일 37화</v>
      </c>
      <c r="D990" t="str">
        <f>T("37")</f>
        <v>37</v>
      </c>
      <c r="E990" t="str">
        <f>T("원기공장")</f>
        <v>원기공장</v>
      </c>
      <c r="H990" t="str">
        <f t="shared" si="115"/>
        <v>스토리위즈</v>
      </c>
      <c r="I990" t="str">
        <f>T("계약연애, 오늘부터 1일")</f>
        <v>계약연애, 오늘부터 1일</v>
      </c>
      <c r="J990">
        <v>200</v>
      </c>
      <c r="K990">
        <v>0</v>
      </c>
      <c r="L990">
        <v>0</v>
      </c>
      <c r="M990">
        <v>0</v>
      </c>
      <c r="N990">
        <v>100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 s="3">
        <v>100</v>
      </c>
      <c r="AH990" s="3">
        <v>1</v>
      </c>
      <c r="AI990" s="3">
        <v>0</v>
      </c>
      <c r="AJ990" s="3">
        <v>0</v>
      </c>
      <c r="AK990" s="3">
        <v>100</v>
      </c>
      <c r="AL990" s="3">
        <v>0</v>
      </c>
      <c r="AM990" s="3">
        <v>0</v>
      </c>
      <c r="AN990" s="3">
        <v>0</v>
      </c>
      <c r="AO990" s="3">
        <v>0</v>
      </c>
      <c r="AP990" s="3">
        <v>70</v>
      </c>
      <c r="AR990" t="str">
        <f t="shared" si="114"/>
        <v>0000000000000</v>
      </c>
      <c r="AT990" t="str">
        <f>T("9791166068027")</f>
        <v>9791166068027</v>
      </c>
      <c r="AV990" t="str">
        <f>T("웹툰 &gt; 해외 순정")</f>
        <v>웹툰 &gt; 해외 순정</v>
      </c>
      <c r="AW990" t="str">
        <f>T("웹툰 &gt; 로맨스")</f>
        <v>웹툰 &gt; 로맨스</v>
      </c>
    </row>
    <row r="991" spans="1:49" x14ac:dyDescent="0.4">
      <c r="A991">
        <v>4421000866</v>
      </c>
      <c r="B991">
        <v>4421000877</v>
      </c>
      <c r="C991" t="str">
        <f>T("최애에게 들켜버렸다 11화")</f>
        <v>최애에게 들켜버렸다 11화</v>
      </c>
      <c r="D991" t="str">
        <f>T("11")</f>
        <v>11</v>
      </c>
      <c r="E991" t="str">
        <f>T("Lv")</f>
        <v>Lv</v>
      </c>
      <c r="G991" t="str">
        <f>T("Lv")</f>
        <v>Lv</v>
      </c>
      <c r="H991" t="str">
        <f t="shared" si="115"/>
        <v>스토리위즈</v>
      </c>
      <c r="I991" t="str">
        <f>T("최애에게 들켜버렸다")</f>
        <v>최애에게 들켜버렸다</v>
      </c>
      <c r="J991">
        <v>400</v>
      </c>
      <c r="K991">
        <v>0</v>
      </c>
      <c r="L991">
        <v>0</v>
      </c>
      <c r="M991">
        <v>0</v>
      </c>
      <c r="N991">
        <v>1000</v>
      </c>
      <c r="O991">
        <v>5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 s="3">
        <v>1000</v>
      </c>
      <c r="AH991" s="3">
        <v>5</v>
      </c>
      <c r="AI991" s="3">
        <v>0</v>
      </c>
      <c r="AJ991" s="3">
        <v>0</v>
      </c>
      <c r="AK991" s="3">
        <v>624</v>
      </c>
      <c r="AL991" s="3">
        <v>0</v>
      </c>
      <c r="AM991" s="3">
        <v>451.38</v>
      </c>
      <c r="AN991" s="3">
        <v>-135.41</v>
      </c>
      <c r="AO991" s="3">
        <v>0</v>
      </c>
      <c r="AP991" s="3">
        <v>657.98</v>
      </c>
      <c r="AR991" t="str">
        <f t="shared" si="114"/>
        <v>0000000000000</v>
      </c>
      <c r="AT991" t="str">
        <f>T("9791137601253")</f>
        <v>9791137601253</v>
      </c>
      <c r="AV991" t="str">
        <f>T("웹툰 &gt; 해외 순정")</f>
        <v>웹툰 &gt; 해외 순정</v>
      </c>
      <c r="AW991" t="str">
        <f>T("웹툰 &gt; 로맨스")</f>
        <v>웹툰 &gt; 로맨스</v>
      </c>
    </row>
    <row r="992" spans="1:49" x14ac:dyDescent="0.4">
      <c r="A992">
        <v>4421002022</v>
      </c>
      <c r="B992">
        <v>4421002022</v>
      </c>
      <c r="C992" t="str">
        <f>T("대표님과 연애를 시작했습니다 1화")</f>
        <v>대표님과 연애를 시작했습니다 1화</v>
      </c>
      <c r="D992" t="str">
        <f>T("1")</f>
        <v>1</v>
      </c>
      <c r="E992" t="str">
        <f>T("웹티")</f>
        <v>웹티</v>
      </c>
      <c r="H992" t="str">
        <f t="shared" si="115"/>
        <v>스토리위즈</v>
      </c>
      <c r="I992" t="str">
        <f>T("대표님과 연애를 시작했습니다")</f>
        <v>대표님과 연애를 시작했습니다</v>
      </c>
      <c r="J992">
        <v>0</v>
      </c>
      <c r="K992">
        <v>0</v>
      </c>
      <c r="L992">
        <v>0</v>
      </c>
      <c r="M992">
        <v>3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 s="3">
        <v>0</v>
      </c>
      <c r="AH992" s="3">
        <v>3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R992" t="str">
        <f t="shared" si="114"/>
        <v>0000000000000</v>
      </c>
      <c r="AT992" t="str">
        <f>T("9791196660482")</f>
        <v>9791196660482</v>
      </c>
      <c r="AV992" t="str">
        <f>T("BL 웹툰 &gt; 웹툰")</f>
        <v>BL 웹툰 &gt; 웹툰</v>
      </c>
    </row>
    <row r="993" spans="1:49" x14ac:dyDescent="0.4">
      <c r="A993">
        <v>4421000518</v>
      </c>
      <c r="B993">
        <v>4421000550</v>
      </c>
      <c r="C993" t="str">
        <f>T("백스테이지 키스신 32화")</f>
        <v>백스테이지 키스신 32화</v>
      </c>
      <c r="D993" t="str">
        <f>T("32")</f>
        <v>32</v>
      </c>
      <c r="E993" t="str">
        <f>T("최도비")</f>
        <v>최도비</v>
      </c>
      <c r="G993" t="str">
        <f>T("수정과")</f>
        <v>수정과</v>
      </c>
      <c r="H993" t="str">
        <f t="shared" si="115"/>
        <v>스토리위즈</v>
      </c>
      <c r="I993" t="str">
        <f>T("백스테이지 키스신")</f>
        <v>백스테이지 키스신</v>
      </c>
      <c r="J993">
        <v>400</v>
      </c>
      <c r="K993">
        <v>0</v>
      </c>
      <c r="L993">
        <v>0</v>
      </c>
      <c r="M993">
        <v>0</v>
      </c>
      <c r="N993">
        <v>200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 s="3">
        <v>200</v>
      </c>
      <c r="AH993" s="3">
        <v>1</v>
      </c>
      <c r="AI993" s="3">
        <v>0</v>
      </c>
      <c r="AJ993" s="3">
        <v>0</v>
      </c>
      <c r="AK993" s="3">
        <v>200</v>
      </c>
      <c r="AL993" s="3">
        <v>0</v>
      </c>
      <c r="AM993" s="3">
        <v>0</v>
      </c>
      <c r="AN993" s="3">
        <v>0</v>
      </c>
      <c r="AO993" s="3">
        <v>0</v>
      </c>
      <c r="AP993" s="3">
        <v>140</v>
      </c>
      <c r="AR993" t="str">
        <f t="shared" si="114"/>
        <v>0000000000000</v>
      </c>
      <c r="AT993" t="str">
        <f>T("9791166067990")</f>
        <v>9791166067990</v>
      </c>
      <c r="AV993" t="str">
        <f>T("웹툰 &gt; 로맨스")</f>
        <v>웹툰 &gt; 로맨스</v>
      </c>
    </row>
    <row r="994" spans="1:49" x14ac:dyDescent="0.4">
      <c r="A994">
        <v>4421001325</v>
      </c>
      <c r="B994">
        <v>4421001330</v>
      </c>
      <c r="C994" t="str">
        <f>T("커피여우 김삼월 6화")</f>
        <v>커피여우 김삼월 6화</v>
      </c>
      <c r="D994" t="str">
        <f>T("6")</f>
        <v>6</v>
      </c>
      <c r="E994" t="str">
        <f>T("Nica")</f>
        <v>Nica</v>
      </c>
      <c r="G994" t="str">
        <f>T("A.Noa, RK Studio")</f>
        <v>A.Noa, RK Studio</v>
      </c>
      <c r="H994" t="str">
        <f t="shared" si="115"/>
        <v>스토리위즈</v>
      </c>
      <c r="I994" t="str">
        <f>T("커피여우 김삼월")</f>
        <v>커피여우 김삼월</v>
      </c>
      <c r="J994">
        <v>500</v>
      </c>
      <c r="K994">
        <v>0</v>
      </c>
      <c r="L994">
        <v>0</v>
      </c>
      <c r="M994">
        <v>0</v>
      </c>
      <c r="N994">
        <v>400</v>
      </c>
      <c r="O994">
        <v>2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 s="3">
        <v>400</v>
      </c>
      <c r="AH994" s="3">
        <v>2</v>
      </c>
      <c r="AI994" s="3">
        <v>0</v>
      </c>
      <c r="AJ994" s="3">
        <v>0</v>
      </c>
      <c r="AK994" s="3">
        <v>200</v>
      </c>
      <c r="AL994" s="3">
        <v>0</v>
      </c>
      <c r="AM994" s="3">
        <v>240</v>
      </c>
      <c r="AN994" s="3">
        <v>-72</v>
      </c>
      <c r="AO994" s="3">
        <v>0</v>
      </c>
      <c r="AP994" s="3">
        <v>257.60000000000002</v>
      </c>
      <c r="AR994" t="str">
        <f t="shared" si="114"/>
        <v>0000000000000</v>
      </c>
      <c r="AT994" t="str">
        <f>T("9791191241792")</f>
        <v>9791191241792</v>
      </c>
      <c r="AV994" t="str">
        <f>T("웹툰 &gt; 로맨스")</f>
        <v>웹툰 &gt; 로맨스</v>
      </c>
    </row>
    <row r="995" spans="1:49" x14ac:dyDescent="0.4">
      <c r="A995">
        <v>4421000450</v>
      </c>
      <c r="B995">
        <v>4421000510</v>
      </c>
      <c r="C995" t="str">
        <f>T("내 남편의 스토커 60화")</f>
        <v>내 남편의 스토커 60화</v>
      </c>
      <c r="D995" t="str">
        <f>T("60")</f>
        <v>60</v>
      </c>
      <c r="E995" t="str">
        <f>T("혜원")</f>
        <v>혜원</v>
      </c>
      <c r="G995" t="str">
        <f>T("혜원")</f>
        <v>혜원</v>
      </c>
      <c r="H995" t="str">
        <f t="shared" si="115"/>
        <v>스토리위즈</v>
      </c>
      <c r="I995" t="str">
        <f>T("내 남편의 스토커")</f>
        <v>내 남편의 스토커</v>
      </c>
      <c r="J995">
        <v>400</v>
      </c>
      <c r="K995">
        <v>0</v>
      </c>
      <c r="L995">
        <v>0</v>
      </c>
      <c r="M995">
        <v>0</v>
      </c>
      <c r="N995">
        <v>200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 s="3">
        <v>200</v>
      </c>
      <c r="AH995" s="3">
        <v>1</v>
      </c>
      <c r="AI995" s="3">
        <v>0</v>
      </c>
      <c r="AJ995" s="3">
        <v>0</v>
      </c>
      <c r="AK995" s="3">
        <v>200</v>
      </c>
      <c r="AL995" s="3">
        <v>0</v>
      </c>
      <c r="AM995" s="3">
        <v>0</v>
      </c>
      <c r="AN995" s="3">
        <v>0</v>
      </c>
      <c r="AO995" s="3">
        <v>0</v>
      </c>
      <c r="AP995" s="3">
        <v>140</v>
      </c>
      <c r="AR995" t="str">
        <f t="shared" si="114"/>
        <v>0000000000000</v>
      </c>
      <c r="AT995" t="str">
        <f>T("9791166068034")</f>
        <v>9791166068034</v>
      </c>
      <c r="AV995" t="str">
        <f>T("웹툰 &gt; 로맨스")</f>
        <v>웹툰 &gt; 로맨스</v>
      </c>
    </row>
    <row r="996" spans="1:49" x14ac:dyDescent="0.4">
      <c r="A996">
        <v>4421000337</v>
      </c>
      <c r="B996">
        <v>4421000350</v>
      </c>
      <c r="C996" t="str">
        <f>T("계약연애, 오늘부터 1일 14화")</f>
        <v>계약연애, 오늘부터 1일 14화</v>
      </c>
      <c r="D996" t="str">
        <f>T("14")</f>
        <v>14</v>
      </c>
      <c r="E996" t="str">
        <f>T("원기공장")</f>
        <v>원기공장</v>
      </c>
      <c r="H996" t="str">
        <f t="shared" si="115"/>
        <v>스토리위즈</v>
      </c>
      <c r="I996" t="str">
        <f>T("계약연애, 오늘부터 1일")</f>
        <v>계약연애, 오늘부터 1일</v>
      </c>
      <c r="J996">
        <v>200</v>
      </c>
      <c r="K996">
        <v>0</v>
      </c>
      <c r="L996">
        <v>0</v>
      </c>
      <c r="M996">
        <v>0</v>
      </c>
      <c r="N996">
        <v>100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 s="3">
        <v>100</v>
      </c>
      <c r="AH996" s="3">
        <v>1</v>
      </c>
      <c r="AI996" s="3">
        <v>0</v>
      </c>
      <c r="AJ996" s="3">
        <v>0</v>
      </c>
      <c r="AK996" s="3">
        <v>100</v>
      </c>
      <c r="AL996" s="3">
        <v>0</v>
      </c>
      <c r="AM996" s="3">
        <v>0</v>
      </c>
      <c r="AN996" s="3">
        <v>0</v>
      </c>
      <c r="AO996" s="3">
        <v>0</v>
      </c>
      <c r="AP996" s="3">
        <v>70</v>
      </c>
      <c r="AR996" t="str">
        <f t="shared" si="114"/>
        <v>0000000000000</v>
      </c>
      <c r="AT996" t="str">
        <f>T("9791166068027")</f>
        <v>9791166068027</v>
      </c>
      <c r="AV996" t="str">
        <f>T("웹툰 &gt; 해외 순정")</f>
        <v>웹툰 &gt; 해외 순정</v>
      </c>
      <c r="AW996" t="str">
        <f>T("웹툰 &gt; 로맨스")</f>
        <v>웹툰 &gt; 로맨스</v>
      </c>
    </row>
    <row r="997" spans="1:49" x14ac:dyDescent="0.4">
      <c r="A997">
        <v>4421000916</v>
      </c>
      <c r="B997">
        <v>4421001229</v>
      </c>
      <c r="C997" t="str">
        <f>T("별빛 아래 우리 51화")</f>
        <v>별빛 아래 우리 51화</v>
      </c>
      <c r="D997" t="str">
        <f>T("51")</f>
        <v>51</v>
      </c>
      <c r="E997" t="str">
        <f>T("건일")</f>
        <v>건일</v>
      </c>
      <c r="G997" t="str">
        <f>T("건일")</f>
        <v>건일</v>
      </c>
      <c r="H997" t="str">
        <f t="shared" si="115"/>
        <v>스토리위즈</v>
      </c>
      <c r="I997" t="str">
        <f>T("별빛 아래 우리")</f>
        <v>별빛 아래 우리</v>
      </c>
      <c r="J997">
        <v>400</v>
      </c>
      <c r="K997">
        <v>0</v>
      </c>
      <c r="L997">
        <v>0</v>
      </c>
      <c r="M997">
        <v>0</v>
      </c>
      <c r="N997">
        <v>1000</v>
      </c>
      <c r="O997">
        <v>5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 s="3">
        <v>1000</v>
      </c>
      <c r="AH997" s="3">
        <v>5</v>
      </c>
      <c r="AI997" s="3">
        <v>0</v>
      </c>
      <c r="AJ997" s="3">
        <v>0</v>
      </c>
      <c r="AK997" s="3">
        <v>380</v>
      </c>
      <c r="AL997" s="3">
        <v>0</v>
      </c>
      <c r="AM997" s="3">
        <v>744.01</v>
      </c>
      <c r="AN997" s="3">
        <v>-223.2</v>
      </c>
      <c r="AO997" s="3">
        <v>0</v>
      </c>
      <c r="AP997" s="3">
        <v>630.57000000000005</v>
      </c>
      <c r="AR997" t="str">
        <f t="shared" si="114"/>
        <v>0000000000000</v>
      </c>
      <c r="AT997" t="str">
        <f>T("9791137601413")</f>
        <v>9791137601413</v>
      </c>
      <c r="AV997" t="str">
        <f>T("웹툰 &gt; 해외 순정")</f>
        <v>웹툰 &gt; 해외 순정</v>
      </c>
      <c r="AW997" t="str">
        <f>T("웹툰 &gt; 로맨스")</f>
        <v>웹툰 &gt; 로맨스</v>
      </c>
    </row>
    <row r="998" spans="1:49" x14ac:dyDescent="0.4">
      <c r="A998">
        <v>4421000069</v>
      </c>
      <c r="B998">
        <v>4421000071</v>
      </c>
      <c r="C998" t="str">
        <f>T("너랑 나랑 하면 2화")</f>
        <v>너랑 나랑 하면 2화</v>
      </c>
      <c r="D998" t="str">
        <f>T("2")</f>
        <v>2</v>
      </c>
      <c r="E998" t="str">
        <f>T("NISANSUI")</f>
        <v>NISANSUI</v>
      </c>
      <c r="G998" t="str">
        <f>T("ZIQUAN")</f>
        <v>ZIQUAN</v>
      </c>
      <c r="H998" t="str">
        <f t="shared" si="115"/>
        <v>스토리위즈</v>
      </c>
      <c r="I998" t="str">
        <f>T("너랑 나랑 하면")</f>
        <v>너랑 나랑 하면</v>
      </c>
      <c r="J998">
        <v>400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 s="3">
        <v>0</v>
      </c>
      <c r="AH998" s="3">
        <v>3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R998" t="str">
        <f t="shared" si="114"/>
        <v>0000000000000</v>
      </c>
      <c r="AT998" t="str">
        <f>T("9791166067884")</f>
        <v>9791166067884</v>
      </c>
      <c r="AV998" t="str">
        <f>T("BL 웹툰 &gt; 웹툰")</f>
        <v>BL 웹툰 &gt; 웹툰</v>
      </c>
    </row>
    <row r="999" spans="1:49" x14ac:dyDescent="0.4">
      <c r="A999">
        <v>4421000887</v>
      </c>
      <c r="B999">
        <v>4421000909</v>
      </c>
      <c r="C999" t="str">
        <f>T("폭군의 눈물 23화")</f>
        <v>폭군의 눈물 23화</v>
      </c>
      <c r="D999" t="str">
        <f>T("23")</f>
        <v>23</v>
      </c>
      <c r="E999" t="str">
        <f>T("Ice×FANFAN COMIC")</f>
        <v>Ice×FANFAN COMIC</v>
      </c>
      <c r="G999" t="str">
        <f>T("Ice×FANFAN COMIC")</f>
        <v>Ice×FANFAN COMIC</v>
      </c>
      <c r="H999" t="str">
        <f t="shared" si="115"/>
        <v>스토리위즈</v>
      </c>
      <c r="I999" t="str">
        <f>T("폭군의 눈물")</f>
        <v>폭군의 눈물</v>
      </c>
      <c r="J999">
        <v>400</v>
      </c>
      <c r="K999">
        <v>0</v>
      </c>
      <c r="L999">
        <v>0</v>
      </c>
      <c r="M999">
        <v>0</v>
      </c>
      <c r="N999">
        <v>600</v>
      </c>
      <c r="O999">
        <v>3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 s="3">
        <v>600</v>
      </c>
      <c r="AH999" s="3">
        <v>3</v>
      </c>
      <c r="AI999" s="3">
        <v>0</v>
      </c>
      <c r="AJ999" s="3">
        <v>0</v>
      </c>
      <c r="AK999" s="3">
        <v>400</v>
      </c>
      <c r="AL999" s="3">
        <v>0</v>
      </c>
      <c r="AM999" s="3">
        <v>240</v>
      </c>
      <c r="AN999" s="3">
        <v>-72</v>
      </c>
      <c r="AO999" s="3">
        <v>0</v>
      </c>
      <c r="AP999" s="3">
        <v>397.6</v>
      </c>
      <c r="AR999" t="str">
        <f t="shared" si="114"/>
        <v>0000000000000</v>
      </c>
      <c r="AT999" t="str">
        <f>T("9791137601291")</f>
        <v>9791137601291</v>
      </c>
      <c r="AV999" t="str">
        <f>T("웹툰 &gt; 해외 순정")</f>
        <v>웹툰 &gt; 해외 순정</v>
      </c>
      <c r="AW999" t="str">
        <f>T("웹툰 &gt; 로판")</f>
        <v>웹툰 &gt; 로판</v>
      </c>
    </row>
    <row r="1000" spans="1:49" x14ac:dyDescent="0.4">
      <c r="A1000">
        <v>4421000069</v>
      </c>
      <c r="B1000">
        <v>4421000120</v>
      </c>
      <c r="C1000" t="str">
        <f>T("너랑 나랑 하면 50화")</f>
        <v>너랑 나랑 하면 50화</v>
      </c>
      <c r="D1000" t="str">
        <f>T("50")</f>
        <v>50</v>
      </c>
      <c r="E1000" t="str">
        <f>T("NISANSUI")</f>
        <v>NISANSUI</v>
      </c>
      <c r="G1000" t="str">
        <f>T("ZIQUAN")</f>
        <v>ZIQUAN</v>
      </c>
      <c r="H1000" t="str">
        <f t="shared" si="115"/>
        <v>스토리위즈</v>
      </c>
      <c r="I1000" t="str">
        <f>T("너랑 나랑 하면")</f>
        <v>너랑 나랑 하면</v>
      </c>
      <c r="J1000">
        <v>400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 s="3">
        <v>0</v>
      </c>
      <c r="AH1000" s="3">
        <v>3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R1000" t="str">
        <f t="shared" si="114"/>
        <v>0000000000000</v>
      </c>
      <c r="AT1000" t="str">
        <f>T("9791166067884")</f>
        <v>9791166067884</v>
      </c>
      <c r="AV1000" t="str">
        <f>T("BL 웹툰 &gt; 웹툰")</f>
        <v>BL 웹툰 &gt; 웹툰</v>
      </c>
    </row>
    <row r="1001" spans="1:49" x14ac:dyDescent="0.4">
      <c r="A1001">
        <v>4421001340</v>
      </c>
      <c r="B1001">
        <v>4421001346</v>
      </c>
      <c r="C1001" t="str">
        <f>T("가출천사 육성계약 7화")</f>
        <v>가출천사 육성계약 7화</v>
      </c>
      <c r="D1001" t="str">
        <f>T("7")</f>
        <v>7</v>
      </c>
      <c r="E1001" t="str">
        <f>T("Bae.C, IIAKI, 박제후")</f>
        <v>Bae.C, IIAKI, 박제후</v>
      </c>
      <c r="G1001" t="str">
        <f>T("Bae.C, 조우")</f>
        <v>Bae.C, 조우</v>
      </c>
      <c r="H1001" t="str">
        <f t="shared" si="115"/>
        <v>스토리위즈</v>
      </c>
      <c r="I1001" t="str">
        <f>T("가출천사 육성계약")</f>
        <v>가출천사 육성계약</v>
      </c>
      <c r="J1001">
        <v>400</v>
      </c>
      <c r="K1001">
        <v>0</v>
      </c>
      <c r="L1001">
        <v>0</v>
      </c>
      <c r="M1001">
        <v>0</v>
      </c>
      <c r="N1001">
        <v>200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 s="3">
        <v>200</v>
      </c>
      <c r="AH1001" s="3">
        <v>1</v>
      </c>
      <c r="AI1001" s="3">
        <v>0</v>
      </c>
      <c r="AJ1001" s="3">
        <v>0</v>
      </c>
      <c r="AK1001" s="3">
        <v>200</v>
      </c>
      <c r="AL1001" s="3">
        <v>0</v>
      </c>
      <c r="AM1001" s="3">
        <v>0</v>
      </c>
      <c r="AN1001" s="3">
        <v>0</v>
      </c>
      <c r="AO1001" s="3">
        <v>0</v>
      </c>
      <c r="AP1001" s="3">
        <v>140</v>
      </c>
      <c r="AR1001" t="str">
        <f t="shared" si="114"/>
        <v>0000000000000</v>
      </c>
      <c r="AT1001" t="str">
        <f>T("9791191765663")</f>
        <v>9791191765663</v>
      </c>
      <c r="AV1001" t="str">
        <f>T("웹툰 &gt; 판타지/SF")</f>
        <v>웹툰 &gt; 판타지/SF</v>
      </c>
    </row>
    <row r="1002" spans="1:49" x14ac:dyDescent="0.4">
      <c r="A1002">
        <v>4421001936</v>
      </c>
      <c r="B1002">
        <v>4421002722</v>
      </c>
      <c r="C1002" t="str">
        <f>T("보스 오빠, 살살! 63화")</f>
        <v>보스 오빠, 살살! 63화</v>
      </c>
      <c r="D1002" t="str">
        <f>T("63")</f>
        <v>63</v>
      </c>
      <c r="E1002" t="str">
        <f>T("웹티")</f>
        <v>웹티</v>
      </c>
      <c r="H1002" t="str">
        <f t="shared" si="115"/>
        <v>스토리위즈</v>
      </c>
      <c r="I1002" t="str">
        <f>T("보스 오빠, 살살!")</f>
        <v>보스 오빠, 살살!</v>
      </c>
      <c r="J1002">
        <v>500</v>
      </c>
      <c r="K1002">
        <v>0</v>
      </c>
      <c r="L1002">
        <v>0</v>
      </c>
      <c r="M1002">
        <v>0</v>
      </c>
      <c r="N1002">
        <v>200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 s="3">
        <v>200</v>
      </c>
      <c r="AH1002" s="3">
        <v>1</v>
      </c>
      <c r="AI1002" s="3">
        <v>0</v>
      </c>
      <c r="AJ1002" s="3">
        <v>0</v>
      </c>
      <c r="AK1002" s="3">
        <v>0</v>
      </c>
      <c r="AL1002" s="3">
        <v>0</v>
      </c>
      <c r="AM1002" s="3">
        <v>240</v>
      </c>
      <c r="AN1002" s="3">
        <v>-72</v>
      </c>
      <c r="AO1002" s="3">
        <v>0</v>
      </c>
      <c r="AP1002" s="3">
        <v>117.6</v>
      </c>
      <c r="AT1002" t="str">
        <f>T("9791190702331")</f>
        <v>9791190702331</v>
      </c>
      <c r="AV1002" t="str">
        <f>T("웹툰 &gt; 로맨스")</f>
        <v>웹툰 &gt; 로맨스</v>
      </c>
    </row>
    <row r="1003" spans="1:49" x14ac:dyDescent="0.4">
      <c r="A1003">
        <v>4421000866</v>
      </c>
      <c r="B1003">
        <v>4421000869</v>
      </c>
      <c r="C1003" t="str">
        <f>T("최애에게 들켜버렸다 3화")</f>
        <v>최애에게 들켜버렸다 3화</v>
      </c>
      <c r="D1003" t="str">
        <f>T("3")</f>
        <v>3</v>
      </c>
      <c r="E1003" t="str">
        <f>T("Lv")</f>
        <v>Lv</v>
      </c>
      <c r="G1003" t="str">
        <f>T("Lv")</f>
        <v>Lv</v>
      </c>
      <c r="H1003" t="str">
        <f t="shared" si="115"/>
        <v>스토리위즈</v>
      </c>
      <c r="I1003" t="str">
        <f>T("최애에게 들켜버렸다")</f>
        <v>최애에게 들켜버렸다</v>
      </c>
      <c r="J1003">
        <v>400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64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s="3">
        <v>0</v>
      </c>
      <c r="AH1003" s="3">
        <v>64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R1003" t="str">
        <f t="shared" ref="AR1003:AR1019" si="116">T("0000000000000")</f>
        <v>0000000000000</v>
      </c>
      <c r="AT1003" t="str">
        <f>T("9791137601253")</f>
        <v>9791137601253</v>
      </c>
      <c r="AV1003" t="str">
        <f>T("웹툰 &gt; 해외 순정")</f>
        <v>웹툰 &gt; 해외 순정</v>
      </c>
      <c r="AW1003" t="str">
        <f>T("웹툰 &gt; 로맨스")</f>
        <v>웹툰 &gt; 로맨스</v>
      </c>
    </row>
    <row r="1004" spans="1:49" x14ac:dyDescent="0.4">
      <c r="A1004">
        <v>4421000337</v>
      </c>
      <c r="B1004">
        <v>4421000366</v>
      </c>
      <c r="C1004" t="str">
        <f>T("계약연애, 오늘부터 1일 30화")</f>
        <v>계약연애, 오늘부터 1일 30화</v>
      </c>
      <c r="D1004" t="str">
        <f>T("30")</f>
        <v>30</v>
      </c>
      <c r="E1004" t="str">
        <f>T("원기공장")</f>
        <v>원기공장</v>
      </c>
      <c r="H1004" t="str">
        <f t="shared" si="115"/>
        <v>스토리위즈</v>
      </c>
      <c r="I1004" t="str">
        <f>T("계약연애, 오늘부터 1일")</f>
        <v>계약연애, 오늘부터 1일</v>
      </c>
      <c r="J1004">
        <v>200</v>
      </c>
      <c r="K1004">
        <v>0</v>
      </c>
      <c r="L1004">
        <v>0</v>
      </c>
      <c r="M1004">
        <v>0</v>
      </c>
      <c r="N1004">
        <v>100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 s="3">
        <v>100</v>
      </c>
      <c r="AH1004" s="3">
        <v>1</v>
      </c>
      <c r="AI1004" s="3">
        <v>0</v>
      </c>
      <c r="AJ1004" s="3">
        <v>0</v>
      </c>
      <c r="AK1004" s="3">
        <v>100</v>
      </c>
      <c r="AL1004" s="3">
        <v>0</v>
      </c>
      <c r="AM1004" s="3">
        <v>0</v>
      </c>
      <c r="AN1004" s="3">
        <v>0</v>
      </c>
      <c r="AO1004" s="3">
        <v>0</v>
      </c>
      <c r="AP1004" s="3">
        <v>70</v>
      </c>
      <c r="AR1004" t="str">
        <f t="shared" si="116"/>
        <v>0000000000000</v>
      </c>
      <c r="AT1004" t="str">
        <f>T("9791166068027")</f>
        <v>9791166068027</v>
      </c>
      <c r="AV1004" t="str">
        <f>T("웹툰 &gt; 해외 순정")</f>
        <v>웹툰 &gt; 해외 순정</v>
      </c>
      <c r="AW1004" t="str">
        <f>T("웹툰 &gt; 로맨스")</f>
        <v>웹툰 &gt; 로맨스</v>
      </c>
    </row>
    <row r="1005" spans="1:49" x14ac:dyDescent="0.4">
      <c r="A1005">
        <v>4421000866</v>
      </c>
      <c r="B1005">
        <v>4421001266</v>
      </c>
      <c r="C1005" t="str">
        <f>T("최애에게 들켜버렸다 60화")</f>
        <v>최애에게 들켜버렸다 60화</v>
      </c>
      <c r="D1005" t="str">
        <f>T("63")</f>
        <v>63</v>
      </c>
      <c r="E1005" t="str">
        <f>T("Lv")</f>
        <v>Lv</v>
      </c>
      <c r="G1005" t="str">
        <f>T("Lv")</f>
        <v>Lv</v>
      </c>
      <c r="H1005" t="str">
        <f t="shared" si="115"/>
        <v>스토리위즈</v>
      </c>
      <c r="I1005" t="str">
        <f>T("최애에게 들켜버렸다")</f>
        <v>최애에게 들켜버렸다</v>
      </c>
      <c r="J1005">
        <v>400</v>
      </c>
      <c r="K1005">
        <v>0</v>
      </c>
      <c r="L1005">
        <v>0</v>
      </c>
      <c r="M1005">
        <v>0</v>
      </c>
      <c r="N1005">
        <v>600</v>
      </c>
      <c r="O1005">
        <v>3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 s="3">
        <v>600</v>
      </c>
      <c r="AH1005" s="3">
        <v>3</v>
      </c>
      <c r="AI1005" s="3">
        <v>0</v>
      </c>
      <c r="AJ1005" s="3">
        <v>0</v>
      </c>
      <c r="AK1005" s="3">
        <v>424</v>
      </c>
      <c r="AL1005" s="3">
        <v>0</v>
      </c>
      <c r="AM1005" s="3">
        <v>211.38</v>
      </c>
      <c r="AN1005" s="3">
        <v>-63.41</v>
      </c>
      <c r="AO1005" s="3">
        <v>0</v>
      </c>
      <c r="AP1005" s="3">
        <v>400.38</v>
      </c>
      <c r="AR1005" t="str">
        <f t="shared" si="116"/>
        <v>0000000000000</v>
      </c>
      <c r="AT1005" t="str">
        <f>T("9791137601253")</f>
        <v>9791137601253</v>
      </c>
      <c r="AV1005" t="str">
        <f>T("웹툰 &gt; 해외 순정")</f>
        <v>웹툰 &gt; 해외 순정</v>
      </c>
      <c r="AW1005" t="str">
        <f>T("웹툰 &gt; 로맨스")</f>
        <v>웹툰 &gt; 로맨스</v>
      </c>
    </row>
    <row r="1006" spans="1:49" x14ac:dyDescent="0.4">
      <c r="A1006">
        <v>4421000069</v>
      </c>
      <c r="B1006">
        <v>4421000104</v>
      </c>
      <c r="C1006" t="str">
        <f>T("너랑 나랑 하면 34화")</f>
        <v>너랑 나랑 하면 34화</v>
      </c>
      <c r="D1006" t="str">
        <f>T("34")</f>
        <v>34</v>
      </c>
      <c r="E1006" t="str">
        <f>T("NISANSUI")</f>
        <v>NISANSUI</v>
      </c>
      <c r="G1006" t="str">
        <f>T("ZIQUAN")</f>
        <v>ZIQUAN</v>
      </c>
      <c r="H1006" t="str">
        <f t="shared" si="115"/>
        <v>스토리위즈</v>
      </c>
      <c r="I1006" t="str">
        <f>T("너랑 나랑 하면")</f>
        <v>너랑 나랑 하면</v>
      </c>
      <c r="J1006">
        <v>400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 s="3">
        <v>0</v>
      </c>
      <c r="AH1006" s="3">
        <v>3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R1006" t="str">
        <f t="shared" si="116"/>
        <v>0000000000000</v>
      </c>
      <c r="AT1006" t="str">
        <f>T("9791166067884")</f>
        <v>9791166067884</v>
      </c>
      <c r="AV1006" t="str">
        <f>T("BL 웹툰 &gt; 웹툰")</f>
        <v>BL 웹툰 &gt; 웹툰</v>
      </c>
    </row>
    <row r="1007" spans="1:49" x14ac:dyDescent="0.4">
      <c r="A1007">
        <v>4421000916</v>
      </c>
      <c r="B1007">
        <v>4421001538</v>
      </c>
      <c r="C1007" t="str">
        <f>T("별빛 아래 우리 76화")</f>
        <v>별빛 아래 우리 76화</v>
      </c>
      <c r="D1007" t="str">
        <f>T("76")</f>
        <v>76</v>
      </c>
      <c r="E1007" t="str">
        <f>T("건일")</f>
        <v>건일</v>
      </c>
      <c r="G1007" t="str">
        <f>T("건일")</f>
        <v>건일</v>
      </c>
      <c r="H1007" t="str">
        <f t="shared" si="115"/>
        <v>스토리위즈</v>
      </c>
      <c r="I1007" t="str">
        <f>T("별빛 아래 우리")</f>
        <v>별빛 아래 우리</v>
      </c>
      <c r="J1007">
        <v>400</v>
      </c>
      <c r="K1007">
        <v>0</v>
      </c>
      <c r="L1007">
        <v>0</v>
      </c>
      <c r="M1007">
        <v>0</v>
      </c>
      <c r="N1007">
        <v>1800</v>
      </c>
      <c r="O1007">
        <v>9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 s="3">
        <v>1800</v>
      </c>
      <c r="AH1007" s="3">
        <v>9</v>
      </c>
      <c r="AI1007" s="3">
        <v>0</v>
      </c>
      <c r="AJ1007" s="3">
        <v>0</v>
      </c>
      <c r="AK1007" s="3">
        <v>1180</v>
      </c>
      <c r="AL1007" s="3">
        <v>0</v>
      </c>
      <c r="AM1007" s="3">
        <v>744.83</v>
      </c>
      <c r="AN1007" s="3">
        <v>-223.45</v>
      </c>
      <c r="AO1007" s="3">
        <v>0</v>
      </c>
      <c r="AP1007" s="3">
        <v>1190.97</v>
      </c>
      <c r="AR1007" t="str">
        <f t="shared" si="116"/>
        <v>0000000000000</v>
      </c>
      <c r="AT1007" t="str">
        <f>T("9791137601413")</f>
        <v>9791137601413</v>
      </c>
      <c r="AV1007" t="str">
        <f>T("웹툰 &gt; 해외 순정")</f>
        <v>웹툰 &gt; 해외 순정</v>
      </c>
      <c r="AW1007" t="str">
        <f>T("웹툰 &gt; 로맨스")</f>
        <v>웹툰 &gt; 로맨스</v>
      </c>
    </row>
    <row r="1008" spans="1:49" x14ac:dyDescent="0.4">
      <c r="A1008">
        <v>4421000198</v>
      </c>
      <c r="B1008">
        <v>4421000213</v>
      </c>
      <c r="C1008" t="str">
        <f>T("공주전쟁 16화")</f>
        <v>공주전쟁 16화</v>
      </c>
      <c r="D1008" t="str">
        <f>T("16")</f>
        <v>16</v>
      </c>
      <c r="E1008" t="str">
        <f>T("Hujing")</f>
        <v>Hujing</v>
      </c>
      <c r="G1008" t="str">
        <f>T("Luojie")</f>
        <v>Luojie</v>
      </c>
      <c r="H1008" t="str">
        <f t="shared" si="115"/>
        <v>스토리위즈</v>
      </c>
      <c r="I1008" t="str">
        <f>T("공주전쟁")</f>
        <v>공주전쟁</v>
      </c>
      <c r="J1008">
        <v>400</v>
      </c>
      <c r="K1008">
        <v>0</v>
      </c>
      <c r="L1008">
        <v>0</v>
      </c>
      <c r="M1008">
        <v>0</v>
      </c>
      <c r="N1008">
        <v>600</v>
      </c>
      <c r="O1008">
        <v>3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 s="3">
        <v>600</v>
      </c>
      <c r="AH1008" s="3">
        <v>3</v>
      </c>
      <c r="AI1008" s="3">
        <v>0</v>
      </c>
      <c r="AJ1008" s="3">
        <v>0</v>
      </c>
      <c r="AK1008" s="3">
        <v>400</v>
      </c>
      <c r="AL1008" s="3">
        <v>0</v>
      </c>
      <c r="AM1008" s="3">
        <v>240</v>
      </c>
      <c r="AN1008" s="3">
        <v>-72</v>
      </c>
      <c r="AO1008" s="3">
        <v>0</v>
      </c>
      <c r="AP1008" s="3">
        <v>397.6</v>
      </c>
      <c r="AR1008" t="str">
        <f t="shared" si="116"/>
        <v>0000000000000</v>
      </c>
      <c r="AT1008" t="str">
        <f>T("9791166069666")</f>
        <v>9791166069666</v>
      </c>
      <c r="AV1008" t="str">
        <f>T("웹툰 &gt; 해외 순정")</f>
        <v>웹툰 &gt; 해외 순정</v>
      </c>
      <c r="AW1008" t="str">
        <f>T("웹툰 &gt; 로판")</f>
        <v>웹툰 &gt; 로판</v>
      </c>
    </row>
    <row r="1009" spans="1:49" x14ac:dyDescent="0.4">
      <c r="A1009">
        <v>4421001377</v>
      </c>
      <c r="B1009">
        <v>4421001378</v>
      </c>
      <c r="C1009" t="str">
        <f>T("요괴님은 수련중 2화")</f>
        <v>요괴님은 수련중 2화</v>
      </c>
      <c r="D1009" t="str">
        <f>T("2")</f>
        <v>2</v>
      </c>
      <c r="E1009" t="str">
        <f>T("화방")</f>
        <v>화방</v>
      </c>
      <c r="G1009" t="str">
        <f>T("망북")</f>
        <v>망북</v>
      </c>
      <c r="H1009" t="str">
        <f t="shared" si="115"/>
        <v>스토리위즈</v>
      </c>
      <c r="I1009" t="str">
        <f>T("요괴님은 수련중")</f>
        <v>요괴님은 수련중</v>
      </c>
      <c r="J1009">
        <v>400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23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 s="3">
        <v>0</v>
      </c>
      <c r="AH1009" s="3">
        <v>23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R1009" t="str">
        <f t="shared" si="116"/>
        <v>0000000000000</v>
      </c>
      <c r="AT1009" t="str">
        <f>T("9791137603899")</f>
        <v>9791137603899</v>
      </c>
      <c r="AV1009" t="str">
        <f>T("웹툰 &gt; 해외 순정")</f>
        <v>웹툰 &gt; 해외 순정</v>
      </c>
      <c r="AW1009" t="str">
        <f>T("웹툰 &gt; 로판")</f>
        <v>웹툰 &gt; 로판</v>
      </c>
    </row>
    <row r="1010" spans="1:49" x14ac:dyDescent="0.4">
      <c r="A1010">
        <v>4421000337</v>
      </c>
      <c r="B1010">
        <v>4421000438</v>
      </c>
      <c r="C1010" t="str">
        <f>T("계약연애, 오늘부터 1일 102화")</f>
        <v>계약연애, 오늘부터 1일 102화</v>
      </c>
      <c r="D1010" t="str">
        <f>T("102")</f>
        <v>102</v>
      </c>
      <c r="E1010" t="str">
        <f>T("원기공장")</f>
        <v>원기공장</v>
      </c>
      <c r="H1010" t="str">
        <f t="shared" si="115"/>
        <v>스토리위즈</v>
      </c>
      <c r="I1010" t="str">
        <f>T("계약연애, 오늘부터 1일")</f>
        <v>계약연애, 오늘부터 1일</v>
      </c>
      <c r="J1010">
        <v>200</v>
      </c>
      <c r="K1010">
        <v>0</v>
      </c>
      <c r="L1010">
        <v>0</v>
      </c>
      <c r="M1010">
        <v>0</v>
      </c>
      <c r="N1010">
        <v>100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s="3">
        <v>100</v>
      </c>
      <c r="AH1010" s="3">
        <v>1</v>
      </c>
      <c r="AI1010" s="3">
        <v>0</v>
      </c>
      <c r="AJ1010" s="3">
        <v>0</v>
      </c>
      <c r="AK1010" s="3">
        <v>100</v>
      </c>
      <c r="AL1010" s="3">
        <v>0</v>
      </c>
      <c r="AM1010" s="3">
        <v>0</v>
      </c>
      <c r="AN1010" s="3">
        <v>0</v>
      </c>
      <c r="AO1010" s="3">
        <v>0</v>
      </c>
      <c r="AP1010" s="3">
        <v>70</v>
      </c>
      <c r="AR1010" t="str">
        <f t="shared" si="116"/>
        <v>0000000000000</v>
      </c>
      <c r="AT1010" t="str">
        <f>T("9791166068027")</f>
        <v>9791166068027</v>
      </c>
      <c r="AV1010" t="str">
        <f>T("웹툰 &gt; 해외 순정")</f>
        <v>웹툰 &gt; 해외 순정</v>
      </c>
      <c r="AW1010" t="str">
        <f>T("웹툰 &gt; 로맨스")</f>
        <v>웹툰 &gt; 로맨스</v>
      </c>
    </row>
    <row r="1011" spans="1:49" x14ac:dyDescent="0.4">
      <c r="A1011">
        <v>4421000916</v>
      </c>
      <c r="B1011">
        <v>4421000941</v>
      </c>
      <c r="C1011" t="str">
        <f>T("별빛 아래 우리 26화")</f>
        <v>별빛 아래 우리 26화</v>
      </c>
      <c r="D1011" t="str">
        <f>T("26")</f>
        <v>26</v>
      </c>
      <c r="E1011" t="str">
        <f>T("건일")</f>
        <v>건일</v>
      </c>
      <c r="G1011" t="str">
        <f>T("건일")</f>
        <v>건일</v>
      </c>
      <c r="H1011" t="str">
        <f t="shared" si="115"/>
        <v>스토리위즈</v>
      </c>
      <c r="I1011" t="str">
        <f>T("별빛 아래 우리")</f>
        <v>별빛 아래 우리</v>
      </c>
      <c r="J1011">
        <v>400</v>
      </c>
      <c r="K1011">
        <v>0</v>
      </c>
      <c r="L1011">
        <v>0</v>
      </c>
      <c r="M1011">
        <v>0</v>
      </c>
      <c r="N1011">
        <v>1200</v>
      </c>
      <c r="O1011">
        <v>6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 s="3">
        <v>1200</v>
      </c>
      <c r="AH1011" s="3">
        <v>6</v>
      </c>
      <c r="AI1011" s="3">
        <v>0</v>
      </c>
      <c r="AJ1011" s="3">
        <v>0</v>
      </c>
      <c r="AK1011" s="3">
        <v>400</v>
      </c>
      <c r="AL1011" s="3">
        <v>0</v>
      </c>
      <c r="AM1011" s="3">
        <v>958.3</v>
      </c>
      <c r="AN1011" s="3">
        <v>-287.49</v>
      </c>
      <c r="AO1011" s="3">
        <v>0</v>
      </c>
      <c r="AP1011" s="3">
        <v>749.57</v>
      </c>
      <c r="AR1011" t="str">
        <f t="shared" si="116"/>
        <v>0000000000000</v>
      </c>
      <c r="AT1011" t="str">
        <f>T("9791137601413")</f>
        <v>9791137601413</v>
      </c>
      <c r="AV1011" t="str">
        <f>T("웹툰 &gt; 해외 순정")</f>
        <v>웹툰 &gt; 해외 순정</v>
      </c>
      <c r="AW1011" t="str">
        <f>T("웹툰 &gt; 로맨스")</f>
        <v>웹툰 &gt; 로맨스</v>
      </c>
    </row>
    <row r="1012" spans="1:49" x14ac:dyDescent="0.4">
      <c r="A1012">
        <v>4421001764</v>
      </c>
      <c r="B1012">
        <v>4421001772</v>
      </c>
      <c r="C1012" t="str">
        <f>T("예쁜 남자 잘생긴 여자 9화")</f>
        <v>예쁜 남자 잘생긴 여자 9화</v>
      </c>
      <c r="D1012" t="str">
        <f>T("9")</f>
        <v>9</v>
      </c>
      <c r="E1012" t="str">
        <f>T("웹티")</f>
        <v>웹티</v>
      </c>
      <c r="H1012" t="str">
        <f t="shared" si="115"/>
        <v>스토리위즈</v>
      </c>
      <c r="I1012" t="str">
        <f>T("예쁜 남자 잘생긴 여자")</f>
        <v>예쁜 남자 잘생긴 여자</v>
      </c>
      <c r="J1012">
        <v>500</v>
      </c>
      <c r="K1012">
        <v>0</v>
      </c>
      <c r="L1012">
        <v>0</v>
      </c>
      <c r="M1012">
        <v>0</v>
      </c>
      <c r="N1012">
        <v>200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 s="3">
        <v>200</v>
      </c>
      <c r="AH1012" s="3">
        <v>1</v>
      </c>
      <c r="AI1012" s="3">
        <v>0</v>
      </c>
      <c r="AJ1012" s="3">
        <v>0</v>
      </c>
      <c r="AK1012" s="3">
        <v>0</v>
      </c>
      <c r="AL1012" s="3">
        <v>0</v>
      </c>
      <c r="AM1012" s="3">
        <v>240.82</v>
      </c>
      <c r="AN1012" s="3">
        <v>-72.25</v>
      </c>
      <c r="AO1012" s="3">
        <v>0</v>
      </c>
      <c r="AP1012" s="3">
        <v>118</v>
      </c>
      <c r="AR1012" t="str">
        <f t="shared" si="116"/>
        <v>0000000000000</v>
      </c>
      <c r="AT1012" t="str">
        <f>T("9791190702164")</f>
        <v>9791190702164</v>
      </c>
      <c r="AV1012" t="str">
        <f>T("웹툰 &gt; 로맨스")</f>
        <v>웹툰 &gt; 로맨스</v>
      </c>
    </row>
    <row r="1013" spans="1:49" x14ac:dyDescent="0.4">
      <c r="A1013">
        <v>4421000337</v>
      </c>
      <c r="B1013">
        <v>4421000398</v>
      </c>
      <c r="C1013" t="str">
        <f>T("계약연애, 오늘부터 1일 62화")</f>
        <v>계약연애, 오늘부터 1일 62화</v>
      </c>
      <c r="D1013" t="str">
        <f>T("62")</f>
        <v>62</v>
      </c>
      <c r="E1013" t="str">
        <f>T("원기공장")</f>
        <v>원기공장</v>
      </c>
      <c r="H1013" t="str">
        <f t="shared" si="115"/>
        <v>스토리위즈</v>
      </c>
      <c r="I1013" t="str">
        <f>T("계약연애, 오늘부터 1일")</f>
        <v>계약연애, 오늘부터 1일</v>
      </c>
      <c r="J1013">
        <v>200</v>
      </c>
      <c r="K1013">
        <v>0</v>
      </c>
      <c r="L1013">
        <v>0</v>
      </c>
      <c r="M1013">
        <v>0</v>
      </c>
      <c r="N1013">
        <v>100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 s="3">
        <v>100</v>
      </c>
      <c r="AH1013" s="3">
        <v>1</v>
      </c>
      <c r="AI1013" s="3">
        <v>0</v>
      </c>
      <c r="AJ1013" s="3">
        <v>0</v>
      </c>
      <c r="AK1013" s="3">
        <v>100</v>
      </c>
      <c r="AL1013" s="3">
        <v>0</v>
      </c>
      <c r="AM1013" s="3">
        <v>0</v>
      </c>
      <c r="AN1013" s="3">
        <v>0</v>
      </c>
      <c r="AO1013" s="3">
        <v>0</v>
      </c>
      <c r="AP1013" s="3">
        <v>70</v>
      </c>
      <c r="AR1013" t="str">
        <f t="shared" si="116"/>
        <v>0000000000000</v>
      </c>
      <c r="AT1013" t="str">
        <f>T("9791166068027")</f>
        <v>9791166068027</v>
      </c>
      <c r="AV1013" t="str">
        <f>T("웹툰 &gt; 해외 순정")</f>
        <v>웹툰 &gt; 해외 순정</v>
      </c>
      <c r="AW1013" t="str">
        <f>T("웹툰 &gt; 로맨스")</f>
        <v>웹툰 &gt; 로맨스</v>
      </c>
    </row>
    <row r="1014" spans="1:49" x14ac:dyDescent="0.4">
      <c r="A1014">
        <v>4421001568</v>
      </c>
      <c r="B1014">
        <v>4421001580</v>
      </c>
      <c r="C1014" t="str">
        <f>T("구름의 연인 13화")</f>
        <v>구름의 연인 13화</v>
      </c>
      <c r="D1014" t="str">
        <f>T("13")</f>
        <v>13</v>
      </c>
      <c r="E1014" t="str">
        <f>T("웹티")</f>
        <v>웹티</v>
      </c>
      <c r="H1014" t="str">
        <f t="shared" si="115"/>
        <v>스토리위즈</v>
      </c>
      <c r="I1014" t="str">
        <f>T("구름의 연인")</f>
        <v>구름의 연인</v>
      </c>
      <c r="J1014">
        <v>500</v>
      </c>
      <c r="K1014">
        <v>0</v>
      </c>
      <c r="L1014">
        <v>0</v>
      </c>
      <c r="M1014">
        <v>0</v>
      </c>
      <c r="N1014">
        <v>200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s="3">
        <v>200</v>
      </c>
      <c r="AH1014" s="3">
        <v>1</v>
      </c>
      <c r="AI1014" s="3">
        <v>0</v>
      </c>
      <c r="AJ1014" s="3">
        <v>0</v>
      </c>
      <c r="AK1014" s="3">
        <v>200</v>
      </c>
      <c r="AL1014" s="3">
        <v>0</v>
      </c>
      <c r="AM1014" s="3">
        <v>0</v>
      </c>
      <c r="AN1014" s="3">
        <v>0</v>
      </c>
      <c r="AO1014" s="3">
        <v>0</v>
      </c>
      <c r="AP1014" s="3">
        <v>140</v>
      </c>
      <c r="AR1014" t="str">
        <f t="shared" si="116"/>
        <v>0000000000000</v>
      </c>
      <c r="AT1014" t="str">
        <f>T("9791196402730")</f>
        <v>9791196402730</v>
      </c>
      <c r="AV1014" t="str">
        <f>T("웹툰 &gt; 로맨스")</f>
        <v>웹툰 &gt; 로맨스</v>
      </c>
    </row>
    <row r="1015" spans="1:49" x14ac:dyDescent="0.4">
      <c r="A1015">
        <v>4421000866</v>
      </c>
      <c r="B1015">
        <v>4421001195</v>
      </c>
      <c r="C1015" t="str">
        <f>T("최애에게 들켜버렸다 47화")</f>
        <v>최애에게 들켜버렸다 47화</v>
      </c>
      <c r="D1015" t="str">
        <f>T("50")</f>
        <v>50</v>
      </c>
      <c r="E1015" t="str">
        <f>T("Lv")</f>
        <v>Lv</v>
      </c>
      <c r="G1015" t="str">
        <f>T("Lv")</f>
        <v>Lv</v>
      </c>
      <c r="H1015" t="str">
        <f t="shared" si="115"/>
        <v>스토리위즈</v>
      </c>
      <c r="I1015" t="str">
        <f>T("최애에게 들켜버렸다")</f>
        <v>최애에게 들켜버렸다</v>
      </c>
      <c r="J1015">
        <v>400</v>
      </c>
      <c r="K1015">
        <v>0</v>
      </c>
      <c r="L1015">
        <v>0</v>
      </c>
      <c r="M1015">
        <v>0</v>
      </c>
      <c r="N1015">
        <v>600</v>
      </c>
      <c r="O1015">
        <v>3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 s="3">
        <v>600</v>
      </c>
      <c r="AH1015" s="3">
        <v>3</v>
      </c>
      <c r="AI1015" s="3">
        <v>0</v>
      </c>
      <c r="AJ1015" s="3">
        <v>0</v>
      </c>
      <c r="AK1015" s="3">
        <v>424</v>
      </c>
      <c r="AL1015" s="3">
        <v>0</v>
      </c>
      <c r="AM1015" s="3">
        <v>211.38</v>
      </c>
      <c r="AN1015" s="3">
        <v>-63.41</v>
      </c>
      <c r="AO1015" s="3">
        <v>0</v>
      </c>
      <c r="AP1015" s="3">
        <v>400.38</v>
      </c>
      <c r="AR1015" t="str">
        <f t="shared" si="116"/>
        <v>0000000000000</v>
      </c>
      <c r="AT1015" t="str">
        <f>T("9791137601253")</f>
        <v>9791137601253</v>
      </c>
      <c r="AV1015" t="str">
        <f>T("웹툰 &gt; 해외 순정")</f>
        <v>웹툰 &gt; 해외 순정</v>
      </c>
      <c r="AW1015" t="str">
        <f>T("웹툰 &gt; 로맨스")</f>
        <v>웹툰 &gt; 로맨스</v>
      </c>
    </row>
    <row r="1016" spans="1:49" x14ac:dyDescent="0.4">
      <c r="A1016">
        <v>4421000450</v>
      </c>
      <c r="B1016">
        <v>4421000470</v>
      </c>
      <c r="C1016" t="str">
        <f>T("내 남편의 스토커 20화")</f>
        <v>내 남편의 스토커 20화</v>
      </c>
      <c r="D1016" t="str">
        <f>T("20")</f>
        <v>20</v>
      </c>
      <c r="E1016" t="str">
        <f>T("혜원")</f>
        <v>혜원</v>
      </c>
      <c r="G1016" t="str">
        <f>T("혜원")</f>
        <v>혜원</v>
      </c>
      <c r="H1016" t="str">
        <f t="shared" si="115"/>
        <v>스토리위즈</v>
      </c>
      <c r="I1016" t="str">
        <f>T("내 남편의 스토커")</f>
        <v>내 남편의 스토커</v>
      </c>
      <c r="J1016">
        <v>400</v>
      </c>
      <c r="K1016">
        <v>0</v>
      </c>
      <c r="L1016">
        <v>0</v>
      </c>
      <c r="M1016">
        <v>0</v>
      </c>
      <c r="N1016">
        <v>200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 s="3">
        <v>200</v>
      </c>
      <c r="AH1016" s="3">
        <v>1</v>
      </c>
      <c r="AI1016" s="3">
        <v>0</v>
      </c>
      <c r="AJ1016" s="3">
        <v>0</v>
      </c>
      <c r="AK1016" s="3">
        <v>200</v>
      </c>
      <c r="AL1016" s="3">
        <v>0</v>
      </c>
      <c r="AM1016" s="3">
        <v>0</v>
      </c>
      <c r="AN1016" s="3">
        <v>0</v>
      </c>
      <c r="AO1016" s="3">
        <v>0</v>
      </c>
      <c r="AP1016" s="3">
        <v>140</v>
      </c>
      <c r="AR1016" t="str">
        <f t="shared" si="116"/>
        <v>0000000000000</v>
      </c>
      <c r="AT1016" t="str">
        <f>T("9791166068034")</f>
        <v>9791166068034</v>
      </c>
      <c r="AV1016" t="str">
        <f>T("웹툰 &gt; 로맨스")</f>
        <v>웹툰 &gt; 로맨스</v>
      </c>
    </row>
    <row r="1017" spans="1:49" x14ac:dyDescent="0.4">
      <c r="A1017">
        <v>4421000450</v>
      </c>
      <c r="B1017">
        <v>4421000478</v>
      </c>
      <c r="C1017" t="str">
        <f>T("내 남편의 스토커 28화")</f>
        <v>내 남편의 스토커 28화</v>
      </c>
      <c r="D1017" t="str">
        <f>T("28")</f>
        <v>28</v>
      </c>
      <c r="E1017" t="str">
        <f>T("혜원")</f>
        <v>혜원</v>
      </c>
      <c r="G1017" t="str">
        <f>T("혜원")</f>
        <v>혜원</v>
      </c>
      <c r="H1017" t="str">
        <f t="shared" si="115"/>
        <v>스토리위즈</v>
      </c>
      <c r="I1017" t="str">
        <f>T("내 남편의 스토커")</f>
        <v>내 남편의 스토커</v>
      </c>
      <c r="J1017">
        <v>400</v>
      </c>
      <c r="K1017">
        <v>0</v>
      </c>
      <c r="L1017">
        <v>0</v>
      </c>
      <c r="M1017">
        <v>0</v>
      </c>
      <c r="N1017">
        <v>200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 s="3">
        <v>200</v>
      </c>
      <c r="AH1017" s="3">
        <v>1</v>
      </c>
      <c r="AI1017" s="3">
        <v>0</v>
      </c>
      <c r="AJ1017" s="3">
        <v>0</v>
      </c>
      <c r="AK1017" s="3">
        <v>200</v>
      </c>
      <c r="AL1017" s="3">
        <v>0</v>
      </c>
      <c r="AM1017" s="3">
        <v>0</v>
      </c>
      <c r="AN1017" s="3">
        <v>0</v>
      </c>
      <c r="AO1017" s="3">
        <v>0</v>
      </c>
      <c r="AP1017" s="3">
        <v>140</v>
      </c>
      <c r="AR1017" t="str">
        <f t="shared" si="116"/>
        <v>0000000000000</v>
      </c>
      <c r="AT1017" t="str">
        <f>T("9791166068034")</f>
        <v>9791166068034</v>
      </c>
      <c r="AV1017" t="str">
        <f>T("웹툰 &gt; 로맨스")</f>
        <v>웹툰 &gt; 로맨스</v>
      </c>
    </row>
    <row r="1018" spans="1:49" x14ac:dyDescent="0.4">
      <c r="A1018">
        <v>4421000198</v>
      </c>
      <c r="B1018">
        <v>4421000245</v>
      </c>
      <c r="C1018" t="str">
        <f>T("공주전쟁 48화")</f>
        <v>공주전쟁 48화</v>
      </c>
      <c r="D1018" t="str">
        <f>T("48")</f>
        <v>48</v>
      </c>
      <c r="E1018" t="str">
        <f>T("Hujing")</f>
        <v>Hujing</v>
      </c>
      <c r="G1018" t="str">
        <f>T("Luojie")</f>
        <v>Luojie</v>
      </c>
      <c r="H1018" t="str">
        <f t="shared" si="115"/>
        <v>스토리위즈</v>
      </c>
      <c r="I1018" t="str">
        <f>T("공주전쟁")</f>
        <v>공주전쟁</v>
      </c>
      <c r="J1018">
        <v>400</v>
      </c>
      <c r="K1018">
        <v>0</v>
      </c>
      <c r="L1018">
        <v>0</v>
      </c>
      <c r="M1018">
        <v>0</v>
      </c>
      <c r="N1018">
        <v>400</v>
      </c>
      <c r="O1018">
        <v>2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 s="3">
        <v>400</v>
      </c>
      <c r="AH1018" s="3">
        <v>2</v>
      </c>
      <c r="AI1018" s="3">
        <v>0</v>
      </c>
      <c r="AJ1018" s="3">
        <v>0</v>
      </c>
      <c r="AK1018" s="3">
        <v>200</v>
      </c>
      <c r="AL1018" s="3">
        <v>0</v>
      </c>
      <c r="AM1018" s="3">
        <v>240</v>
      </c>
      <c r="AN1018" s="3">
        <v>-72</v>
      </c>
      <c r="AO1018" s="3">
        <v>0</v>
      </c>
      <c r="AP1018" s="3">
        <v>257.60000000000002</v>
      </c>
      <c r="AR1018" t="str">
        <f t="shared" si="116"/>
        <v>0000000000000</v>
      </c>
      <c r="AT1018" t="str">
        <f>T("9791166069666")</f>
        <v>9791166069666</v>
      </c>
      <c r="AV1018" t="str">
        <f>T("웹툰 &gt; 해외 순정")</f>
        <v>웹툰 &gt; 해외 순정</v>
      </c>
      <c r="AW1018" t="str">
        <f>T("웹툰 &gt; 로판")</f>
        <v>웹툰 &gt; 로판</v>
      </c>
    </row>
    <row r="1019" spans="1:49" x14ac:dyDescent="0.4">
      <c r="A1019">
        <v>4421000866</v>
      </c>
      <c r="B1019">
        <v>4421000994</v>
      </c>
      <c r="C1019" t="str">
        <f>T("최애에게 들켜버렸다 36화")</f>
        <v>최애에게 들켜버렸다 36화</v>
      </c>
      <c r="D1019" t="str">
        <f>T("37")</f>
        <v>37</v>
      </c>
      <c r="E1019" t="str">
        <f>T("Lv")</f>
        <v>Lv</v>
      </c>
      <c r="G1019" t="str">
        <f>T("Lv")</f>
        <v>Lv</v>
      </c>
      <c r="H1019" t="str">
        <f t="shared" si="115"/>
        <v>스토리위즈</v>
      </c>
      <c r="I1019" t="str">
        <f>T("최애에게 들켜버렸다")</f>
        <v>최애에게 들켜버렸다</v>
      </c>
      <c r="J1019">
        <v>400</v>
      </c>
      <c r="K1019">
        <v>0</v>
      </c>
      <c r="L1019">
        <v>0</v>
      </c>
      <c r="M1019">
        <v>0</v>
      </c>
      <c r="N1019">
        <v>800</v>
      </c>
      <c r="O1019">
        <v>4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 s="3">
        <v>800</v>
      </c>
      <c r="AH1019" s="3">
        <v>4</v>
      </c>
      <c r="AI1019" s="3">
        <v>0</v>
      </c>
      <c r="AJ1019" s="3">
        <v>0</v>
      </c>
      <c r="AK1019" s="3">
        <v>624</v>
      </c>
      <c r="AL1019" s="3">
        <v>0</v>
      </c>
      <c r="AM1019" s="3">
        <v>211.38</v>
      </c>
      <c r="AN1019" s="3">
        <v>-63.41</v>
      </c>
      <c r="AO1019" s="3">
        <v>0</v>
      </c>
      <c r="AP1019" s="3">
        <v>540.38</v>
      </c>
      <c r="AR1019" t="str">
        <f t="shared" si="116"/>
        <v>0000000000000</v>
      </c>
      <c r="AT1019" t="str">
        <f>T("9791137601253")</f>
        <v>9791137601253</v>
      </c>
      <c r="AV1019" t="str">
        <f>T("웹툰 &gt; 해외 순정")</f>
        <v>웹툰 &gt; 해외 순정</v>
      </c>
      <c r="AW1019" t="str">
        <f>T("웹툰 &gt; 로맨스")</f>
        <v>웹툰 &gt; 로맨스</v>
      </c>
    </row>
    <row r="1020" spans="1:49" x14ac:dyDescent="0.4">
      <c r="A1020">
        <v>4421001936</v>
      </c>
      <c r="B1020">
        <v>4421001945</v>
      </c>
      <c r="C1020" t="str">
        <f>T("보스 오빠, 살살! 10화")</f>
        <v>보스 오빠, 살살! 10화</v>
      </c>
      <c r="D1020" t="str">
        <f>T("10")</f>
        <v>10</v>
      </c>
      <c r="E1020" t="str">
        <f>T("웹티")</f>
        <v>웹티</v>
      </c>
      <c r="H1020" t="str">
        <f t="shared" si="115"/>
        <v>스토리위즈</v>
      </c>
      <c r="I1020" t="str">
        <f>T("보스 오빠, 살살!")</f>
        <v>보스 오빠, 살살!</v>
      </c>
      <c r="J1020">
        <v>500</v>
      </c>
      <c r="K1020">
        <v>0</v>
      </c>
      <c r="L1020">
        <v>0</v>
      </c>
      <c r="M1020">
        <v>0</v>
      </c>
      <c r="N1020">
        <v>200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 s="3">
        <v>200</v>
      </c>
      <c r="AH1020" s="3">
        <v>1</v>
      </c>
      <c r="AI1020" s="3">
        <v>0</v>
      </c>
      <c r="AJ1020" s="3">
        <v>0</v>
      </c>
      <c r="AK1020" s="3">
        <v>0</v>
      </c>
      <c r="AL1020" s="3">
        <v>0</v>
      </c>
      <c r="AM1020" s="3">
        <v>240</v>
      </c>
      <c r="AN1020" s="3">
        <v>-72</v>
      </c>
      <c r="AO1020" s="3">
        <v>0</v>
      </c>
      <c r="AP1020" s="3">
        <v>117.6</v>
      </c>
      <c r="AT1020" t="str">
        <f>T("9791190702331")</f>
        <v>9791190702331</v>
      </c>
      <c r="AV1020" t="str">
        <f>T("웹툰 &gt; 로맨스")</f>
        <v>웹툰 &gt; 로맨스</v>
      </c>
    </row>
    <row r="1021" spans="1:49" x14ac:dyDescent="0.4">
      <c r="AN1021" s="14" t="s">
        <v>49</v>
      </c>
      <c r="AO1021" s="14"/>
      <c r="AP1021" s="2">
        <f>SUM(AP2:AP1020)</f>
        <v>2841197.8300000075</v>
      </c>
    </row>
    <row r="1022" spans="1:49" x14ac:dyDescent="0.4">
      <c r="AN1022" s="15" t="s">
        <v>51</v>
      </c>
      <c r="AO1022" s="15"/>
      <c r="AP1022" s="3">
        <f>'&lt;테두리는 주시하지 않는다&gt; MG차감내역'!W2</f>
        <v>2439344</v>
      </c>
    </row>
    <row r="1023" spans="1:49" x14ac:dyDescent="0.4">
      <c r="AN1023" s="14" t="s">
        <v>50</v>
      </c>
      <c r="AO1023" s="14"/>
      <c r="AP1023" s="13">
        <f>AP1021-AP1022</f>
        <v>401853.83000000753</v>
      </c>
    </row>
  </sheetData>
  <mergeCells count="3">
    <mergeCell ref="AN1021:AO1021"/>
    <mergeCell ref="AN1022:AO1022"/>
    <mergeCell ref="AN1023:AO1023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topLeftCell="N1" workbookViewId="0">
      <selection activeCell="C13" sqref="C13"/>
    </sheetView>
  </sheetViews>
  <sheetFormatPr defaultRowHeight="17.399999999999999" x14ac:dyDescent="0.4"/>
  <cols>
    <col min="2" max="2" width="23.5" bestFit="1" customWidth="1"/>
    <col min="3" max="3" width="10.8984375" bestFit="1" customWidth="1"/>
    <col min="4" max="4" width="10.69921875" bestFit="1" customWidth="1"/>
    <col min="5" max="5" width="11.796875" bestFit="1" customWidth="1"/>
    <col min="6" max="6" width="10.69921875" bestFit="1" customWidth="1"/>
    <col min="7" max="7" width="10.796875" bestFit="1" customWidth="1"/>
    <col min="8" max="9" width="9" bestFit="1" customWidth="1"/>
    <col min="10" max="10" width="10.796875" bestFit="1" customWidth="1"/>
    <col min="11" max="20" width="9" bestFit="1" customWidth="1"/>
    <col min="21" max="21" width="10.796875" bestFit="1" customWidth="1"/>
    <col min="22" max="22" width="9" bestFit="1" customWidth="1"/>
    <col min="23" max="23" width="16.09765625" bestFit="1" customWidth="1"/>
    <col min="24" max="24" width="20" bestFit="1" customWidth="1"/>
    <col min="25" max="26" width="11.09765625" bestFit="1" customWidth="1"/>
    <col min="27" max="27" width="15.69921875" bestFit="1" customWidth="1"/>
    <col min="28" max="28" width="11.09765625" bestFit="1" customWidth="1"/>
  </cols>
  <sheetData>
    <row r="1" spans="1:30" x14ac:dyDescent="0.4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58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34</v>
      </c>
      <c r="T1" t="s">
        <v>35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</row>
    <row r="2" spans="1:30" x14ac:dyDescent="0.4">
      <c r="A2">
        <v>1549</v>
      </c>
      <c r="B2" t="s">
        <v>69</v>
      </c>
      <c r="C2">
        <v>202209</v>
      </c>
      <c r="D2">
        <v>202207</v>
      </c>
      <c r="E2" s="3">
        <v>10000000</v>
      </c>
      <c r="F2" s="3">
        <v>6061060</v>
      </c>
      <c r="G2" s="3">
        <v>1778500</v>
      </c>
      <c r="H2" s="3">
        <v>3557</v>
      </c>
      <c r="I2" s="3">
        <v>0</v>
      </c>
      <c r="J2" s="3">
        <v>2358000</v>
      </c>
      <c r="K2" s="3">
        <v>7860</v>
      </c>
      <c r="L2" s="3">
        <v>10645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-4800</v>
      </c>
      <c r="T2" s="3">
        <v>14</v>
      </c>
      <c r="U2" s="3">
        <v>2439344</v>
      </c>
      <c r="V2" s="3">
        <v>0</v>
      </c>
      <c r="W2" s="3">
        <v>2439344</v>
      </c>
      <c r="X2" s="3">
        <v>0</v>
      </c>
      <c r="Y2" s="3">
        <v>0</v>
      </c>
      <c r="Z2" s="3">
        <v>0</v>
      </c>
      <c r="AA2" s="3">
        <v>3621716</v>
      </c>
      <c r="AB2" s="4">
        <v>44722</v>
      </c>
      <c r="AC2" t="s">
        <v>70</v>
      </c>
      <c r="AD2" t="s">
        <v>71</v>
      </c>
    </row>
    <row r="5" spans="1:30" x14ac:dyDescent="0.4">
      <c r="A5" s="5" t="s">
        <v>72</v>
      </c>
      <c r="B5" s="6"/>
      <c r="C5" s="6"/>
      <c r="D5" s="7"/>
    </row>
    <row r="6" spans="1:30" x14ac:dyDescent="0.4">
      <c r="A6" s="8" t="s">
        <v>73</v>
      </c>
      <c r="B6" s="8" t="s">
        <v>74</v>
      </c>
      <c r="C6" s="8" t="s">
        <v>75</v>
      </c>
      <c r="D6" s="8" t="s">
        <v>76</v>
      </c>
    </row>
    <row r="7" spans="1:30" x14ac:dyDescent="0.4">
      <c r="A7" s="9">
        <v>202206</v>
      </c>
      <c r="B7" s="10">
        <v>10000000</v>
      </c>
      <c r="C7" s="11">
        <v>3938940</v>
      </c>
      <c r="D7" s="11">
        <f>B7-C7</f>
        <v>6061060</v>
      </c>
    </row>
    <row r="8" spans="1:30" x14ac:dyDescent="0.4">
      <c r="A8" s="9">
        <v>202207</v>
      </c>
      <c r="B8" s="10"/>
      <c r="C8" s="11">
        <f>W2</f>
        <v>2439344</v>
      </c>
      <c r="D8" s="11">
        <f>D7-C8</f>
        <v>3621716</v>
      </c>
    </row>
    <row r="9" spans="1:30" x14ac:dyDescent="0.4">
      <c r="A9" s="8" t="s">
        <v>77</v>
      </c>
      <c r="B9" s="12">
        <f>SUM(B7)</f>
        <v>10000000</v>
      </c>
      <c r="C9" s="12">
        <f>SUM(C7:C8)</f>
        <v>6378284</v>
      </c>
      <c r="D9" s="8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합계(7)</vt:lpstr>
      <vt:lpstr>&lt;테두리는 주시하지 않는다&gt; MG차감내역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2022-07-25T02:16:46Z</dcterms:created>
  <dcterms:modified xsi:type="dcterms:W3CDTF">2022-09-02T01:38:05Z</dcterms:modified>
</cp:coreProperties>
</file>