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네이버\"/>
    </mc:Choice>
  </mc:AlternateContent>
  <bookViews>
    <workbookView xWindow="0" yWindow="0" windowWidth="23040" windowHeight="8952" tabRatio="766"/>
  </bookViews>
  <sheets>
    <sheet name="합계 (7)" sheetId="414" r:id="rId1"/>
  </sheets>
  <definedNames>
    <definedName name="_xlnm._FilterDatabase" localSheetId="0" hidden="1">'합계 (7)'!$A$1:$AM$1</definedName>
    <definedName name="_xlnm.Extract" localSheetId="0">'합계 (7)'!#REF!</definedName>
  </definedNames>
  <calcPr calcId="152511"/>
</workbook>
</file>

<file path=xl/calcChain.xml><?xml version="1.0" encoding="utf-8"?>
<calcChain xmlns="http://schemas.openxmlformats.org/spreadsheetml/2006/main">
  <c r="BM130" i="414" l="1"/>
  <c r="BO130" i="414"/>
  <c r="BN94" i="414"/>
  <c r="BO94" i="414" s="1"/>
  <c r="BN95" i="414"/>
  <c r="BO95" i="414" s="1"/>
  <c r="BN96" i="414"/>
  <c r="BO96" i="414" s="1"/>
  <c r="BN97" i="414"/>
  <c r="BO97" i="414" s="1"/>
  <c r="BN98" i="414"/>
  <c r="BO98" i="414" s="1"/>
  <c r="BN99" i="414"/>
  <c r="BO99" i="414" s="1"/>
  <c r="BN100" i="414"/>
  <c r="BO100" i="414" s="1"/>
  <c r="BN101" i="414"/>
  <c r="BO101" i="414"/>
  <c r="BN102" i="414"/>
  <c r="BO102" i="414" s="1"/>
  <c r="BN103" i="414"/>
  <c r="BO103" i="414" s="1"/>
  <c r="BN104" i="414"/>
  <c r="BO104" i="414" s="1"/>
  <c r="BN105" i="414"/>
  <c r="BO105" i="414"/>
  <c r="BN106" i="414"/>
  <c r="BO106" i="414" s="1"/>
  <c r="BN107" i="414"/>
  <c r="BO107" i="414" s="1"/>
  <c r="BN108" i="414"/>
  <c r="BO108" i="414" s="1"/>
  <c r="BN109" i="414"/>
  <c r="BO109" i="414" s="1"/>
  <c r="BN110" i="414"/>
  <c r="BO110" i="414" s="1"/>
  <c r="BN111" i="414"/>
  <c r="BO111" i="414" s="1"/>
  <c r="BN112" i="414"/>
  <c r="BO112" i="414" s="1"/>
  <c r="BN113" i="414"/>
  <c r="BO113" i="414" s="1"/>
  <c r="BN114" i="414"/>
  <c r="BO114" i="414" s="1"/>
  <c r="BN115" i="414"/>
  <c r="BO115" i="414" s="1"/>
  <c r="BN116" i="414"/>
  <c r="BO116" i="414" s="1"/>
  <c r="BN117" i="414"/>
  <c r="BO117" i="414"/>
  <c r="BN118" i="414"/>
  <c r="BO118" i="414" s="1"/>
  <c r="BN119" i="414"/>
  <c r="BO119" i="414" s="1"/>
  <c r="BN120" i="414"/>
  <c r="BO120" i="414"/>
  <c r="BN121" i="414"/>
  <c r="BO121" i="414" s="1"/>
  <c r="BN122" i="414"/>
  <c r="BO122" i="414" s="1"/>
  <c r="BN123" i="414"/>
  <c r="BO123" i="414" s="1"/>
  <c r="BN124" i="414"/>
  <c r="BO124" i="414" s="1"/>
  <c r="BN125" i="414"/>
  <c r="BO125" i="414"/>
  <c r="BN126" i="414"/>
  <c r="BO126" i="414" s="1"/>
  <c r="BN127" i="414"/>
  <c r="BO127" i="414" s="1"/>
  <c r="BN128" i="414"/>
  <c r="BO128" i="414" s="1"/>
  <c r="BN129" i="414"/>
  <c r="BO129" i="414"/>
  <c r="BN68" i="414" l="1"/>
  <c r="BO68" i="414" s="1"/>
  <c r="BN69" i="414"/>
  <c r="BO69" i="414" s="1"/>
  <c r="BN70" i="414"/>
  <c r="BO70" i="414"/>
  <c r="BN71" i="414"/>
  <c r="BO71" i="414" s="1"/>
  <c r="BN72" i="414"/>
  <c r="BO72" i="414"/>
  <c r="BN73" i="414"/>
  <c r="BO73" i="414"/>
  <c r="BN74" i="414"/>
  <c r="BO74" i="414" s="1"/>
  <c r="BN75" i="414"/>
  <c r="BO75" i="414" s="1"/>
  <c r="BN76" i="414"/>
  <c r="BO76" i="414"/>
  <c r="BN77" i="414"/>
  <c r="BO77" i="414"/>
  <c r="BN78" i="414"/>
  <c r="BO78" i="414" s="1"/>
  <c r="BN79" i="414"/>
  <c r="BO79" i="414" s="1"/>
  <c r="BN80" i="414"/>
  <c r="BO80" i="414" s="1"/>
  <c r="BN81" i="414"/>
  <c r="BO81" i="414"/>
  <c r="BN82" i="414"/>
  <c r="BO82" i="414" s="1"/>
  <c r="BN83" i="414"/>
  <c r="BO83" i="414"/>
  <c r="BN84" i="414"/>
  <c r="BO84" i="414" s="1"/>
  <c r="BN85" i="414"/>
  <c r="BO85" i="414"/>
  <c r="BN86" i="414"/>
  <c r="BO86" i="414" s="1"/>
  <c r="BN87" i="414"/>
  <c r="BO87" i="414"/>
  <c r="BN88" i="414"/>
  <c r="BO88" i="414" s="1"/>
  <c r="BN89" i="414"/>
  <c r="BO89" i="414"/>
  <c r="BN90" i="414"/>
  <c r="BO90" i="414" s="1"/>
  <c r="BN91" i="414"/>
  <c r="BO91" i="414"/>
  <c r="BN92" i="414"/>
  <c r="BO92" i="414" s="1"/>
  <c r="BN93" i="414"/>
  <c r="BO93" i="414" s="1"/>
  <c r="BN2" i="414" l="1"/>
  <c r="BO2" i="414" s="1"/>
  <c r="BN3" i="414"/>
  <c r="BO3" i="414" s="1"/>
  <c r="BN4" i="414"/>
  <c r="BO4" i="414" s="1"/>
  <c r="BN5" i="414"/>
  <c r="BO5" i="414"/>
  <c r="BN6" i="414"/>
  <c r="BO6" i="414" s="1"/>
  <c r="BN7" i="414"/>
  <c r="BO7" i="414" s="1"/>
  <c r="BN8" i="414"/>
  <c r="BO8" i="414" s="1"/>
  <c r="BN9" i="414"/>
  <c r="BO9" i="414" s="1"/>
  <c r="BN10" i="414"/>
  <c r="BO10" i="414" s="1"/>
  <c r="BN11" i="414"/>
  <c r="BO11" i="414" s="1"/>
  <c r="BN12" i="414"/>
  <c r="BO12" i="414" s="1"/>
  <c r="BN13" i="414"/>
  <c r="BO13" i="414" s="1"/>
  <c r="BN14" i="414"/>
  <c r="BO14" i="414" s="1"/>
  <c r="BN15" i="414"/>
  <c r="BO15" i="414" s="1"/>
  <c r="BN16" i="414"/>
  <c r="BO16" i="414" s="1"/>
  <c r="BN17" i="414"/>
  <c r="BO17" i="414" s="1"/>
  <c r="BN18" i="414"/>
  <c r="BO18" i="414" s="1"/>
  <c r="BN19" i="414"/>
  <c r="BO19" i="414" s="1"/>
  <c r="BN20" i="414"/>
  <c r="BO20" i="414" s="1"/>
  <c r="BN21" i="414"/>
  <c r="BO21" i="414" s="1"/>
  <c r="BN22" i="414"/>
  <c r="BO22" i="414" s="1"/>
  <c r="BN23" i="414"/>
  <c r="BO23" i="414" s="1"/>
  <c r="BN24" i="414"/>
  <c r="BO24" i="414" s="1"/>
  <c r="BN25" i="414"/>
  <c r="BO25" i="414" s="1"/>
  <c r="BN26" i="414"/>
  <c r="BO26" i="414" s="1"/>
  <c r="BN27" i="414"/>
  <c r="BO27" i="414" s="1"/>
  <c r="BN28" i="414"/>
  <c r="BO28" i="414" s="1"/>
  <c r="BN29" i="414"/>
  <c r="BO29" i="414" s="1"/>
  <c r="BN30" i="414"/>
  <c r="BO30" i="414" s="1"/>
  <c r="BN31" i="414"/>
  <c r="BO31" i="414" s="1"/>
  <c r="BN32" i="414"/>
  <c r="BO32" i="414" s="1"/>
  <c r="BN33" i="414"/>
  <c r="BO33" i="414" s="1"/>
  <c r="BN34" i="414"/>
  <c r="BO34" i="414" s="1"/>
  <c r="BN35" i="414"/>
  <c r="BO35" i="414" s="1"/>
  <c r="BN36" i="414"/>
  <c r="BO36" i="414" s="1"/>
  <c r="BN37" i="414"/>
  <c r="BO37" i="414" s="1"/>
  <c r="BN38" i="414"/>
  <c r="BO38" i="414" s="1"/>
  <c r="BN39" i="414"/>
  <c r="BO39" i="414" s="1"/>
  <c r="BN40" i="414"/>
  <c r="BO40" i="414" s="1"/>
  <c r="BN41" i="414"/>
  <c r="BO41" i="414" s="1"/>
  <c r="BN42" i="414"/>
  <c r="BO42" i="414" s="1"/>
  <c r="BN43" i="414"/>
  <c r="BO43" i="414" s="1"/>
  <c r="BN44" i="414"/>
  <c r="BO44" i="414" s="1"/>
  <c r="BN45" i="414"/>
  <c r="BO45" i="414" s="1"/>
  <c r="BN46" i="414"/>
  <c r="BO46" i="414" s="1"/>
  <c r="BN47" i="414"/>
  <c r="BO47" i="414" s="1"/>
  <c r="BN48" i="414"/>
  <c r="BO48" i="414" s="1"/>
  <c r="BN49" i="414"/>
  <c r="BO49" i="414" s="1"/>
  <c r="BN50" i="414"/>
  <c r="BO50" i="414" s="1"/>
  <c r="BN51" i="414"/>
  <c r="BO51" i="414" s="1"/>
  <c r="BN52" i="414"/>
  <c r="BO52" i="414" s="1"/>
  <c r="BN53" i="414"/>
  <c r="BO53" i="414" s="1"/>
  <c r="BN54" i="414"/>
  <c r="BO54" i="414" s="1"/>
  <c r="BN55" i="414"/>
  <c r="BO55" i="414" s="1"/>
  <c r="BN56" i="414"/>
  <c r="BO56" i="414" s="1"/>
  <c r="BN57" i="414"/>
  <c r="BO57" i="414" s="1"/>
  <c r="BN58" i="414"/>
  <c r="BO58" i="414" s="1"/>
  <c r="BN59" i="414"/>
  <c r="BO59" i="414" s="1"/>
  <c r="BN60" i="414"/>
  <c r="BO60" i="414" s="1"/>
  <c r="BN61" i="414"/>
  <c r="BO61" i="414" s="1"/>
  <c r="BN62" i="414"/>
  <c r="BO62" i="414" s="1"/>
  <c r="BN63" i="414"/>
  <c r="BO63" i="414" s="1"/>
  <c r="BN64" i="414"/>
  <c r="BO64" i="414" s="1"/>
  <c r="BN65" i="414"/>
  <c r="BO65" i="414" s="1"/>
  <c r="BN66" i="414"/>
  <c r="BO66" i="414" s="1"/>
  <c r="BN67" i="414"/>
  <c r="BO67" i="414" s="1"/>
</calcChain>
</file>

<file path=xl/sharedStrings.xml><?xml version="1.0" encoding="utf-8"?>
<sst xmlns="http://schemas.openxmlformats.org/spreadsheetml/2006/main" count="965" uniqueCount="205">
  <si>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</si>
  <si>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</si>
  <si>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</si>
  <si>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</si>
  <si>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</si>
  <si>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</si>
  <si>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</si>
  <si>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</si>
  <si>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</si>
  <si>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</si>
  <si>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2018.02.21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</si>
  <si>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</si>
  <si>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</si>
  <si>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</si>
  <si>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</si>
  <si>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</si>
  <si>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</si>
  <si>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</si>
  <si>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</si>
  <si>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</si>
  <si>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</si>
  <si>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</si>
  <si>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21세기 대마법사</t>
  </si>
  <si>
    <t>주식회사 스토리위즈</t>
  </si>
  <si>
    <t>2020.09.16</t>
  </si>
  <si>
    <t>마계대공 연대기 [단행본]</t>
  </si>
  <si>
    <t>2014.08.20</t>
  </si>
  <si>
    <t>21세기 대마법사 [단행본]</t>
  </si>
  <si>
    <t>2014.07.24</t>
  </si>
  <si>
    <t>하프블러드 [단행본]</t>
  </si>
  <si>
    <t>2014.10.21</t>
  </si>
  <si>
    <t>마왕 데이몬 [단행본]</t>
  </si>
  <si>
    <t>데이몬 [단행본]</t>
  </si>
  <si>
    <t>2014.10.20</t>
  </si>
  <si>
    <t>블레이드헌터 [단행본]</t>
  </si>
  <si>
    <t>아나크레온 [단행본]</t>
  </si>
  <si>
    <t>2014.11.18</t>
  </si>
  <si>
    <t>전혁</t>
  </si>
  <si>
    <t>2015.05.27</t>
  </si>
  <si>
    <t>스피릿 소드 [단행본]</t>
  </si>
  <si>
    <t>2017.03.23</t>
  </si>
  <si>
    <t>스트라이커</t>
  </si>
  <si>
    <t>독고진</t>
  </si>
  <si>
    <t>2016.05.25</t>
  </si>
  <si>
    <t>트루베니아 연대기</t>
  </si>
  <si>
    <t>2020.10.13</t>
  </si>
  <si>
    <t>신궁전설 [단행본]</t>
  </si>
  <si>
    <t>2015.05.28</t>
  </si>
  <si>
    <t>신마협도 [단행본]</t>
  </si>
  <si>
    <t>2017.08.22</t>
  </si>
  <si>
    <t>화산지애 [단행본]</t>
  </si>
  <si>
    <t>2015.03.05</t>
  </si>
  <si>
    <t>데이몬</t>
  </si>
  <si>
    <t>2020.10.27</t>
  </si>
  <si>
    <t>절대비만 [단행본]</t>
  </si>
  <si>
    <t>2020.08.07</t>
  </si>
  <si>
    <t>상계무적 [단행본]</t>
  </si>
  <si>
    <t>2015.07.03</t>
  </si>
  <si>
    <t>두경</t>
  </si>
  <si>
    <t>천조를 가진 남자 [단행본]</t>
  </si>
  <si>
    <t>스트라이커 [완전판] [단행본]</t>
  </si>
  <si>
    <t>2016.11.29</t>
  </si>
  <si>
    <t>절륜공자 [단행본]</t>
  </si>
  <si>
    <t>합계</t>
  </si>
  <si>
    <t>순매출(합계-수수료)</t>
    <phoneticPr fontId="20" type="noConversion"/>
  </si>
  <si>
    <t>절륜공자</t>
  </si>
  <si>
    <t>2021.08.12</t>
  </si>
  <si>
    <t>레이드 만물상점[완전판] [단행본]</t>
  </si>
  <si>
    <t>2016.06.16</t>
  </si>
  <si>
    <t>프리 나이트 [단행본]</t>
  </si>
  <si>
    <t>2014.10.01</t>
  </si>
  <si>
    <t>상왕 진우몽 [단행본]</t>
  </si>
  <si>
    <t>독종무쌍 [단행본]</t>
  </si>
  <si>
    <t>2015.04.17</t>
  </si>
  <si>
    <t>SW 매출</t>
    <phoneticPr fontId="20" type="noConversion"/>
  </si>
  <si>
    <t>파계 [단행본]</t>
  </si>
  <si>
    <t>2016.06.10</t>
  </si>
  <si>
    <t>앱마켓수수료</t>
  </si>
  <si>
    <t>나이제한</t>
    <phoneticPr fontId="20" type="noConversion"/>
  </si>
  <si>
    <t>완전판APP</t>
  </si>
  <si>
    <t>소드엠페러</t>
  </si>
  <si>
    <t>2020.12.18</t>
  </si>
  <si>
    <t>만인지상 [단행본]</t>
  </si>
  <si>
    <t>마스터 K [단행본]</t>
  </si>
  <si>
    <t>2014.07.02</t>
  </si>
  <si>
    <t>소드마스터의 환생 [독점]</t>
  </si>
  <si>
    <t>파란영</t>
  </si>
  <si>
    <t>2019.05.22</t>
  </si>
  <si>
    <t>바람의 기사, 아르테온</t>
  </si>
  <si>
    <t>2020.09.08</t>
  </si>
  <si>
    <t>하프블러드</t>
  </si>
  <si>
    <t>아나크레온</t>
  </si>
  <si>
    <t>2014.10.29</t>
  </si>
  <si>
    <t>월풍 [단행본]</t>
  </si>
  <si>
    <t>검산도해</t>
  </si>
  <si>
    <t>2020.04.28</t>
  </si>
  <si>
    <t>천조를 가진 남자</t>
  </si>
  <si>
    <t>2017.11.15</t>
  </si>
  <si>
    <t>철중쟁쟁</t>
  </si>
  <si>
    <t>화산지애</t>
  </si>
  <si>
    <t>2020.09.07</t>
  </si>
  <si>
    <t>스포트라이트</t>
  </si>
  <si>
    <t>2018.03.29</t>
  </si>
  <si>
    <t>철중쟁쟁 [단행본]</t>
  </si>
  <si>
    <t>2016.03.17</t>
  </si>
  <si>
    <t>검령천하: 나의 검 너의 노래 [독점]</t>
  </si>
  <si>
    <t>금시조</t>
  </si>
  <si>
    <t>2020.08.10</t>
  </si>
  <si>
    <t>스피릿 소드</t>
  </si>
  <si>
    <t>2016.07.06</t>
  </si>
  <si>
    <t>바람의 기사, 아르테온 [단행본]</t>
  </si>
  <si>
    <t>2014.11.27</t>
  </si>
  <si>
    <t>영웅[개정판]</t>
  </si>
  <si>
    <t>2016.04.13</t>
  </si>
  <si>
    <t>칼 [단행본]</t>
  </si>
  <si>
    <t>용중신권 [단행본]</t>
  </si>
  <si>
    <t>신마협도</t>
  </si>
  <si>
    <t>2020.08.12</t>
  </si>
  <si>
    <t>소드마스터의 환생 [단행본]</t>
  </si>
  <si>
    <t>신을 죽이러 갑니다</t>
  </si>
  <si>
    <t>2018.08.24</t>
  </si>
  <si>
    <t>레이드 만물상점</t>
  </si>
  <si>
    <t>2016.01.22</t>
  </si>
  <si>
    <t>마신부활 [독점]</t>
  </si>
  <si>
    <t>만렙도끼</t>
  </si>
  <si>
    <t>2021.02.20</t>
  </si>
  <si>
    <t>신규무사</t>
  </si>
  <si>
    <t>2018.11.06</t>
  </si>
  <si>
    <t>절대비만</t>
  </si>
  <si>
    <t>게이트 헌터</t>
  </si>
  <si>
    <t>2016.12.25</t>
  </si>
  <si>
    <t>2020.09.11</t>
  </si>
  <si>
    <t>신룡전설 [단행본]</t>
  </si>
  <si>
    <t>가람검</t>
  </si>
  <si>
    <t>2016.03.02</t>
  </si>
  <si>
    <t>독종무쌍</t>
  </si>
  <si>
    <t>출판사</t>
    <phoneticPr fontId="22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</si>
  <si>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2" type="noConversion"/>
  </si>
  <si>
    <t>포르트무스</t>
  </si>
  <si>
    <t>2019.10.01</t>
  </si>
  <si>
    <t>수적왕</t>
  </si>
  <si>
    <t>수적왕 [단행본]</t>
  </si>
  <si>
    <t>2016.03.15</t>
  </si>
  <si>
    <t>신규무사 [단행본]</t>
  </si>
  <si>
    <t>2019.05.20</t>
  </si>
  <si>
    <t>순백의 아가씨</t>
  </si>
  <si>
    <t>한례</t>
  </si>
  <si>
    <t>칼</t>
  </si>
  <si>
    <t>소장권_건수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</si>
  <si>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</si>
  <si>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</si>
  <si>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</si>
  <si>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</si>
  <si>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</si>
  <si>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</si>
  <si>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</si>
  <si>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</si>
  <si>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</si>
  <si>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</si>
  <si>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</si>
  <si>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</si>
  <si>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</si>
  <si>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</si>
  <si>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</si>
  <si>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</si>
  <si>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</si>
  <si>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</si>
  <si>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구매_무상</t>
    <phoneticPr fontId="20" type="noConversion"/>
  </si>
  <si>
    <t>쿠키로 구매_유상</t>
    <phoneticPr fontId="20" type="noConversion"/>
  </si>
  <si>
    <t>쿠키로 구매_건수</t>
    <phoneticPr fontId="20" type="noConversion"/>
  </si>
  <si>
    <t>쿠키로 대여_무상</t>
    <phoneticPr fontId="20" type="noConversion"/>
  </si>
  <si>
    <t>쿠키로 대여_유상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</si>
  <si>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</si>
  <si>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</si>
  <si>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</si>
  <si>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</si>
  <si>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</si>
  <si>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</si>
  <si>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</si>
  <si>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</si>
  <si>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</si>
  <si>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</si>
  <si>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</si>
  <si>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</si>
  <si>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</si>
  <si>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</si>
  <si>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</si>
  <si>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</si>
  <si>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</si>
  <si>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</si>
  <si>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</si>
  <si>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</si>
  <si>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</si>
  <si>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</si>
  <si>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</si>
  <si>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</si>
  <si>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</si>
  <si>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</si>
  <si>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</si>
  <si>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</si>
  <si>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</si>
  <si>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</si>
  <si>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시리즈APP</t>
  </si>
  <si>
    <t>포르트무스 [단행본]</t>
  </si>
  <si>
    <t>시리즈IOS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</si>
</sst>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7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3" fillId="35" borderId="10" xfId="0" applyFont="1" applyFill="1" applyBorder="1" applyAlignment="1">
      <alignment vertical="center"/>
    </xf>
    <xf numFmtId="0" fontId="24" fillId="35" borderId="11" xfId="0" applyFont="1" applyFill="1" applyBorder="1" applyAlignment="1">
      <alignment vertical="center"/>
    </xf>
    <xf numFmtId="41" fontId="25" fillId="0" borderId="0" xfId="42" applyFont="1">
      <alignment vertical="center"/>
    </xf>
    <xf numFmtId="41" fontId="25" fillId="0" borderId="0" xfId="42" applyFont="1" applyFill="1">
      <alignment vertical="center"/>
    </xf>
    <xf numFmtId="41" fontId="26" fillId="34" borderId="0" xfId="42" applyFont="1" applyFill="1">
      <alignment vertical="center"/>
    </xf>
    <xf numFmtId="4" fontId="26" fillId="0" borderId="0" xfId="0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30"/>
  <sheetViews>
    <sheetView tabSelected="1" zoomScaleNormal="100" workbookViewId="0">
      <pane xSplit="9" ySplit="1" topLeftCell="J2" activePane="bottomRight" state="frozen"/>
      <selection pane="topRight" activeCell="J1" sqref="J1"/>
      <selection pane="bottomLeft" activeCell="A2" sqref="A2"/>
      <selection pane="bottomRight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7.6992187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64" width="3.59765625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9" ht="27" customHeight="1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78</v>
      </c>
      <c r="I1" s="14" t="s">
        <v>6</v>
      </c>
      <c r="J1" s="12" t="s">
        <v>149</v>
      </c>
      <c r="K1" s="12" t="s">
        <v>150</v>
      </c>
      <c r="L1" s="12" t="s">
        <v>151</v>
      </c>
      <c r="M1" s="12" t="s">
        <v>152</v>
      </c>
      <c r="N1" s="12" t="s">
        <v>153</v>
      </c>
      <c r="O1" s="12" t="s">
        <v>154</v>
      </c>
      <c r="P1" s="12" t="s">
        <v>155</v>
      </c>
      <c r="Q1" s="12" t="s">
        <v>156</v>
      </c>
      <c r="R1" s="12" t="s">
        <v>157</v>
      </c>
      <c r="S1" s="12" t="s">
        <v>148</v>
      </c>
      <c r="T1" s="12" t="s">
        <v>158</v>
      </c>
      <c r="U1" s="12" t="s">
        <v>159</v>
      </c>
      <c r="V1" s="12" t="s">
        <v>160</v>
      </c>
      <c r="W1" s="12" t="s">
        <v>161</v>
      </c>
      <c r="X1" s="12" t="s">
        <v>162</v>
      </c>
      <c r="Y1" s="12" t="s">
        <v>163</v>
      </c>
      <c r="Z1" s="12" t="s">
        <v>164</v>
      </c>
      <c r="AA1" s="12" t="s">
        <v>165</v>
      </c>
      <c r="AB1" s="12" t="s">
        <v>166</v>
      </c>
      <c r="AC1" s="12" t="s">
        <v>171</v>
      </c>
      <c r="AD1" s="12" t="s">
        <v>170</v>
      </c>
      <c r="AE1" s="12" t="s">
        <v>169</v>
      </c>
      <c r="AF1" s="12" t="s">
        <v>168</v>
      </c>
      <c r="AG1" s="12" t="s">
        <v>167</v>
      </c>
      <c r="AH1" s="12" t="s">
        <v>172</v>
      </c>
      <c r="AI1" s="12" t="s">
        <v>173</v>
      </c>
      <c r="AJ1" s="12" t="s">
        <v>174</v>
      </c>
      <c r="AK1" s="12" t="s">
        <v>175</v>
      </c>
      <c r="AL1" s="12" t="s">
        <v>176</v>
      </c>
      <c r="AM1" s="12" t="s">
        <v>177</v>
      </c>
      <c r="AN1" s="12" t="s">
        <v>178</v>
      </c>
      <c r="AO1" s="12" t="s">
        <v>179</v>
      </c>
      <c r="AP1" s="12" t="s">
        <v>180</v>
      </c>
      <c r="AQ1" s="12" t="s">
        <v>181</v>
      </c>
      <c r="AR1" s="12" t="s">
        <v>182</v>
      </c>
      <c r="AS1" s="12" t="s">
        <v>183</v>
      </c>
      <c r="AT1" s="12" t="s">
        <v>184</v>
      </c>
      <c r="AU1" s="12" t="s">
        <v>185</v>
      </c>
      <c r="AV1" s="12" t="s">
        <v>186</v>
      </c>
      <c r="AW1" s="12" t="s">
        <v>187</v>
      </c>
      <c r="AX1" s="12" t="s">
        <v>188</v>
      </c>
      <c r="AY1" s="12" t="s">
        <v>189</v>
      </c>
      <c r="AZ1" s="12" t="s">
        <v>190</v>
      </c>
      <c r="BA1" s="12" t="s">
        <v>191</v>
      </c>
      <c r="BB1" s="12" t="s">
        <v>192</v>
      </c>
      <c r="BC1" s="12" t="s">
        <v>193</v>
      </c>
      <c r="BD1" s="12" t="s">
        <v>194</v>
      </c>
      <c r="BE1" s="12" t="s">
        <v>195</v>
      </c>
      <c r="BF1" s="12" t="s">
        <v>196</v>
      </c>
      <c r="BG1" s="12" t="s">
        <v>197</v>
      </c>
      <c r="BH1" s="12" t="s">
        <v>198</v>
      </c>
      <c r="BI1" s="12" t="s">
        <v>199</v>
      </c>
      <c r="BJ1" s="12" t="s">
        <v>200</v>
      </c>
      <c r="BK1" s="12" t="s">
        <v>201</v>
      </c>
      <c r="BL1" s="12" t="s">
        <v>77</v>
      </c>
      <c r="BM1" s="12" t="s">
        <v>63</v>
      </c>
      <c r="BN1" s="12" t="s">
        <v>64</v>
      </c>
      <c r="BO1" s="12" t="s">
        <v>74</v>
      </c>
      <c r="BP1" s="15" t="s">
        <v>136</v>
      </c>
      <c r="BQ1" s="16" t="s">
        <v>137</v>
      </c>
    </row>
    <row r="2" spans="1:69" x14ac:dyDescent="0.4">
      <c r="A2" s="5" t="s">
        <v>202</v>
      </c>
      <c r="B2" s="5" t="s">
        <v>15</v>
      </c>
      <c r="C2" s="5">
        <v>355332</v>
      </c>
      <c r="D2" s="6"/>
      <c r="E2" s="5" t="s">
        <v>12</v>
      </c>
      <c r="F2" s="5" t="s">
        <v>14</v>
      </c>
      <c r="G2" s="5" t="s">
        <v>12</v>
      </c>
      <c r="H2" s="7" t="s">
        <v>8</v>
      </c>
      <c r="I2" s="7" t="s">
        <v>66</v>
      </c>
      <c r="J2" s="7">
        <v>9</v>
      </c>
      <c r="K2" s="7">
        <v>137</v>
      </c>
      <c r="L2" s="7">
        <v>900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73</v>
      </c>
      <c r="T2" s="8">
        <v>3480</v>
      </c>
      <c r="U2" s="7">
        <v>0</v>
      </c>
      <c r="V2" s="8">
        <v>5300</v>
      </c>
      <c r="W2" s="8">
        <v>2000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23212</v>
      </c>
      <c r="AF2" s="8">
        <v>1639520</v>
      </c>
      <c r="AG2" s="8">
        <v>778700</v>
      </c>
      <c r="AH2" s="7">
        <v>0</v>
      </c>
      <c r="AI2" s="7">
        <v>0</v>
      </c>
      <c r="AJ2" s="7">
        <v>0</v>
      </c>
      <c r="AK2" s="7">
        <v>4</v>
      </c>
      <c r="AL2" s="7">
        <v>492</v>
      </c>
      <c r="AM2" s="7">
        <v>0</v>
      </c>
      <c r="AN2" s="7">
        <v>0</v>
      </c>
      <c r="AO2" s="7">
        <v>0</v>
      </c>
      <c r="AP2" s="7">
        <v>0</v>
      </c>
      <c r="AQ2" s="8">
        <v>9481</v>
      </c>
      <c r="AR2" s="8">
        <v>923100</v>
      </c>
      <c r="AS2" s="8">
        <v>25000</v>
      </c>
      <c r="AT2" s="7">
        <v>0</v>
      </c>
      <c r="AU2" s="7">
        <v>0</v>
      </c>
      <c r="AV2" s="7">
        <v>0</v>
      </c>
      <c r="AW2" s="8">
        <v>3968</v>
      </c>
      <c r="AX2" s="8">
        <v>474961</v>
      </c>
      <c r="AY2" s="8">
        <v>1000</v>
      </c>
      <c r="AZ2" s="7">
        <v>0</v>
      </c>
      <c r="BA2" s="7">
        <v>0</v>
      </c>
      <c r="BB2" s="7">
        <v>0</v>
      </c>
      <c r="BC2" s="8">
        <v>28874</v>
      </c>
      <c r="BD2" s="8">
        <v>3461640</v>
      </c>
      <c r="BE2" s="8">
        <v>2700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255342.1</v>
      </c>
      <c r="BM2" s="10">
        <v>7315313</v>
      </c>
      <c r="BN2" s="17">
        <f>BM2-BL2</f>
        <v>7059970.9000000004</v>
      </c>
      <c r="BO2" s="18">
        <f>BN2*70%</f>
        <v>4941979.63</v>
      </c>
    </row>
    <row r="3" spans="1:69" x14ac:dyDescent="0.4">
      <c r="A3" s="5" t="s">
        <v>202</v>
      </c>
      <c r="B3" s="5" t="s">
        <v>16</v>
      </c>
      <c r="C3" s="5">
        <v>159260</v>
      </c>
      <c r="D3" s="6"/>
      <c r="E3" s="5" t="s">
        <v>12</v>
      </c>
      <c r="F3" s="5" t="s">
        <v>17</v>
      </c>
      <c r="G3" s="5" t="s">
        <v>12</v>
      </c>
      <c r="H3" s="7" t="s">
        <v>7</v>
      </c>
      <c r="I3" s="7" t="s">
        <v>18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251</v>
      </c>
      <c r="AC3" s="8">
        <v>201620</v>
      </c>
      <c r="AD3" s="8">
        <v>36100</v>
      </c>
      <c r="AE3" s="7">
        <v>13</v>
      </c>
      <c r="AF3" s="8">
        <v>33280</v>
      </c>
      <c r="AG3" s="8">
        <v>8700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13</v>
      </c>
      <c r="AO3" s="8">
        <v>10600</v>
      </c>
      <c r="AP3" s="7">
        <v>600</v>
      </c>
      <c r="AQ3" s="7">
        <v>16</v>
      </c>
      <c r="AR3" s="8">
        <v>40700</v>
      </c>
      <c r="AS3" s="8">
        <v>5000</v>
      </c>
      <c r="AT3" s="7">
        <v>61</v>
      </c>
      <c r="AU3" s="8">
        <v>62400</v>
      </c>
      <c r="AV3" s="7">
        <v>500</v>
      </c>
      <c r="AW3" s="7">
        <v>6</v>
      </c>
      <c r="AX3" s="8">
        <v>16920</v>
      </c>
      <c r="AY3" s="7">
        <v>0</v>
      </c>
      <c r="AZ3" s="7">
        <v>192</v>
      </c>
      <c r="BA3" s="8">
        <v>200280</v>
      </c>
      <c r="BB3" s="8">
        <v>1500</v>
      </c>
      <c r="BC3" s="7">
        <v>36</v>
      </c>
      <c r="BD3" s="8">
        <v>131640</v>
      </c>
      <c r="BE3" s="8">
        <v>1000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27847.200000000001</v>
      </c>
      <c r="BM3" s="10">
        <v>750840</v>
      </c>
      <c r="BN3" s="17">
        <f t="shared" ref="BN3:BN66" si="0">BM3-BL3</f>
        <v>722992.8</v>
      </c>
      <c r="BO3" s="18">
        <f t="shared" ref="BO3:BO66" si="1">BN3*70%</f>
        <v>506094.96</v>
      </c>
    </row>
    <row r="4" spans="1:69" x14ac:dyDescent="0.4">
      <c r="A4" s="5" t="s">
        <v>202</v>
      </c>
      <c r="B4" s="5" t="s">
        <v>31</v>
      </c>
      <c r="C4" s="5">
        <v>159258</v>
      </c>
      <c r="D4" s="6"/>
      <c r="E4" s="5" t="s">
        <v>12</v>
      </c>
      <c r="F4" s="5" t="s">
        <v>17</v>
      </c>
      <c r="G4" s="5" t="s">
        <v>12</v>
      </c>
      <c r="H4" s="7" t="s">
        <v>7</v>
      </c>
      <c r="I4" s="7" t="s">
        <v>30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112</v>
      </c>
      <c r="AC4" s="8">
        <v>89400</v>
      </c>
      <c r="AD4" s="8">
        <v>12200</v>
      </c>
      <c r="AE4" s="7">
        <v>6</v>
      </c>
      <c r="AF4" s="8">
        <v>6580</v>
      </c>
      <c r="AG4" s="8">
        <v>6800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32</v>
      </c>
      <c r="AO4" s="8">
        <v>28500</v>
      </c>
      <c r="AP4" s="7">
        <v>200</v>
      </c>
      <c r="AQ4" s="7">
        <v>0</v>
      </c>
      <c r="AR4" s="7">
        <v>0</v>
      </c>
      <c r="AS4" s="7">
        <v>0</v>
      </c>
      <c r="AT4" s="7">
        <v>11</v>
      </c>
      <c r="AU4" s="8">
        <v>11880</v>
      </c>
      <c r="AV4" s="7">
        <v>0</v>
      </c>
      <c r="AW4" s="7">
        <v>0</v>
      </c>
      <c r="AX4" s="7">
        <v>0</v>
      </c>
      <c r="AY4" s="7">
        <v>0</v>
      </c>
      <c r="AZ4" s="7">
        <v>86</v>
      </c>
      <c r="BA4" s="8">
        <v>89520</v>
      </c>
      <c r="BB4" s="7">
        <v>0</v>
      </c>
      <c r="BC4" s="7">
        <v>24</v>
      </c>
      <c r="BD4" s="8">
        <v>91560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12052.8</v>
      </c>
      <c r="BM4" s="10">
        <v>336640</v>
      </c>
      <c r="BN4" s="17">
        <f t="shared" si="0"/>
        <v>324587.2</v>
      </c>
      <c r="BO4" s="18">
        <f t="shared" si="1"/>
        <v>227211.04</v>
      </c>
    </row>
    <row r="5" spans="1:69" x14ac:dyDescent="0.4">
      <c r="A5" s="5" t="s">
        <v>202</v>
      </c>
      <c r="B5" s="5" t="s">
        <v>21</v>
      </c>
      <c r="C5" s="5">
        <v>159270</v>
      </c>
      <c r="D5" s="6"/>
      <c r="E5" s="5" t="s">
        <v>12</v>
      </c>
      <c r="F5" s="5" t="s">
        <v>17</v>
      </c>
      <c r="G5" s="5" t="s">
        <v>12</v>
      </c>
      <c r="H5" s="7" t="s">
        <v>11</v>
      </c>
      <c r="I5" s="7" t="s">
        <v>20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97</v>
      </c>
      <c r="AC5" s="8">
        <v>69280</v>
      </c>
      <c r="AD5" s="8">
        <v>21900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21</v>
      </c>
      <c r="AO5" s="8">
        <v>18900</v>
      </c>
      <c r="AP5" s="7">
        <v>0</v>
      </c>
      <c r="AQ5" s="7">
        <v>8</v>
      </c>
      <c r="AR5" s="8">
        <v>25600</v>
      </c>
      <c r="AS5" s="7">
        <v>0</v>
      </c>
      <c r="AT5" s="7">
        <v>35</v>
      </c>
      <c r="AU5" s="8">
        <v>37560</v>
      </c>
      <c r="AV5" s="7">
        <v>0</v>
      </c>
      <c r="AW5" s="7">
        <v>8</v>
      </c>
      <c r="AX5" s="8">
        <v>28440</v>
      </c>
      <c r="AY5" s="7">
        <v>0</v>
      </c>
      <c r="AZ5" s="7">
        <v>67</v>
      </c>
      <c r="BA5" s="8">
        <v>70320</v>
      </c>
      <c r="BB5" s="7">
        <v>500</v>
      </c>
      <c r="BC5" s="7">
        <v>16</v>
      </c>
      <c r="BD5" s="8">
        <v>59880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14412</v>
      </c>
      <c r="BM5" s="10">
        <v>332380</v>
      </c>
      <c r="BN5" s="17">
        <f t="shared" si="0"/>
        <v>317968</v>
      </c>
      <c r="BO5" s="18">
        <f t="shared" si="1"/>
        <v>222577.59999999998</v>
      </c>
    </row>
    <row r="6" spans="1:69" x14ac:dyDescent="0.4">
      <c r="A6" s="5" t="s">
        <v>202</v>
      </c>
      <c r="B6" s="5" t="s">
        <v>19</v>
      </c>
      <c r="C6" s="5">
        <v>161539</v>
      </c>
      <c r="D6" s="6"/>
      <c r="E6" s="5" t="s">
        <v>12</v>
      </c>
      <c r="F6" s="5" t="s">
        <v>17</v>
      </c>
      <c r="G6" s="5" t="s">
        <v>12</v>
      </c>
      <c r="H6" s="7" t="s">
        <v>7</v>
      </c>
      <c r="I6" s="7" t="s">
        <v>20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75</v>
      </c>
      <c r="AC6" s="8">
        <v>39560</v>
      </c>
      <c r="AD6" s="8">
        <v>25900</v>
      </c>
      <c r="AE6" s="7">
        <v>12</v>
      </c>
      <c r="AF6" s="8">
        <v>29500</v>
      </c>
      <c r="AG6" s="8">
        <v>3200</v>
      </c>
      <c r="AH6" s="7">
        <v>1</v>
      </c>
      <c r="AI6" s="8">
        <v>1080</v>
      </c>
      <c r="AJ6" s="7">
        <v>0</v>
      </c>
      <c r="AK6" s="7">
        <v>0</v>
      </c>
      <c r="AL6" s="7">
        <v>0</v>
      </c>
      <c r="AM6" s="7">
        <v>0</v>
      </c>
      <c r="AN6" s="7">
        <v>23</v>
      </c>
      <c r="AO6" s="8">
        <v>19000</v>
      </c>
      <c r="AP6" s="7">
        <v>700</v>
      </c>
      <c r="AQ6" s="7">
        <v>3</v>
      </c>
      <c r="AR6" s="8">
        <v>9500</v>
      </c>
      <c r="AS6" s="7">
        <v>100</v>
      </c>
      <c r="AT6" s="7">
        <v>47</v>
      </c>
      <c r="AU6" s="8">
        <v>50280</v>
      </c>
      <c r="AV6" s="7">
        <v>0</v>
      </c>
      <c r="AW6" s="7">
        <v>0</v>
      </c>
      <c r="AX6" s="7">
        <v>0</v>
      </c>
      <c r="AY6" s="7">
        <v>0</v>
      </c>
      <c r="AZ6" s="7">
        <v>71</v>
      </c>
      <c r="BA6" s="8">
        <v>74760</v>
      </c>
      <c r="BB6" s="7">
        <v>0</v>
      </c>
      <c r="BC6" s="7">
        <v>13</v>
      </c>
      <c r="BD6" s="8">
        <v>41400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12321.6</v>
      </c>
      <c r="BM6" s="10">
        <v>294980</v>
      </c>
      <c r="BN6" s="17">
        <f t="shared" si="0"/>
        <v>282658.40000000002</v>
      </c>
      <c r="BO6" s="18">
        <f t="shared" si="1"/>
        <v>197860.88</v>
      </c>
    </row>
    <row r="7" spans="1:69" x14ac:dyDescent="0.4">
      <c r="A7" s="5" t="s">
        <v>202</v>
      </c>
      <c r="B7" s="5" t="s">
        <v>41</v>
      </c>
      <c r="C7" s="5">
        <v>215737</v>
      </c>
      <c r="D7" s="6"/>
      <c r="E7" s="5" t="s">
        <v>12</v>
      </c>
      <c r="F7" s="5" t="s">
        <v>42</v>
      </c>
      <c r="G7" s="5" t="s">
        <v>12</v>
      </c>
      <c r="H7" s="7" t="s">
        <v>7</v>
      </c>
      <c r="I7" s="7" t="s">
        <v>43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206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996</v>
      </c>
      <c r="AF7" s="8">
        <v>90040</v>
      </c>
      <c r="AG7" s="8">
        <v>10100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324</v>
      </c>
      <c r="AR7" s="8">
        <v>32200</v>
      </c>
      <c r="AS7" s="7">
        <v>200</v>
      </c>
      <c r="AT7" s="7">
        <v>0</v>
      </c>
      <c r="AU7" s="7">
        <v>0</v>
      </c>
      <c r="AV7" s="7">
        <v>0</v>
      </c>
      <c r="AW7" s="7">
        <v>217</v>
      </c>
      <c r="AX7" s="8">
        <v>26040</v>
      </c>
      <c r="AY7" s="7">
        <v>0</v>
      </c>
      <c r="AZ7" s="7">
        <v>0</v>
      </c>
      <c r="BA7" s="7">
        <v>0</v>
      </c>
      <c r="BB7" s="7">
        <v>0</v>
      </c>
      <c r="BC7" s="7">
        <v>755</v>
      </c>
      <c r="BD7" s="8">
        <v>90600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8040</v>
      </c>
      <c r="BM7" s="10">
        <v>249180</v>
      </c>
      <c r="BN7" s="17">
        <f t="shared" si="0"/>
        <v>241140</v>
      </c>
      <c r="BO7" s="18">
        <f t="shared" si="1"/>
        <v>168798</v>
      </c>
    </row>
    <row r="8" spans="1:69" x14ac:dyDescent="0.4">
      <c r="A8" s="5" t="s">
        <v>202</v>
      </c>
      <c r="B8" s="5" t="s">
        <v>35</v>
      </c>
      <c r="C8" s="5">
        <v>173863</v>
      </c>
      <c r="D8" s="6"/>
      <c r="E8" s="5" t="s">
        <v>12</v>
      </c>
      <c r="F8" s="5" t="s">
        <v>17</v>
      </c>
      <c r="G8" s="5" t="s">
        <v>12</v>
      </c>
      <c r="H8" s="7" t="s">
        <v>7</v>
      </c>
      <c r="I8" s="7" t="s">
        <v>36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51</v>
      </c>
      <c r="AC8" s="8">
        <v>41940</v>
      </c>
      <c r="AD8" s="8">
        <v>7900</v>
      </c>
      <c r="AE8" s="7">
        <v>4</v>
      </c>
      <c r="AF8" s="8">
        <v>12800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8</v>
      </c>
      <c r="AO8" s="8">
        <v>7100</v>
      </c>
      <c r="AP8" s="7">
        <v>100</v>
      </c>
      <c r="AQ8" s="7">
        <v>0</v>
      </c>
      <c r="AR8" s="7">
        <v>0</v>
      </c>
      <c r="AS8" s="7">
        <v>0</v>
      </c>
      <c r="AT8" s="7">
        <v>17</v>
      </c>
      <c r="AU8" s="8">
        <v>18000</v>
      </c>
      <c r="AV8" s="7">
        <v>0</v>
      </c>
      <c r="AW8" s="7">
        <v>1</v>
      </c>
      <c r="AX8" s="8">
        <v>3840</v>
      </c>
      <c r="AY8" s="7">
        <v>0</v>
      </c>
      <c r="AZ8" s="7">
        <v>62</v>
      </c>
      <c r="BA8" s="8">
        <v>62160</v>
      </c>
      <c r="BB8" s="7">
        <v>0</v>
      </c>
      <c r="BC8" s="7">
        <v>17</v>
      </c>
      <c r="BD8" s="8">
        <v>65280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9830.4</v>
      </c>
      <c r="BM8" s="10">
        <v>219120</v>
      </c>
      <c r="BN8" s="17">
        <f t="shared" si="0"/>
        <v>209289.60000000001</v>
      </c>
      <c r="BO8" s="18">
        <f t="shared" si="1"/>
        <v>146502.72</v>
      </c>
    </row>
    <row r="9" spans="1:69" x14ac:dyDescent="0.4">
      <c r="A9" s="5" t="s">
        <v>202</v>
      </c>
      <c r="B9" s="5" t="s">
        <v>34</v>
      </c>
      <c r="C9" s="5">
        <v>159266</v>
      </c>
      <c r="D9" s="6"/>
      <c r="E9" s="5" t="s">
        <v>12</v>
      </c>
      <c r="F9" s="5" t="s">
        <v>17</v>
      </c>
      <c r="G9" s="5" t="s">
        <v>12</v>
      </c>
      <c r="H9" s="7" t="s">
        <v>7</v>
      </c>
      <c r="I9" s="7" t="s">
        <v>30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63</v>
      </c>
      <c r="AC9" s="8">
        <v>49780</v>
      </c>
      <c r="AD9" s="8">
        <v>7600</v>
      </c>
      <c r="AE9" s="7">
        <v>11</v>
      </c>
      <c r="AF9" s="8">
        <v>28800</v>
      </c>
      <c r="AG9" s="8">
        <v>3400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16</v>
      </c>
      <c r="AO9" s="8">
        <v>14100</v>
      </c>
      <c r="AP9" s="7">
        <v>200</v>
      </c>
      <c r="AQ9" s="7">
        <v>0</v>
      </c>
      <c r="AR9" s="7">
        <v>0</v>
      </c>
      <c r="AS9" s="7">
        <v>0</v>
      </c>
      <c r="AT9" s="7">
        <v>31</v>
      </c>
      <c r="AU9" s="8">
        <v>33360</v>
      </c>
      <c r="AV9" s="7">
        <v>0</v>
      </c>
      <c r="AW9" s="7">
        <v>0</v>
      </c>
      <c r="AX9" s="7">
        <v>0</v>
      </c>
      <c r="AY9" s="7">
        <v>0</v>
      </c>
      <c r="AZ9" s="7">
        <v>29</v>
      </c>
      <c r="BA9" s="8">
        <v>29280</v>
      </c>
      <c r="BB9" s="7">
        <v>500</v>
      </c>
      <c r="BC9" s="7">
        <v>8</v>
      </c>
      <c r="BD9" s="8">
        <v>29880</v>
      </c>
      <c r="BE9" s="7">
        <v>500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6885.6</v>
      </c>
      <c r="BM9" s="10">
        <v>197400</v>
      </c>
      <c r="BN9" s="17">
        <f t="shared" si="0"/>
        <v>190514.4</v>
      </c>
      <c r="BO9" s="18">
        <f t="shared" si="1"/>
        <v>133360.07999999999</v>
      </c>
    </row>
    <row r="10" spans="1:69" x14ac:dyDescent="0.4">
      <c r="A10" s="5" t="s">
        <v>202</v>
      </c>
      <c r="B10" s="5" t="s">
        <v>80</v>
      </c>
      <c r="C10" s="5">
        <v>418829</v>
      </c>
      <c r="D10" s="6"/>
      <c r="E10" s="5" t="s">
        <v>12</v>
      </c>
      <c r="F10" s="5" t="s">
        <v>17</v>
      </c>
      <c r="G10" s="5" t="s">
        <v>12</v>
      </c>
      <c r="H10" s="7" t="s">
        <v>7</v>
      </c>
      <c r="I10" s="7" t="s">
        <v>81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92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124</v>
      </c>
      <c r="AF10" s="8">
        <v>2720</v>
      </c>
      <c r="AG10" s="8">
        <v>10100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182</v>
      </c>
      <c r="AR10" s="8">
        <v>17300</v>
      </c>
      <c r="AS10" s="7">
        <v>900</v>
      </c>
      <c r="AT10" s="7">
        <v>0</v>
      </c>
      <c r="AU10" s="7">
        <v>0</v>
      </c>
      <c r="AV10" s="7">
        <v>0</v>
      </c>
      <c r="AW10" s="7">
        <v>296</v>
      </c>
      <c r="AX10" s="8">
        <v>34920</v>
      </c>
      <c r="AY10" s="7">
        <v>500</v>
      </c>
      <c r="AZ10" s="7">
        <v>0</v>
      </c>
      <c r="BA10" s="7">
        <v>0</v>
      </c>
      <c r="BB10" s="7">
        <v>0</v>
      </c>
      <c r="BC10" s="7">
        <v>945</v>
      </c>
      <c r="BD10" s="8">
        <v>113400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10296</v>
      </c>
      <c r="BM10" s="10">
        <v>179840</v>
      </c>
      <c r="BN10" s="17">
        <f t="shared" si="0"/>
        <v>169544</v>
      </c>
      <c r="BO10" s="18">
        <f t="shared" si="1"/>
        <v>118680.79999999999</v>
      </c>
    </row>
    <row r="11" spans="1:69" x14ac:dyDescent="0.4">
      <c r="A11" s="5" t="s">
        <v>202</v>
      </c>
      <c r="B11" s="5" t="s">
        <v>29</v>
      </c>
      <c r="C11" s="5">
        <v>159268</v>
      </c>
      <c r="D11" s="6"/>
      <c r="E11" s="5" t="s">
        <v>12</v>
      </c>
      <c r="F11" s="5" t="s">
        <v>17</v>
      </c>
      <c r="G11" s="5" t="s">
        <v>12</v>
      </c>
      <c r="H11" s="7" t="s">
        <v>7</v>
      </c>
      <c r="I11" s="7" t="s">
        <v>30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37</v>
      </c>
      <c r="AC11" s="8">
        <v>21380</v>
      </c>
      <c r="AD11" s="8">
        <v>12600</v>
      </c>
      <c r="AE11" s="7">
        <v>1</v>
      </c>
      <c r="AF11" s="7">
        <v>0</v>
      </c>
      <c r="AG11" s="8">
        <v>3200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10</v>
      </c>
      <c r="AR11" s="8">
        <v>32000</v>
      </c>
      <c r="AS11" s="7">
        <v>0</v>
      </c>
      <c r="AT11" s="7">
        <v>32</v>
      </c>
      <c r="AU11" s="8">
        <v>32640</v>
      </c>
      <c r="AV11" s="8">
        <v>1000</v>
      </c>
      <c r="AW11" s="7">
        <v>0</v>
      </c>
      <c r="AX11" s="7">
        <v>0</v>
      </c>
      <c r="AY11" s="7">
        <v>0</v>
      </c>
      <c r="AZ11" s="7">
        <v>58</v>
      </c>
      <c r="BA11" s="8">
        <v>61680</v>
      </c>
      <c r="BB11" s="7">
        <v>0</v>
      </c>
      <c r="BC11" s="7">
        <v>1</v>
      </c>
      <c r="BD11" s="8">
        <v>3840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9">
        <v>7195.2</v>
      </c>
      <c r="BM11" s="10">
        <v>168340</v>
      </c>
      <c r="BN11" s="17">
        <f t="shared" si="0"/>
        <v>161144.79999999999</v>
      </c>
      <c r="BO11" s="18">
        <f t="shared" si="1"/>
        <v>112801.35999999999</v>
      </c>
    </row>
    <row r="12" spans="1:69" x14ac:dyDescent="0.4">
      <c r="A12" s="5" t="s">
        <v>202</v>
      </c>
      <c r="B12" s="5" t="s">
        <v>32</v>
      </c>
      <c r="C12" s="5">
        <v>159255</v>
      </c>
      <c r="D12" s="6"/>
      <c r="E12" s="5" t="s">
        <v>12</v>
      </c>
      <c r="F12" s="5" t="s">
        <v>17</v>
      </c>
      <c r="G12" s="5" t="s">
        <v>12</v>
      </c>
      <c r="H12" s="7" t="s">
        <v>8</v>
      </c>
      <c r="I12" s="7" t="s">
        <v>33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73</v>
      </c>
      <c r="AC12" s="8">
        <v>71840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15</v>
      </c>
      <c r="AO12" s="8">
        <v>13200</v>
      </c>
      <c r="AP12" s="7">
        <v>0</v>
      </c>
      <c r="AQ12" s="7">
        <v>2</v>
      </c>
      <c r="AR12" s="8">
        <v>6400</v>
      </c>
      <c r="AS12" s="7">
        <v>0</v>
      </c>
      <c r="AT12" s="7">
        <v>10</v>
      </c>
      <c r="AU12" s="8">
        <v>10800</v>
      </c>
      <c r="AV12" s="7">
        <v>0</v>
      </c>
      <c r="AW12" s="7">
        <v>1</v>
      </c>
      <c r="AX12" s="8">
        <v>1200</v>
      </c>
      <c r="AY12" s="7">
        <v>0</v>
      </c>
      <c r="AZ12" s="7">
        <v>47</v>
      </c>
      <c r="BA12" s="8">
        <v>49440</v>
      </c>
      <c r="BB12" s="7">
        <v>0</v>
      </c>
      <c r="BC12" s="7">
        <v>3</v>
      </c>
      <c r="BD12" s="8">
        <v>10320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4785.6000000000004</v>
      </c>
      <c r="BM12" s="10">
        <v>163200</v>
      </c>
      <c r="BN12" s="17">
        <f t="shared" si="0"/>
        <v>158414.39999999999</v>
      </c>
      <c r="BO12" s="18">
        <f t="shared" si="1"/>
        <v>110890.07999999999</v>
      </c>
    </row>
    <row r="13" spans="1:69" x14ac:dyDescent="0.4">
      <c r="A13" s="5" t="s">
        <v>202</v>
      </c>
      <c r="B13" s="5" t="s">
        <v>27</v>
      </c>
      <c r="C13" s="5">
        <v>161447</v>
      </c>
      <c r="D13" s="6"/>
      <c r="E13" s="5" t="s">
        <v>12</v>
      </c>
      <c r="F13" s="5" t="s">
        <v>14</v>
      </c>
      <c r="G13" s="5" t="s">
        <v>12</v>
      </c>
      <c r="H13" s="7" t="s">
        <v>7</v>
      </c>
      <c r="I13" s="7" t="s">
        <v>28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43</v>
      </c>
      <c r="AC13" s="8">
        <v>40040</v>
      </c>
      <c r="AD13" s="8">
        <v>4300</v>
      </c>
      <c r="AE13" s="7">
        <v>1</v>
      </c>
      <c r="AF13" s="8">
        <v>3840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32</v>
      </c>
      <c r="AO13" s="8">
        <v>26700</v>
      </c>
      <c r="AP13" s="7">
        <v>400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59</v>
      </c>
      <c r="BA13" s="8">
        <v>62400</v>
      </c>
      <c r="BB13" s="7">
        <v>500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3744</v>
      </c>
      <c r="BM13" s="10">
        <v>138180</v>
      </c>
      <c r="BN13" s="17">
        <f t="shared" si="0"/>
        <v>134436</v>
      </c>
      <c r="BO13" s="18">
        <f t="shared" si="1"/>
        <v>94105.2</v>
      </c>
    </row>
    <row r="14" spans="1:69" x14ac:dyDescent="0.4">
      <c r="A14" s="5" t="s">
        <v>202</v>
      </c>
      <c r="B14" s="5" t="s">
        <v>60</v>
      </c>
      <c r="C14" s="5">
        <v>258201</v>
      </c>
      <c r="D14" s="6"/>
      <c r="E14" s="5" t="s">
        <v>12</v>
      </c>
      <c r="F14" s="5" t="s">
        <v>42</v>
      </c>
      <c r="G14" s="5" t="s">
        <v>12</v>
      </c>
      <c r="H14" s="7" t="s">
        <v>7</v>
      </c>
      <c r="I14" s="7" t="s">
        <v>61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15</v>
      </c>
      <c r="AC14" s="8">
        <v>11880</v>
      </c>
      <c r="AD14" s="8">
        <v>1400</v>
      </c>
      <c r="AE14" s="7">
        <v>9</v>
      </c>
      <c r="AF14" s="8">
        <v>23900</v>
      </c>
      <c r="AG14" s="8">
        <v>4900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20</v>
      </c>
      <c r="BA14" s="8">
        <v>21000</v>
      </c>
      <c r="BB14" s="7">
        <v>0</v>
      </c>
      <c r="BC14" s="7">
        <v>16</v>
      </c>
      <c r="BD14" s="8">
        <v>61440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9">
        <v>4946.3999999999996</v>
      </c>
      <c r="BM14" s="10">
        <v>124520</v>
      </c>
      <c r="BN14" s="17">
        <f t="shared" si="0"/>
        <v>119573.6</v>
      </c>
      <c r="BO14" s="18">
        <f t="shared" si="1"/>
        <v>83701.52</v>
      </c>
    </row>
    <row r="15" spans="1:69" ht="19.2" x14ac:dyDescent="0.4">
      <c r="A15" s="5" t="s">
        <v>202</v>
      </c>
      <c r="B15" s="5" t="s">
        <v>22</v>
      </c>
      <c r="C15" s="5">
        <v>409392</v>
      </c>
      <c r="D15" s="6"/>
      <c r="E15" s="5" t="s">
        <v>12</v>
      </c>
      <c r="F15" s="5" t="s">
        <v>14</v>
      </c>
      <c r="G15" s="5" t="s">
        <v>23</v>
      </c>
      <c r="H15" s="7" t="s">
        <v>7</v>
      </c>
      <c r="I15" s="7" t="s">
        <v>24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36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628</v>
      </c>
      <c r="AF15" s="8">
        <v>70880</v>
      </c>
      <c r="AG15" s="8">
        <v>2700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340</v>
      </c>
      <c r="BD15" s="8">
        <v>40800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9">
        <v>2448</v>
      </c>
      <c r="BM15" s="10">
        <v>114380</v>
      </c>
      <c r="BN15" s="17">
        <f t="shared" si="0"/>
        <v>111932</v>
      </c>
      <c r="BO15" s="18">
        <f t="shared" si="1"/>
        <v>78352.399999999994</v>
      </c>
    </row>
    <row r="16" spans="1:69" x14ac:dyDescent="0.4">
      <c r="A16" s="5" t="s">
        <v>202</v>
      </c>
      <c r="B16" s="5" t="s">
        <v>39</v>
      </c>
      <c r="C16" s="5">
        <v>268655</v>
      </c>
      <c r="D16" s="6"/>
      <c r="E16" s="5" t="s">
        <v>12</v>
      </c>
      <c r="F16" s="5" t="s">
        <v>17</v>
      </c>
      <c r="G16" s="5" t="s">
        <v>12</v>
      </c>
      <c r="H16" s="7" t="s">
        <v>7</v>
      </c>
      <c r="I16" s="7" t="s">
        <v>40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1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31</v>
      </c>
      <c r="AC16" s="8">
        <v>28860</v>
      </c>
      <c r="AD16" s="8">
        <v>2300</v>
      </c>
      <c r="AE16" s="7">
        <v>10</v>
      </c>
      <c r="AF16" s="8">
        <v>22400</v>
      </c>
      <c r="AG16" s="8">
        <v>7500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9</v>
      </c>
      <c r="AO16" s="8">
        <v>7200</v>
      </c>
      <c r="AP16" s="7">
        <v>900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6</v>
      </c>
      <c r="AX16" s="8">
        <v>23040</v>
      </c>
      <c r="AY16" s="7">
        <v>0</v>
      </c>
      <c r="AZ16" s="7">
        <v>10</v>
      </c>
      <c r="BA16" s="8">
        <v>9960</v>
      </c>
      <c r="BB16" s="7">
        <v>0</v>
      </c>
      <c r="BC16" s="7">
        <v>1</v>
      </c>
      <c r="BD16" s="8">
        <v>2520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9">
        <v>3052.8</v>
      </c>
      <c r="BM16" s="10">
        <v>104680</v>
      </c>
      <c r="BN16" s="17">
        <f t="shared" si="0"/>
        <v>101627.2</v>
      </c>
      <c r="BO16" s="18">
        <f t="shared" si="1"/>
        <v>71139.039999999994</v>
      </c>
    </row>
    <row r="17" spans="1:67" x14ac:dyDescent="0.4">
      <c r="A17" s="5" t="s">
        <v>202</v>
      </c>
      <c r="B17" s="5" t="s">
        <v>90</v>
      </c>
      <c r="C17" s="5">
        <v>418830</v>
      </c>
      <c r="D17" s="6"/>
      <c r="E17" s="5" t="s">
        <v>12</v>
      </c>
      <c r="F17" s="5" t="s">
        <v>17</v>
      </c>
      <c r="G17" s="5" t="s">
        <v>12</v>
      </c>
      <c r="H17" s="7" t="s">
        <v>7</v>
      </c>
      <c r="I17" s="7" t="s">
        <v>81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24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19</v>
      </c>
      <c r="AF17" s="7">
        <v>0</v>
      </c>
      <c r="AG17" s="8">
        <v>1900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439</v>
      </c>
      <c r="AR17" s="8">
        <v>43000</v>
      </c>
      <c r="AS17" s="7">
        <v>900</v>
      </c>
      <c r="AT17" s="7">
        <v>0</v>
      </c>
      <c r="AU17" s="7">
        <v>0</v>
      </c>
      <c r="AV17" s="7">
        <v>0</v>
      </c>
      <c r="AW17" s="7">
        <v>204</v>
      </c>
      <c r="AX17" s="8">
        <v>24480</v>
      </c>
      <c r="AY17" s="7">
        <v>0</v>
      </c>
      <c r="AZ17" s="7">
        <v>0</v>
      </c>
      <c r="BA17" s="7">
        <v>0</v>
      </c>
      <c r="BB17" s="7">
        <v>0</v>
      </c>
      <c r="BC17" s="7">
        <v>226</v>
      </c>
      <c r="BD17" s="8">
        <v>26520</v>
      </c>
      <c r="BE17" s="7">
        <v>500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9">
        <v>4039.2</v>
      </c>
      <c r="BM17" s="10">
        <v>97300</v>
      </c>
      <c r="BN17" s="17">
        <f t="shared" si="0"/>
        <v>93260.800000000003</v>
      </c>
      <c r="BO17" s="18">
        <f t="shared" si="1"/>
        <v>65282.559999999998</v>
      </c>
    </row>
    <row r="18" spans="1:67" x14ac:dyDescent="0.4">
      <c r="A18" s="5" t="s">
        <v>202</v>
      </c>
      <c r="B18" s="5" t="s">
        <v>83</v>
      </c>
      <c r="C18" s="5">
        <v>159483</v>
      </c>
      <c r="D18" s="6"/>
      <c r="E18" s="5" t="s">
        <v>12</v>
      </c>
      <c r="F18" s="5" t="s">
        <v>14</v>
      </c>
      <c r="G18" s="5" t="s">
        <v>12</v>
      </c>
      <c r="H18" s="7" t="s">
        <v>7</v>
      </c>
      <c r="I18" s="7" t="s">
        <v>84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6</v>
      </c>
      <c r="AC18" s="8">
        <v>6240</v>
      </c>
      <c r="AD18" s="7">
        <v>0</v>
      </c>
      <c r="AE18" s="7">
        <v>1</v>
      </c>
      <c r="AF18" s="7">
        <v>0</v>
      </c>
      <c r="AG18" s="7">
        <v>800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2</v>
      </c>
      <c r="AO18" s="8">
        <v>1800</v>
      </c>
      <c r="AP18" s="7">
        <v>0</v>
      </c>
      <c r="AQ18" s="7">
        <v>20</v>
      </c>
      <c r="AR18" s="8">
        <v>61400</v>
      </c>
      <c r="AS18" s="8">
        <v>1800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24</v>
      </c>
      <c r="BA18" s="8">
        <v>25080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9">
        <v>1504.8</v>
      </c>
      <c r="BM18" s="10">
        <v>97120</v>
      </c>
      <c r="BN18" s="17">
        <f t="shared" si="0"/>
        <v>95615.2</v>
      </c>
      <c r="BO18" s="18">
        <f t="shared" si="1"/>
        <v>66930.64</v>
      </c>
    </row>
    <row r="19" spans="1:67" x14ac:dyDescent="0.4">
      <c r="A19" s="5" t="s">
        <v>202</v>
      </c>
      <c r="B19" s="5" t="s">
        <v>114</v>
      </c>
      <c r="C19" s="5">
        <v>285994</v>
      </c>
      <c r="D19" s="6"/>
      <c r="E19" s="5" t="s">
        <v>12</v>
      </c>
      <c r="F19" s="5" t="s">
        <v>13</v>
      </c>
      <c r="G19" s="5" t="s">
        <v>12</v>
      </c>
      <c r="H19" s="7" t="s">
        <v>7</v>
      </c>
      <c r="I19" s="7" t="s">
        <v>49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18</v>
      </c>
      <c r="AC19" s="8">
        <v>17460</v>
      </c>
      <c r="AD19" s="7">
        <v>900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18</v>
      </c>
      <c r="AO19" s="8">
        <v>16000</v>
      </c>
      <c r="AP19" s="7">
        <v>200</v>
      </c>
      <c r="AQ19" s="7">
        <v>0</v>
      </c>
      <c r="AR19" s="7">
        <v>0</v>
      </c>
      <c r="AS19" s="7">
        <v>0</v>
      </c>
      <c r="AT19" s="7">
        <v>7</v>
      </c>
      <c r="AU19" s="8">
        <v>7560</v>
      </c>
      <c r="AV19" s="7">
        <v>0</v>
      </c>
      <c r="AW19" s="7">
        <v>0</v>
      </c>
      <c r="AX19" s="7">
        <v>0</v>
      </c>
      <c r="AY19" s="7">
        <v>0</v>
      </c>
      <c r="AZ19" s="7">
        <v>49</v>
      </c>
      <c r="BA19" s="8">
        <v>52920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9">
        <v>3931.2</v>
      </c>
      <c r="BM19" s="10">
        <v>95040</v>
      </c>
      <c r="BN19" s="17">
        <f t="shared" si="0"/>
        <v>91108.800000000003</v>
      </c>
      <c r="BO19" s="18">
        <f t="shared" si="1"/>
        <v>63776.159999999996</v>
      </c>
    </row>
    <row r="20" spans="1:67" x14ac:dyDescent="0.4">
      <c r="A20" s="5" t="s">
        <v>202</v>
      </c>
      <c r="B20" s="5" t="s">
        <v>116</v>
      </c>
      <c r="C20" s="5">
        <v>406732</v>
      </c>
      <c r="D20" s="6"/>
      <c r="E20" s="5" t="s">
        <v>12</v>
      </c>
      <c r="F20" s="5" t="s">
        <v>13</v>
      </c>
      <c r="G20" s="5" t="s">
        <v>12</v>
      </c>
      <c r="H20" s="7" t="s">
        <v>7</v>
      </c>
      <c r="I20" s="7" t="s">
        <v>117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10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262</v>
      </c>
      <c r="AF20" s="8">
        <v>31200</v>
      </c>
      <c r="AG20" s="7">
        <v>200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493</v>
      </c>
      <c r="BD20" s="8">
        <v>59160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9">
        <v>3549.6</v>
      </c>
      <c r="BM20" s="10">
        <v>90560</v>
      </c>
      <c r="BN20" s="17">
        <f t="shared" si="0"/>
        <v>87010.4</v>
      </c>
      <c r="BO20" s="18">
        <f t="shared" si="1"/>
        <v>60907.279999999992</v>
      </c>
    </row>
    <row r="21" spans="1:67" x14ac:dyDescent="0.4">
      <c r="A21" s="5" t="s">
        <v>202</v>
      </c>
      <c r="B21" s="5" t="s">
        <v>25</v>
      </c>
      <c r="C21" s="5">
        <v>165741</v>
      </c>
      <c r="D21" s="6"/>
      <c r="E21" s="5" t="s">
        <v>12</v>
      </c>
      <c r="F21" s="5" t="s">
        <v>14</v>
      </c>
      <c r="G21" s="5" t="s">
        <v>12</v>
      </c>
      <c r="H21" s="7" t="s">
        <v>7</v>
      </c>
      <c r="I21" s="7" t="s">
        <v>26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17</v>
      </c>
      <c r="AC21" s="8">
        <v>6500</v>
      </c>
      <c r="AD21" s="8">
        <v>5900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12</v>
      </c>
      <c r="AO21" s="8">
        <v>10800</v>
      </c>
      <c r="AP21" s="7">
        <v>0</v>
      </c>
      <c r="AQ21" s="7">
        <v>1</v>
      </c>
      <c r="AR21" s="8">
        <v>3200</v>
      </c>
      <c r="AS21" s="7">
        <v>0</v>
      </c>
      <c r="AT21" s="7">
        <v>1</v>
      </c>
      <c r="AU21" s="8">
        <v>1080</v>
      </c>
      <c r="AV21" s="7">
        <v>0</v>
      </c>
      <c r="AW21" s="7">
        <v>0</v>
      </c>
      <c r="AX21" s="7">
        <v>0</v>
      </c>
      <c r="AY21" s="7">
        <v>0</v>
      </c>
      <c r="AZ21" s="7">
        <v>15</v>
      </c>
      <c r="BA21" s="8">
        <v>15360</v>
      </c>
      <c r="BB21" s="7">
        <v>0</v>
      </c>
      <c r="BC21" s="7">
        <v>8</v>
      </c>
      <c r="BD21" s="8">
        <v>30720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9">
        <v>2872.8</v>
      </c>
      <c r="BM21" s="10">
        <v>73560</v>
      </c>
      <c r="BN21" s="17">
        <f t="shared" si="0"/>
        <v>70687.199999999997</v>
      </c>
      <c r="BO21" s="18">
        <f t="shared" si="1"/>
        <v>49481.039999999994</v>
      </c>
    </row>
    <row r="22" spans="1:67" x14ac:dyDescent="0.4">
      <c r="A22" s="5" t="s">
        <v>202</v>
      </c>
      <c r="B22" s="5" t="s">
        <v>94</v>
      </c>
      <c r="C22" s="5">
        <v>395747</v>
      </c>
      <c r="D22" s="6"/>
      <c r="E22" s="5" t="s">
        <v>12</v>
      </c>
      <c r="F22" s="5" t="s">
        <v>13</v>
      </c>
      <c r="G22" s="5" t="s">
        <v>12</v>
      </c>
      <c r="H22" s="7" t="s">
        <v>7</v>
      </c>
      <c r="I22" s="7" t="s">
        <v>95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215</v>
      </c>
      <c r="AF22" s="8">
        <v>25800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358</v>
      </c>
      <c r="BD22" s="8">
        <v>42960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9">
        <v>2577.6</v>
      </c>
      <c r="BM22" s="10">
        <v>68760</v>
      </c>
      <c r="BN22" s="17">
        <f t="shared" si="0"/>
        <v>66182.399999999994</v>
      </c>
      <c r="BO22" s="18">
        <f t="shared" si="1"/>
        <v>46327.679999999993</v>
      </c>
    </row>
    <row r="23" spans="1:67" x14ac:dyDescent="0.4">
      <c r="A23" s="5" t="s">
        <v>202</v>
      </c>
      <c r="B23" s="5" t="s">
        <v>82</v>
      </c>
      <c r="C23" s="5">
        <v>192737</v>
      </c>
      <c r="D23" s="6"/>
      <c r="E23" s="5" t="s">
        <v>12</v>
      </c>
      <c r="F23" s="5" t="s">
        <v>37</v>
      </c>
      <c r="G23" s="5" t="s">
        <v>12</v>
      </c>
      <c r="H23" s="7" t="s">
        <v>7</v>
      </c>
      <c r="I23" s="7" t="s">
        <v>38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15</v>
      </c>
      <c r="AC23" s="8">
        <v>10440</v>
      </c>
      <c r="AD23" s="8">
        <v>4500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6</v>
      </c>
      <c r="AO23" s="8">
        <v>5200</v>
      </c>
      <c r="AP23" s="7">
        <v>200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35</v>
      </c>
      <c r="BA23" s="8">
        <v>37800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9">
        <v>2268</v>
      </c>
      <c r="BM23" s="10">
        <v>58140</v>
      </c>
      <c r="BN23" s="17">
        <f t="shared" si="0"/>
        <v>55872</v>
      </c>
      <c r="BO23" s="18">
        <f t="shared" si="1"/>
        <v>39110.399999999994</v>
      </c>
    </row>
    <row r="24" spans="1:67" ht="19.2" x14ac:dyDescent="0.4">
      <c r="A24" s="5" t="s">
        <v>202</v>
      </c>
      <c r="B24" s="5" t="s">
        <v>52</v>
      </c>
      <c r="C24" s="5">
        <v>413545</v>
      </c>
      <c r="D24" s="6"/>
      <c r="E24" s="5" t="s">
        <v>12</v>
      </c>
      <c r="F24" s="5" t="s">
        <v>17</v>
      </c>
      <c r="G24" s="5" t="s">
        <v>23</v>
      </c>
      <c r="H24" s="7" t="s">
        <v>8</v>
      </c>
      <c r="I24" s="7" t="s">
        <v>53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297</v>
      </c>
      <c r="AF24" s="8">
        <v>23540</v>
      </c>
      <c r="AG24" s="8">
        <v>8700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196</v>
      </c>
      <c r="BD24" s="8">
        <v>23520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9">
        <v>1411.2</v>
      </c>
      <c r="BM24" s="10">
        <v>55760</v>
      </c>
      <c r="BN24" s="17">
        <f t="shared" si="0"/>
        <v>54348.800000000003</v>
      </c>
      <c r="BO24" s="18">
        <f t="shared" si="1"/>
        <v>38044.159999999996</v>
      </c>
    </row>
    <row r="25" spans="1:67" x14ac:dyDescent="0.4">
      <c r="A25" s="5" t="s">
        <v>202</v>
      </c>
      <c r="B25" s="5" t="s">
        <v>121</v>
      </c>
      <c r="C25" s="5">
        <v>210381</v>
      </c>
      <c r="D25" s="6"/>
      <c r="E25" s="5" t="s">
        <v>12</v>
      </c>
      <c r="F25" s="5" t="s">
        <v>37</v>
      </c>
      <c r="G25" s="5" t="s">
        <v>12</v>
      </c>
      <c r="H25" s="7" t="s">
        <v>7</v>
      </c>
      <c r="I25" s="7" t="s">
        <v>122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51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352</v>
      </c>
      <c r="AF25" s="8">
        <v>22600</v>
      </c>
      <c r="AG25" s="8">
        <v>12600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152</v>
      </c>
      <c r="AR25" s="8">
        <v>15200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22</v>
      </c>
      <c r="BD25" s="8">
        <v>2640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158.4</v>
      </c>
      <c r="BM25" s="10">
        <v>53040</v>
      </c>
      <c r="BN25" s="17">
        <f t="shared" si="0"/>
        <v>52881.599999999999</v>
      </c>
      <c r="BO25" s="18">
        <f t="shared" si="1"/>
        <v>37017.119999999995</v>
      </c>
    </row>
    <row r="26" spans="1:67" ht="19.2" x14ac:dyDescent="0.4">
      <c r="A26" s="5" t="s">
        <v>202</v>
      </c>
      <c r="B26" s="5" t="s">
        <v>44</v>
      </c>
      <c r="C26" s="5">
        <v>408054</v>
      </c>
      <c r="D26" s="6"/>
      <c r="E26" s="5" t="s">
        <v>12</v>
      </c>
      <c r="F26" s="5" t="s">
        <v>17</v>
      </c>
      <c r="G26" s="5" t="s">
        <v>23</v>
      </c>
      <c r="H26" s="7" t="s">
        <v>11</v>
      </c>
      <c r="I26" s="7" t="s">
        <v>45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25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132</v>
      </c>
      <c r="AF26" s="8">
        <v>14300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250</v>
      </c>
      <c r="AR26" s="8">
        <v>25000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48</v>
      </c>
      <c r="BD26" s="8">
        <v>5760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345.6</v>
      </c>
      <c r="BM26" s="10">
        <v>45060</v>
      </c>
      <c r="BN26" s="17">
        <f t="shared" si="0"/>
        <v>44714.400000000001</v>
      </c>
      <c r="BO26" s="18">
        <f t="shared" si="1"/>
        <v>31300.079999999998</v>
      </c>
    </row>
    <row r="27" spans="1:67" x14ac:dyDescent="0.4">
      <c r="A27" s="5" t="s">
        <v>202</v>
      </c>
      <c r="B27" s="5" t="s">
        <v>115</v>
      </c>
      <c r="C27" s="5">
        <v>285990</v>
      </c>
      <c r="D27" s="6"/>
      <c r="E27" s="5" t="s">
        <v>12</v>
      </c>
      <c r="F27" s="5" t="s">
        <v>13</v>
      </c>
      <c r="G27" s="5" t="s">
        <v>12</v>
      </c>
      <c r="H27" s="7" t="s">
        <v>7</v>
      </c>
      <c r="I27" s="7" t="s">
        <v>49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11</v>
      </c>
      <c r="AC27" s="8">
        <v>7380</v>
      </c>
      <c r="AD27" s="8">
        <v>3600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1</v>
      </c>
      <c r="AO27" s="7">
        <v>900</v>
      </c>
      <c r="AP27" s="7">
        <v>0</v>
      </c>
      <c r="AQ27" s="7">
        <v>0</v>
      </c>
      <c r="AR27" s="7">
        <v>0</v>
      </c>
      <c r="AS27" s="7">
        <v>0</v>
      </c>
      <c r="AT27" s="7">
        <v>6</v>
      </c>
      <c r="AU27" s="8">
        <v>7060</v>
      </c>
      <c r="AV27" s="7">
        <v>0</v>
      </c>
      <c r="AW27" s="7">
        <v>0</v>
      </c>
      <c r="AX27" s="7">
        <v>0</v>
      </c>
      <c r="AY27" s="7">
        <v>0</v>
      </c>
      <c r="AZ27" s="7">
        <v>22</v>
      </c>
      <c r="BA27" s="8">
        <v>23760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9">
        <v>2131.6</v>
      </c>
      <c r="BM27" s="10">
        <v>42700</v>
      </c>
      <c r="BN27" s="17">
        <f t="shared" si="0"/>
        <v>40568.400000000001</v>
      </c>
      <c r="BO27" s="18">
        <f t="shared" si="1"/>
        <v>28397.88</v>
      </c>
    </row>
    <row r="28" spans="1:67" x14ac:dyDescent="0.4">
      <c r="A28" s="5" t="s">
        <v>202</v>
      </c>
      <c r="B28" s="5" t="s">
        <v>103</v>
      </c>
      <c r="C28" s="5">
        <v>229857</v>
      </c>
      <c r="D28" s="6"/>
      <c r="E28" s="5" t="s">
        <v>12</v>
      </c>
      <c r="F28" s="5" t="s">
        <v>13</v>
      </c>
      <c r="G28" s="5" t="s">
        <v>12</v>
      </c>
      <c r="H28" s="7" t="s">
        <v>11</v>
      </c>
      <c r="I28" s="7" t="s">
        <v>104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2</v>
      </c>
      <c r="AC28" s="7">
        <v>0</v>
      </c>
      <c r="AD28" s="8">
        <v>1200</v>
      </c>
      <c r="AE28" s="7">
        <v>1</v>
      </c>
      <c r="AF28" s="7">
        <v>0</v>
      </c>
      <c r="AG28" s="7">
        <v>200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4</v>
      </c>
      <c r="AO28" s="8">
        <v>3600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9</v>
      </c>
      <c r="BA28" s="8">
        <v>8280</v>
      </c>
      <c r="BB28" s="7">
        <v>0</v>
      </c>
      <c r="BC28" s="7">
        <v>7</v>
      </c>
      <c r="BD28" s="8">
        <v>26640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9">
        <v>2095.1999999999998</v>
      </c>
      <c r="BM28" s="10">
        <v>39920</v>
      </c>
      <c r="BN28" s="17">
        <f t="shared" si="0"/>
        <v>37824.800000000003</v>
      </c>
      <c r="BO28" s="18">
        <f t="shared" si="1"/>
        <v>26477.360000000001</v>
      </c>
    </row>
    <row r="29" spans="1:67" x14ac:dyDescent="0.4">
      <c r="A29" s="5" t="s">
        <v>202</v>
      </c>
      <c r="B29" s="5" t="s">
        <v>85</v>
      </c>
      <c r="C29" s="5">
        <v>326544</v>
      </c>
      <c r="D29" s="6"/>
      <c r="E29" s="5" t="s">
        <v>12</v>
      </c>
      <c r="F29" s="5" t="s">
        <v>86</v>
      </c>
      <c r="G29" s="5" t="s">
        <v>12</v>
      </c>
      <c r="H29" s="7" t="s">
        <v>7</v>
      </c>
      <c r="I29" s="7" t="s">
        <v>87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27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153</v>
      </c>
      <c r="AF29" s="8">
        <v>14220</v>
      </c>
      <c r="AG29" s="8">
        <v>3100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113</v>
      </c>
      <c r="AR29" s="8">
        <v>11300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82</v>
      </c>
      <c r="BD29" s="8">
        <v>9840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590.4</v>
      </c>
      <c r="BM29" s="10">
        <v>38460</v>
      </c>
      <c r="BN29" s="17">
        <f t="shared" si="0"/>
        <v>37869.599999999999</v>
      </c>
      <c r="BO29" s="18">
        <f t="shared" si="1"/>
        <v>26508.719999999998</v>
      </c>
    </row>
    <row r="30" spans="1:67" x14ac:dyDescent="0.4">
      <c r="A30" s="5" t="s">
        <v>202</v>
      </c>
      <c r="B30" s="5" t="s">
        <v>101</v>
      </c>
      <c r="C30" s="5">
        <v>308470</v>
      </c>
      <c r="D30" s="6"/>
      <c r="E30" s="5" t="s">
        <v>12</v>
      </c>
      <c r="F30" s="5" t="s">
        <v>37</v>
      </c>
      <c r="G30" s="5" t="s">
        <v>12</v>
      </c>
      <c r="H30" s="7" t="s">
        <v>7</v>
      </c>
      <c r="I30" s="7" t="s">
        <v>102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103</v>
      </c>
      <c r="AF30" s="7">
        <v>0</v>
      </c>
      <c r="AG30" s="8">
        <v>10300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145</v>
      </c>
      <c r="AX30" s="8">
        <v>17400</v>
      </c>
      <c r="AY30" s="7">
        <v>0</v>
      </c>
      <c r="AZ30" s="7">
        <v>0</v>
      </c>
      <c r="BA30" s="7">
        <v>0</v>
      </c>
      <c r="BB30" s="7">
        <v>0</v>
      </c>
      <c r="BC30" s="7">
        <v>85</v>
      </c>
      <c r="BD30" s="8">
        <v>10200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9">
        <v>2352</v>
      </c>
      <c r="BM30" s="10">
        <v>37900</v>
      </c>
      <c r="BN30" s="17">
        <f t="shared" si="0"/>
        <v>35548</v>
      </c>
      <c r="BO30" s="18">
        <f t="shared" si="1"/>
        <v>24883.599999999999</v>
      </c>
    </row>
    <row r="31" spans="1:67" x14ac:dyDescent="0.4">
      <c r="A31" s="5" t="s">
        <v>202</v>
      </c>
      <c r="B31" s="5" t="s">
        <v>110</v>
      </c>
      <c r="C31" s="5">
        <v>174583</v>
      </c>
      <c r="D31" s="6"/>
      <c r="E31" s="5" t="s">
        <v>12</v>
      </c>
      <c r="F31" s="5" t="s">
        <v>14</v>
      </c>
      <c r="G31" s="5" t="s">
        <v>12</v>
      </c>
      <c r="H31" s="7" t="s">
        <v>7</v>
      </c>
      <c r="I31" s="7" t="s">
        <v>111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7</v>
      </c>
      <c r="AF31" s="7">
        <v>0</v>
      </c>
      <c r="AG31" s="8">
        <v>22100</v>
      </c>
      <c r="AH31" s="7">
        <v>0</v>
      </c>
      <c r="AI31" s="7">
        <v>0</v>
      </c>
      <c r="AJ31" s="7">
        <v>0</v>
      </c>
      <c r="AK31" s="7">
        <v>1</v>
      </c>
      <c r="AL31" s="7">
        <v>0</v>
      </c>
      <c r="AM31" s="7">
        <v>300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11</v>
      </c>
      <c r="BA31" s="8">
        <v>11880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712.8</v>
      </c>
      <c r="BM31" s="10">
        <v>34280</v>
      </c>
      <c r="BN31" s="17">
        <f t="shared" si="0"/>
        <v>33567.199999999997</v>
      </c>
      <c r="BO31" s="18">
        <f t="shared" si="1"/>
        <v>23497.039999999997</v>
      </c>
    </row>
    <row r="32" spans="1:67" x14ac:dyDescent="0.4">
      <c r="A32" s="5" t="s">
        <v>202</v>
      </c>
      <c r="B32" s="5" t="s">
        <v>56</v>
      </c>
      <c r="C32" s="5">
        <v>196917</v>
      </c>
      <c r="D32" s="6"/>
      <c r="E32" s="5" t="s">
        <v>12</v>
      </c>
      <c r="F32" s="5" t="s">
        <v>37</v>
      </c>
      <c r="G32" s="5" t="s">
        <v>12</v>
      </c>
      <c r="H32" s="7" t="s">
        <v>7</v>
      </c>
      <c r="I32" s="7" t="s">
        <v>57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2</v>
      </c>
      <c r="AC32" s="8">
        <v>1300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8</v>
      </c>
      <c r="BA32" s="8">
        <v>7560</v>
      </c>
      <c r="BB32" s="7">
        <v>500</v>
      </c>
      <c r="BC32" s="7">
        <v>6</v>
      </c>
      <c r="BD32" s="8">
        <v>23040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9">
        <v>1836</v>
      </c>
      <c r="BM32" s="10">
        <v>32400</v>
      </c>
      <c r="BN32" s="17">
        <f t="shared" si="0"/>
        <v>30564</v>
      </c>
      <c r="BO32" s="18">
        <f t="shared" si="1"/>
        <v>21394.799999999999</v>
      </c>
    </row>
    <row r="33" spans="1:67" ht="19.2" x14ac:dyDescent="0.4">
      <c r="A33" s="5" t="s">
        <v>202</v>
      </c>
      <c r="B33" s="5" t="s">
        <v>88</v>
      </c>
      <c r="C33" s="5">
        <v>408056</v>
      </c>
      <c r="D33" s="6"/>
      <c r="E33" s="5" t="s">
        <v>12</v>
      </c>
      <c r="F33" s="5" t="s">
        <v>14</v>
      </c>
      <c r="G33" s="5" t="s">
        <v>23</v>
      </c>
      <c r="H33" s="7" t="s">
        <v>7</v>
      </c>
      <c r="I33" s="7" t="s">
        <v>89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50</v>
      </c>
      <c r="AF33" s="7">
        <v>0</v>
      </c>
      <c r="AG33" s="8">
        <v>5000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218</v>
      </c>
      <c r="BD33" s="8">
        <v>26160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9">
        <v>1569.6</v>
      </c>
      <c r="BM33" s="10">
        <v>31160</v>
      </c>
      <c r="BN33" s="17">
        <f t="shared" si="0"/>
        <v>29590.400000000001</v>
      </c>
      <c r="BO33" s="18">
        <f t="shared" si="1"/>
        <v>20713.28</v>
      </c>
    </row>
    <row r="34" spans="1:67" ht="19.2" x14ac:dyDescent="0.4">
      <c r="A34" s="5" t="s">
        <v>202</v>
      </c>
      <c r="B34" s="5" t="s">
        <v>135</v>
      </c>
      <c r="C34" s="5">
        <v>409409</v>
      </c>
      <c r="D34" s="6"/>
      <c r="E34" s="5" t="s">
        <v>12</v>
      </c>
      <c r="F34" s="5" t="s">
        <v>37</v>
      </c>
      <c r="G34" s="5" t="s">
        <v>23</v>
      </c>
      <c r="H34" s="7" t="s">
        <v>7</v>
      </c>
      <c r="I34" s="7" t="s">
        <v>24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250</v>
      </c>
      <c r="BD34" s="8">
        <v>30000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9">
        <v>1800</v>
      </c>
      <c r="BM34" s="10">
        <v>30000</v>
      </c>
      <c r="BN34" s="17">
        <f t="shared" si="0"/>
        <v>28200</v>
      </c>
      <c r="BO34" s="18">
        <f t="shared" si="1"/>
        <v>19740</v>
      </c>
    </row>
    <row r="35" spans="1:67" ht="19.2" x14ac:dyDescent="0.4">
      <c r="A35" s="5" t="s">
        <v>202</v>
      </c>
      <c r="B35" s="5" t="s">
        <v>118</v>
      </c>
      <c r="C35" s="5">
        <v>406368</v>
      </c>
      <c r="D35" s="6"/>
      <c r="E35" s="5" t="s">
        <v>12</v>
      </c>
      <c r="F35" s="5" t="s">
        <v>86</v>
      </c>
      <c r="G35" s="5" t="s">
        <v>23</v>
      </c>
      <c r="H35" s="7" t="s">
        <v>7</v>
      </c>
      <c r="I35" s="7" t="s">
        <v>55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1</v>
      </c>
      <c r="AF35" s="8">
        <v>2100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7</v>
      </c>
      <c r="BD35" s="8">
        <v>24360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9">
        <v>1461.6</v>
      </c>
      <c r="BM35" s="10">
        <v>26460</v>
      </c>
      <c r="BN35" s="17">
        <f t="shared" si="0"/>
        <v>24998.400000000001</v>
      </c>
      <c r="BO35" s="18">
        <f t="shared" si="1"/>
        <v>17498.88</v>
      </c>
    </row>
    <row r="36" spans="1:67" x14ac:dyDescent="0.4">
      <c r="A36" s="5" t="s">
        <v>202</v>
      </c>
      <c r="B36" s="5" t="s">
        <v>112</v>
      </c>
      <c r="C36" s="5">
        <v>227013</v>
      </c>
      <c r="D36" s="6"/>
      <c r="E36" s="5" t="s">
        <v>12</v>
      </c>
      <c r="F36" s="5" t="s">
        <v>14</v>
      </c>
      <c r="G36" s="5" t="s">
        <v>12</v>
      </c>
      <c r="H36" s="7" t="s">
        <v>7</v>
      </c>
      <c r="I36" s="7" t="s">
        <v>113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23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128</v>
      </c>
      <c r="AF36" s="7">
        <v>240</v>
      </c>
      <c r="AG36" s="8">
        <v>12600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107</v>
      </c>
      <c r="BD36" s="8">
        <v>12840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770.4</v>
      </c>
      <c r="BM36" s="10">
        <v>25680</v>
      </c>
      <c r="BN36" s="17">
        <f t="shared" si="0"/>
        <v>24909.599999999999</v>
      </c>
      <c r="BO36" s="18">
        <f t="shared" si="1"/>
        <v>17436.719999999998</v>
      </c>
    </row>
    <row r="37" spans="1:67" x14ac:dyDescent="0.4">
      <c r="A37" s="5" t="s">
        <v>202</v>
      </c>
      <c r="B37" s="5" t="s">
        <v>54</v>
      </c>
      <c r="C37" s="5">
        <v>192728</v>
      </c>
      <c r="D37" s="6"/>
      <c r="E37" s="5" t="s">
        <v>12</v>
      </c>
      <c r="F37" s="5" t="s">
        <v>37</v>
      </c>
      <c r="G37" s="5" t="s">
        <v>12</v>
      </c>
      <c r="H37" s="7" t="s">
        <v>7</v>
      </c>
      <c r="I37" s="7" t="s">
        <v>38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5</v>
      </c>
      <c r="AO37" s="8">
        <v>4500</v>
      </c>
      <c r="AP37" s="7">
        <v>0</v>
      </c>
      <c r="AQ37" s="7">
        <v>6</v>
      </c>
      <c r="AR37" s="8">
        <v>18800</v>
      </c>
      <c r="AS37" s="7">
        <v>400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1</v>
      </c>
      <c r="BA37" s="8">
        <v>1080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64.8</v>
      </c>
      <c r="BM37" s="10">
        <v>24780</v>
      </c>
      <c r="BN37" s="17">
        <f t="shared" si="0"/>
        <v>24715.200000000001</v>
      </c>
      <c r="BO37" s="18">
        <f t="shared" si="1"/>
        <v>17300.64</v>
      </c>
    </row>
    <row r="38" spans="1:67" x14ac:dyDescent="0.4">
      <c r="A38" s="5" t="s">
        <v>202</v>
      </c>
      <c r="B38" s="5" t="s">
        <v>59</v>
      </c>
      <c r="C38" s="5">
        <v>305089</v>
      </c>
      <c r="D38" s="6"/>
      <c r="E38" s="5" t="s">
        <v>12</v>
      </c>
      <c r="F38" s="5" t="s">
        <v>58</v>
      </c>
      <c r="G38" s="5" t="s">
        <v>12</v>
      </c>
      <c r="H38" s="7" t="s">
        <v>7</v>
      </c>
      <c r="I38" s="7" t="s">
        <v>10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10</v>
      </c>
      <c r="AC38" s="8">
        <v>7000</v>
      </c>
      <c r="AD38" s="8">
        <v>2000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14</v>
      </c>
      <c r="BA38" s="8">
        <v>15120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907.2</v>
      </c>
      <c r="BM38" s="10">
        <v>24120</v>
      </c>
      <c r="BN38" s="17">
        <f t="shared" si="0"/>
        <v>23212.799999999999</v>
      </c>
      <c r="BO38" s="18">
        <f t="shared" si="1"/>
        <v>16248.96</v>
      </c>
    </row>
    <row r="39" spans="1:67" x14ac:dyDescent="0.4">
      <c r="A39" s="5" t="s">
        <v>202</v>
      </c>
      <c r="B39" s="5" t="s">
        <v>138</v>
      </c>
      <c r="C39" s="5">
        <v>376036</v>
      </c>
      <c r="D39" s="6"/>
      <c r="E39" s="5" t="s">
        <v>12</v>
      </c>
      <c r="F39" s="5" t="s">
        <v>14</v>
      </c>
      <c r="G39" s="5" t="s">
        <v>12</v>
      </c>
      <c r="H39" s="7" t="s">
        <v>7</v>
      </c>
      <c r="I39" s="7" t="s">
        <v>139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5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6</v>
      </c>
      <c r="AF39" s="7">
        <v>560</v>
      </c>
      <c r="AG39" s="7">
        <v>100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157</v>
      </c>
      <c r="AR39" s="8">
        <v>15000</v>
      </c>
      <c r="AS39" s="7">
        <v>700</v>
      </c>
      <c r="AT39" s="7">
        <v>0</v>
      </c>
      <c r="AU39" s="7">
        <v>0</v>
      </c>
      <c r="AV39" s="7">
        <v>0</v>
      </c>
      <c r="AW39" s="7">
        <v>45</v>
      </c>
      <c r="AX39" s="8">
        <v>5400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540</v>
      </c>
      <c r="BM39" s="10">
        <v>21760</v>
      </c>
      <c r="BN39" s="17">
        <f t="shared" si="0"/>
        <v>21220</v>
      </c>
      <c r="BO39" s="18">
        <f t="shared" si="1"/>
        <v>14853.999999999998</v>
      </c>
    </row>
    <row r="40" spans="1:67" x14ac:dyDescent="0.4">
      <c r="A40" s="5" t="s">
        <v>202</v>
      </c>
      <c r="B40" s="5" t="s">
        <v>123</v>
      </c>
      <c r="C40" s="5">
        <v>404358</v>
      </c>
      <c r="D40" s="6"/>
      <c r="E40" s="5" t="s">
        <v>12</v>
      </c>
      <c r="F40" s="5" t="s">
        <v>124</v>
      </c>
      <c r="G40" s="5" t="s">
        <v>12</v>
      </c>
      <c r="H40" s="7" t="s">
        <v>7</v>
      </c>
      <c r="I40" s="7" t="s">
        <v>125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186</v>
      </c>
      <c r="AF40" s="8">
        <v>2400</v>
      </c>
      <c r="AG40" s="8">
        <v>16600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2</v>
      </c>
      <c r="AX40" s="7">
        <v>240</v>
      </c>
      <c r="AY40" s="7">
        <v>0</v>
      </c>
      <c r="AZ40" s="7">
        <v>0</v>
      </c>
      <c r="BA40" s="7">
        <v>0</v>
      </c>
      <c r="BB40" s="7">
        <v>0</v>
      </c>
      <c r="BC40" s="7">
        <v>10</v>
      </c>
      <c r="BD40" s="8">
        <v>1200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96</v>
      </c>
      <c r="BM40" s="10">
        <v>20440</v>
      </c>
      <c r="BN40" s="17">
        <f t="shared" si="0"/>
        <v>20344</v>
      </c>
      <c r="BO40" s="18">
        <f t="shared" si="1"/>
        <v>14240.8</v>
      </c>
    </row>
    <row r="41" spans="1:67" x14ac:dyDescent="0.4">
      <c r="A41" s="5" t="s">
        <v>202</v>
      </c>
      <c r="B41" s="5" t="s">
        <v>119</v>
      </c>
      <c r="C41" s="5">
        <v>300910</v>
      </c>
      <c r="D41" s="6"/>
      <c r="E41" s="5" t="s">
        <v>12</v>
      </c>
      <c r="F41" s="5" t="s">
        <v>42</v>
      </c>
      <c r="G41" s="5" t="s">
        <v>12</v>
      </c>
      <c r="H41" s="7" t="s">
        <v>7</v>
      </c>
      <c r="I41" s="7" t="s">
        <v>120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12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49</v>
      </c>
      <c r="AF41" s="7">
        <v>0</v>
      </c>
      <c r="AG41" s="8">
        <v>4900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129</v>
      </c>
      <c r="BD41" s="8">
        <v>15480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928.8</v>
      </c>
      <c r="BM41" s="10">
        <v>20380</v>
      </c>
      <c r="BN41" s="17">
        <f t="shared" si="0"/>
        <v>19451.2</v>
      </c>
      <c r="BO41" s="18">
        <f t="shared" si="1"/>
        <v>13615.84</v>
      </c>
    </row>
    <row r="42" spans="1:67" x14ac:dyDescent="0.4">
      <c r="A42" s="5" t="s">
        <v>202</v>
      </c>
      <c r="B42" s="5" t="s">
        <v>50</v>
      </c>
      <c r="C42" s="5">
        <v>183137</v>
      </c>
      <c r="D42" s="6"/>
      <c r="E42" s="5" t="s">
        <v>12</v>
      </c>
      <c r="F42" s="5" t="s">
        <v>14</v>
      </c>
      <c r="G42" s="5" t="s">
        <v>12</v>
      </c>
      <c r="H42" s="7" t="s">
        <v>7</v>
      </c>
      <c r="I42" s="7" t="s">
        <v>51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6</v>
      </c>
      <c r="AC42" s="8">
        <v>5100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1</v>
      </c>
      <c r="AO42" s="7">
        <v>900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14</v>
      </c>
      <c r="BA42" s="8">
        <v>12600</v>
      </c>
      <c r="BB42" s="7">
        <v>500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756</v>
      </c>
      <c r="BM42" s="10">
        <v>19100</v>
      </c>
      <c r="BN42" s="17">
        <f t="shared" si="0"/>
        <v>18344</v>
      </c>
      <c r="BO42" s="18">
        <f t="shared" si="1"/>
        <v>12840.8</v>
      </c>
    </row>
    <row r="43" spans="1:67" x14ac:dyDescent="0.4">
      <c r="A43" s="5" t="s">
        <v>202</v>
      </c>
      <c r="B43" s="5" t="s">
        <v>71</v>
      </c>
      <c r="C43" s="5">
        <v>285988</v>
      </c>
      <c r="D43" s="6"/>
      <c r="E43" s="5" t="s">
        <v>12</v>
      </c>
      <c r="F43" s="5" t="s">
        <v>13</v>
      </c>
      <c r="G43" s="5" t="s">
        <v>12</v>
      </c>
      <c r="H43" s="7" t="s">
        <v>7</v>
      </c>
      <c r="I43" s="7" t="s">
        <v>49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2</v>
      </c>
      <c r="AC43" s="7">
        <v>500</v>
      </c>
      <c r="AD43" s="8">
        <v>1300</v>
      </c>
      <c r="AE43" s="7">
        <v>1</v>
      </c>
      <c r="AF43" s="7">
        <v>100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8</v>
      </c>
      <c r="BA43" s="8">
        <v>8640</v>
      </c>
      <c r="BB43" s="7">
        <v>0</v>
      </c>
      <c r="BC43" s="7">
        <v>2</v>
      </c>
      <c r="BD43" s="8">
        <v>7560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972</v>
      </c>
      <c r="BM43" s="10">
        <v>18100</v>
      </c>
      <c r="BN43" s="17">
        <f t="shared" si="0"/>
        <v>17128</v>
      </c>
      <c r="BO43" s="18">
        <f t="shared" si="1"/>
        <v>11989.599999999999</v>
      </c>
    </row>
    <row r="44" spans="1:67" ht="19.2" x14ac:dyDescent="0.4">
      <c r="A44" s="5" t="s">
        <v>202</v>
      </c>
      <c r="B44" s="5" t="s">
        <v>99</v>
      </c>
      <c r="C44" s="5">
        <v>408050</v>
      </c>
      <c r="D44" s="6"/>
      <c r="E44" s="5" t="s">
        <v>12</v>
      </c>
      <c r="F44" s="5" t="s">
        <v>14</v>
      </c>
      <c r="G44" s="5" t="s">
        <v>23</v>
      </c>
      <c r="H44" s="7" t="s">
        <v>7</v>
      </c>
      <c r="I44" s="7" t="s">
        <v>100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3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34</v>
      </c>
      <c r="AF44" s="7">
        <v>240</v>
      </c>
      <c r="AG44" s="8">
        <v>3200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98</v>
      </c>
      <c r="BD44" s="8">
        <v>11760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705.6</v>
      </c>
      <c r="BM44" s="10">
        <v>15200</v>
      </c>
      <c r="BN44" s="17">
        <f t="shared" si="0"/>
        <v>14494.4</v>
      </c>
      <c r="BO44" s="18">
        <f t="shared" si="1"/>
        <v>10146.08</v>
      </c>
    </row>
    <row r="45" spans="1:67" x14ac:dyDescent="0.4">
      <c r="A45" s="5" t="s">
        <v>202</v>
      </c>
      <c r="B45" s="5" t="s">
        <v>96</v>
      </c>
      <c r="C45" s="5">
        <v>287064</v>
      </c>
      <c r="D45" s="6"/>
      <c r="E45" s="5" t="s">
        <v>12</v>
      </c>
      <c r="F45" s="5" t="s">
        <v>58</v>
      </c>
      <c r="G45" s="5" t="s">
        <v>12</v>
      </c>
      <c r="H45" s="7" t="s">
        <v>7</v>
      </c>
      <c r="I45" s="7" t="s">
        <v>97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11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7</v>
      </c>
      <c r="AF45" s="7">
        <v>120</v>
      </c>
      <c r="AG45" s="7">
        <v>600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2</v>
      </c>
      <c r="AR45" s="7">
        <v>200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106</v>
      </c>
      <c r="BD45" s="8">
        <v>12720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763.2</v>
      </c>
      <c r="BM45" s="10">
        <v>13640</v>
      </c>
      <c r="BN45" s="17">
        <f t="shared" si="0"/>
        <v>12876.8</v>
      </c>
      <c r="BO45" s="18">
        <f t="shared" si="1"/>
        <v>9013.7599999999984</v>
      </c>
    </row>
    <row r="46" spans="1:67" x14ac:dyDescent="0.4">
      <c r="A46" s="5" t="s">
        <v>202</v>
      </c>
      <c r="B46" s="5" t="s">
        <v>93</v>
      </c>
      <c r="C46" s="5">
        <v>192732</v>
      </c>
      <c r="D46" s="6"/>
      <c r="E46" s="5" t="s">
        <v>12</v>
      </c>
      <c r="F46" s="5" t="s">
        <v>37</v>
      </c>
      <c r="G46" s="5" t="s">
        <v>12</v>
      </c>
      <c r="H46" s="7" t="s">
        <v>7</v>
      </c>
      <c r="I46" s="7" t="s">
        <v>38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2</v>
      </c>
      <c r="AC46" s="8">
        <v>2160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9</v>
      </c>
      <c r="AU46" s="8">
        <v>9120</v>
      </c>
      <c r="AV46" s="7">
        <v>0</v>
      </c>
      <c r="AW46" s="7">
        <v>0</v>
      </c>
      <c r="AX46" s="7">
        <v>0</v>
      </c>
      <c r="AY46" s="7">
        <v>0</v>
      </c>
      <c r="AZ46" s="7">
        <v>2</v>
      </c>
      <c r="BA46" s="8">
        <v>1680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9">
        <v>1012.8</v>
      </c>
      <c r="BM46" s="10">
        <v>12960</v>
      </c>
      <c r="BN46" s="17">
        <f t="shared" si="0"/>
        <v>11947.2</v>
      </c>
      <c r="BO46" s="18">
        <f t="shared" si="1"/>
        <v>8363.0400000000009</v>
      </c>
    </row>
    <row r="47" spans="1:67" x14ac:dyDescent="0.4">
      <c r="A47" s="5" t="s">
        <v>202</v>
      </c>
      <c r="B47" s="5" t="s">
        <v>67</v>
      </c>
      <c r="C47" s="5">
        <v>238494</v>
      </c>
      <c r="D47" s="6"/>
      <c r="E47" s="5" t="s">
        <v>12</v>
      </c>
      <c r="F47" s="5" t="s">
        <v>37</v>
      </c>
      <c r="G47" s="5" t="s">
        <v>12</v>
      </c>
      <c r="H47" s="7" t="s">
        <v>7</v>
      </c>
      <c r="I47" s="7" t="s">
        <v>68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10</v>
      </c>
      <c r="AC47" s="8">
        <v>10620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2</v>
      </c>
      <c r="BA47" s="8">
        <v>2160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129.6</v>
      </c>
      <c r="BM47" s="10">
        <v>12780</v>
      </c>
      <c r="BN47" s="17">
        <f t="shared" si="0"/>
        <v>12650.4</v>
      </c>
      <c r="BO47" s="18">
        <f t="shared" si="1"/>
        <v>8855.2799999999988</v>
      </c>
    </row>
    <row r="48" spans="1:67" x14ac:dyDescent="0.4">
      <c r="A48" s="5" t="s">
        <v>202</v>
      </c>
      <c r="B48" s="5" t="s">
        <v>46</v>
      </c>
      <c r="C48" s="5">
        <v>192729</v>
      </c>
      <c r="D48" s="6"/>
      <c r="E48" s="5" t="s">
        <v>12</v>
      </c>
      <c r="F48" s="5" t="s">
        <v>37</v>
      </c>
      <c r="G48" s="5" t="s">
        <v>12</v>
      </c>
      <c r="H48" s="7" t="s">
        <v>7</v>
      </c>
      <c r="I48" s="7" t="s">
        <v>47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11</v>
      </c>
      <c r="AC48" s="8">
        <v>9900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2</v>
      </c>
      <c r="BA48" s="8">
        <v>2160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129.6</v>
      </c>
      <c r="BM48" s="10">
        <v>12060</v>
      </c>
      <c r="BN48" s="17">
        <f t="shared" si="0"/>
        <v>11930.4</v>
      </c>
      <c r="BO48" s="18">
        <f t="shared" si="1"/>
        <v>8351.2799999999988</v>
      </c>
    </row>
    <row r="49" spans="1:67" x14ac:dyDescent="0.4">
      <c r="A49" s="5" t="s">
        <v>202</v>
      </c>
      <c r="B49" s="5" t="s">
        <v>48</v>
      </c>
      <c r="C49" s="5">
        <v>285993</v>
      </c>
      <c r="D49" s="6"/>
      <c r="E49" s="5" t="s">
        <v>12</v>
      </c>
      <c r="F49" s="5" t="s">
        <v>13</v>
      </c>
      <c r="G49" s="5" t="s">
        <v>12</v>
      </c>
      <c r="H49" s="7" t="s">
        <v>7</v>
      </c>
      <c r="I49" s="7" t="s">
        <v>49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6</v>
      </c>
      <c r="AC49" s="8">
        <v>5580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4</v>
      </c>
      <c r="BA49" s="8">
        <v>4320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259.2</v>
      </c>
      <c r="BM49" s="10">
        <v>9900</v>
      </c>
      <c r="BN49" s="17">
        <f t="shared" si="0"/>
        <v>9640.7999999999993</v>
      </c>
      <c r="BO49" s="18">
        <f t="shared" si="1"/>
        <v>6748.5599999999995</v>
      </c>
    </row>
    <row r="50" spans="1:67" ht="19.2" x14ac:dyDescent="0.4">
      <c r="A50" s="5" t="s">
        <v>202</v>
      </c>
      <c r="B50" s="5" t="s">
        <v>62</v>
      </c>
      <c r="C50" s="5">
        <v>406370</v>
      </c>
      <c r="D50" s="6"/>
      <c r="E50" s="5" t="s">
        <v>12</v>
      </c>
      <c r="F50" s="5" t="s">
        <v>37</v>
      </c>
      <c r="G50" s="5" t="s">
        <v>23</v>
      </c>
      <c r="H50" s="7" t="s">
        <v>8</v>
      </c>
      <c r="I50" s="7" t="s">
        <v>55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6</v>
      </c>
      <c r="AC50" s="7">
        <v>0</v>
      </c>
      <c r="AD50" s="8">
        <v>5400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1</v>
      </c>
      <c r="AO50" s="7">
        <v>900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3</v>
      </c>
      <c r="BA50" s="8">
        <v>3240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194.4</v>
      </c>
      <c r="BM50" s="10">
        <v>9540</v>
      </c>
      <c r="BN50" s="17">
        <f t="shared" si="0"/>
        <v>9345.6</v>
      </c>
      <c r="BO50" s="18">
        <f t="shared" si="1"/>
        <v>6541.92</v>
      </c>
    </row>
    <row r="51" spans="1:67" x14ac:dyDescent="0.4">
      <c r="A51" s="5" t="s">
        <v>202</v>
      </c>
      <c r="B51" s="5" t="s">
        <v>108</v>
      </c>
      <c r="C51" s="5">
        <v>194565</v>
      </c>
      <c r="D51" s="6"/>
      <c r="E51" s="5" t="s">
        <v>12</v>
      </c>
      <c r="F51" s="5" t="s">
        <v>17</v>
      </c>
      <c r="G51" s="5" t="s">
        <v>12</v>
      </c>
      <c r="H51" s="7" t="s">
        <v>7</v>
      </c>
      <c r="I51" s="7" t="s">
        <v>109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7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38</v>
      </c>
      <c r="AF51" s="7">
        <v>0</v>
      </c>
      <c r="AG51" s="8">
        <v>3800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1</v>
      </c>
      <c r="AR51" s="7">
        <v>100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39</v>
      </c>
      <c r="BD51" s="8">
        <v>4680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280.8</v>
      </c>
      <c r="BM51" s="10">
        <v>8580</v>
      </c>
      <c r="BN51" s="17">
        <f t="shared" si="0"/>
        <v>8299.2000000000007</v>
      </c>
      <c r="BO51" s="18">
        <f t="shared" si="1"/>
        <v>5809.4400000000005</v>
      </c>
    </row>
    <row r="52" spans="1:67" ht="19.2" x14ac:dyDescent="0.4">
      <c r="A52" s="5" t="s">
        <v>202</v>
      </c>
      <c r="B52" s="5" t="s">
        <v>98</v>
      </c>
      <c r="C52" s="5">
        <v>408617</v>
      </c>
      <c r="D52" s="6"/>
      <c r="E52" s="5" t="s">
        <v>12</v>
      </c>
      <c r="F52" s="5" t="s">
        <v>13</v>
      </c>
      <c r="G52" s="5" t="s">
        <v>23</v>
      </c>
      <c r="H52" s="7" t="s">
        <v>11</v>
      </c>
      <c r="I52" s="7" t="s">
        <v>45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65</v>
      </c>
      <c r="AX52" s="8">
        <v>8580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858</v>
      </c>
      <c r="BM52" s="10">
        <v>8580</v>
      </c>
      <c r="BN52" s="17">
        <f t="shared" si="0"/>
        <v>7722</v>
      </c>
      <c r="BO52" s="18">
        <f t="shared" si="1"/>
        <v>5405.4</v>
      </c>
    </row>
    <row r="53" spans="1:67" ht="19.2" x14ac:dyDescent="0.4">
      <c r="A53" s="5" t="s">
        <v>202</v>
      </c>
      <c r="B53" s="5" t="s">
        <v>140</v>
      </c>
      <c r="C53" s="5">
        <v>408616</v>
      </c>
      <c r="D53" s="6"/>
      <c r="E53" s="5" t="s">
        <v>12</v>
      </c>
      <c r="F53" s="5" t="s">
        <v>13</v>
      </c>
      <c r="G53" s="5" t="s">
        <v>23</v>
      </c>
      <c r="H53" s="7" t="s">
        <v>7</v>
      </c>
      <c r="I53" s="7" t="s">
        <v>131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65</v>
      </c>
      <c r="BD53" s="8">
        <v>7800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468</v>
      </c>
      <c r="BM53" s="10">
        <v>7800</v>
      </c>
      <c r="BN53" s="17">
        <f t="shared" si="0"/>
        <v>7332</v>
      </c>
      <c r="BO53" s="18">
        <f t="shared" si="1"/>
        <v>5132.3999999999996</v>
      </c>
    </row>
    <row r="54" spans="1:67" x14ac:dyDescent="0.4">
      <c r="A54" s="5" t="s">
        <v>202</v>
      </c>
      <c r="B54" s="5" t="s">
        <v>91</v>
      </c>
      <c r="C54" s="5">
        <v>99966</v>
      </c>
      <c r="D54" s="6"/>
      <c r="E54" s="5" t="s">
        <v>12</v>
      </c>
      <c r="F54" s="5" t="s">
        <v>17</v>
      </c>
      <c r="G54" s="5" t="s">
        <v>12</v>
      </c>
      <c r="H54" s="7" t="s">
        <v>11</v>
      </c>
      <c r="I54" s="7" t="s">
        <v>92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70</v>
      </c>
      <c r="AF54" s="7">
        <v>200</v>
      </c>
      <c r="AG54" s="8">
        <v>6800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0">
        <v>7000</v>
      </c>
      <c r="BN54" s="17">
        <f t="shared" si="0"/>
        <v>7000</v>
      </c>
      <c r="BO54" s="18">
        <f t="shared" si="1"/>
        <v>4900</v>
      </c>
    </row>
    <row r="55" spans="1:67" x14ac:dyDescent="0.4">
      <c r="A55" s="5" t="s">
        <v>202</v>
      </c>
      <c r="B55" s="5" t="s">
        <v>75</v>
      </c>
      <c r="C55" s="5">
        <v>239858</v>
      </c>
      <c r="D55" s="6"/>
      <c r="E55" s="5" t="s">
        <v>12</v>
      </c>
      <c r="F55" s="5" t="s">
        <v>13</v>
      </c>
      <c r="G55" s="5" t="s">
        <v>12</v>
      </c>
      <c r="H55" s="7" t="s">
        <v>7</v>
      </c>
      <c r="I55" s="7" t="s">
        <v>76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6</v>
      </c>
      <c r="AC55" s="8">
        <v>1800</v>
      </c>
      <c r="AD55" s="8">
        <v>3600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1</v>
      </c>
      <c r="BA55" s="8">
        <v>1080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64.8</v>
      </c>
      <c r="BM55" s="10">
        <v>6480</v>
      </c>
      <c r="BN55" s="17">
        <f t="shared" si="0"/>
        <v>6415.2</v>
      </c>
      <c r="BO55" s="18">
        <f t="shared" si="1"/>
        <v>4490.6399999999994</v>
      </c>
    </row>
    <row r="56" spans="1:67" x14ac:dyDescent="0.4">
      <c r="A56" s="5" t="s">
        <v>202</v>
      </c>
      <c r="B56" s="5" t="s">
        <v>141</v>
      </c>
      <c r="C56" s="5">
        <v>229599</v>
      </c>
      <c r="D56" s="6"/>
      <c r="E56" s="5" t="s">
        <v>12</v>
      </c>
      <c r="F56" s="5" t="s">
        <v>13</v>
      </c>
      <c r="G56" s="5" t="s">
        <v>12</v>
      </c>
      <c r="H56" s="7" t="s">
        <v>7</v>
      </c>
      <c r="I56" s="7" t="s">
        <v>142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1</v>
      </c>
      <c r="AO56" s="7">
        <v>900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5</v>
      </c>
      <c r="BA56" s="8">
        <v>5400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324</v>
      </c>
      <c r="BM56" s="10">
        <v>6300</v>
      </c>
      <c r="BN56" s="17">
        <f t="shared" si="0"/>
        <v>5976</v>
      </c>
      <c r="BO56" s="18">
        <f t="shared" si="1"/>
        <v>4183.2</v>
      </c>
    </row>
    <row r="57" spans="1:67" x14ac:dyDescent="0.4">
      <c r="A57" s="5" t="s">
        <v>202</v>
      </c>
      <c r="B57" s="5" t="s">
        <v>105</v>
      </c>
      <c r="C57" s="5">
        <v>388417</v>
      </c>
      <c r="D57" s="6"/>
      <c r="E57" s="5" t="s">
        <v>12</v>
      </c>
      <c r="F57" s="5" t="s">
        <v>106</v>
      </c>
      <c r="G57" s="5" t="s">
        <v>12</v>
      </c>
      <c r="H57" s="7" t="s">
        <v>7</v>
      </c>
      <c r="I57" s="7" t="s">
        <v>107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32</v>
      </c>
      <c r="BD57" s="8">
        <v>3840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230.4</v>
      </c>
      <c r="BM57" s="10">
        <v>3840</v>
      </c>
      <c r="BN57" s="17">
        <f t="shared" si="0"/>
        <v>3609.6</v>
      </c>
      <c r="BO57" s="18">
        <f t="shared" si="1"/>
        <v>2526.7199999999998</v>
      </c>
    </row>
    <row r="58" spans="1:67" ht="19.2" x14ac:dyDescent="0.4">
      <c r="A58" s="5" t="s">
        <v>202</v>
      </c>
      <c r="B58" s="5" t="s">
        <v>65</v>
      </c>
      <c r="C58" s="5">
        <v>408317</v>
      </c>
      <c r="D58" s="6"/>
      <c r="E58" s="5" t="s">
        <v>12</v>
      </c>
      <c r="F58" s="5" t="s">
        <v>37</v>
      </c>
      <c r="G58" s="5" t="s">
        <v>23</v>
      </c>
      <c r="H58" s="7" t="s">
        <v>8</v>
      </c>
      <c r="I58" s="7" t="s">
        <v>45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6</v>
      </c>
      <c r="AF58" s="7">
        <v>0</v>
      </c>
      <c r="AG58" s="7">
        <v>600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22</v>
      </c>
      <c r="BD58" s="8">
        <v>2640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158.4</v>
      </c>
      <c r="BM58" s="10">
        <v>3240</v>
      </c>
      <c r="BN58" s="17">
        <f t="shared" si="0"/>
        <v>3081.6</v>
      </c>
      <c r="BO58" s="18">
        <f t="shared" si="1"/>
        <v>2157.12</v>
      </c>
    </row>
    <row r="59" spans="1:67" x14ac:dyDescent="0.4">
      <c r="A59" s="5" t="s">
        <v>202</v>
      </c>
      <c r="B59" s="5" t="s">
        <v>143</v>
      </c>
      <c r="C59" s="5">
        <v>361973</v>
      </c>
      <c r="D59" s="6"/>
      <c r="E59" s="5" t="s">
        <v>12</v>
      </c>
      <c r="F59" s="5" t="s">
        <v>13</v>
      </c>
      <c r="G59" s="5" t="s">
        <v>12</v>
      </c>
      <c r="H59" s="7" t="s">
        <v>7</v>
      </c>
      <c r="I59" s="7" t="s">
        <v>144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3</v>
      </c>
      <c r="BA59" s="8">
        <v>3240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194.4</v>
      </c>
      <c r="BM59" s="10">
        <v>3240</v>
      </c>
      <c r="BN59" s="17">
        <f t="shared" si="0"/>
        <v>3045.6</v>
      </c>
      <c r="BO59" s="18">
        <f t="shared" si="1"/>
        <v>2131.9199999999996</v>
      </c>
    </row>
    <row r="60" spans="1:67" x14ac:dyDescent="0.4">
      <c r="A60" s="5" t="s">
        <v>202</v>
      </c>
      <c r="B60" s="5" t="s">
        <v>132</v>
      </c>
      <c r="C60" s="5">
        <v>227856</v>
      </c>
      <c r="D60" s="6"/>
      <c r="E60" s="5" t="s">
        <v>12</v>
      </c>
      <c r="F60" s="5" t="s">
        <v>133</v>
      </c>
      <c r="G60" s="5" t="s">
        <v>12</v>
      </c>
      <c r="H60" s="7" t="s">
        <v>7</v>
      </c>
      <c r="I60" s="7" t="s">
        <v>134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1</v>
      </c>
      <c r="AU60" s="7">
        <v>840</v>
      </c>
      <c r="AV60" s="7">
        <v>0</v>
      </c>
      <c r="AW60" s="7">
        <v>0</v>
      </c>
      <c r="AX60" s="7">
        <v>0</v>
      </c>
      <c r="AY60" s="7">
        <v>0</v>
      </c>
      <c r="AZ60" s="7">
        <v>3</v>
      </c>
      <c r="BA60" s="8">
        <v>2400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228</v>
      </c>
      <c r="BM60" s="10">
        <v>3240</v>
      </c>
      <c r="BN60" s="17">
        <f t="shared" si="0"/>
        <v>3012</v>
      </c>
      <c r="BO60" s="18">
        <f t="shared" si="1"/>
        <v>2108.4</v>
      </c>
    </row>
    <row r="61" spans="1:67" x14ac:dyDescent="0.4">
      <c r="A61" s="5" t="s">
        <v>202</v>
      </c>
      <c r="B61" s="5" t="s">
        <v>72</v>
      </c>
      <c r="C61" s="5">
        <v>189476</v>
      </c>
      <c r="D61" s="6"/>
      <c r="E61" s="5" t="s">
        <v>12</v>
      </c>
      <c r="F61" s="5" t="s">
        <v>37</v>
      </c>
      <c r="G61" s="5" t="s">
        <v>12</v>
      </c>
      <c r="H61" s="7" t="s">
        <v>7</v>
      </c>
      <c r="I61" s="7" t="s">
        <v>73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2</v>
      </c>
      <c r="AC61" s="7">
        <v>0</v>
      </c>
      <c r="AD61" s="8">
        <v>1800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0">
        <v>1800</v>
      </c>
      <c r="BN61" s="17">
        <f t="shared" si="0"/>
        <v>1800</v>
      </c>
      <c r="BO61" s="18">
        <f t="shared" si="1"/>
        <v>1260</v>
      </c>
    </row>
    <row r="62" spans="1:67" ht="19.2" x14ac:dyDescent="0.4">
      <c r="A62" s="5" t="s">
        <v>202</v>
      </c>
      <c r="B62" s="5" t="s">
        <v>145</v>
      </c>
      <c r="C62" s="5">
        <v>408463</v>
      </c>
      <c r="D62" s="6"/>
      <c r="E62" s="5" t="s">
        <v>12</v>
      </c>
      <c r="F62" s="5" t="s">
        <v>146</v>
      </c>
      <c r="G62" s="5" t="s">
        <v>23</v>
      </c>
      <c r="H62" s="7" t="s">
        <v>7</v>
      </c>
      <c r="I62" s="7" t="s">
        <v>131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11</v>
      </c>
      <c r="AF62" s="7">
        <v>0</v>
      </c>
      <c r="AG62" s="8">
        <v>1100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1100</v>
      </c>
      <c r="BN62" s="17">
        <f t="shared" si="0"/>
        <v>1100</v>
      </c>
      <c r="BO62" s="18">
        <f t="shared" si="1"/>
        <v>770</v>
      </c>
    </row>
    <row r="63" spans="1:67" x14ac:dyDescent="0.4">
      <c r="A63" s="5" t="s">
        <v>202</v>
      </c>
      <c r="B63" s="5" t="s">
        <v>69</v>
      </c>
      <c r="C63" s="5">
        <v>169151</v>
      </c>
      <c r="D63" s="6"/>
      <c r="E63" s="5" t="s">
        <v>12</v>
      </c>
      <c r="F63" s="5" t="s">
        <v>14</v>
      </c>
      <c r="G63" s="5" t="s">
        <v>12</v>
      </c>
      <c r="H63" s="7" t="s">
        <v>7</v>
      </c>
      <c r="I63" s="7" t="s">
        <v>70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1</v>
      </c>
      <c r="BA63" s="8">
        <v>1080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64.8</v>
      </c>
      <c r="BM63" s="10">
        <v>1080</v>
      </c>
      <c r="BN63" s="17">
        <f t="shared" si="0"/>
        <v>1015.2</v>
      </c>
      <c r="BO63" s="18">
        <f t="shared" si="1"/>
        <v>710.64</v>
      </c>
    </row>
    <row r="64" spans="1:67" x14ac:dyDescent="0.4">
      <c r="A64" s="5" t="s">
        <v>202</v>
      </c>
      <c r="B64" s="5" t="s">
        <v>126</v>
      </c>
      <c r="C64" s="5">
        <v>332843</v>
      </c>
      <c r="D64" s="6"/>
      <c r="E64" s="5" t="s">
        <v>12</v>
      </c>
      <c r="F64" s="5" t="s">
        <v>13</v>
      </c>
      <c r="G64" s="5" t="s">
        <v>12</v>
      </c>
      <c r="H64" s="7" t="s">
        <v>7</v>
      </c>
      <c r="I64" s="7" t="s">
        <v>127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6</v>
      </c>
      <c r="AF64" s="7">
        <v>720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1">
        <v>720</v>
      </c>
      <c r="BN64" s="17">
        <f t="shared" si="0"/>
        <v>720</v>
      </c>
      <c r="BO64" s="18">
        <f t="shared" si="1"/>
        <v>503.99999999999994</v>
      </c>
    </row>
    <row r="65" spans="1:67" ht="19.2" x14ac:dyDescent="0.4">
      <c r="A65" s="5" t="s">
        <v>202</v>
      </c>
      <c r="B65" s="5" t="s">
        <v>147</v>
      </c>
      <c r="C65" s="5">
        <v>408332</v>
      </c>
      <c r="D65" s="6"/>
      <c r="E65" s="5" t="s">
        <v>12</v>
      </c>
      <c r="F65" s="5" t="s">
        <v>13</v>
      </c>
      <c r="G65" s="5" t="s">
        <v>23</v>
      </c>
      <c r="H65" s="7" t="s">
        <v>7</v>
      </c>
      <c r="I65" s="7" t="s">
        <v>100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2</v>
      </c>
      <c r="BD65" s="7">
        <v>240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14.4</v>
      </c>
      <c r="BM65" s="11">
        <v>240</v>
      </c>
      <c r="BN65" s="17">
        <f t="shared" si="0"/>
        <v>225.6</v>
      </c>
      <c r="BO65" s="18">
        <f t="shared" si="1"/>
        <v>157.91999999999999</v>
      </c>
    </row>
    <row r="66" spans="1:67" x14ac:dyDescent="0.4">
      <c r="A66" s="5" t="s">
        <v>202</v>
      </c>
      <c r="B66" s="5" t="s">
        <v>129</v>
      </c>
      <c r="C66" s="5">
        <v>249762</v>
      </c>
      <c r="D66" s="6"/>
      <c r="E66" s="5" t="s">
        <v>12</v>
      </c>
      <c r="F66" s="5" t="s">
        <v>13</v>
      </c>
      <c r="G66" s="5" t="s">
        <v>12</v>
      </c>
      <c r="H66" s="7" t="s">
        <v>7</v>
      </c>
      <c r="I66" s="7" t="s">
        <v>130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1</v>
      </c>
      <c r="AR66" s="7">
        <v>100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1">
        <v>100</v>
      </c>
      <c r="BN66" s="17">
        <f t="shared" si="0"/>
        <v>100</v>
      </c>
      <c r="BO66" s="18">
        <f t="shared" si="1"/>
        <v>70</v>
      </c>
    </row>
    <row r="67" spans="1:67" ht="19.2" x14ac:dyDescent="0.4">
      <c r="A67" s="5" t="s">
        <v>202</v>
      </c>
      <c r="B67" s="5" t="s">
        <v>128</v>
      </c>
      <c r="C67" s="5">
        <v>409391</v>
      </c>
      <c r="D67" s="6"/>
      <c r="E67" s="5" t="s">
        <v>12</v>
      </c>
      <c r="F67" s="5" t="s">
        <v>37</v>
      </c>
      <c r="G67" s="5" t="s">
        <v>23</v>
      </c>
      <c r="H67" s="7" t="s">
        <v>7</v>
      </c>
      <c r="I67" s="7" t="s">
        <v>24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1</v>
      </c>
      <c r="AR67" s="7">
        <v>100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1">
        <v>100</v>
      </c>
      <c r="BN67" s="17">
        <f t="shared" ref="BN67" si="2">BM67-BL67</f>
        <v>100</v>
      </c>
      <c r="BO67" s="18">
        <f t="shared" ref="BO67" si="3">BN67*70%</f>
        <v>70</v>
      </c>
    </row>
    <row r="68" spans="1:67" x14ac:dyDescent="0.4">
      <c r="A68" s="5" t="s">
        <v>79</v>
      </c>
      <c r="B68" s="5" t="s">
        <v>15</v>
      </c>
      <c r="C68" s="5">
        <v>355332</v>
      </c>
      <c r="D68" s="6"/>
      <c r="E68" s="5" t="s">
        <v>12</v>
      </c>
      <c r="F68" s="5" t="s">
        <v>14</v>
      </c>
      <c r="G68" s="5" t="s">
        <v>12</v>
      </c>
      <c r="H68" s="7" t="s">
        <v>8</v>
      </c>
      <c r="I68" s="7" t="s">
        <v>66</v>
      </c>
      <c r="J68" s="7">
        <v>2</v>
      </c>
      <c r="K68" s="7">
        <v>27</v>
      </c>
      <c r="L68" s="7">
        <v>200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557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8">
        <v>5523</v>
      </c>
      <c r="AF68" s="8">
        <v>571480</v>
      </c>
      <c r="AG68" s="8">
        <v>55800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399</v>
      </c>
      <c r="AR68" s="8">
        <v>38800</v>
      </c>
      <c r="AS68" s="8">
        <v>1100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8">
        <v>1216</v>
      </c>
      <c r="BJ68" s="8">
        <v>145320</v>
      </c>
      <c r="BK68" s="7">
        <v>500</v>
      </c>
      <c r="BL68" s="9">
        <v>7266</v>
      </c>
      <c r="BM68" s="10">
        <v>813200</v>
      </c>
      <c r="BN68" s="17">
        <f>BM68-BL68</f>
        <v>805934</v>
      </c>
      <c r="BO68" s="18">
        <f t="shared" ref="BO68:BO93" si="4">BN68*70%</f>
        <v>564153.79999999993</v>
      </c>
    </row>
    <row r="69" spans="1:67" x14ac:dyDescent="0.4">
      <c r="A69" s="5" t="s">
        <v>79</v>
      </c>
      <c r="B69" s="5" t="s">
        <v>19</v>
      </c>
      <c r="C69" s="5">
        <v>161539</v>
      </c>
      <c r="D69" s="6"/>
      <c r="E69" s="5" t="s">
        <v>12</v>
      </c>
      <c r="F69" s="5" t="s">
        <v>17</v>
      </c>
      <c r="G69" s="5" t="s">
        <v>12</v>
      </c>
      <c r="H69" s="7" t="s">
        <v>7</v>
      </c>
      <c r="I69" s="7" t="s">
        <v>20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15</v>
      </c>
      <c r="AC69" s="8">
        <v>9600</v>
      </c>
      <c r="AD69" s="8">
        <v>5000</v>
      </c>
      <c r="AE69" s="7">
        <v>9</v>
      </c>
      <c r="AF69" s="8">
        <v>34560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2</v>
      </c>
      <c r="BG69" s="8">
        <v>1680</v>
      </c>
      <c r="BH69" s="7">
        <v>0</v>
      </c>
      <c r="BI69" s="7">
        <v>0</v>
      </c>
      <c r="BJ69" s="7">
        <v>0</v>
      </c>
      <c r="BK69" s="7">
        <v>0</v>
      </c>
      <c r="BL69" s="7">
        <v>84</v>
      </c>
      <c r="BM69" s="10">
        <v>50840</v>
      </c>
      <c r="BN69" s="17">
        <f t="shared" ref="BN69:BN93" si="5">BM69-BL69</f>
        <v>50756</v>
      </c>
      <c r="BO69" s="18">
        <f t="shared" si="4"/>
        <v>35529.199999999997</v>
      </c>
    </row>
    <row r="70" spans="1:67" x14ac:dyDescent="0.4">
      <c r="A70" s="5" t="s">
        <v>79</v>
      </c>
      <c r="B70" s="5" t="s">
        <v>41</v>
      </c>
      <c r="C70" s="5">
        <v>215737</v>
      </c>
      <c r="D70" s="6"/>
      <c r="E70" s="5" t="s">
        <v>12</v>
      </c>
      <c r="F70" s="5" t="s">
        <v>42</v>
      </c>
      <c r="G70" s="5" t="s">
        <v>12</v>
      </c>
      <c r="H70" s="7" t="s">
        <v>7</v>
      </c>
      <c r="I70" s="7" t="s">
        <v>43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29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245</v>
      </c>
      <c r="AF70" s="8">
        <v>24520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45</v>
      </c>
      <c r="AR70" s="8">
        <v>4500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0">
        <v>29020</v>
      </c>
      <c r="BN70" s="17">
        <f t="shared" si="5"/>
        <v>29020</v>
      </c>
      <c r="BO70" s="18">
        <f t="shared" si="4"/>
        <v>20314</v>
      </c>
    </row>
    <row r="71" spans="1:67" x14ac:dyDescent="0.4">
      <c r="A71" s="5" t="s">
        <v>79</v>
      </c>
      <c r="B71" s="5" t="s">
        <v>114</v>
      </c>
      <c r="C71" s="5">
        <v>285994</v>
      </c>
      <c r="D71" s="6"/>
      <c r="E71" s="5" t="s">
        <v>12</v>
      </c>
      <c r="F71" s="5" t="s">
        <v>13</v>
      </c>
      <c r="G71" s="5" t="s">
        <v>12</v>
      </c>
      <c r="H71" s="7" t="s">
        <v>7</v>
      </c>
      <c r="I71" s="7" t="s">
        <v>49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6</v>
      </c>
      <c r="AF71" s="8">
        <v>23040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3</v>
      </c>
      <c r="AO71" s="8">
        <v>2700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0">
        <v>25740</v>
      </c>
      <c r="BN71" s="17">
        <f t="shared" si="5"/>
        <v>25740</v>
      </c>
      <c r="BO71" s="18">
        <f t="shared" si="4"/>
        <v>18018</v>
      </c>
    </row>
    <row r="72" spans="1:67" x14ac:dyDescent="0.4">
      <c r="A72" s="5" t="s">
        <v>79</v>
      </c>
      <c r="B72" s="5" t="s">
        <v>80</v>
      </c>
      <c r="C72" s="5">
        <v>418829</v>
      </c>
      <c r="D72" s="6"/>
      <c r="E72" s="5" t="s">
        <v>12</v>
      </c>
      <c r="F72" s="5" t="s">
        <v>17</v>
      </c>
      <c r="G72" s="5" t="s">
        <v>12</v>
      </c>
      <c r="H72" s="7" t="s">
        <v>7</v>
      </c>
      <c r="I72" s="7" t="s">
        <v>81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20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181</v>
      </c>
      <c r="AF72" s="8">
        <v>21720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0">
        <v>21720</v>
      </c>
      <c r="BN72" s="17">
        <f t="shared" si="5"/>
        <v>21720</v>
      </c>
      <c r="BO72" s="18">
        <f t="shared" si="4"/>
        <v>15203.999999999998</v>
      </c>
    </row>
    <row r="73" spans="1:67" x14ac:dyDescent="0.4">
      <c r="A73" s="5" t="s">
        <v>79</v>
      </c>
      <c r="B73" s="5" t="s">
        <v>25</v>
      </c>
      <c r="C73" s="5">
        <v>165741</v>
      </c>
      <c r="D73" s="6"/>
      <c r="E73" s="5" t="s">
        <v>12</v>
      </c>
      <c r="F73" s="5" t="s">
        <v>14</v>
      </c>
      <c r="G73" s="5" t="s">
        <v>12</v>
      </c>
      <c r="H73" s="7" t="s">
        <v>7</v>
      </c>
      <c r="I73" s="7" t="s">
        <v>26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4</v>
      </c>
      <c r="AC73" s="8">
        <v>4320</v>
      </c>
      <c r="AD73" s="7">
        <v>0</v>
      </c>
      <c r="AE73" s="7">
        <v>1</v>
      </c>
      <c r="AF73" s="8">
        <v>3200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15</v>
      </c>
      <c r="AO73" s="8">
        <v>13500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0">
        <v>21020</v>
      </c>
      <c r="BN73" s="17">
        <f t="shared" si="5"/>
        <v>21020</v>
      </c>
      <c r="BO73" s="18">
        <f t="shared" si="4"/>
        <v>14713.999999999998</v>
      </c>
    </row>
    <row r="74" spans="1:67" x14ac:dyDescent="0.4">
      <c r="A74" s="5" t="s">
        <v>79</v>
      </c>
      <c r="B74" s="5" t="s">
        <v>94</v>
      </c>
      <c r="C74" s="5">
        <v>395747</v>
      </c>
      <c r="D74" s="6"/>
      <c r="E74" s="5" t="s">
        <v>12</v>
      </c>
      <c r="F74" s="5" t="s">
        <v>13</v>
      </c>
      <c r="G74" s="5" t="s">
        <v>12</v>
      </c>
      <c r="H74" s="7" t="s">
        <v>7</v>
      </c>
      <c r="I74" s="7" t="s">
        <v>95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34</v>
      </c>
      <c r="AF74" s="7">
        <v>0</v>
      </c>
      <c r="AG74" s="8">
        <v>3400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121</v>
      </c>
      <c r="AR74" s="8">
        <v>11700</v>
      </c>
      <c r="AS74" s="7">
        <v>400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0">
        <v>15500</v>
      </c>
      <c r="BN74" s="17">
        <f t="shared" si="5"/>
        <v>15500</v>
      </c>
      <c r="BO74" s="18">
        <f t="shared" si="4"/>
        <v>10850</v>
      </c>
    </row>
    <row r="75" spans="1:67" x14ac:dyDescent="0.4">
      <c r="A75" s="5" t="s">
        <v>79</v>
      </c>
      <c r="B75" s="5" t="s">
        <v>16</v>
      </c>
      <c r="C75" s="5">
        <v>159260</v>
      </c>
      <c r="D75" s="6"/>
      <c r="E75" s="5" t="s">
        <v>12</v>
      </c>
      <c r="F75" s="5" t="s">
        <v>17</v>
      </c>
      <c r="G75" s="5" t="s">
        <v>12</v>
      </c>
      <c r="H75" s="7" t="s">
        <v>7</v>
      </c>
      <c r="I75" s="7" t="s">
        <v>18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14</v>
      </c>
      <c r="AC75" s="8">
        <v>13960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1</v>
      </c>
      <c r="BG75" s="8">
        <v>1080</v>
      </c>
      <c r="BH75" s="7">
        <v>0</v>
      </c>
      <c r="BI75" s="7">
        <v>0</v>
      </c>
      <c r="BJ75" s="7">
        <v>0</v>
      </c>
      <c r="BK75" s="7">
        <v>0</v>
      </c>
      <c r="BL75" s="7">
        <v>54</v>
      </c>
      <c r="BM75" s="10">
        <v>15040</v>
      </c>
      <c r="BN75" s="17">
        <f t="shared" si="5"/>
        <v>14986</v>
      </c>
      <c r="BO75" s="18">
        <f t="shared" si="4"/>
        <v>10490.199999999999</v>
      </c>
    </row>
    <row r="76" spans="1:67" x14ac:dyDescent="0.4">
      <c r="A76" s="5" t="s">
        <v>79</v>
      </c>
      <c r="B76" s="5" t="s">
        <v>21</v>
      </c>
      <c r="C76" s="5">
        <v>159270</v>
      </c>
      <c r="D76" s="6"/>
      <c r="E76" s="5" t="s">
        <v>12</v>
      </c>
      <c r="F76" s="5" t="s">
        <v>17</v>
      </c>
      <c r="G76" s="5" t="s">
        <v>12</v>
      </c>
      <c r="H76" s="7" t="s">
        <v>11</v>
      </c>
      <c r="I76" s="7" t="s">
        <v>20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14</v>
      </c>
      <c r="AC76" s="8">
        <v>14700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0">
        <v>14700</v>
      </c>
      <c r="BN76" s="17">
        <f t="shared" si="5"/>
        <v>14700</v>
      </c>
      <c r="BO76" s="18">
        <f t="shared" si="4"/>
        <v>10290</v>
      </c>
    </row>
    <row r="77" spans="1:67" x14ac:dyDescent="0.4">
      <c r="A77" s="5" t="s">
        <v>79</v>
      </c>
      <c r="B77" s="5" t="s">
        <v>101</v>
      </c>
      <c r="C77" s="5">
        <v>308470</v>
      </c>
      <c r="D77" s="6"/>
      <c r="E77" s="5" t="s">
        <v>12</v>
      </c>
      <c r="F77" s="5" t="s">
        <v>37</v>
      </c>
      <c r="G77" s="5" t="s">
        <v>12</v>
      </c>
      <c r="H77" s="7" t="s">
        <v>7</v>
      </c>
      <c r="I77" s="7" t="s">
        <v>102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120</v>
      </c>
      <c r="BJ77" s="8">
        <v>14400</v>
      </c>
      <c r="BK77" s="7">
        <v>0</v>
      </c>
      <c r="BL77" s="7">
        <v>720</v>
      </c>
      <c r="BM77" s="10">
        <v>14400</v>
      </c>
      <c r="BN77" s="17">
        <f t="shared" si="5"/>
        <v>13680</v>
      </c>
      <c r="BO77" s="18">
        <f t="shared" si="4"/>
        <v>9576</v>
      </c>
    </row>
    <row r="78" spans="1:67" x14ac:dyDescent="0.4">
      <c r="A78" s="5" t="s">
        <v>79</v>
      </c>
      <c r="B78" s="5" t="s">
        <v>31</v>
      </c>
      <c r="C78" s="5">
        <v>159258</v>
      </c>
      <c r="D78" s="6"/>
      <c r="E78" s="5" t="s">
        <v>12</v>
      </c>
      <c r="F78" s="5" t="s">
        <v>17</v>
      </c>
      <c r="G78" s="5" t="s">
        <v>12</v>
      </c>
      <c r="H78" s="7" t="s">
        <v>7</v>
      </c>
      <c r="I78" s="7" t="s">
        <v>30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11</v>
      </c>
      <c r="AC78" s="8">
        <v>11880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0">
        <v>11880</v>
      </c>
      <c r="BN78" s="17">
        <f t="shared" si="5"/>
        <v>11880</v>
      </c>
      <c r="BO78" s="18">
        <f t="shared" si="4"/>
        <v>8316</v>
      </c>
    </row>
    <row r="79" spans="1:67" x14ac:dyDescent="0.4">
      <c r="A79" s="5" t="s">
        <v>79</v>
      </c>
      <c r="B79" s="5" t="s">
        <v>46</v>
      </c>
      <c r="C79" s="5">
        <v>192729</v>
      </c>
      <c r="D79" s="6"/>
      <c r="E79" s="5" t="s">
        <v>12</v>
      </c>
      <c r="F79" s="5" t="s">
        <v>37</v>
      </c>
      <c r="G79" s="5" t="s">
        <v>12</v>
      </c>
      <c r="H79" s="7" t="s">
        <v>7</v>
      </c>
      <c r="I79" s="7" t="s">
        <v>47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11</v>
      </c>
      <c r="AC79" s="8">
        <v>11880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0">
        <v>11880</v>
      </c>
      <c r="BN79" s="17">
        <f t="shared" si="5"/>
        <v>11880</v>
      </c>
      <c r="BO79" s="18">
        <f t="shared" si="4"/>
        <v>8316</v>
      </c>
    </row>
    <row r="80" spans="1:67" x14ac:dyDescent="0.4">
      <c r="A80" s="5" t="s">
        <v>79</v>
      </c>
      <c r="B80" s="5" t="s">
        <v>29</v>
      </c>
      <c r="C80" s="5">
        <v>159268</v>
      </c>
      <c r="D80" s="6"/>
      <c r="E80" s="5" t="s">
        <v>12</v>
      </c>
      <c r="F80" s="5" t="s">
        <v>17</v>
      </c>
      <c r="G80" s="5" t="s">
        <v>12</v>
      </c>
      <c r="H80" s="7" t="s">
        <v>7</v>
      </c>
      <c r="I80" s="7" t="s">
        <v>30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10</v>
      </c>
      <c r="AC80" s="8">
        <v>10640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10">
        <v>10640</v>
      </c>
      <c r="BN80" s="17">
        <f t="shared" si="5"/>
        <v>10640</v>
      </c>
      <c r="BO80" s="18">
        <f t="shared" si="4"/>
        <v>7447.9999999999991</v>
      </c>
    </row>
    <row r="81" spans="1:67" x14ac:dyDescent="0.4">
      <c r="A81" s="5" t="s">
        <v>79</v>
      </c>
      <c r="B81" s="5" t="s">
        <v>34</v>
      </c>
      <c r="C81" s="5">
        <v>159266</v>
      </c>
      <c r="D81" s="6"/>
      <c r="E81" s="5" t="s">
        <v>12</v>
      </c>
      <c r="F81" s="5" t="s">
        <v>17</v>
      </c>
      <c r="G81" s="5" t="s">
        <v>12</v>
      </c>
      <c r="H81" s="7" t="s">
        <v>7</v>
      </c>
      <c r="I81" s="7" t="s">
        <v>30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2</v>
      </c>
      <c r="AC81" s="8">
        <v>2160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6</v>
      </c>
      <c r="BG81" s="8">
        <v>6480</v>
      </c>
      <c r="BH81" s="7">
        <v>0</v>
      </c>
      <c r="BI81" s="7">
        <v>0</v>
      </c>
      <c r="BJ81" s="7">
        <v>0</v>
      </c>
      <c r="BK81" s="7">
        <v>0</v>
      </c>
      <c r="BL81" s="7">
        <v>324</v>
      </c>
      <c r="BM81" s="10">
        <v>8640</v>
      </c>
      <c r="BN81" s="17">
        <f t="shared" si="5"/>
        <v>8316</v>
      </c>
      <c r="BO81" s="18">
        <f t="shared" si="4"/>
        <v>5821.2</v>
      </c>
    </row>
    <row r="82" spans="1:67" ht="19.2" x14ac:dyDescent="0.4">
      <c r="A82" s="5" t="s">
        <v>79</v>
      </c>
      <c r="B82" s="5" t="s">
        <v>98</v>
      </c>
      <c r="C82" s="5">
        <v>408617</v>
      </c>
      <c r="D82" s="6"/>
      <c r="E82" s="5" t="s">
        <v>12</v>
      </c>
      <c r="F82" s="5" t="s">
        <v>13</v>
      </c>
      <c r="G82" s="5" t="s">
        <v>23</v>
      </c>
      <c r="H82" s="7" t="s">
        <v>11</v>
      </c>
      <c r="I82" s="7" t="s">
        <v>45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3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57</v>
      </c>
      <c r="BJ82" s="8">
        <v>6840</v>
      </c>
      <c r="BK82" s="7">
        <v>0</v>
      </c>
      <c r="BL82" s="7">
        <v>342</v>
      </c>
      <c r="BM82" s="10">
        <v>6840</v>
      </c>
      <c r="BN82" s="17">
        <f t="shared" si="5"/>
        <v>6498</v>
      </c>
      <c r="BO82" s="18">
        <f t="shared" si="4"/>
        <v>4548.5999999999995</v>
      </c>
    </row>
    <row r="83" spans="1:67" x14ac:dyDescent="0.4">
      <c r="A83" s="5" t="s">
        <v>79</v>
      </c>
      <c r="B83" s="5" t="s">
        <v>32</v>
      </c>
      <c r="C83" s="5">
        <v>159255</v>
      </c>
      <c r="D83" s="6"/>
      <c r="E83" s="5" t="s">
        <v>12</v>
      </c>
      <c r="F83" s="5" t="s">
        <v>17</v>
      </c>
      <c r="G83" s="5" t="s">
        <v>12</v>
      </c>
      <c r="H83" s="7" t="s">
        <v>8</v>
      </c>
      <c r="I83" s="7" t="s">
        <v>33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5</v>
      </c>
      <c r="AC83" s="8">
        <v>4500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1</v>
      </c>
      <c r="BG83" s="8">
        <v>1080</v>
      </c>
      <c r="BH83" s="7">
        <v>0</v>
      </c>
      <c r="BI83" s="7">
        <v>0</v>
      </c>
      <c r="BJ83" s="7">
        <v>0</v>
      </c>
      <c r="BK83" s="7">
        <v>0</v>
      </c>
      <c r="BL83" s="7">
        <v>54</v>
      </c>
      <c r="BM83" s="10">
        <v>5580</v>
      </c>
      <c r="BN83" s="17">
        <f t="shared" si="5"/>
        <v>5526</v>
      </c>
      <c r="BO83" s="18">
        <f t="shared" si="4"/>
        <v>3868.2</v>
      </c>
    </row>
    <row r="84" spans="1:67" x14ac:dyDescent="0.4">
      <c r="A84" s="5" t="s">
        <v>79</v>
      </c>
      <c r="B84" s="5" t="s">
        <v>82</v>
      </c>
      <c r="C84" s="5">
        <v>192737</v>
      </c>
      <c r="D84" s="6"/>
      <c r="E84" s="5" t="s">
        <v>12</v>
      </c>
      <c r="F84" s="5" t="s">
        <v>37</v>
      </c>
      <c r="G84" s="5" t="s">
        <v>12</v>
      </c>
      <c r="H84" s="7" t="s">
        <v>7</v>
      </c>
      <c r="I84" s="7" t="s">
        <v>38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4</v>
      </c>
      <c r="AC84" s="8">
        <v>4320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0">
        <v>4320</v>
      </c>
      <c r="BN84" s="17">
        <f t="shared" si="5"/>
        <v>4320</v>
      </c>
      <c r="BO84" s="18">
        <f t="shared" si="4"/>
        <v>3024</v>
      </c>
    </row>
    <row r="85" spans="1:67" x14ac:dyDescent="0.4">
      <c r="A85" s="5" t="s">
        <v>79</v>
      </c>
      <c r="B85" s="5" t="s">
        <v>116</v>
      </c>
      <c r="C85" s="5">
        <v>406732</v>
      </c>
      <c r="D85" s="6"/>
      <c r="E85" s="5" t="s">
        <v>12</v>
      </c>
      <c r="F85" s="5" t="s">
        <v>13</v>
      </c>
      <c r="G85" s="5" t="s">
        <v>12</v>
      </c>
      <c r="H85" s="7" t="s">
        <v>7</v>
      </c>
      <c r="I85" s="7" t="s">
        <v>117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36</v>
      </c>
      <c r="AF85" s="8">
        <v>4320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0">
        <v>4320</v>
      </c>
      <c r="BN85" s="17">
        <f t="shared" si="5"/>
        <v>4320</v>
      </c>
      <c r="BO85" s="18">
        <f t="shared" si="4"/>
        <v>3024</v>
      </c>
    </row>
    <row r="86" spans="1:67" x14ac:dyDescent="0.4">
      <c r="A86" s="5" t="s">
        <v>79</v>
      </c>
      <c r="B86" s="5" t="s">
        <v>93</v>
      </c>
      <c r="C86" s="5">
        <v>192732</v>
      </c>
      <c r="D86" s="6"/>
      <c r="E86" s="5" t="s">
        <v>12</v>
      </c>
      <c r="F86" s="5" t="s">
        <v>37</v>
      </c>
      <c r="G86" s="5" t="s">
        <v>12</v>
      </c>
      <c r="H86" s="7" t="s">
        <v>7</v>
      </c>
      <c r="I86" s="7" t="s">
        <v>38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1</v>
      </c>
      <c r="AC86" s="8">
        <v>1080</v>
      </c>
      <c r="AD86" s="7">
        <v>0</v>
      </c>
      <c r="AE86" s="7">
        <v>1</v>
      </c>
      <c r="AF86" s="7">
        <v>0</v>
      </c>
      <c r="AG86" s="8">
        <v>3200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0">
        <v>4280</v>
      </c>
      <c r="BN86" s="17">
        <f t="shared" si="5"/>
        <v>4280</v>
      </c>
      <c r="BO86" s="18">
        <f t="shared" si="4"/>
        <v>2996</v>
      </c>
    </row>
    <row r="87" spans="1:67" ht="19.2" x14ac:dyDescent="0.4">
      <c r="A87" s="5" t="s">
        <v>79</v>
      </c>
      <c r="B87" s="5" t="s">
        <v>88</v>
      </c>
      <c r="C87" s="5">
        <v>408056</v>
      </c>
      <c r="D87" s="6"/>
      <c r="E87" s="5" t="s">
        <v>12</v>
      </c>
      <c r="F87" s="5" t="s">
        <v>14</v>
      </c>
      <c r="G87" s="5" t="s">
        <v>23</v>
      </c>
      <c r="H87" s="7" t="s">
        <v>7</v>
      </c>
      <c r="I87" s="7" t="s">
        <v>89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28</v>
      </c>
      <c r="BJ87" s="8">
        <v>3360</v>
      </c>
      <c r="BK87" s="7">
        <v>0</v>
      </c>
      <c r="BL87" s="7">
        <v>168</v>
      </c>
      <c r="BM87" s="10">
        <v>3360</v>
      </c>
      <c r="BN87" s="17">
        <f t="shared" si="5"/>
        <v>3192</v>
      </c>
      <c r="BO87" s="18">
        <f t="shared" si="4"/>
        <v>2234.3999999999996</v>
      </c>
    </row>
    <row r="88" spans="1:67" x14ac:dyDescent="0.4">
      <c r="A88" s="5" t="s">
        <v>79</v>
      </c>
      <c r="B88" s="5" t="s">
        <v>103</v>
      </c>
      <c r="C88" s="5">
        <v>229857</v>
      </c>
      <c r="D88" s="6"/>
      <c r="E88" s="5" t="s">
        <v>12</v>
      </c>
      <c r="F88" s="5" t="s">
        <v>13</v>
      </c>
      <c r="G88" s="5" t="s">
        <v>12</v>
      </c>
      <c r="H88" s="7" t="s">
        <v>11</v>
      </c>
      <c r="I88" s="7" t="s">
        <v>104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3</v>
      </c>
      <c r="AC88" s="8">
        <v>3240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10">
        <v>3240</v>
      </c>
      <c r="BN88" s="17">
        <f t="shared" si="5"/>
        <v>3240</v>
      </c>
      <c r="BO88" s="18">
        <f t="shared" si="4"/>
        <v>2268</v>
      </c>
    </row>
    <row r="89" spans="1:67" x14ac:dyDescent="0.4">
      <c r="A89" s="5" t="s">
        <v>79</v>
      </c>
      <c r="B89" s="5" t="s">
        <v>119</v>
      </c>
      <c r="C89" s="5">
        <v>300910</v>
      </c>
      <c r="D89" s="6"/>
      <c r="E89" s="5" t="s">
        <v>12</v>
      </c>
      <c r="F89" s="5" t="s">
        <v>42</v>
      </c>
      <c r="G89" s="5" t="s">
        <v>12</v>
      </c>
      <c r="H89" s="7" t="s">
        <v>7</v>
      </c>
      <c r="I89" s="7" t="s">
        <v>120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14</v>
      </c>
      <c r="BJ89" s="8">
        <v>1680</v>
      </c>
      <c r="BK89" s="7">
        <v>0</v>
      </c>
      <c r="BL89" s="7">
        <v>84</v>
      </c>
      <c r="BM89" s="10">
        <v>1680</v>
      </c>
      <c r="BN89" s="17">
        <f t="shared" si="5"/>
        <v>1596</v>
      </c>
      <c r="BO89" s="18">
        <f t="shared" si="4"/>
        <v>1117.1999999999998</v>
      </c>
    </row>
    <row r="90" spans="1:67" x14ac:dyDescent="0.4">
      <c r="A90" s="5" t="s">
        <v>79</v>
      </c>
      <c r="B90" s="5" t="s">
        <v>143</v>
      </c>
      <c r="C90" s="5">
        <v>361973</v>
      </c>
      <c r="D90" s="6"/>
      <c r="E90" s="5" t="s">
        <v>12</v>
      </c>
      <c r="F90" s="5" t="s">
        <v>13</v>
      </c>
      <c r="G90" s="5" t="s">
        <v>12</v>
      </c>
      <c r="H90" s="7" t="s">
        <v>7</v>
      </c>
      <c r="I90" s="7" t="s">
        <v>144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1</v>
      </c>
      <c r="AC90" s="8">
        <v>1080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10">
        <v>1080</v>
      </c>
      <c r="BN90" s="17">
        <f t="shared" si="5"/>
        <v>1080</v>
      </c>
      <c r="BO90" s="18">
        <f t="shared" si="4"/>
        <v>756</v>
      </c>
    </row>
    <row r="91" spans="1:67" x14ac:dyDescent="0.4">
      <c r="A91" s="5" t="s">
        <v>79</v>
      </c>
      <c r="B91" s="5" t="s">
        <v>85</v>
      </c>
      <c r="C91" s="5">
        <v>326544</v>
      </c>
      <c r="D91" s="6"/>
      <c r="E91" s="5" t="s">
        <v>12</v>
      </c>
      <c r="F91" s="5" t="s">
        <v>86</v>
      </c>
      <c r="G91" s="5" t="s">
        <v>12</v>
      </c>
      <c r="H91" s="7" t="s">
        <v>7</v>
      </c>
      <c r="I91" s="7" t="s">
        <v>87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10</v>
      </c>
      <c r="T91" s="7">
        <v>2</v>
      </c>
      <c r="U91" s="7">
        <v>0</v>
      </c>
      <c r="V91" s="8">
        <v>1000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10">
        <v>1000</v>
      </c>
      <c r="BN91" s="17">
        <f t="shared" si="5"/>
        <v>1000</v>
      </c>
      <c r="BO91" s="18">
        <f t="shared" si="4"/>
        <v>700</v>
      </c>
    </row>
    <row r="92" spans="1:67" x14ac:dyDescent="0.4">
      <c r="A92" s="5" t="s">
        <v>79</v>
      </c>
      <c r="B92" s="5" t="s">
        <v>123</v>
      </c>
      <c r="C92" s="5">
        <v>404358</v>
      </c>
      <c r="D92" s="6"/>
      <c r="E92" s="5" t="s">
        <v>12</v>
      </c>
      <c r="F92" s="5" t="s">
        <v>124</v>
      </c>
      <c r="G92" s="5" t="s">
        <v>12</v>
      </c>
      <c r="H92" s="7" t="s">
        <v>7</v>
      </c>
      <c r="I92" s="7" t="s">
        <v>125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1</v>
      </c>
      <c r="AF92" s="7">
        <v>120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11">
        <v>120</v>
      </c>
      <c r="BN92" s="17">
        <f t="shared" si="5"/>
        <v>120</v>
      </c>
      <c r="BO92" s="18">
        <f t="shared" si="4"/>
        <v>84</v>
      </c>
    </row>
    <row r="93" spans="1:67" ht="19.2" x14ac:dyDescent="0.4">
      <c r="A93" s="5" t="s">
        <v>79</v>
      </c>
      <c r="B93" s="5" t="s">
        <v>147</v>
      </c>
      <c r="C93" s="5">
        <v>408332</v>
      </c>
      <c r="D93" s="6"/>
      <c r="E93" s="5" t="s">
        <v>12</v>
      </c>
      <c r="F93" s="5" t="s">
        <v>13</v>
      </c>
      <c r="G93" s="5" t="s">
        <v>23</v>
      </c>
      <c r="H93" s="7" t="s">
        <v>7</v>
      </c>
      <c r="I93" s="7" t="s">
        <v>100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1</v>
      </c>
      <c r="AF93" s="7">
        <v>100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11">
        <v>100</v>
      </c>
      <c r="BN93" s="17">
        <f t="shared" si="5"/>
        <v>100</v>
      </c>
      <c r="BO93" s="18">
        <f t="shared" si="4"/>
        <v>70</v>
      </c>
    </row>
    <row r="94" spans="1:67" x14ac:dyDescent="0.4">
      <c r="A94" s="5" t="s">
        <v>204</v>
      </c>
      <c r="B94" s="5" t="s">
        <v>15</v>
      </c>
      <c r="C94" s="5">
        <v>355332</v>
      </c>
      <c r="D94" s="6"/>
      <c r="E94" s="5" t="s">
        <v>12</v>
      </c>
      <c r="F94" s="5" t="s">
        <v>14</v>
      </c>
      <c r="G94" s="5" t="s">
        <v>12</v>
      </c>
      <c r="H94" s="7" t="s">
        <v>8</v>
      </c>
      <c r="I94" s="7" t="s">
        <v>66</v>
      </c>
      <c r="J94" s="7">
        <v>1</v>
      </c>
      <c r="K94" s="7">
        <v>36</v>
      </c>
      <c r="L94" s="7">
        <v>100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8">
        <v>1163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8">
        <v>8043</v>
      </c>
      <c r="AF94" s="8">
        <v>785480</v>
      </c>
      <c r="AG94" s="8">
        <v>22700</v>
      </c>
      <c r="AH94" s="7">
        <v>0</v>
      </c>
      <c r="AI94" s="7">
        <v>0</v>
      </c>
      <c r="AJ94" s="7">
        <v>0</v>
      </c>
      <c r="AK94" s="8">
        <v>6462</v>
      </c>
      <c r="AL94" s="8">
        <v>687723</v>
      </c>
      <c r="AM94" s="8">
        <v>73100</v>
      </c>
      <c r="AN94" s="7">
        <v>0</v>
      </c>
      <c r="AO94" s="7">
        <v>0</v>
      </c>
      <c r="AP94" s="7">
        <v>0</v>
      </c>
      <c r="AQ94" s="8">
        <v>5514</v>
      </c>
      <c r="AR94" s="8">
        <v>539300</v>
      </c>
      <c r="AS94" s="8">
        <v>12100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12</v>
      </c>
      <c r="BD94" s="8">
        <v>1440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9">
        <v>206403.3</v>
      </c>
      <c r="BM94" s="10">
        <v>2121943</v>
      </c>
      <c r="BN94" s="17">
        <f t="shared" ref="BN94:BN129" si="6">BM94-BL94</f>
        <v>1915539.7</v>
      </c>
      <c r="BO94" s="18">
        <f t="shared" ref="BO94:BO129" si="7">BN94*70%</f>
        <v>1340877.7899999998</v>
      </c>
    </row>
    <row r="95" spans="1:67" x14ac:dyDescent="0.4">
      <c r="A95" s="5" t="s">
        <v>204</v>
      </c>
      <c r="B95" s="5" t="s">
        <v>16</v>
      </c>
      <c r="C95" s="5">
        <v>159260</v>
      </c>
      <c r="D95" s="6"/>
      <c r="E95" s="5" t="s">
        <v>12</v>
      </c>
      <c r="F95" s="5" t="s">
        <v>17</v>
      </c>
      <c r="G95" s="5" t="s">
        <v>12</v>
      </c>
      <c r="H95" s="7" t="s">
        <v>7</v>
      </c>
      <c r="I95" s="7" t="s">
        <v>18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119</v>
      </c>
      <c r="AC95" s="8">
        <v>92700</v>
      </c>
      <c r="AD95" s="8">
        <v>14500</v>
      </c>
      <c r="AE95" s="7">
        <v>3</v>
      </c>
      <c r="AF95" s="8">
        <v>7300</v>
      </c>
      <c r="AG95" s="7">
        <v>0</v>
      </c>
      <c r="AH95" s="7">
        <v>82</v>
      </c>
      <c r="AI95" s="8">
        <v>79113</v>
      </c>
      <c r="AJ95" s="8">
        <v>6200</v>
      </c>
      <c r="AK95" s="7">
        <v>22</v>
      </c>
      <c r="AL95" s="8">
        <v>81840</v>
      </c>
      <c r="AM95" s="8">
        <v>2200</v>
      </c>
      <c r="AN95" s="7">
        <v>27</v>
      </c>
      <c r="AO95" s="8">
        <v>24100</v>
      </c>
      <c r="AP95" s="7">
        <v>200</v>
      </c>
      <c r="AQ95" s="7">
        <v>2</v>
      </c>
      <c r="AR95" s="8">
        <v>5500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9</v>
      </c>
      <c r="BA95" s="8">
        <v>9720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9">
        <v>48869.1</v>
      </c>
      <c r="BM95" s="10">
        <v>323373</v>
      </c>
      <c r="BN95" s="17">
        <f t="shared" si="6"/>
        <v>274503.90000000002</v>
      </c>
      <c r="BO95" s="18">
        <f t="shared" si="7"/>
        <v>192152.73</v>
      </c>
    </row>
    <row r="96" spans="1:67" x14ac:dyDescent="0.4">
      <c r="A96" s="5" t="s">
        <v>204</v>
      </c>
      <c r="B96" s="5" t="s">
        <v>21</v>
      </c>
      <c r="C96" s="5">
        <v>159270</v>
      </c>
      <c r="D96" s="6"/>
      <c r="E96" s="5" t="s">
        <v>12</v>
      </c>
      <c r="F96" s="5" t="s">
        <v>17</v>
      </c>
      <c r="G96" s="5" t="s">
        <v>12</v>
      </c>
      <c r="H96" s="7" t="s">
        <v>11</v>
      </c>
      <c r="I96" s="7" t="s">
        <v>20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42</v>
      </c>
      <c r="AC96" s="8">
        <v>37640</v>
      </c>
      <c r="AD96" s="8">
        <v>1500</v>
      </c>
      <c r="AE96" s="7">
        <v>11</v>
      </c>
      <c r="AF96" s="8">
        <v>35200</v>
      </c>
      <c r="AG96" s="7">
        <v>0</v>
      </c>
      <c r="AH96" s="7">
        <v>43</v>
      </c>
      <c r="AI96" s="8">
        <v>45360</v>
      </c>
      <c r="AJ96" s="7">
        <v>100</v>
      </c>
      <c r="AK96" s="7">
        <v>0</v>
      </c>
      <c r="AL96" s="7">
        <v>0</v>
      </c>
      <c r="AM96" s="7">
        <v>0</v>
      </c>
      <c r="AN96" s="7">
        <v>22</v>
      </c>
      <c r="AO96" s="8">
        <v>19600</v>
      </c>
      <c r="AP96" s="7">
        <v>200</v>
      </c>
      <c r="AQ96" s="7">
        <v>1</v>
      </c>
      <c r="AR96" s="8">
        <v>3200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9">
        <v>13608</v>
      </c>
      <c r="BM96" s="10">
        <v>142800</v>
      </c>
      <c r="BN96" s="17">
        <f t="shared" si="6"/>
        <v>129192</v>
      </c>
      <c r="BO96" s="18">
        <f t="shared" si="7"/>
        <v>90434.4</v>
      </c>
    </row>
    <row r="97" spans="1:67" x14ac:dyDescent="0.4">
      <c r="A97" s="5" t="s">
        <v>204</v>
      </c>
      <c r="B97" s="5" t="s">
        <v>27</v>
      </c>
      <c r="C97" s="5">
        <v>161447</v>
      </c>
      <c r="D97" s="6"/>
      <c r="E97" s="5" t="s">
        <v>12</v>
      </c>
      <c r="F97" s="5" t="s">
        <v>14</v>
      </c>
      <c r="G97" s="5" t="s">
        <v>12</v>
      </c>
      <c r="H97" s="7" t="s">
        <v>7</v>
      </c>
      <c r="I97" s="7" t="s">
        <v>28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16</v>
      </c>
      <c r="AC97" s="8">
        <v>14400</v>
      </c>
      <c r="AD97" s="7">
        <v>0</v>
      </c>
      <c r="AE97" s="7">
        <v>18</v>
      </c>
      <c r="AF97" s="8">
        <v>57600</v>
      </c>
      <c r="AG97" s="7">
        <v>0</v>
      </c>
      <c r="AH97" s="7">
        <v>14</v>
      </c>
      <c r="AI97" s="8">
        <v>14400</v>
      </c>
      <c r="AJ97" s="7">
        <v>600</v>
      </c>
      <c r="AK97" s="7">
        <v>3</v>
      </c>
      <c r="AL97" s="8">
        <v>5280</v>
      </c>
      <c r="AM97" s="8">
        <v>5200</v>
      </c>
      <c r="AN97" s="7">
        <v>32</v>
      </c>
      <c r="AO97" s="8">
        <v>26800</v>
      </c>
      <c r="AP97" s="8">
        <v>2000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9">
        <v>5904</v>
      </c>
      <c r="BM97" s="10">
        <v>126280</v>
      </c>
      <c r="BN97" s="17">
        <f t="shared" si="6"/>
        <v>120376</v>
      </c>
      <c r="BO97" s="18">
        <f t="shared" si="7"/>
        <v>84263.2</v>
      </c>
    </row>
    <row r="98" spans="1:67" x14ac:dyDescent="0.4">
      <c r="A98" s="5" t="s">
        <v>204</v>
      </c>
      <c r="B98" s="5" t="s">
        <v>32</v>
      </c>
      <c r="C98" s="5">
        <v>159255</v>
      </c>
      <c r="D98" s="6"/>
      <c r="E98" s="5" t="s">
        <v>12</v>
      </c>
      <c r="F98" s="5" t="s">
        <v>17</v>
      </c>
      <c r="G98" s="5" t="s">
        <v>12</v>
      </c>
      <c r="H98" s="7" t="s">
        <v>8</v>
      </c>
      <c r="I98" s="7" t="s">
        <v>33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32</v>
      </c>
      <c r="AC98" s="8">
        <v>28800</v>
      </c>
      <c r="AD98" s="7">
        <v>0</v>
      </c>
      <c r="AE98" s="7">
        <v>0</v>
      </c>
      <c r="AF98" s="7">
        <v>0</v>
      </c>
      <c r="AG98" s="7">
        <v>0</v>
      </c>
      <c r="AH98" s="7">
        <v>17</v>
      </c>
      <c r="AI98" s="8">
        <v>17760</v>
      </c>
      <c r="AJ98" s="7">
        <v>500</v>
      </c>
      <c r="AK98" s="7">
        <v>19</v>
      </c>
      <c r="AL98" s="8">
        <v>72000</v>
      </c>
      <c r="AM98" s="7">
        <v>800</v>
      </c>
      <c r="AN98" s="7">
        <v>0</v>
      </c>
      <c r="AO98" s="7">
        <v>0</v>
      </c>
      <c r="AP98" s="7">
        <v>0</v>
      </c>
      <c r="AQ98" s="7">
        <v>2</v>
      </c>
      <c r="AR98" s="8">
        <v>3200</v>
      </c>
      <c r="AS98" s="8">
        <v>3200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9">
        <v>26928</v>
      </c>
      <c r="BM98" s="10">
        <v>126260</v>
      </c>
      <c r="BN98" s="17">
        <f t="shared" si="6"/>
        <v>99332</v>
      </c>
      <c r="BO98" s="18">
        <f t="shared" si="7"/>
        <v>69532.399999999994</v>
      </c>
    </row>
    <row r="99" spans="1:67" ht="19.2" x14ac:dyDescent="0.4">
      <c r="A99" s="5" t="s">
        <v>204</v>
      </c>
      <c r="B99" s="5" t="s">
        <v>44</v>
      </c>
      <c r="C99" s="5">
        <v>408054</v>
      </c>
      <c r="D99" s="6"/>
      <c r="E99" s="5" t="s">
        <v>12</v>
      </c>
      <c r="F99" s="5" t="s">
        <v>17</v>
      </c>
      <c r="G99" s="5" t="s">
        <v>23</v>
      </c>
      <c r="H99" s="7" t="s">
        <v>11</v>
      </c>
      <c r="I99" s="7" t="s">
        <v>45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18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84</v>
      </c>
      <c r="AF99" s="8">
        <v>4800</v>
      </c>
      <c r="AG99" s="8">
        <v>3600</v>
      </c>
      <c r="AH99" s="7">
        <v>0</v>
      </c>
      <c r="AI99" s="7">
        <v>0</v>
      </c>
      <c r="AJ99" s="7">
        <v>0</v>
      </c>
      <c r="AK99" s="7">
        <v>817</v>
      </c>
      <c r="AL99" s="8">
        <v>96282</v>
      </c>
      <c r="AM99" s="7">
        <v>700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9">
        <v>28884.6</v>
      </c>
      <c r="BM99" s="10">
        <v>105382</v>
      </c>
      <c r="BN99" s="17">
        <f t="shared" si="6"/>
        <v>76497.399999999994</v>
      </c>
      <c r="BO99" s="18">
        <f t="shared" si="7"/>
        <v>53548.179999999993</v>
      </c>
    </row>
    <row r="100" spans="1:67" x14ac:dyDescent="0.4">
      <c r="A100" s="5" t="s">
        <v>204</v>
      </c>
      <c r="B100" s="5" t="s">
        <v>31</v>
      </c>
      <c r="C100" s="5">
        <v>159258</v>
      </c>
      <c r="D100" s="6"/>
      <c r="E100" s="5" t="s">
        <v>12</v>
      </c>
      <c r="F100" s="5" t="s">
        <v>17</v>
      </c>
      <c r="G100" s="5" t="s">
        <v>12</v>
      </c>
      <c r="H100" s="7" t="s">
        <v>7</v>
      </c>
      <c r="I100" s="7" t="s">
        <v>30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19</v>
      </c>
      <c r="AC100" s="8">
        <v>17100</v>
      </c>
      <c r="AD100" s="7">
        <v>0</v>
      </c>
      <c r="AE100" s="7">
        <v>8</v>
      </c>
      <c r="AF100" s="8">
        <v>25100</v>
      </c>
      <c r="AG100" s="7">
        <v>500</v>
      </c>
      <c r="AH100" s="7">
        <v>26</v>
      </c>
      <c r="AI100" s="8">
        <v>28080</v>
      </c>
      <c r="AJ100" s="7">
        <v>0</v>
      </c>
      <c r="AK100" s="7">
        <v>3</v>
      </c>
      <c r="AL100" s="8">
        <v>7680</v>
      </c>
      <c r="AM100" s="8">
        <v>3200</v>
      </c>
      <c r="AN100" s="7">
        <v>3</v>
      </c>
      <c r="AO100" s="8">
        <v>2700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9">
        <v>10728</v>
      </c>
      <c r="BM100" s="10">
        <v>84360</v>
      </c>
      <c r="BN100" s="17">
        <f t="shared" si="6"/>
        <v>73632</v>
      </c>
      <c r="BO100" s="18">
        <f t="shared" si="7"/>
        <v>51542.399999999994</v>
      </c>
    </row>
    <row r="101" spans="1:67" x14ac:dyDescent="0.4">
      <c r="A101" s="5" t="s">
        <v>204</v>
      </c>
      <c r="B101" s="5" t="s">
        <v>29</v>
      </c>
      <c r="C101" s="5">
        <v>159268</v>
      </c>
      <c r="D101" s="6"/>
      <c r="E101" s="5" t="s">
        <v>12</v>
      </c>
      <c r="F101" s="5" t="s">
        <v>17</v>
      </c>
      <c r="G101" s="5" t="s">
        <v>12</v>
      </c>
      <c r="H101" s="7" t="s">
        <v>7</v>
      </c>
      <c r="I101" s="7" t="s">
        <v>30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15</v>
      </c>
      <c r="AC101" s="8">
        <v>14400</v>
      </c>
      <c r="AD101" s="7">
        <v>0</v>
      </c>
      <c r="AE101" s="7">
        <v>2</v>
      </c>
      <c r="AF101" s="7">
        <v>0</v>
      </c>
      <c r="AG101" s="8">
        <v>4500</v>
      </c>
      <c r="AH101" s="7">
        <v>41</v>
      </c>
      <c r="AI101" s="8">
        <v>44208</v>
      </c>
      <c r="AJ101" s="7">
        <v>0</v>
      </c>
      <c r="AK101" s="7">
        <v>2</v>
      </c>
      <c r="AL101" s="8">
        <v>6120</v>
      </c>
      <c r="AM101" s="7">
        <v>0</v>
      </c>
      <c r="AN101" s="7">
        <v>16</v>
      </c>
      <c r="AO101" s="8">
        <v>14400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9">
        <v>15098.4</v>
      </c>
      <c r="BM101" s="10">
        <v>83628</v>
      </c>
      <c r="BN101" s="17">
        <f t="shared" si="6"/>
        <v>68529.600000000006</v>
      </c>
      <c r="BO101" s="18">
        <f t="shared" si="7"/>
        <v>47970.720000000001</v>
      </c>
    </row>
    <row r="102" spans="1:67" x14ac:dyDescent="0.4">
      <c r="A102" s="5" t="s">
        <v>204</v>
      </c>
      <c r="B102" s="5" t="s">
        <v>83</v>
      </c>
      <c r="C102" s="5">
        <v>159483</v>
      </c>
      <c r="D102" s="6"/>
      <c r="E102" s="5" t="s">
        <v>12</v>
      </c>
      <c r="F102" s="5" t="s">
        <v>14</v>
      </c>
      <c r="G102" s="5" t="s">
        <v>12</v>
      </c>
      <c r="H102" s="7" t="s">
        <v>7</v>
      </c>
      <c r="I102" s="7" t="s">
        <v>84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2</v>
      </c>
      <c r="AI102" s="8">
        <v>2160</v>
      </c>
      <c r="AJ102" s="7">
        <v>0</v>
      </c>
      <c r="AK102" s="7">
        <v>20</v>
      </c>
      <c r="AL102" s="8">
        <v>78292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9">
        <v>24135.599999999999</v>
      </c>
      <c r="BM102" s="10">
        <v>80452</v>
      </c>
      <c r="BN102" s="17">
        <f t="shared" si="6"/>
        <v>56316.4</v>
      </c>
      <c r="BO102" s="18">
        <f t="shared" si="7"/>
        <v>39421.479999999996</v>
      </c>
    </row>
    <row r="103" spans="1:67" x14ac:dyDescent="0.4">
      <c r="A103" s="5" t="s">
        <v>204</v>
      </c>
      <c r="B103" s="5" t="s">
        <v>19</v>
      </c>
      <c r="C103" s="5">
        <v>161539</v>
      </c>
      <c r="D103" s="6"/>
      <c r="E103" s="5" t="s">
        <v>12</v>
      </c>
      <c r="F103" s="5" t="s">
        <v>17</v>
      </c>
      <c r="G103" s="5" t="s">
        <v>12</v>
      </c>
      <c r="H103" s="7" t="s">
        <v>7</v>
      </c>
      <c r="I103" s="7" t="s">
        <v>20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33</v>
      </c>
      <c r="AC103" s="8">
        <v>29200</v>
      </c>
      <c r="AD103" s="7">
        <v>500</v>
      </c>
      <c r="AE103" s="7">
        <v>4</v>
      </c>
      <c r="AF103" s="8">
        <v>12800</v>
      </c>
      <c r="AG103" s="7">
        <v>0</v>
      </c>
      <c r="AH103" s="7">
        <v>4</v>
      </c>
      <c r="AI103" s="8">
        <v>4500</v>
      </c>
      <c r="AJ103" s="7">
        <v>0</v>
      </c>
      <c r="AK103" s="7">
        <v>4</v>
      </c>
      <c r="AL103" s="7">
        <v>0</v>
      </c>
      <c r="AM103" s="8">
        <v>12800</v>
      </c>
      <c r="AN103" s="7">
        <v>14</v>
      </c>
      <c r="AO103" s="8">
        <v>12600</v>
      </c>
      <c r="AP103" s="7">
        <v>0</v>
      </c>
      <c r="AQ103" s="7">
        <v>0</v>
      </c>
      <c r="AR103" s="7">
        <v>0</v>
      </c>
      <c r="AS103" s="7">
        <v>0</v>
      </c>
      <c r="AT103" s="7">
        <v>3</v>
      </c>
      <c r="AU103" s="8">
        <v>3240</v>
      </c>
      <c r="AV103" s="7">
        <v>0</v>
      </c>
      <c r="AW103" s="7">
        <v>0</v>
      </c>
      <c r="AX103" s="7">
        <v>0</v>
      </c>
      <c r="AY103" s="7">
        <v>0</v>
      </c>
      <c r="AZ103" s="7">
        <v>2</v>
      </c>
      <c r="BA103" s="8">
        <v>2160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9">
        <v>1803.6</v>
      </c>
      <c r="BM103" s="10">
        <v>77800</v>
      </c>
      <c r="BN103" s="17">
        <f t="shared" si="6"/>
        <v>75996.399999999994</v>
      </c>
      <c r="BO103" s="18">
        <f t="shared" si="7"/>
        <v>53197.479999999996</v>
      </c>
    </row>
    <row r="104" spans="1:67" ht="19.2" x14ac:dyDescent="0.4">
      <c r="A104" s="5" t="s">
        <v>204</v>
      </c>
      <c r="B104" s="5" t="s">
        <v>22</v>
      </c>
      <c r="C104" s="5">
        <v>409392</v>
      </c>
      <c r="D104" s="6"/>
      <c r="E104" s="5" t="s">
        <v>12</v>
      </c>
      <c r="F104" s="5" t="s">
        <v>14</v>
      </c>
      <c r="G104" s="5" t="s">
        <v>23</v>
      </c>
      <c r="H104" s="7" t="s">
        <v>7</v>
      </c>
      <c r="I104" s="7" t="s">
        <v>24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46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7</v>
      </c>
      <c r="AF104" s="7">
        <v>700</v>
      </c>
      <c r="AG104" s="7">
        <v>0</v>
      </c>
      <c r="AH104" s="7">
        <v>0</v>
      </c>
      <c r="AI104" s="7">
        <v>0</v>
      </c>
      <c r="AJ104" s="7">
        <v>0</v>
      </c>
      <c r="AK104" s="7">
        <v>526</v>
      </c>
      <c r="AL104" s="8">
        <v>45455</v>
      </c>
      <c r="AM104" s="8">
        <v>16000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9">
        <v>13636.5</v>
      </c>
      <c r="BM104" s="10">
        <v>62155</v>
      </c>
      <c r="BN104" s="17">
        <f t="shared" si="6"/>
        <v>48518.5</v>
      </c>
      <c r="BO104" s="18">
        <f t="shared" si="7"/>
        <v>33962.949999999997</v>
      </c>
    </row>
    <row r="105" spans="1:67" x14ac:dyDescent="0.4">
      <c r="A105" s="5" t="s">
        <v>204</v>
      </c>
      <c r="B105" s="5" t="s">
        <v>80</v>
      </c>
      <c r="C105" s="5">
        <v>418829</v>
      </c>
      <c r="D105" s="6"/>
      <c r="E105" s="5" t="s">
        <v>12</v>
      </c>
      <c r="F105" s="5" t="s">
        <v>17</v>
      </c>
      <c r="G105" s="5" t="s">
        <v>12</v>
      </c>
      <c r="H105" s="7" t="s">
        <v>7</v>
      </c>
      <c r="I105" s="7" t="s">
        <v>81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44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138</v>
      </c>
      <c r="AF105" s="8">
        <v>8900</v>
      </c>
      <c r="AG105" s="8">
        <v>4900</v>
      </c>
      <c r="AH105" s="7">
        <v>0</v>
      </c>
      <c r="AI105" s="7">
        <v>0</v>
      </c>
      <c r="AJ105" s="7">
        <v>0</v>
      </c>
      <c r="AK105" s="7">
        <v>323</v>
      </c>
      <c r="AL105" s="8">
        <v>38640</v>
      </c>
      <c r="AM105" s="7">
        <v>100</v>
      </c>
      <c r="AN105" s="7">
        <v>0</v>
      </c>
      <c r="AO105" s="7">
        <v>0</v>
      </c>
      <c r="AP105" s="7">
        <v>0</v>
      </c>
      <c r="AQ105" s="7">
        <v>30</v>
      </c>
      <c r="AR105" s="8">
        <v>2800</v>
      </c>
      <c r="AS105" s="7">
        <v>200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9">
        <v>11592</v>
      </c>
      <c r="BM105" s="10">
        <v>55540</v>
      </c>
      <c r="BN105" s="17">
        <f t="shared" si="6"/>
        <v>43948</v>
      </c>
      <c r="BO105" s="18">
        <f t="shared" si="7"/>
        <v>30763.599999999999</v>
      </c>
    </row>
    <row r="106" spans="1:67" x14ac:dyDescent="0.4">
      <c r="A106" s="5" t="s">
        <v>204</v>
      </c>
      <c r="B106" s="5" t="s">
        <v>25</v>
      </c>
      <c r="C106" s="5">
        <v>165741</v>
      </c>
      <c r="D106" s="6"/>
      <c r="E106" s="5" t="s">
        <v>12</v>
      </c>
      <c r="F106" s="5" t="s">
        <v>14</v>
      </c>
      <c r="G106" s="5" t="s">
        <v>12</v>
      </c>
      <c r="H106" s="7" t="s">
        <v>7</v>
      </c>
      <c r="I106" s="7" t="s">
        <v>26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13</v>
      </c>
      <c r="AO106" s="8">
        <v>11700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32</v>
      </c>
      <c r="BA106" s="8">
        <v>34560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9">
        <v>2073.6</v>
      </c>
      <c r="BM106" s="10">
        <v>46260</v>
      </c>
      <c r="BN106" s="17">
        <f t="shared" si="6"/>
        <v>44186.400000000001</v>
      </c>
      <c r="BO106" s="18">
        <f t="shared" si="7"/>
        <v>30930.48</v>
      </c>
    </row>
    <row r="107" spans="1:67" ht="19.2" x14ac:dyDescent="0.4">
      <c r="A107" s="5" t="s">
        <v>204</v>
      </c>
      <c r="B107" s="5" t="s">
        <v>52</v>
      </c>
      <c r="C107" s="5">
        <v>413545</v>
      </c>
      <c r="D107" s="6"/>
      <c r="E107" s="5" t="s">
        <v>12</v>
      </c>
      <c r="F107" s="5" t="s">
        <v>17</v>
      </c>
      <c r="G107" s="5" t="s">
        <v>23</v>
      </c>
      <c r="H107" s="7" t="s">
        <v>8</v>
      </c>
      <c r="I107" s="7" t="s">
        <v>53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10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81</v>
      </c>
      <c r="AF107" s="8">
        <v>8100</v>
      </c>
      <c r="AG107" s="7">
        <v>0</v>
      </c>
      <c r="AH107" s="7">
        <v>0</v>
      </c>
      <c r="AI107" s="7">
        <v>0</v>
      </c>
      <c r="AJ107" s="7">
        <v>0</v>
      </c>
      <c r="AK107" s="7">
        <v>240</v>
      </c>
      <c r="AL107" s="8">
        <v>28800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9">
        <v>8640</v>
      </c>
      <c r="BM107" s="10">
        <v>36900</v>
      </c>
      <c r="BN107" s="17">
        <f t="shared" si="6"/>
        <v>28260</v>
      </c>
      <c r="BO107" s="18">
        <f t="shared" si="7"/>
        <v>19782</v>
      </c>
    </row>
    <row r="108" spans="1:67" x14ac:dyDescent="0.4">
      <c r="A108" s="5" t="s">
        <v>204</v>
      </c>
      <c r="B108" s="5" t="s">
        <v>85</v>
      </c>
      <c r="C108" s="5">
        <v>326544</v>
      </c>
      <c r="D108" s="6"/>
      <c r="E108" s="5" t="s">
        <v>12</v>
      </c>
      <c r="F108" s="5" t="s">
        <v>86</v>
      </c>
      <c r="G108" s="5" t="s">
        <v>12</v>
      </c>
      <c r="H108" s="7" t="s">
        <v>7</v>
      </c>
      <c r="I108" s="7" t="s">
        <v>87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27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43</v>
      </c>
      <c r="AF108" s="7">
        <v>220</v>
      </c>
      <c r="AG108" s="8">
        <v>4100</v>
      </c>
      <c r="AH108" s="7">
        <v>0</v>
      </c>
      <c r="AI108" s="7">
        <v>0</v>
      </c>
      <c r="AJ108" s="7">
        <v>0</v>
      </c>
      <c r="AK108" s="7">
        <v>140</v>
      </c>
      <c r="AL108" s="8">
        <v>16800</v>
      </c>
      <c r="AM108" s="7">
        <v>0</v>
      </c>
      <c r="AN108" s="7">
        <v>0</v>
      </c>
      <c r="AO108" s="7">
        <v>0</v>
      </c>
      <c r="AP108" s="7">
        <v>0</v>
      </c>
      <c r="AQ108" s="7">
        <v>140</v>
      </c>
      <c r="AR108" s="8">
        <v>13700</v>
      </c>
      <c r="AS108" s="7">
        <v>300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1</v>
      </c>
      <c r="BD108" s="7">
        <v>120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9">
        <v>5047.2</v>
      </c>
      <c r="BM108" s="10">
        <v>35240</v>
      </c>
      <c r="BN108" s="17">
        <f t="shared" si="6"/>
        <v>30192.799999999999</v>
      </c>
      <c r="BO108" s="18">
        <f t="shared" si="7"/>
        <v>21134.959999999999</v>
      </c>
    </row>
    <row r="109" spans="1:67" x14ac:dyDescent="0.4">
      <c r="A109" s="5" t="s">
        <v>204</v>
      </c>
      <c r="B109" s="5" t="s">
        <v>69</v>
      </c>
      <c r="C109" s="5">
        <v>169151</v>
      </c>
      <c r="D109" s="6"/>
      <c r="E109" s="5" t="s">
        <v>12</v>
      </c>
      <c r="F109" s="5" t="s">
        <v>14</v>
      </c>
      <c r="G109" s="5" t="s">
        <v>12</v>
      </c>
      <c r="H109" s="7" t="s">
        <v>7</v>
      </c>
      <c r="I109" s="7" t="s">
        <v>70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7</v>
      </c>
      <c r="AC109" s="8">
        <v>6300</v>
      </c>
      <c r="AD109" s="7">
        <v>0</v>
      </c>
      <c r="AE109" s="7">
        <v>0</v>
      </c>
      <c r="AF109" s="7">
        <v>0</v>
      </c>
      <c r="AG109" s="7">
        <v>0</v>
      </c>
      <c r="AH109" s="7">
        <v>7</v>
      </c>
      <c r="AI109" s="8">
        <v>7560</v>
      </c>
      <c r="AJ109" s="7">
        <v>0</v>
      </c>
      <c r="AK109" s="7">
        <v>5</v>
      </c>
      <c r="AL109" s="8">
        <v>19200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9">
        <v>8028</v>
      </c>
      <c r="BM109" s="10">
        <v>33060</v>
      </c>
      <c r="BN109" s="17">
        <f t="shared" si="6"/>
        <v>25032</v>
      </c>
      <c r="BO109" s="18">
        <f t="shared" si="7"/>
        <v>17522.399999999998</v>
      </c>
    </row>
    <row r="110" spans="1:67" ht="19.2" x14ac:dyDescent="0.4">
      <c r="A110" s="5" t="s">
        <v>204</v>
      </c>
      <c r="B110" s="5" t="s">
        <v>203</v>
      </c>
      <c r="C110" s="5">
        <v>406365</v>
      </c>
      <c r="D110" s="6"/>
      <c r="E110" s="5" t="s">
        <v>12</v>
      </c>
      <c r="F110" s="5" t="s">
        <v>14</v>
      </c>
      <c r="G110" s="5" t="s">
        <v>23</v>
      </c>
      <c r="H110" s="7" t="s">
        <v>7</v>
      </c>
      <c r="I110" s="7" t="s">
        <v>55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5</v>
      </c>
      <c r="AL110" s="8">
        <v>19200</v>
      </c>
      <c r="AM110" s="7">
        <v>0</v>
      </c>
      <c r="AN110" s="7">
        <v>0</v>
      </c>
      <c r="AO110" s="7">
        <v>0</v>
      </c>
      <c r="AP110" s="7">
        <v>0</v>
      </c>
      <c r="AQ110" s="7">
        <v>4</v>
      </c>
      <c r="AR110" s="8">
        <v>12800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9">
        <v>5760</v>
      </c>
      <c r="BM110" s="10">
        <v>32000</v>
      </c>
      <c r="BN110" s="17">
        <f t="shared" si="6"/>
        <v>26240</v>
      </c>
      <c r="BO110" s="18">
        <f t="shared" si="7"/>
        <v>18368</v>
      </c>
    </row>
    <row r="111" spans="1:67" x14ac:dyDescent="0.4">
      <c r="A111" s="5" t="s">
        <v>204</v>
      </c>
      <c r="B111" s="5" t="s">
        <v>35</v>
      </c>
      <c r="C111" s="5">
        <v>173863</v>
      </c>
      <c r="D111" s="6"/>
      <c r="E111" s="5" t="s">
        <v>12</v>
      </c>
      <c r="F111" s="5" t="s">
        <v>17</v>
      </c>
      <c r="G111" s="5" t="s">
        <v>12</v>
      </c>
      <c r="H111" s="7" t="s">
        <v>7</v>
      </c>
      <c r="I111" s="7" t="s">
        <v>36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11</v>
      </c>
      <c r="AC111" s="8">
        <v>9900</v>
      </c>
      <c r="AD111" s="7">
        <v>0</v>
      </c>
      <c r="AE111" s="7">
        <v>0</v>
      </c>
      <c r="AF111" s="7">
        <v>0</v>
      </c>
      <c r="AG111" s="7">
        <v>0</v>
      </c>
      <c r="AH111" s="7">
        <v>2</v>
      </c>
      <c r="AI111" s="8">
        <v>2160</v>
      </c>
      <c r="AJ111" s="7">
        <v>0</v>
      </c>
      <c r="AK111" s="7">
        <v>0</v>
      </c>
      <c r="AL111" s="7">
        <v>0</v>
      </c>
      <c r="AM111" s="7">
        <v>0</v>
      </c>
      <c r="AN111" s="7">
        <v>14</v>
      </c>
      <c r="AO111" s="8">
        <v>12400</v>
      </c>
      <c r="AP111" s="7">
        <v>200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648</v>
      </c>
      <c r="BM111" s="10">
        <v>24660</v>
      </c>
      <c r="BN111" s="17">
        <f t="shared" si="6"/>
        <v>24012</v>
      </c>
      <c r="BO111" s="18">
        <f t="shared" si="7"/>
        <v>16808.399999999998</v>
      </c>
    </row>
    <row r="112" spans="1:67" x14ac:dyDescent="0.4">
      <c r="A112" s="5" t="s">
        <v>204</v>
      </c>
      <c r="B112" s="5" t="s">
        <v>90</v>
      </c>
      <c r="C112" s="5">
        <v>418830</v>
      </c>
      <c r="D112" s="6"/>
      <c r="E112" s="5" t="s">
        <v>12</v>
      </c>
      <c r="F112" s="5" t="s">
        <v>17</v>
      </c>
      <c r="G112" s="5" t="s">
        <v>12</v>
      </c>
      <c r="H112" s="7" t="s">
        <v>7</v>
      </c>
      <c r="I112" s="7" t="s">
        <v>81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20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229</v>
      </c>
      <c r="AF112" s="8">
        <v>22900</v>
      </c>
      <c r="AG112" s="7">
        <v>0</v>
      </c>
      <c r="AH112" s="7">
        <v>0</v>
      </c>
      <c r="AI112" s="7">
        <v>0</v>
      </c>
      <c r="AJ112" s="7">
        <v>0</v>
      </c>
      <c r="AK112" s="7">
        <v>4</v>
      </c>
      <c r="AL112" s="7">
        <v>480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144</v>
      </c>
      <c r="BM112" s="10">
        <v>23380</v>
      </c>
      <c r="BN112" s="17">
        <f t="shared" si="6"/>
        <v>23236</v>
      </c>
      <c r="BO112" s="18">
        <f t="shared" si="7"/>
        <v>16265.199999999999</v>
      </c>
    </row>
    <row r="113" spans="1:67" x14ac:dyDescent="0.4">
      <c r="A113" s="5" t="s">
        <v>204</v>
      </c>
      <c r="B113" s="5" t="s">
        <v>123</v>
      </c>
      <c r="C113" s="5">
        <v>404358</v>
      </c>
      <c r="D113" s="6"/>
      <c r="E113" s="5" t="s">
        <v>12</v>
      </c>
      <c r="F113" s="5" t="s">
        <v>124</v>
      </c>
      <c r="G113" s="5" t="s">
        <v>12</v>
      </c>
      <c r="H113" s="7" t="s">
        <v>7</v>
      </c>
      <c r="I113" s="7" t="s">
        <v>125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12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179</v>
      </c>
      <c r="AL113" s="8">
        <v>21480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9">
        <v>6444</v>
      </c>
      <c r="BM113" s="10">
        <v>21480</v>
      </c>
      <c r="BN113" s="17">
        <f t="shared" si="6"/>
        <v>15036</v>
      </c>
      <c r="BO113" s="18">
        <f t="shared" si="7"/>
        <v>10525.199999999999</v>
      </c>
    </row>
    <row r="114" spans="1:67" ht="19.2" x14ac:dyDescent="0.4">
      <c r="A114" s="5" t="s">
        <v>204</v>
      </c>
      <c r="B114" s="5" t="s">
        <v>135</v>
      </c>
      <c r="C114" s="5">
        <v>409409</v>
      </c>
      <c r="D114" s="6"/>
      <c r="E114" s="5" t="s">
        <v>12</v>
      </c>
      <c r="F114" s="5" t="s">
        <v>37</v>
      </c>
      <c r="G114" s="5" t="s">
        <v>23</v>
      </c>
      <c r="H114" s="7" t="s">
        <v>7</v>
      </c>
      <c r="I114" s="7" t="s">
        <v>24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211</v>
      </c>
      <c r="AF114" s="8">
        <v>21100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10">
        <v>21100</v>
      </c>
      <c r="BN114" s="17">
        <f t="shared" si="6"/>
        <v>21100</v>
      </c>
      <c r="BO114" s="18">
        <f t="shared" si="7"/>
        <v>14769.999999999998</v>
      </c>
    </row>
    <row r="115" spans="1:67" x14ac:dyDescent="0.4">
      <c r="A115" s="5" t="s">
        <v>204</v>
      </c>
      <c r="B115" s="5" t="s">
        <v>41</v>
      </c>
      <c r="C115" s="5">
        <v>215737</v>
      </c>
      <c r="D115" s="6"/>
      <c r="E115" s="5" t="s">
        <v>12</v>
      </c>
      <c r="F115" s="5" t="s">
        <v>42</v>
      </c>
      <c r="G115" s="5" t="s">
        <v>12</v>
      </c>
      <c r="H115" s="7" t="s">
        <v>7</v>
      </c>
      <c r="I115" s="7" t="s">
        <v>43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182</v>
      </c>
      <c r="AF115" s="8">
        <v>18200</v>
      </c>
      <c r="AG115" s="7">
        <v>0</v>
      </c>
      <c r="AH115" s="7">
        <v>0</v>
      </c>
      <c r="AI115" s="7">
        <v>0</v>
      </c>
      <c r="AJ115" s="7">
        <v>0</v>
      </c>
      <c r="AK115" s="7">
        <v>1</v>
      </c>
      <c r="AL115" s="7">
        <v>120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36</v>
      </c>
      <c r="BM115" s="10">
        <v>18320</v>
      </c>
      <c r="BN115" s="17">
        <f t="shared" si="6"/>
        <v>18284</v>
      </c>
      <c r="BO115" s="18">
        <f t="shared" si="7"/>
        <v>12798.8</v>
      </c>
    </row>
    <row r="116" spans="1:67" x14ac:dyDescent="0.4">
      <c r="A116" s="5" t="s">
        <v>204</v>
      </c>
      <c r="B116" s="5" t="s">
        <v>34</v>
      </c>
      <c r="C116" s="5">
        <v>159266</v>
      </c>
      <c r="D116" s="6"/>
      <c r="E116" s="5" t="s">
        <v>12</v>
      </c>
      <c r="F116" s="5" t="s">
        <v>17</v>
      </c>
      <c r="G116" s="5" t="s">
        <v>12</v>
      </c>
      <c r="H116" s="7" t="s">
        <v>7</v>
      </c>
      <c r="I116" s="7" t="s">
        <v>30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6</v>
      </c>
      <c r="AI116" s="8">
        <v>6480</v>
      </c>
      <c r="AJ116" s="7">
        <v>0</v>
      </c>
      <c r="AK116" s="7">
        <v>0</v>
      </c>
      <c r="AL116" s="7">
        <v>0</v>
      </c>
      <c r="AM116" s="7">
        <v>0</v>
      </c>
      <c r="AN116" s="7">
        <v>7</v>
      </c>
      <c r="AO116" s="8">
        <v>6300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9">
        <v>1944</v>
      </c>
      <c r="BM116" s="10">
        <v>12780</v>
      </c>
      <c r="BN116" s="17">
        <f t="shared" si="6"/>
        <v>10836</v>
      </c>
      <c r="BO116" s="18">
        <f t="shared" si="7"/>
        <v>7585.2</v>
      </c>
    </row>
    <row r="117" spans="1:67" x14ac:dyDescent="0.4">
      <c r="A117" s="5" t="s">
        <v>204</v>
      </c>
      <c r="B117" s="5" t="s">
        <v>108</v>
      </c>
      <c r="C117" s="5">
        <v>194565</v>
      </c>
      <c r="D117" s="6"/>
      <c r="E117" s="5" t="s">
        <v>12</v>
      </c>
      <c r="F117" s="5" t="s">
        <v>17</v>
      </c>
      <c r="G117" s="5" t="s">
        <v>12</v>
      </c>
      <c r="H117" s="7" t="s">
        <v>7</v>
      </c>
      <c r="I117" s="7" t="s">
        <v>109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103</v>
      </c>
      <c r="AF117" s="7">
        <v>0</v>
      </c>
      <c r="AG117" s="8">
        <v>10300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15</v>
      </c>
      <c r="BD117" s="8">
        <v>1800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108</v>
      </c>
      <c r="BM117" s="10">
        <v>12100</v>
      </c>
      <c r="BN117" s="17">
        <f t="shared" si="6"/>
        <v>11992</v>
      </c>
      <c r="BO117" s="18">
        <f t="shared" si="7"/>
        <v>8394.4</v>
      </c>
    </row>
    <row r="118" spans="1:67" x14ac:dyDescent="0.4">
      <c r="A118" s="5" t="s">
        <v>204</v>
      </c>
      <c r="B118" s="5" t="s">
        <v>96</v>
      </c>
      <c r="C118" s="5">
        <v>287064</v>
      </c>
      <c r="D118" s="6"/>
      <c r="E118" s="5" t="s">
        <v>12</v>
      </c>
      <c r="F118" s="5" t="s">
        <v>58</v>
      </c>
      <c r="G118" s="5" t="s">
        <v>12</v>
      </c>
      <c r="H118" s="7" t="s">
        <v>7</v>
      </c>
      <c r="I118" s="7" t="s">
        <v>97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116</v>
      </c>
      <c r="AF118" s="8">
        <v>11600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10">
        <v>11600</v>
      </c>
      <c r="BN118" s="17">
        <f t="shared" si="6"/>
        <v>11600</v>
      </c>
      <c r="BO118" s="18">
        <f t="shared" si="7"/>
        <v>8119.9999999999991</v>
      </c>
    </row>
    <row r="119" spans="1:67" x14ac:dyDescent="0.4">
      <c r="A119" s="5" t="s">
        <v>204</v>
      </c>
      <c r="B119" s="5" t="s">
        <v>60</v>
      </c>
      <c r="C119" s="5">
        <v>258201</v>
      </c>
      <c r="D119" s="6"/>
      <c r="E119" s="5" t="s">
        <v>12</v>
      </c>
      <c r="F119" s="5" t="s">
        <v>42</v>
      </c>
      <c r="G119" s="5" t="s">
        <v>12</v>
      </c>
      <c r="H119" s="7" t="s">
        <v>7</v>
      </c>
      <c r="I119" s="7" t="s">
        <v>61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9</v>
      </c>
      <c r="AI119" s="8">
        <v>9720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9">
        <v>2916</v>
      </c>
      <c r="BM119" s="10">
        <v>9720</v>
      </c>
      <c r="BN119" s="17">
        <f t="shared" si="6"/>
        <v>6804</v>
      </c>
      <c r="BO119" s="18">
        <f t="shared" si="7"/>
        <v>4762.7999999999993</v>
      </c>
    </row>
    <row r="120" spans="1:67" x14ac:dyDescent="0.4">
      <c r="A120" s="5" t="s">
        <v>204</v>
      </c>
      <c r="B120" s="5" t="s">
        <v>82</v>
      </c>
      <c r="C120" s="5">
        <v>192737</v>
      </c>
      <c r="D120" s="6"/>
      <c r="E120" s="5" t="s">
        <v>12</v>
      </c>
      <c r="F120" s="5" t="s">
        <v>37</v>
      </c>
      <c r="G120" s="5" t="s">
        <v>12</v>
      </c>
      <c r="H120" s="7" t="s">
        <v>7</v>
      </c>
      <c r="I120" s="7" t="s">
        <v>38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3</v>
      </c>
      <c r="AL120" s="7">
        <v>0</v>
      </c>
      <c r="AM120" s="8">
        <v>9600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10">
        <v>9600</v>
      </c>
      <c r="BN120" s="17">
        <f t="shared" si="6"/>
        <v>9600</v>
      </c>
      <c r="BO120" s="18">
        <f t="shared" si="7"/>
        <v>6720</v>
      </c>
    </row>
    <row r="121" spans="1:67" x14ac:dyDescent="0.4">
      <c r="A121" s="5" t="s">
        <v>204</v>
      </c>
      <c r="B121" s="5" t="s">
        <v>114</v>
      </c>
      <c r="C121" s="5">
        <v>285994</v>
      </c>
      <c r="D121" s="6"/>
      <c r="E121" s="5" t="s">
        <v>12</v>
      </c>
      <c r="F121" s="5" t="s">
        <v>13</v>
      </c>
      <c r="G121" s="5" t="s">
        <v>12</v>
      </c>
      <c r="H121" s="7" t="s">
        <v>7</v>
      </c>
      <c r="I121" s="7" t="s">
        <v>49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5</v>
      </c>
      <c r="AI121" s="8">
        <v>5400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9">
        <v>1620</v>
      </c>
      <c r="BM121" s="10">
        <v>5400</v>
      </c>
      <c r="BN121" s="17">
        <f t="shared" si="6"/>
        <v>3780</v>
      </c>
      <c r="BO121" s="18">
        <f t="shared" si="7"/>
        <v>2646</v>
      </c>
    </row>
    <row r="122" spans="1:67" x14ac:dyDescent="0.4">
      <c r="A122" s="5" t="s">
        <v>204</v>
      </c>
      <c r="B122" s="5" t="s">
        <v>48</v>
      </c>
      <c r="C122" s="5">
        <v>285993</v>
      </c>
      <c r="D122" s="6"/>
      <c r="E122" s="5" t="s">
        <v>12</v>
      </c>
      <c r="F122" s="5" t="s">
        <v>13</v>
      </c>
      <c r="G122" s="5" t="s">
        <v>12</v>
      </c>
      <c r="H122" s="7" t="s">
        <v>7</v>
      </c>
      <c r="I122" s="7" t="s">
        <v>49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6</v>
      </c>
      <c r="AC122" s="8">
        <v>5400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0">
        <v>5400</v>
      </c>
      <c r="BN122" s="17">
        <f t="shared" si="6"/>
        <v>5400</v>
      </c>
      <c r="BO122" s="18">
        <f t="shared" si="7"/>
        <v>3779.9999999999995</v>
      </c>
    </row>
    <row r="123" spans="1:67" x14ac:dyDescent="0.4">
      <c r="A123" s="5" t="s">
        <v>204</v>
      </c>
      <c r="B123" s="5" t="s">
        <v>54</v>
      </c>
      <c r="C123" s="5">
        <v>192728</v>
      </c>
      <c r="D123" s="6"/>
      <c r="E123" s="5" t="s">
        <v>12</v>
      </c>
      <c r="F123" s="5" t="s">
        <v>37</v>
      </c>
      <c r="G123" s="5" t="s">
        <v>12</v>
      </c>
      <c r="H123" s="7" t="s">
        <v>7</v>
      </c>
      <c r="I123" s="7" t="s">
        <v>38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5</v>
      </c>
      <c r="AC123" s="8">
        <v>4500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10">
        <v>4500</v>
      </c>
      <c r="BN123" s="17">
        <f t="shared" si="6"/>
        <v>4500</v>
      </c>
      <c r="BO123" s="18">
        <f t="shared" si="7"/>
        <v>3150</v>
      </c>
    </row>
    <row r="124" spans="1:67" x14ac:dyDescent="0.4">
      <c r="A124" s="5" t="s">
        <v>204</v>
      </c>
      <c r="B124" s="5" t="s">
        <v>39</v>
      </c>
      <c r="C124" s="5">
        <v>268655</v>
      </c>
      <c r="D124" s="6"/>
      <c r="E124" s="5" t="s">
        <v>12</v>
      </c>
      <c r="F124" s="5" t="s">
        <v>17</v>
      </c>
      <c r="G124" s="5" t="s">
        <v>12</v>
      </c>
      <c r="H124" s="7" t="s">
        <v>7</v>
      </c>
      <c r="I124" s="7" t="s">
        <v>40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2</v>
      </c>
      <c r="AC124" s="8">
        <v>1800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10">
        <v>1800</v>
      </c>
      <c r="BN124" s="17">
        <f t="shared" si="6"/>
        <v>1800</v>
      </c>
      <c r="BO124" s="18">
        <f t="shared" si="7"/>
        <v>1260</v>
      </c>
    </row>
    <row r="125" spans="1:67" x14ac:dyDescent="0.4">
      <c r="A125" s="5" t="s">
        <v>204</v>
      </c>
      <c r="B125" s="5" t="s">
        <v>103</v>
      </c>
      <c r="C125" s="5">
        <v>229857</v>
      </c>
      <c r="D125" s="6"/>
      <c r="E125" s="5" t="s">
        <v>12</v>
      </c>
      <c r="F125" s="5" t="s">
        <v>13</v>
      </c>
      <c r="G125" s="5" t="s">
        <v>12</v>
      </c>
      <c r="H125" s="7" t="s">
        <v>11</v>
      </c>
      <c r="I125" s="7" t="s">
        <v>104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1</v>
      </c>
      <c r="AI125" s="8">
        <v>1080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324</v>
      </c>
      <c r="BM125" s="10">
        <v>1080</v>
      </c>
      <c r="BN125" s="17">
        <f t="shared" si="6"/>
        <v>756</v>
      </c>
      <c r="BO125" s="18">
        <f t="shared" si="7"/>
        <v>529.19999999999993</v>
      </c>
    </row>
    <row r="126" spans="1:67" x14ac:dyDescent="0.4">
      <c r="A126" s="5" t="s">
        <v>204</v>
      </c>
      <c r="B126" s="5" t="s">
        <v>94</v>
      </c>
      <c r="C126" s="5">
        <v>395747</v>
      </c>
      <c r="D126" s="6"/>
      <c r="E126" s="5" t="s">
        <v>12</v>
      </c>
      <c r="F126" s="5" t="s">
        <v>13</v>
      </c>
      <c r="G126" s="5" t="s">
        <v>12</v>
      </c>
      <c r="H126" s="7" t="s">
        <v>7</v>
      </c>
      <c r="I126" s="7" t="s">
        <v>95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10</v>
      </c>
      <c r="AF126" s="8">
        <v>1000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10">
        <v>1000</v>
      </c>
      <c r="BN126" s="17">
        <f t="shared" si="6"/>
        <v>1000</v>
      </c>
      <c r="BO126" s="18">
        <f t="shared" si="7"/>
        <v>700</v>
      </c>
    </row>
    <row r="127" spans="1:67" x14ac:dyDescent="0.4">
      <c r="A127" s="5" t="s">
        <v>204</v>
      </c>
      <c r="B127" s="5" t="s">
        <v>101</v>
      </c>
      <c r="C127" s="5">
        <v>308470</v>
      </c>
      <c r="D127" s="6"/>
      <c r="E127" s="5" t="s">
        <v>12</v>
      </c>
      <c r="F127" s="5" t="s">
        <v>37</v>
      </c>
      <c r="G127" s="5" t="s">
        <v>12</v>
      </c>
      <c r="H127" s="7" t="s">
        <v>7</v>
      </c>
      <c r="I127" s="7" t="s">
        <v>102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7</v>
      </c>
      <c r="AL127" s="7">
        <v>0</v>
      </c>
      <c r="AM127" s="7">
        <v>700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11">
        <v>700</v>
      </c>
      <c r="BN127" s="17">
        <f t="shared" si="6"/>
        <v>700</v>
      </c>
      <c r="BO127" s="18">
        <f t="shared" si="7"/>
        <v>489.99999999999994</v>
      </c>
    </row>
    <row r="128" spans="1:67" x14ac:dyDescent="0.4">
      <c r="A128" s="5" t="s">
        <v>204</v>
      </c>
      <c r="B128" s="5" t="s">
        <v>112</v>
      </c>
      <c r="C128" s="5">
        <v>227013</v>
      </c>
      <c r="D128" s="6"/>
      <c r="E128" s="5" t="s">
        <v>12</v>
      </c>
      <c r="F128" s="5" t="s">
        <v>14</v>
      </c>
      <c r="G128" s="5" t="s">
        <v>12</v>
      </c>
      <c r="H128" s="7" t="s">
        <v>7</v>
      </c>
      <c r="I128" s="7" t="s">
        <v>113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5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2</v>
      </c>
      <c r="AF128" s="7">
        <v>100</v>
      </c>
      <c r="AG128" s="7">
        <v>100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11">
        <v>200</v>
      </c>
      <c r="BN128" s="17">
        <f t="shared" si="6"/>
        <v>200</v>
      </c>
      <c r="BO128" s="18">
        <f t="shared" si="7"/>
        <v>140</v>
      </c>
    </row>
    <row r="129" spans="1:67" x14ac:dyDescent="0.4">
      <c r="A129" s="5" t="s">
        <v>204</v>
      </c>
      <c r="B129" s="5" t="s">
        <v>129</v>
      </c>
      <c r="C129" s="5">
        <v>249762</v>
      </c>
      <c r="D129" s="6"/>
      <c r="E129" s="5" t="s">
        <v>12</v>
      </c>
      <c r="F129" s="5" t="s">
        <v>13</v>
      </c>
      <c r="G129" s="5" t="s">
        <v>12</v>
      </c>
      <c r="H129" s="7" t="s">
        <v>7</v>
      </c>
      <c r="I129" s="7" t="s">
        <v>130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1</v>
      </c>
      <c r="AR129" s="7">
        <v>100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11">
        <v>100</v>
      </c>
      <c r="BN129" s="17">
        <f t="shared" si="6"/>
        <v>100</v>
      </c>
      <c r="BO129" s="18">
        <f t="shared" si="7"/>
        <v>70</v>
      </c>
    </row>
    <row r="130" spans="1:67" x14ac:dyDescent="0.4">
      <c r="BM130" s="20">
        <f>SUM(BM2:BM129)</f>
        <v>16918986</v>
      </c>
      <c r="BO130" s="19">
        <f>SUM(BO2:BO129)</f>
        <v>11218930.239999996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2022-08-02T10:50:14Z</dcterms:modified>
</cp:coreProperties>
</file>