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네이버\"/>
    </mc:Choice>
  </mc:AlternateContent>
  <bookViews>
    <workbookView xWindow="0" yWindow="0" windowWidth="23040" windowHeight="8952" tabRatio="766"/>
  </bookViews>
  <sheets>
    <sheet name="합계 (7)" sheetId="412" r:id="rId1"/>
  </sheets>
  <definedNames>
    <definedName name="_xlnm._FilterDatabase" localSheetId="0" hidden="1">'합계 (7)'!$A$1:$BQ$1</definedName>
    <definedName name="_xlnm.Extract" localSheetId="0">'합계 (7)'!#REF!</definedName>
  </definedNames>
  <calcPr calcId="152511"/>
</workbook>
</file>

<file path=xl/calcChain.xml><?xml version="1.0" encoding="utf-8"?>
<calcChain xmlns="http://schemas.openxmlformats.org/spreadsheetml/2006/main">
  <c r="BO470" i="412" l="1"/>
  <c r="BN186" i="412"/>
  <c r="BO186" i="412" s="1"/>
  <c r="BN187" i="412"/>
  <c r="BO187" i="412"/>
  <c r="BN188" i="412"/>
  <c r="BO188" i="412" s="1"/>
  <c r="BN189" i="412"/>
  <c r="BO189" i="412"/>
  <c r="BN190" i="412"/>
  <c r="BO190" i="412" s="1"/>
  <c r="BN191" i="412"/>
  <c r="BO191" i="412"/>
  <c r="BN192" i="412"/>
  <c r="BO192" i="412" s="1"/>
  <c r="BN193" i="412"/>
  <c r="BO193" i="412"/>
  <c r="BN194" i="412"/>
  <c r="BO194" i="412" s="1"/>
  <c r="BN195" i="412"/>
  <c r="BO195" i="412"/>
  <c r="BN196" i="412"/>
  <c r="BO196" i="412" s="1"/>
  <c r="BN197" i="412"/>
  <c r="BO197" i="412"/>
  <c r="BN198" i="412"/>
  <c r="BO198" i="412" s="1"/>
  <c r="BN199" i="412"/>
  <c r="BO199" i="412"/>
  <c r="BN200" i="412"/>
  <c r="BO200" i="412" s="1"/>
  <c r="BN201" i="412"/>
  <c r="BO201" i="412"/>
  <c r="BN202" i="412"/>
  <c r="BO202" i="412" s="1"/>
  <c r="BN203" i="412"/>
  <c r="BO203" i="412"/>
  <c r="BN204" i="412"/>
  <c r="BO204" i="412" s="1"/>
  <c r="BN205" i="412"/>
  <c r="BO205" i="412"/>
  <c r="BN206" i="412"/>
  <c r="BO206" i="412" s="1"/>
  <c r="BN207" i="412"/>
  <c r="BO207" i="412"/>
  <c r="BN208" i="412"/>
  <c r="BO208" i="412" s="1"/>
  <c r="BN209" i="412"/>
  <c r="BO209" i="412"/>
  <c r="BN210" i="412"/>
  <c r="BO210" i="412" s="1"/>
  <c r="BN211" i="412"/>
  <c r="BO211" i="412"/>
  <c r="BN212" i="412"/>
  <c r="BO212" i="412" s="1"/>
  <c r="BN213" i="412"/>
  <c r="BO213" i="412"/>
  <c r="BN214" i="412"/>
  <c r="BO214" i="412" s="1"/>
  <c r="BN215" i="412"/>
  <c r="BO215" i="412"/>
  <c r="BN216" i="412"/>
  <c r="BO216" i="412" s="1"/>
  <c r="BN217" i="412"/>
  <c r="BO217" i="412"/>
  <c r="BN218" i="412"/>
  <c r="BO218" i="412" s="1"/>
  <c r="BN219" i="412"/>
  <c r="BO219" i="412"/>
  <c r="BN220" i="412"/>
  <c r="BO220" i="412" s="1"/>
  <c r="BN221" i="412"/>
  <c r="BO221" i="412"/>
  <c r="BN222" i="412"/>
  <c r="BO222" i="412" s="1"/>
  <c r="BN223" i="412"/>
  <c r="BO223" i="412"/>
  <c r="BN224" i="412"/>
  <c r="BO224" i="412" s="1"/>
  <c r="BN225" i="412"/>
  <c r="BO225" i="412"/>
  <c r="BN226" i="412"/>
  <c r="BO226" i="412" s="1"/>
  <c r="BN227" i="412"/>
  <c r="BO227" i="412"/>
  <c r="BN228" i="412"/>
  <c r="BO228" i="412" s="1"/>
  <c r="BN229" i="412"/>
  <c r="BO229" i="412"/>
  <c r="BN230" i="412"/>
  <c r="BO230" i="412" s="1"/>
  <c r="BN231" i="412"/>
  <c r="BO231" i="412"/>
  <c r="BN232" i="412"/>
  <c r="BO232" i="412" s="1"/>
  <c r="BN233" i="412"/>
  <c r="BO233" i="412"/>
  <c r="BN234" i="412"/>
  <c r="BO234" i="412" s="1"/>
  <c r="BN235" i="412"/>
  <c r="BO235" i="412"/>
  <c r="BN236" i="412"/>
  <c r="BO236" i="412" s="1"/>
  <c r="BN237" i="412"/>
  <c r="BO237" i="412"/>
  <c r="BN238" i="412"/>
  <c r="BO238" i="412" s="1"/>
  <c r="BN239" i="412"/>
  <c r="BO239" i="412"/>
  <c r="BN240" i="412"/>
  <c r="BO240" i="412" s="1"/>
  <c r="BN241" i="412"/>
  <c r="BO241" i="412"/>
  <c r="BN242" i="412"/>
  <c r="BO242" i="412" s="1"/>
  <c r="BN243" i="412"/>
  <c r="BO243" i="412"/>
  <c r="BN244" i="412"/>
  <c r="BO244" i="412" s="1"/>
  <c r="BN245" i="412"/>
  <c r="BO245" i="412"/>
  <c r="BN246" i="412"/>
  <c r="BO246" i="412" s="1"/>
  <c r="BN247" i="412"/>
  <c r="BO247" i="412"/>
  <c r="BN248" i="412"/>
  <c r="BO248" i="412" s="1"/>
  <c r="BN249" i="412"/>
  <c r="BO249" i="412"/>
  <c r="BN250" i="412"/>
  <c r="BO250" i="412" s="1"/>
  <c r="BN251" i="412"/>
  <c r="BO251" i="412"/>
  <c r="BN252" i="412"/>
  <c r="BO252" i="412" s="1"/>
  <c r="BN253" i="412"/>
  <c r="BO253" i="412"/>
  <c r="BN254" i="412"/>
  <c r="BO254" i="412" s="1"/>
  <c r="BN255" i="412"/>
  <c r="BO255" i="412"/>
  <c r="BN256" i="412"/>
  <c r="BO256" i="412" s="1"/>
  <c r="BN257" i="412"/>
  <c r="BO257" i="412"/>
  <c r="BN258" i="412"/>
  <c r="BO258" i="412" s="1"/>
  <c r="BN259" i="412"/>
  <c r="BO259" i="412"/>
  <c r="BN260" i="412"/>
  <c r="BO260" i="412" s="1"/>
  <c r="BN261" i="412"/>
  <c r="BO261" i="412"/>
  <c r="BN262" i="412"/>
  <c r="BO262" i="412" s="1"/>
  <c r="BN263" i="412"/>
  <c r="BO263" i="412"/>
  <c r="BN264" i="412"/>
  <c r="BO264" i="412" s="1"/>
  <c r="BN265" i="412"/>
  <c r="BO265" i="412"/>
  <c r="BN266" i="412"/>
  <c r="BO266" i="412"/>
  <c r="BN267" i="412"/>
  <c r="BO267" i="412"/>
  <c r="BN268" i="412"/>
  <c r="BO268" i="412" s="1"/>
  <c r="BN269" i="412"/>
  <c r="BO269" i="412"/>
  <c r="BN270" i="412"/>
  <c r="BO270" i="412"/>
  <c r="BN271" i="412"/>
  <c r="BO271" i="412"/>
  <c r="BN272" i="412"/>
  <c r="BO272" i="412" s="1"/>
  <c r="BN273" i="412"/>
  <c r="BO273" i="412"/>
  <c r="BN274" i="412"/>
  <c r="BO274" i="412"/>
  <c r="BN275" i="412"/>
  <c r="BO275" i="412"/>
  <c r="BN276" i="412"/>
  <c r="BO276" i="412" s="1"/>
  <c r="BN277" i="412"/>
  <c r="BO277" i="412"/>
  <c r="BN278" i="412"/>
  <c r="BO278" i="412"/>
  <c r="BN279" i="412"/>
  <c r="BO279" i="412"/>
  <c r="BN280" i="412"/>
  <c r="BO280" i="412" s="1"/>
  <c r="BN281" i="412"/>
  <c r="BO281" i="412"/>
  <c r="BN282" i="412"/>
  <c r="BO282" i="412"/>
  <c r="BN283" i="412"/>
  <c r="BO283" i="412"/>
  <c r="BN284" i="412"/>
  <c r="BO284" i="412" s="1"/>
  <c r="BN285" i="412"/>
  <c r="BO285" i="412"/>
  <c r="BN286" i="412"/>
  <c r="BO286" i="412"/>
  <c r="BN287" i="412"/>
  <c r="BO287" i="412"/>
  <c r="BN288" i="412"/>
  <c r="BO288" i="412" s="1"/>
  <c r="BN289" i="412"/>
  <c r="BO289" i="412"/>
  <c r="BN290" i="412"/>
  <c r="BO290" i="412"/>
  <c r="BN291" i="412"/>
  <c r="BO291" i="412"/>
  <c r="BN292" i="412"/>
  <c r="BO292" i="412" s="1"/>
  <c r="BN293" i="412"/>
  <c r="BO293" i="412"/>
  <c r="BN294" i="412"/>
  <c r="BO294" i="412"/>
  <c r="BN295" i="412"/>
  <c r="BO295" i="412"/>
  <c r="BN296" i="412"/>
  <c r="BO296" i="412" s="1"/>
  <c r="BN297" i="412"/>
  <c r="BO297" i="412"/>
  <c r="BN298" i="412"/>
  <c r="BO298" i="412"/>
  <c r="BN299" i="412"/>
  <c r="BO299" i="412"/>
  <c r="BN300" i="412"/>
  <c r="BO300" i="412" s="1"/>
  <c r="BN301" i="412"/>
  <c r="BO301" i="412"/>
  <c r="BN302" i="412"/>
  <c r="BO302" i="412"/>
  <c r="BN303" i="412"/>
  <c r="BO303" i="412"/>
  <c r="BN304" i="412"/>
  <c r="BO304" i="412" s="1"/>
  <c r="BN305" i="412"/>
  <c r="BO305" i="412"/>
  <c r="BN306" i="412"/>
  <c r="BO306" i="412"/>
  <c r="BN307" i="412"/>
  <c r="BO307" i="412"/>
  <c r="BN308" i="412"/>
  <c r="BO308" i="412" s="1"/>
  <c r="BN309" i="412"/>
  <c r="BO309" i="412"/>
  <c r="BN310" i="412"/>
  <c r="BO310" i="412"/>
  <c r="BN311" i="412"/>
  <c r="BO311" i="412"/>
  <c r="BN312" i="412"/>
  <c r="BO312" i="412" s="1"/>
  <c r="BN313" i="412"/>
  <c r="BO313" i="412"/>
  <c r="BN314" i="412"/>
  <c r="BO314" i="412"/>
  <c r="BN315" i="412"/>
  <c r="BO315" i="412"/>
  <c r="BN316" i="412"/>
  <c r="BO316" i="412" s="1"/>
  <c r="BN317" i="412"/>
  <c r="BO317" i="412"/>
  <c r="BN318" i="412"/>
  <c r="BO318" i="412" s="1"/>
  <c r="BN319" i="412"/>
  <c r="BO319" i="412"/>
  <c r="BN320" i="412"/>
  <c r="BO320" i="412" s="1"/>
  <c r="BN321" i="412"/>
  <c r="BO321" i="412"/>
  <c r="BN322" i="412"/>
  <c r="BO322" i="412" s="1"/>
  <c r="BN323" i="412"/>
  <c r="BO323" i="412"/>
  <c r="BN324" i="412"/>
  <c r="BO324" i="412" s="1"/>
  <c r="BN325" i="412"/>
  <c r="BO325" i="412"/>
  <c r="BN326" i="412"/>
  <c r="BO326" i="412" s="1"/>
  <c r="BN327" i="412"/>
  <c r="BO327" i="412"/>
  <c r="BN328" i="412"/>
  <c r="BO328" i="412" s="1"/>
  <c r="BN329" i="412"/>
  <c r="BO329" i="412"/>
  <c r="BN330" i="412"/>
  <c r="BO330" i="412" s="1"/>
  <c r="BN331" i="412"/>
  <c r="BO331" i="412"/>
  <c r="BN332" i="412"/>
  <c r="BO332" i="412" s="1"/>
  <c r="BN333" i="412"/>
  <c r="BO333" i="412"/>
  <c r="BN334" i="412"/>
  <c r="BO334" i="412" s="1"/>
  <c r="BN335" i="412"/>
  <c r="BO335" i="412"/>
  <c r="BN336" i="412"/>
  <c r="BO336" i="412" s="1"/>
  <c r="BN337" i="412"/>
  <c r="BO337" i="412"/>
  <c r="BN338" i="412"/>
  <c r="BO338" i="412" s="1"/>
  <c r="BN339" i="412"/>
  <c r="BO339" i="412"/>
  <c r="BN340" i="412"/>
  <c r="BO340" i="412" s="1"/>
  <c r="BN341" i="412"/>
  <c r="BO341" i="412"/>
  <c r="BN342" i="412"/>
  <c r="BO342" i="412" s="1"/>
  <c r="BN343" i="412"/>
  <c r="BO343" i="412"/>
  <c r="BN344" i="412"/>
  <c r="BO344" i="412" s="1"/>
  <c r="BN345" i="412"/>
  <c r="BO345" i="412"/>
  <c r="BN346" i="412"/>
  <c r="BO346" i="412" s="1"/>
  <c r="BN347" i="412"/>
  <c r="BO347" i="412"/>
  <c r="BN348" i="412"/>
  <c r="BO348" i="412" s="1"/>
  <c r="BN349" i="412"/>
  <c r="BO349" i="412"/>
  <c r="BN350" i="412"/>
  <c r="BO350" i="412" s="1"/>
  <c r="BN351" i="412"/>
  <c r="BO351" i="412"/>
  <c r="BN352" i="412"/>
  <c r="BO352" i="412" s="1"/>
  <c r="BN353" i="412"/>
  <c r="BO353" i="412"/>
  <c r="BN354" i="412"/>
  <c r="BO354" i="412"/>
  <c r="BN355" i="412"/>
  <c r="BO355" i="412"/>
  <c r="BN356" i="412"/>
  <c r="BO356" i="412" s="1"/>
  <c r="BN357" i="412"/>
  <c r="BO357" i="412"/>
  <c r="BN358" i="412"/>
  <c r="BO358" i="412"/>
  <c r="BN359" i="412"/>
  <c r="BO359" i="412"/>
  <c r="BN360" i="412"/>
  <c r="BO360" i="412" s="1"/>
  <c r="BN361" i="412"/>
  <c r="BO361" i="412"/>
  <c r="BN362" i="412"/>
  <c r="BO362" i="412" s="1"/>
  <c r="BN363" i="412"/>
  <c r="BO363" i="412"/>
  <c r="BN364" i="412"/>
  <c r="BO364" i="412" s="1"/>
  <c r="BN365" i="412"/>
  <c r="BO365" i="412"/>
  <c r="BN366" i="412"/>
  <c r="BO366" i="412"/>
  <c r="BN367" i="412"/>
  <c r="BO367" i="412"/>
  <c r="BN368" i="412"/>
  <c r="BO368" i="412" s="1"/>
  <c r="BN369" i="412"/>
  <c r="BO369" i="412"/>
  <c r="BN370" i="412"/>
  <c r="BO370" i="412"/>
  <c r="BN371" i="412"/>
  <c r="BO371" i="412"/>
  <c r="BN372" i="412"/>
  <c r="BO372" i="412" s="1"/>
  <c r="BN373" i="412"/>
  <c r="BO373" i="412"/>
  <c r="BN374" i="412"/>
  <c r="BO374" i="412"/>
  <c r="BN375" i="412"/>
  <c r="BO375" i="412"/>
  <c r="BN376" i="412"/>
  <c r="BO376" i="412" s="1"/>
  <c r="BN377" i="412"/>
  <c r="BO377" i="412"/>
  <c r="BN378" i="412"/>
  <c r="BO378" i="412"/>
  <c r="BN379" i="412"/>
  <c r="BO379" i="412"/>
  <c r="BN380" i="412"/>
  <c r="BO380" i="412" s="1"/>
  <c r="BN381" i="412"/>
  <c r="BO381" i="412"/>
  <c r="BN382" i="412"/>
  <c r="BO382" i="412"/>
  <c r="BN383" i="412"/>
  <c r="BO383" i="412"/>
  <c r="BN384" i="412"/>
  <c r="BO384" i="412" s="1"/>
  <c r="BN385" i="412"/>
  <c r="BO385" i="412"/>
  <c r="BN386" i="412"/>
  <c r="BO386" i="412" s="1"/>
  <c r="BN387" i="412"/>
  <c r="BO387" i="412"/>
  <c r="BN388" i="412"/>
  <c r="BO388" i="412" s="1"/>
  <c r="BN389" i="412"/>
  <c r="BO389" i="412"/>
  <c r="BN390" i="412"/>
  <c r="BO390" i="412"/>
  <c r="BN391" i="412"/>
  <c r="BO391" i="412"/>
  <c r="BN392" i="412"/>
  <c r="BO392" i="412" s="1"/>
  <c r="BN393" i="412"/>
  <c r="BO393" i="412"/>
  <c r="BN394" i="412"/>
  <c r="BO394" i="412"/>
  <c r="BN395" i="412"/>
  <c r="BO395" i="412"/>
  <c r="BN396" i="412"/>
  <c r="BO396" i="412" s="1"/>
  <c r="BN397" i="412"/>
  <c r="BO397" i="412"/>
  <c r="BN398" i="412"/>
  <c r="BO398" i="412"/>
  <c r="BN399" i="412"/>
  <c r="BO399" i="412"/>
  <c r="BN400" i="412"/>
  <c r="BO400" i="412" s="1"/>
  <c r="BN401" i="412"/>
  <c r="BO401" i="412"/>
  <c r="BN402" i="412"/>
  <c r="BO402" i="412"/>
  <c r="BN403" i="412"/>
  <c r="BO403" i="412"/>
  <c r="BN404" i="412"/>
  <c r="BO404" i="412" s="1"/>
  <c r="BN405" i="412"/>
  <c r="BO405" i="412"/>
  <c r="BN406" i="412"/>
  <c r="BO406" i="412"/>
  <c r="BN407" i="412"/>
  <c r="BO407" i="412"/>
  <c r="BN408" i="412"/>
  <c r="BO408" i="412" s="1"/>
  <c r="BN409" i="412"/>
  <c r="BO409" i="412"/>
  <c r="BN410" i="412"/>
  <c r="BO410" i="412" s="1"/>
  <c r="BN411" i="412"/>
  <c r="BO411" i="412"/>
  <c r="BN412" i="412"/>
  <c r="BO412" i="412" s="1"/>
  <c r="BN413" i="412"/>
  <c r="BO413" i="412"/>
  <c r="BN414" i="412"/>
  <c r="BO414" i="412" s="1"/>
  <c r="BN415" i="412"/>
  <c r="BO415" i="412"/>
  <c r="BN416" i="412"/>
  <c r="BO416" i="412" s="1"/>
  <c r="BN417" i="412"/>
  <c r="BO417" i="412"/>
  <c r="BN418" i="412"/>
  <c r="BO418" i="412" s="1"/>
  <c r="BN419" i="412"/>
  <c r="BO419" i="412"/>
  <c r="BN420" i="412"/>
  <c r="BO420" i="412" s="1"/>
  <c r="BN421" i="412"/>
  <c r="BO421" i="412"/>
  <c r="BN422" i="412"/>
  <c r="BO422" i="412" s="1"/>
  <c r="BN423" i="412"/>
  <c r="BO423" i="412"/>
  <c r="BN424" i="412"/>
  <c r="BO424" i="412" s="1"/>
  <c r="BN425" i="412"/>
  <c r="BO425" i="412"/>
  <c r="BN426" i="412"/>
  <c r="BO426" i="412" s="1"/>
  <c r="BN427" i="412"/>
  <c r="BO427" i="412"/>
  <c r="BN428" i="412"/>
  <c r="BO428" i="412" s="1"/>
  <c r="BN429" i="412"/>
  <c r="BO429" i="412"/>
  <c r="BN430" i="412"/>
  <c r="BO430" i="412"/>
  <c r="BN431" i="412"/>
  <c r="BO431" i="412"/>
  <c r="BN432" i="412"/>
  <c r="BO432" i="412" s="1"/>
  <c r="BN433" i="412"/>
  <c r="BO433" i="412"/>
  <c r="BN434" i="412"/>
  <c r="BO434" i="412"/>
  <c r="BN435" i="412"/>
  <c r="BO435" i="412"/>
  <c r="BN436" i="412"/>
  <c r="BO436" i="412" s="1"/>
  <c r="BN437" i="412"/>
  <c r="BO437" i="412"/>
  <c r="BN438" i="412"/>
  <c r="BO438" i="412"/>
  <c r="BN439" i="412"/>
  <c r="BO439" i="412"/>
  <c r="BN440" i="412"/>
  <c r="BO440" i="412" s="1"/>
  <c r="BN441" i="412"/>
  <c r="BO441" i="412"/>
  <c r="BN442" i="412"/>
  <c r="BO442" i="412"/>
  <c r="BN443" i="412"/>
  <c r="BO443" i="412"/>
  <c r="BN444" i="412"/>
  <c r="BO444" i="412" s="1"/>
  <c r="BN445" i="412"/>
  <c r="BO445" i="412"/>
  <c r="BN446" i="412"/>
  <c r="BO446" i="412" s="1"/>
  <c r="BN447" i="412"/>
  <c r="BO447" i="412"/>
  <c r="BN448" i="412"/>
  <c r="BO448" i="412" s="1"/>
  <c r="BN449" i="412"/>
  <c r="BO449" i="412"/>
  <c r="BN450" i="412"/>
  <c r="BO450" i="412" s="1"/>
  <c r="BN451" i="412"/>
  <c r="BO451" i="412"/>
  <c r="BN452" i="412"/>
  <c r="BO452" i="412" s="1"/>
  <c r="BN453" i="412"/>
  <c r="BO453" i="412"/>
  <c r="BN454" i="412"/>
  <c r="BO454" i="412" s="1"/>
  <c r="BN455" i="412"/>
  <c r="BO455" i="412"/>
  <c r="BN456" i="412"/>
  <c r="BO456" i="412" s="1"/>
  <c r="BN457" i="412"/>
  <c r="BO457" i="412"/>
  <c r="BN458" i="412"/>
  <c r="BO458" i="412" s="1"/>
  <c r="BN459" i="412"/>
  <c r="BO459" i="412"/>
  <c r="BN460" i="412"/>
  <c r="BO460" i="412" s="1"/>
  <c r="BN461" i="412"/>
  <c r="BO461" i="412"/>
  <c r="BN462" i="412"/>
  <c r="BO462" i="412" s="1"/>
  <c r="BN463" i="412"/>
  <c r="BO463" i="412"/>
  <c r="BN464" i="412"/>
  <c r="BO464" i="412" s="1"/>
  <c r="BN465" i="412"/>
  <c r="BO465" i="412"/>
  <c r="BN466" i="412"/>
  <c r="BO466" i="412" s="1"/>
  <c r="BN467" i="412"/>
  <c r="BO467" i="412"/>
  <c r="BN468" i="412"/>
  <c r="BO468" i="412" s="1"/>
  <c r="BN469" i="412"/>
  <c r="BO469" i="412"/>
  <c r="BM470" i="412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72" i="412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 s="1"/>
  <c r="BN95" i="412"/>
  <c r="BO95" i="412" s="1"/>
  <c r="BN96" i="412"/>
  <c r="BO96" i="412" s="1"/>
  <c r="BN97" i="412"/>
  <c r="BO97" i="412" s="1"/>
  <c r="BN98" i="412"/>
  <c r="BO98" i="412" s="1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 s="1"/>
  <c r="BN107" i="412"/>
  <c r="BO107" i="412" s="1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131" i="412"/>
  <c r="BO131" i="412" s="1"/>
  <c r="BN132" i="412"/>
  <c r="BO132" i="412" s="1"/>
  <c r="BN133" i="412"/>
  <c r="BO133" i="412" s="1"/>
  <c r="BN134" i="412"/>
  <c r="BO134" i="412" s="1"/>
  <c r="BN135" i="412"/>
  <c r="BO135" i="412" s="1"/>
  <c r="BN136" i="412"/>
  <c r="BO136" i="412" s="1"/>
  <c r="BN137" i="412"/>
  <c r="BO137" i="412" s="1"/>
  <c r="BN138" i="412"/>
  <c r="BO138" i="412" s="1"/>
  <c r="BN139" i="412"/>
  <c r="BO139" i="412" s="1"/>
  <c r="BN140" i="412"/>
  <c r="BO140" i="412" s="1"/>
  <c r="BN141" i="412"/>
  <c r="BO141" i="412" s="1"/>
  <c r="BN142" i="412"/>
  <c r="BO142" i="412" s="1"/>
  <c r="BN143" i="412"/>
  <c r="BO143" i="412" s="1"/>
  <c r="BN144" i="412"/>
  <c r="BO144" i="412" s="1"/>
  <c r="BN145" i="412"/>
  <c r="BO145" i="412" s="1"/>
  <c r="BN146" i="412"/>
  <c r="BO146" i="412" s="1"/>
  <c r="BN147" i="412"/>
  <c r="BO147" i="412" s="1"/>
  <c r="BN148" i="412"/>
  <c r="BO148" i="412" s="1"/>
  <c r="BN149" i="412"/>
  <c r="BO149" i="412" s="1"/>
  <c r="BN150" i="412"/>
  <c r="BO150" i="412" s="1"/>
  <c r="BN151" i="412"/>
  <c r="BO151" i="412" s="1"/>
  <c r="BN152" i="412"/>
  <c r="BO152" i="412" s="1"/>
  <c r="BN153" i="412"/>
  <c r="BO153" i="412" s="1"/>
  <c r="BN154" i="412"/>
  <c r="BO154" i="412" s="1"/>
  <c r="BN155" i="412"/>
  <c r="BO155" i="412" s="1"/>
  <c r="BN156" i="412"/>
  <c r="BO156" i="412" s="1"/>
  <c r="BN157" i="412"/>
  <c r="BO157" i="412" s="1"/>
  <c r="BN158" i="412"/>
  <c r="BO158" i="412" s="1"/>
  <c r="BN159" i="412"/>
  <c r="BO159" i="412" s="1"/>
  <c r="BN160" i="412"/>
  <c r="BO160" i="412" s="1"/>
  <c r="BN161" i="412"/>
  <c r="BO161" i="412" s="1"/>
  <c r="BN162" i="412"/>
  <c r="BO162" i="412" s="1"/>
  <c r="BN163" i="412"/>
  <c r="BO163" i="412" s="1"/>
  <c r="BN164" i="412"/>
  <c r="BO164" i="412" s="1"/>
  <c r="BN165" i="412"/>
  <c r="BO165" i="412" s="1"/>
  <c r="BN166" i="412"/>
  <c r="BO166" i="412" s="1"/>
  <c r="BN167" i="412"/>
  <c r="BO167" i="412" s="1"/>
  <c r="BN168" i="412"/>
  <c r="BO168" i="412" s="1"/>
  <c r="BN169" i="412"/>
  <c r="BO169" i="412" s="1"/>
  <c r="BN170" i="412"/>
  <c r="BO170" i="412" s="1"/>
  <c r="BN171" i="412"/>
  <c r="BO171" i="412" s="1"/>
  <c r="BN172" i="412"/>
  <c r="BO172" i="412" s="1"/>
  <c r="BN173" i="412"/>
  <c r="BO173" i="412" s="1"/>
  <c r="BN174" i="412"/>
  <c r="BO174" i="412" s="1"/>
  <c r="BN175" i="412"/>
  <c r="BO175" i="412" s="1"/>
  <c r="BN176" i="412"/>
  <c r="BO176" i="412" s="1"/>
  <c r="BN177" i="412"/>
  <c r="BO177" i="412" s="1"/>
  <c r="BN178" i="412"/>
  <c r="BO178" i="412" s="1"/>
  <c r="BN179" i="412"/>
  <c r="BO179" i="412" s="1"/>
  <c r="BN180" i="412"/>
  <c r="BO180" i="412" s="1"/>
  <c r="BN181" i="412"/>
  <c r="BO181" i="412" s="1"/>
  <c r="BN182" i="412"/>
  <c r="BO182" i="412" s="1"/>
  <c r="BN183" i="412"/>
  <c r="BO183" i="412" s="1"/>
  <c r="BN184" i="412"/>
  <c r="BO184" i="412" s="1"/>
  <c r="BN185" i="412"/>
  <c r="BO185" i="412" s="1"/>
  <c r="BN2" i="412"/>
  <c r="BO2" i="412" l="1"/>
</calcChain>
</file>

<file path=xl/sharedStrings.xml><?xml version="1.0" encoding="utf-8"?>
<sst xmlns="http://schemas.openxmlformats.org/spreadsheetml/2006/main" count="3352" uniqueCount="592">
  <si>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</si>
  <si>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</si>
  <si>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</si>
  <si>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</si>
  <si>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</si>
  <si>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</si>
  <si>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</si>
  <si>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</si>
  <si>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</si>
  <si>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</si>
  <si>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스토리위즈</t>
  </si>
  <si>
    <t>김광수</t>
  </si>
  <si>
    <t>합계</t>
  </si>
  <si>
    <t>앱마켓수수료</t>
  </si>
  <si>
    <t>시리즈APP</t>
    <phoneticPr fontId="20" type="noConversion"/>
  </si>
  <si>
    <t>구원, 그 잔혹함에 대하여 [선공개]</t>
  </si>
  <si>
    <t>스토리위즈_1</t>
  </si>
  <si>
    <t>한보연</t>
  </si>
  <si>
    <t>2022.06.02</t>
  </si>
  <si>
    <t>디버프 마스터</t>
  </si>
  <si>
    <t>담화공</t>
  </si>
  <si>
    <t>2022.05.04</t>
  </si>
  <si>
    <t>위대한 가문의 망나니가 되다 [독점]</t>
  </si>
  <si>
    <t>바나바다</t>
  </si>
  <si>
    <t>2022.04.17</t>
  </si>
  <si>
    <t>나 혼자 스킬융합 [독점]</t>
  </si>
  <si>
    <t>붕어빵</t>
  </si>
  <si>
    <t>2022.05.06</t>
  </si>
  <si>
    <t>회귀의 전설 [단행본]</t>
  </si>
  <si>
    <t>최종 보스 : 빛을 향해 달리는 그림자 [독점]</t>
  </si>
  <si>
    <t>무장</t>
  </si>
  <si>
    <t>2021.03.06</t>
  </si>
  <si>
    <t>사랑도 없이 결혼</t>
  </si>
  <si>
    <t>차홍주</t>
  </si>
  <si>
    <t>도서출판 태랑</t>
  </si>
  <si>
    <t>2020.12.07</t>
  </si>
  <si>
    <t>갓 오브 블랙필드</t>
  </si>
  <si>
    <t>2017.02.27</t>
  </si>
  <si>
    <t>신입사원이 이렇게 일을 잘했다고? [독점]</t>
  </si>
  <si>
    <t>왕십리글쟁이</t>
  </si>
  <si>
    <t>결혼의 함정 [선공개]</t>
  </si>
  <si>
    <t>블랙커피</t>
  </si>
  <si>
    <t>로드 오브 머니</t>
  </si>
  <si>
    <t>2018.08.02</t>
  </si>
  <si>
    <t>갓 오브 블랙필드 [개정판][단행본]</t>
  </si>
  <si>
    <t>2020.06.24</t>
  </si>
  <si>
    <t>어쩌다 계약 아내 [선공개]</t>
  </si>
  <si>
    <t>아슈크림</t>
  </si>
  <si>
    <t>2022.03.21</t>
  </si>
  <si>
    <t>전생자가 용병단장으로 살아가는 법 [독점]</t>
  </si>
  <si>
    <t>새우깡조아</t>
  </si>
  <si>
    <t>바랑둥이 내 남자</t>
  </si>
  <si>
    <t>밈스</t>
  </si>
  <si>
    <t>2022.05.25</t>
  </si>
  <si>
    <t>원코인 게이머 아포칼립스</t>
  </si>
  <si>
    <t>이한애비</t>
  </si>
  <si>
    <t>2022.03.23</t>
  </si>
  <si>
    <t>다정할수록 불순한 [외전 선공개]</t>
  </si>
  <si>
    <t>은지유</t>
  </si>
  <si>
    <t>2022.04.04</t>
  </si>
  <si>
    <t>형사의 게임</t>
  </si>
  <si>
    <t>2017.04.11</t>
  </si>
  <si>
    <t>간신이 나라를 살림</t>
  </si>
  <si>
    <t>루이세</t>
  </si>
  <si>
    <t>2020.01.22</t>
  </si>
  <si>
    <t>BJ소드마스터 [독점]</t>
  </si>
  <si>
    <t>이동열</t>
  </si>
  <si>
    <t>2020.07.24</t>
  </si>
  <si>
    <t>회귀자의 슬기로운 복수생활 [독점]</t>
  </si>
  <si>
    <t>구공</t>
  </si>
  <si>
    <t>2022.03.30</t>
  </si>
  <si>
    <t>위험한 신혼부부 [독점]</t>
  </si>
  <si>
    <t>박수정(방울마마)</t>
  </si>
  <si>
    <t>2016.07.20</t>
  </si>
  <si>
    <t>돌아온 막내 영애님을 조심하세요</t>
  </si>
  <si>
    <t>윈델</t>
  </si>
  <si>
    <t>2022.05.13</t>
  </si>
  <si>
    <t>기사가문 망나니는 10클래스</t>
  </si>
  <si>
    <t>예로나</t>
  </si>
  <si>
    <t>2020.03.11</t>
  </si>
  <si>
    <t>공작가의 남루한 신부</t>
  </si>
  <si>
    <t>무성매직</t>
  </si>
  <si>
    <t>2021.04.08</t>
  </si>
  <si>
    <t>로드 오브 머니 [단행본]</t>
  </si>
  <si>
    <t>2019.08.05</t>
  </si>
  <si>
    <t>절대자의 귀환</t>
  </si>
  <si>
    <t>장유진</t>
  </si>
  <si>
    <t>2021.01.19</t>
  </si>
  <si>
    <t>SSS급 마왕의 귀환</t>
  </si>
  <si>
    <t>구유</t>
  </si>
  <si>
    <t>2019.06.14</t>
  </si>
  <si>
    <t>슈퍼스타의 비밀 어플</t>
  </si>
  <si>
    <t>2022.03.11</t>
  </si>
  <si>
    <t>그라운드의 지배자</t>
  </si>
  <si>
    <t>2016.05.30</t>
  </si>
  <si>
    <t>삼국지 호접몽전 [단행본]</t>
  </si>
  <si>
    <t>청빙</t>
  </si>
  <si>
    <t>2020.05.05</t>
  </si>
  <si>
    <t>말빨</t>
  </si>
  <si>
    <t>2020.02.12</t>
  </si>
  <si>
    <t>그라운드의 지배자 [단행본]</t>
  </si>
  <si>
    <t>2017.09.06</t>
  </si>
  <si>
    <t>시크릿 맨 [개정판][삽화본]</t>
  </si>
  <si>
    <t>2020.04.10</t>
  </si>
  <si>
    <t>격렬하게, 다시 한번</t>
  </si>
  <si>
    <t>허니레몬</t>
  </si>
  <si>
    <t>2019.07.24</t>
  </si>
  <si>
    <t>임신부터 할까요?</t>
  </si>
  <si>
    <t>온서</t>
  </si>
  <si>
    <t>2021.03.26</t>
  </si>
  <si>
    <t>문답무용 - 삼국지 유비의 모사가 되었다</t>
  </si>
  <si>
    <t>2021.02.24</t>
  </si>
  <si>
    <t>게임 속 유닛 [단행본]</t>
  </si>
  <si>
    <t>찬동</t>
  </si>
  <si>
    <t>2021.01.21</t>
  </si>
  <si>
    <t>뜨거운 항해</t>
  </si>
  <si>
    <t>2021.08.16</t>
  </si>
  <si>
    <t>화산검제 [은천검제 2부 연재]</t>
  </si>
  <si>
    <t>2020.03.24</t>
  </si>
  <si>
    <t>흔적</t>
  </si>
  <si>
    <t>꽃잠</t>
  </si>
  <si>
    <t>망작 리메이커 [독점]</t>
  </si>
  <si>
    <t>덕킹</t>
  </si>
  <si>
    <t>2021.08.03</t>
  </si>
  <si>
    <t>월급 주는 남편</t>
  </si>
  <si>
    <t>블 루 스 카 이</t>
  </si>
  <si>
    <t>2020.04.13</t>
  </si>
  <si>
    <t>형사의 게임 [단행본]</t>
  </si>
  <si>
    <t>2017.10.27</t>
  </si>
  <si>
    <t>야쿠자가 사랑을 한다면 [개정판][BL]</t>
  </si>
  <si>
    <t>모리미</t>
  </si>
  <si>
    <t>2019.12.05</t>
  </si>
  <si>
    <t>구애</t>
  </si>
  <si>
    <t>셔틀</t>
  </si>
  <si>
    <t>2019.11.22</t>
  </si>
  <si>
    <t>게임 속 유닛</t>
  </si>
  <si>
    <t>2020.08.18</t>
  </si>
  <si>
    <t>그땐 미처</t>
  </si>
  <si>
    <t>2018.12.26</t>
  </si>
  <si>
    <t>적왕의 깊은 밤</t>
  </si>
  <si>
    <t>엘리신</t>
  </si>
  <si>
    <t>2020.11.02</t>
  </si>
  <si>
    <t>기어이 사랑</t>
  </si>
  <si>
    <t>2020.01.31</t>
  </si>
  <si>
    <t>사랑을 놓치고</t>
  </si>
  <si>
    <t>2018.11.09</t>
  </si>
  <si>
    <t>SSS급 마왕의 귀환 [단행본]</t>
  </si>
  <si>
    <t>2020.03.19</t>
  </si>
  <si>
    <t>이과생 둘이 회귀했다 [단행본]</t>
  </si>
  <si>
    <t>하이후</t>
  </si>
  <si>
    <t>라스트 서바이버 : 진화로 살아남아라!</t>
  </si>
  <si>
    <t>친구의 고백</t>
  </si>
  <si>
    <t>빵양이</t>
  </si>
  <si>
    <t>2019.02.01</t>
  </si>
  <si>
    <t>내 남자 길들이기</t>
  </si>
  <si>
    <t>2020.11.16</t>
  </si>
  <si>
    <t>칵테일로 레벨업 [독점]</t>
  </si>
  <si>
    <t>서강후</t>
  </si>
  <si>
    <t>2021.11.01</t>
  </si>
  <si>
    <t>너는 내 숨결이니까</t>
  </si>
  <si>
    <t>2020.09.14</t>
  </si>
  <si>
    <t>On the air [BL]</t>
  </si>
  <si>
    <t>DION(디온)</t>
  </si>
  <si>
    <t>2021.02.03</t>
  </si>
  <si>
    <t>영원한 1위 [BL][단행본]</t>
  </si>
  <si>
    <t>羽宸寰(Uchenhu), 林珮瑜(Lin Peiyu)</t>
  </si>
  <si>
    <t>2022.05.02</t>
  </si>
  <si>
    <t>처음이어도 좋아</t>
  </si>
  <si>
    <t>테레자</t>
  </si>
  <si>
    <t>2020.05.18</t>
  </si>
  <si>
    <t>이과생 둘이 회귀했다</t>
  </si>
  <si>
    <t>2020.07.10</t>
  </si>
  <si>
    <t>컬러 러쉬 [BL]</t>
  </si>
  <si>
    <t>세상</t>
  </si>
  <si>
    <t>2021.04.07</t>
  </si>
  <si>
    <t>회귀했는데 FFF급 부두술사 [독점]</t>
  </si>
  <si>
    <t>빡선생</t>
  </si>
  <si>
    <t>2021.11.17</t>
  </si>
  <si>
    <t>나 혼자만 일일 보상</t>
  </si>
  <si>
    <t>2018.12.20</t>
  </si>
  <si>
    <t>욕망에 눈뜨다</t>
  </si>
  <si>
    <t>2020.05.15</t>
  </si>
  <si>
    <t>이 비서 다리 좀 치워 [BL]</t>
  </si>
  <si>
    <t>2019.05.16</t>
  </si>
  <si>
    <t>살 떨리는 동거</t>
  </si>
  <si>
    <t>2021.01.14</t>
  </si>
  <si>
    <t>도폐풍운록</t>
  </si>
  <si>
    <t>2021.01.29</t>
  </si>
  <si>
    <t>성군이십니다 [독점]</t>
  </si>
  <si>
    <t>이준영</t>
  </si>
  <si>
    <t>2019.04.17</t>
  </si>
  <si>
    <t>2위의 역습 [BL][단행본]</t>
  </si>
  <si>
    <t>사랑한다 윤혜영 [개정판][삽화본]</t>
  </si>
  <si>
    <t>2021.01.18</t>
  </si>
  <si>
    <t>어쩌다 계약 아내 [단행본]</t>
  </si>
  <si>
    <t>2021.09.17</t>
  </si>
  <si>
    <t>리얼 머니 [독점]</t>
  </si>
  <si>
    <t>진문</t>
  </si>
  <si>
    <t>2020.06.03</t>
  </si>
  <si>
    <t>선유문주 [단행본]</t>
  </si>
  <si>
    <t>2022.01.27</t>
  </si>
  <si>
    <t>도폐풍운록 [단행본]</t>
  </si>
  <si>
    <t>2020.10.29</t>
  </si>
  <si>
    <t>내 사랑 스토커</t>
  </si>
  <si>
    <t>디버스 대도서관</t>
  </si>
  <si>
    <t>2019.04.01</t>
  </si>
  <si>
    <t>네가 뭔데 그러세요 [BL]</t>
  </si>
  <si>
    <t>주이서</t>
  </si>
  <si>
    <t>2021.01.13</t>
  </si>
  <si>
    <t>우리야, 이리온</t>
  </si>
  <si>
    <t>김온별(러브마인)</t>
  </si>
  <si>
    <t>2022.04.08</t>
  </si>
  <si>
    <t>베리타 (verità)</t>
  </si>
  <si>
    <t>2021.04.02</t>
  </si>
  <si>
    <t>강호유정</t>
  </si>
  <si>
    <t>2020.08.25</t>
  </si>
  <si>
    <t>2020.09.08</t>
  </si>
  <si>
    <t>버그 걸린 드래곤 [독점]</t>
  </si>
  <si>
    <t>폴딩</t>
  </si>
  <si>
    <t>2021.10.15</t>
  </si>
  <si>
    <t>올마스터가 된 비전서고 [독점]</t>
  </si>
  <si>
    <t>글면증</t>
  </si>
  <si>
    <t>2021.11.18</t>
  </si>
  <si>
    <t>나는 너를, 너는 나를 [BL]</t>
  </si>
  <si>
    <t>라비니안느</t>
  </si>
  <si>
    <t>2019.03.07</t>
  </si>
  <si>
    <t>나쁜 이혼 [선공개]</t>
  </si>
  <si>
    <t>진숙</t>
  </si>
  <si>
    <t>2021.03.02</t>
  </si>
  <si>
    <t>비서의 유혹</t>
  </si>
  <si>
    <t>2020.02.14</t>
  </si>
  <si>
    <t>기사가문 망나니는 10클래스 [단행본]</t>
  </si>
  <si>
    <t>2020.08.26</t>
  </si>
  <si>
    <t>컬러 러쉬 [BL][단행본]</t>
  </si>
  <si>
    <t>2021.04.13</t>
  </si>
  <si>
    <t>강호유정 [단행본]</t>
  </si>
  <si>
    <t>131100761</t>
  </si>
  <si>
    <t>2013.11.15</t>
  </si>
  <si>
    <t>유성하소월 [1~83화]</t>
  </si>
  <si>
    <t>se1392001</t>
  </si>
  <si>
    <t>2019.01.31</t>
  </si>
  <si>
    <t>사랑, 흘러간다 [BL]</t>
  </si>
  <si>
    <t>사냥:꿈 [BL]</t>
  </si>
  <si>
    <t>2018.02.22</t>
  </si>
  <si>
    <t>선유문주</t>
  </si>
  <si>
    <t>짝사랑 이별곡 [BL]</t>
  </si>
  <si>
    <t>2019.01.24</t>
  </si>
  <si>
    <t>던전 공략 LIVE</t>
  </si>
  <si>
    <t>2018.06.20</t>
  </si>
  <si>
    <t>슈퍼스타의 비밀 어플 [단행본]</t>
  </si>
  <si>
    <t>2022.03.10</t>
  </si>
  <si>
    <t>영원한 1위 &amp; 2위의 역습 [BL]</t>
  </si>
  <si>
    <t>2022.05.19</t>
  </si>
  <si>
    <t>트리거 [BL]</t>
  </si>
  <si>
    <t>2020.06.05</t>
  </si>
  <si>
    <t>내 안에 흑염룡이 산다! [독점]</t>
  </si>
  <si>
    <t>리세마라</t>
  </si>
  <si>
    <t>2022.02.10</t>
  </si>
  <si>
    <t>여왕 아델</t>
  </si>
  <si>
    <t>이린비</t>
  </si>
  <si>
    <t>2018.01.25</t>
  </si>
  <si>
    <t>위층 아이 아빠 [BL]</t>
  </si>
  <si>
    <t>2019.03.05</t>
  </si>
  <si>
    <t>골 때리는 사랑 [BL]</t>
  </si>
  <si>
    <t>2020.04.17</t>
  </si>
  <si>
    <t>낚싯대 하나로 세계최강 [독점]</t>
  </si>
  <si>
    <t>단팥크림빵7</t>
  </si>
  <si>
    <t>2021.08.20</t>
  </si>
  <si>
    <t>궁성</t>
  </si>
  <si>
    <t>스내치</t>
  </si>
  <si>
    <t>2020.12.21</t>
  </si>
  <si>
    <t>신인류 좀비의 아포칼립스 [독점]</t>
  </si>
  <si>
    <t>모험왕선우</t>
  </si>
  <si>
    <t>2021.12.08</t>
  </si>
  <si>
    <t>푸르디푸른 내 달빛</t>
  </si>
  <si>
    <t>모리미J</t>
  </si>
  <si>
    <t>2020.11.30</t>
  </si>
  <si>
    <t>그 여름 네 입술</t>
  </si>
  <si>
    <t>레드트러블</t>
  </si>
  <si>
    <t>그땐 그랬었다 [BL]</t>
  </si>
  <si>
    <t>2018.09.07</t>
  </si>
  <si>
    <t>완벽한 계략 남편</t>
  </si>
  <si>
    <t>2021.01.04</t>
  </si>
  <si>
    <t>얼어 죽어도, 겨울</t>
  </si>
  <si>
    <t>진새벽</t>
  </si>
  <si>
    <t>2020.11.27</t>
  </si>
  <si>
    <t>야릇한 그놈</t>
  </si>
  <si>
    <t>해달화영</t>
  </si>
  <si>
    <t>2020.07.22</t>
  </si>
  <si>
    <t>격렬하게, 다시 한번 [단행본]</t>
  </si>
  <si>
    <t>2020.03.20</t>
  </si>
  <si>
    <t>그 알파 내 오메가 만들기 [BL]</t>
  </si>
  <si>
    <t>2018.09.20</t>
  </si>
  <si>
    <t>나 혼자만 일일 보상 [단행본]</t>
  </si>
  <si>
    <t>2020.03.05</t>
  </si>
  <si>
    <t>욕과 정이 깨어날 때</t>
  </si>
  <si>
    <t>김너울</t>
  </si>
  <si>
    <t>2019.12.27</t>
  </si>
  <si>
    <t>어쩌다 계약 아내 외전 [단행본]</t>
  </si>
  <si>
    <t>두 형사 [개정판][삽화본]</t>
  </si>
  <si>
    <t>2021.03.12</t>
  </si>
  <si>
    <t>더 라스트 웨어울프</t>
  </si>
  <si>
    <t>2020.11.11</t>
  </si>
  <si>
    <t>아프오 안 아프오 나는 [BL]</t>
  </si>
  <si>
    <t>내 남편의 열렬한 구애</t>
  </si>
  <si>
    <t>아이리스</t>
  </si>
  <si>
    <t>2019.12.09</t>
  </si>
  <si>
    <t>구애 [단행본]</t>
  </si>
  <si>
    <t>19세 이상 이용가능</t>
  </si>
  <si>
    <t>충동적인 결혼</t>
  </si>
  <si>
    <t>2019.11.29</t>
  </si>
  <si>
    <t>SOTUS [BL][단행본]</t>
  </si>
  <si>
    <t>BitterSweet</t>
  </si>
  <si>
    <t>본능에 눈뜨다 [개정증보판]</t>
  </si>
  <si>
    <t>2019.11.15</t>
  </si>
  <si>
    <t>절대자의 귀환 [단행본]</t>
  </si>
  <si>
    <t>2021.04.15</t>
  </si>
  <si>
    <t>사랑도 없이 결혼 [단행본]</t>
  </si>
  <si>
    <t>아래층에 전남편이 산다</t>
  </si>
  <si>
    <t>2021.10.01</t>
  </si>
  <si>
    <t>우리 [개정판][삽화본]</t>
  </si>
  <si>
    <t>호랑이 신을 길들여 버렸다</t>
  </si>
  <si>
    <t>부엉이콩</t>
  </si>
  <si>
    <t>2021.11.19</t>
  </si>
  <si>
    <t>꿈속의 보스</t>
  </si>
  <si>
    <t>2021.01.12</t>
  </si>
  <si>
    <t>나만의 스타</t>
  </si>
  <si>
    <t>2018.11.07</t>
  </si>
  <si>
    <t>게이 하우스 [BL]</t>
  </si>
  <si>
    <t>빨강뽀뽀</t>
  </si>
  <si>
    <t>2019.06.26</t>
  </si>
  <si>
    <t>보좌관</t>
  </si>
  <si>
    <t>2019.04.11</t>
  </si>
  <si>
    <t>유성하소월 [84~122화]</t>
  </si>
  <si>
    <t>se1392084</t>
  </si>
  <si>
    <t>2014.09.12</t>
  </si>
  <si>
    <t>레이디 스칼렛</t>
  </si>
  <si>
    <t>불고기자리</t>
  </si>
  <si>
    <t>2020.08.20</t>
  </si>
  <si>
    <t>라지에르의 서</t>
  </si>
  <si>
    <t>공든탑</t>
  </si>
  <si>
    <t>2017.07.03</t>
  </si>
  <si>
    <t>내일은 이혼해요</t>
  </si>
  <si>
    <t>윤비밀</t>
  </si>
  <si>
    <t>2020.02.24</t>
  </si>
  <si>
    <t>시무(蒔舞)</t>
  </si>
  <si>
    <t>SOTUS S [BL]</t>
  </si>
  <si>
    <t>2022.05.27</t>
  </si>
  <si>
    <t>얼굴 천재 교주가 되었다</t>
  </si>
  <si>
    <t>비고</t>
  </si>
  <si>
    <t>사라족의 간택 [삽화본][BL]</t>
  </si>
  <si>
    <t>컬러 러쉬 외전 [BL][단행본]</t>
  </si>
  <si>
    <t>중독</t>
  </si>
  <si>
    <t>문스톤</t>
  </si>
  <si>
    <t>2019.12.18</t>
  </si>
  <si>
    <t>스타의 연애 [BL]</t>
  </si>
  <si>
    <t>퇴마사(巫者) [BL]</t>
  </si>
  <si>
    <t>2021.12.03</t>
  </si>
  <si>
    <t>내 몸을 돌려줘요</t>
  </si>
  <si>
    <t>박도아</t>
  </si>
  <si>
    <t>2020.04.22</t>
  </si>
  <si>
    <t>완벽한 타인과</t>
  </si>
  <si>
    <t>2020.01.28</t>
  </si>
  <si>
    <t>시계태엽오란씨</t>
  </si>
  <si>
    <t>바빌로니아의 검은 책</t>
  </si>
  <si>
    <t>펌킨몬</t>
  </si>
  <si>
    <t>2018.07.14</t>
  </si>
  <si>
    <t>아저씨, 내 기분 왜 이래요?</t>
  </si>
  <si>
    <t>Livingston</t>
  </si>
  <si>
    <t>2021.03.29</t>
  </si>
  <si>
    <t>우리야, 이리온 [단행본]</t>
  </si>
  <si>
    <t>2021.12.20</t>
  </si>
  <si>
    <t>바랑둥이 내 남자 [단행본]</t>
  </si>
  <si>
    <t>나쁜 이혼 [단행본]</t>
  </si>
  <si>
    <t>야쿠자가 사랑을 한다면 2 [개정판][BL][단행본]</t>
  </si>
  <si>
    <t>2022.01.28</t>
  </si>
  <si>
    <t>너는 내 숨결이니까 [단행본]</t>
  </si>
  <si>
    <t>2021.04.09</t>
  </si>
  <si>
    <t>이 비서 다리 좀 치워 [BL][단행본]</t>
  </si>
  <si>
    <t>2020.05.08</t>
  </si>
  <si>
    <t>선택된 남자 [BL][단행본]</t>
  </si>
  <si>
    <t>2021.05.21</t>
  </si>
  <si>
    <t>아래층에 전남편이 산다 [단행본]</t>
  </si>
  <si>
    <t>사랑을 놓치고 [단행본]</t>
  </si>
  <si>
    <t>2019.10.11</t>
  </si>
  <si>
    <t>야쿠자가 사랑을 한다면 [개정판][BL][단행본]</t>
  </si>
  <si>
    <t>중독 [단행본]</t>
  </si>
  <si>
    <t>2020.01.02</t>
  </si>
  <si>
    <t>썸원(Someone) [단행본]</t>
  </si>
  <si>
    <t>2020.11.23</t>
  </si>
  <si>
    <t>아이 컨택 [BL][단행본]</t>
  </si>
  <si>
    <t>2021.05.18</t>
  </si>
  <si>
    <t>친구의 고백 [단행본]</t>
  </si>
  <si>
    <t>그 알파 내 오메가 만들기 [개정판][BL][단행본]</t>
  </si>
  <si>
    <t>2018.10.30</t>
  </si>
  <si>
    <t>너를 삼키다 [BL][단행본]</t>
  </si>
  <si>
    <t>2021.09.08</t>
  </si>
  <si>
    <t>흔적 [단행본]</t>
  </si>
  <si>
    <t>2020.12.08</t>
  </si>
  <si>
    <t>심장이 뛰면 [단행본]</t>
  </si>
  <si>
    <t>Yulia</t>
  </si>
  <si>
    <t>2021.03.11</t>
  </si>
  <si>
    <t>Only you [BL][단행본]</t>
  </si>
  <si>
    <t>2021.09.09</t>
  </si>
  <si>
    <t>매혹적인 상사</t>
  </si>
  <si>
    <t>2022.03.04</t>
  </si>
  <si>
    <t>나쁜 이혼 외전 [단행본]</t>
  </si>
  <si>
    <t>간신이 나라를 살림 [단행본]</t>
  </si>
  <si>
    <t>골 때리는 사랑 [BL][단행본]</t>
  </si>
  <si>
    <t>2021.03.10</t>
  </si>
  <si>
    <t>숨결을 삼키다</t>
  </si>
  <si>
    <t>2020.08.17</t>
  </si>
  <si>
    <t>야쿠자가 사랑을 한다면 외전 [개정판][BL][단행본]</t>
  </si>
  <si>
    <t>썸원(Someone)</t>
  </si>
  <si>
    <t>베리타 (verità) 외전 [단행본]</t>
  </si>
  <si>
    <t>SOTUS 특별 외전 [BL][단행본]</t>
  </si>
  <si>
    <t>사냥 [삽화본]</t>
  </si>
  <si>
    <t>2019.11.07</t>
  </si>
  <si>
    <t>여왕 아델 [단행본]</t>
  </si>
  <si>
    <t>2020.10.21</t>
  </si>
  <si>
    <t>기어이 사랑 [단행본]</t>
  </si>
  <si>
    <t>이혼 후 로또 1등 감독님</t>
  </si>
  <si>
    <t>2022.07.04</t>
  </si>
  <si>
    <t>신들의 알바나라</t>
  </si>
  <si>
    <t>갓띵작</t>
  </si>
  <si>
    <t>2022.06.10</t>
  </si>
  <si>
    <t>나의 시고르자브종 [BL]</t>
  </si>
  <si>
    <t>두나래</t>
  </si>
  <si>
    <t>2022.06.16</t>
  </si>
  <si>
    <t>돌아온 막내 영애님을 조심하세요 [단행본]</t>
  </si>
  <si>
    <t>대표님께 매우 진심인 편 [외전 선공개]</t>
  </si>
  <si>
    <t>블루문</t>
  </si>
  <si>
    <t>2022.06.15</t>
  </si>
  <si>
    <t>남이 되어 주세요</t>
  </si>
  <si>
    <t>한서나</t>
  </si>
  <si>
    <t>2018.12.10</t>
  </si>
  <si>
    <t>바빌로니아의 검은 책 [단행본]</t>
  </si>
  <si>
    <t>2019.02.20</t>
  </si>
  <si>
    <t>꿈은 이루어진다</t>
  </si>
  <si>
    <t>벗우</t>
  </si>
  <si>
    <t>2019.12.11</t>
  </si>
  <si>
    <t>심장이 뛰면</t>
  </si>
  <si>
    <t>2019.05.01</t>
  </si>
  <si>
    <t>나의 시고르자브종 1~2권 [BL][단행본]</t>
  </si>
  <si>
    <t>앰퍼샌드B</t>
  </si>
  <si>
    <t>2022.06.22</t>
  </si>
  <si>
    <t>꽃잎, 흩날리는 [BL][단행본]</t>
  </si>
  <si>
    <t>마용출</t>
  </si>
  <si>
    <t>2022.06.27</t>
  </si>
  <si>
    <t>나의 시고르자브종 3권 [BL][단행본]</t>
  </si>
  <si>
    <t>꽃잎, 흩날리는 외전 [BL][단행본]</t>
  </si>
  <si>
    <t>그땐 미처 [외전증보판][단행본]</t>
  </si>
  <si>
    <t>2020.02.07</t>
  </si>
  <si>
    <t>구애 외전 [단행본]</t>
  </si>
  <si>
    <t>베리타 (verità) [단행본]</t>
  </si>
  <si>
    <t>살 떨리는 동거 외전 [단행본]</t>
  </si>
  <si>
    <t>2022.08.02</t>
  </si>
  <si>
    <t>블레슈(Blesshuu)</t>
  </si>
  <si>
    <t>2022.08.01</t>
  </si>
  <si>
    <t>모르는 남자와 결혼했다</t>
  </si>
  <si>
    <t>정요화</t>
  </si>
  <si>
    <t>2022.07.20</t>
  </si>
  <si>
    <t>부도덕한 재회</t>
  </si>
  <si>
    <t>이리안</t>
  </si>
  <si>
    <t>2022.07.27</t>
  </si>
  <si>
    <t>최종 보스 : 빛을 향해 달리는 그림자 [단행본]</t>
  </si>
  <si>
    <t>베놈 마스터 [단행본]</t>
  </si>
  <si>
    <t>성군이십니다 [단행본]</t>
  </si>
  <si>
    <t>2020.03.26</t>
  </si>
  <si>
    <t>올마스터가 된 비전서고 [단행본]</t>
  </si>
  <si>
    <t>영웅 [개정판][단행본]</t>
  </si>
  <si>
    <t>신들의 알바나라 [단행본]</t>
  </si>
  <si>
    <t>회귀했는데 FFF급 부두술사 [단행본]</t>
  </si>
  <si>
    <t>헌터인데 내공이 좀 많네요</t>
  </si>
  <si>
    <t>돈문어</t>
  </si>
  <si>
    <t>2022.03.25</t>
  </si>
  <si>
    <t>검산도해 [단행본]</t>
  </si>
  <si>
    <t>권용찬</t>
  </si>
  <si>
    <t>망작 리메이커 [단행본]</t>
  </si>
  <si>
    <t>2022.03.29</t>
  </si>
  <si>
    <t>주님</t>
  </si>
  <si>
    <t>2019.01.25</t>
  </si>
  <si>
    <t>버그 걸린 드래곤 [단행본]</t>
  </si>
  <si>
    <t>죽이는 플로우</t>
  </si>
  <si>
    <t>전여린</t>
  </si>
  <si>
    <t>2020.07.17</t>
  </si>
  <si>
    <t>칵테일로 레벨업 [단행본]</t>
  </si>
  <si>
    <t>야릇한 그놈 [단행본]</t>
  </si>
  <si>
    <t>함선으로 귀환해서 이세계 최강 [무료연재]</t>
  </si>
  <si>
    <t>밥앤라면</t>
  </si>
  <si>
    <t>벨라트릭스</t>
  </si>
  <si>
    <t>vvk</t>
  </si>
  <si>
    <t>2019.09.05</t>
  </si>
  <si>
    <t>SOTUS 외전 [BL][단행본]</t>
  </si>
  <si>
    <t>브레이크 포레스트</t>
  </si>
  <si>
    <t>구이</t>
  </si>
  <si>
    <t>쉿, 그놈을 부탁해</t>
  </si>
  <si>
    <t>먼나무</t>
  </si>
  <si>
    <t>2021.11.15</t>
  </si>
  <si>
    <t>드래곤은 나 혼자 잡는다</t>
  </si>
  <si>
    <t>2018.12.17</t>
  </si>
  <si>
    <t>내 남자 길들이기 [단행본]</t>
  </si>
  <si>
    <t>들이대지 마 [BL][단행본]</t>
  </si>
  <si>
    <t>2021.05.20</t>
  </si>
  <si>
    <t>사냥 [외전증보판][단행본]</t>
  </si>
  <si>
    <t>2020.02.06</t>
  </si>
  <si>
    <t>죽이는 플로우 [단행본]</t>
  </si>
  <si>
    <t>2021.05.13</t>
  </si>
  <si>
    <t>주님 [외전증보판][단행본]</t>
  </si>
  <si>
    <t>2018.10.02</t>
  </si>
  <si>
    <t>충동적인 결혼 [외전증보판][단행본]</t>
  </si>
  <si>
    <t>사랑한다 윤혜영 [개정판][삽화본][단행본]</t>
  </si>
  <si>
    <t>와그작 [BL]</t>
  </si>
  <si>
    <t>2021.06.02</t>
  </si>
  <si>
    <t>우리 [개정판][삽화본][단행본]</t>
  </si>
  <si>
    <t>사랑, 흘러간다 [BL][단행본]</t>
  </si>
  <si>
    <t>2021.02.17</t>
  </si>
  <si>
    <t>내 사랑 스토커 3 [단행본]</t>
  </si>
  <si>
    <t>2020.05.12</t>
  </si>
  <si>
    <t>내 사랑 스토커 2 [단행본]</t>
  </si>
  <si>
    <t>2020.05.11</t>
  </si>
  <si>
    <t>내 사랑 스토커 1 [단행본]</t>
  </si>
  <si>
    <t>내 남자 길들이기 외전 [단행본]</t>
  </si>
  <si>
    <t>바랑둥이 내 남자 [외전][단행본]</t>
  </si>
  <si>
    <t>Only you 외전 [BL][단행본]</t>
  </si>
  <si>
    <t>시리즈완전판(APP)</t>
    <phoneticPr fontId="20" type="noConversion"/>
  </si>
  <si>
    <t>던전 공략 LIVE [단행본]</t>
  </si>
  <si>
    <t>2018.02.21</t>
  </si>
  <si>
    <t>젖어 들다</t>
  </si>
  <si>
    <t>란토파즈</t>
  </si>
  <si>
    <t>2019.07.05</t>
  </si>
  <si>
    <t>시리즈(iOS)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</si>
  <si>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</si>
  <si>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</si>
  <si>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</si>
  <si>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</si>
  <si>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</si>
  <si>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</si>
  <si>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</si>
  <si>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</si>
  <si>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</si>
  <si>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</si>
  <si>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</si>
  <si>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</si>
  <si>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</si>
  <si>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</si>
  <si>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</si>
  <si>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</si>
  <si>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</si>
  <si>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</si>
  <si>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</si>
  <si>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</si>
  <si>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</si>
  <si>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</si>
  <si>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</si>
  <si>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</si>
  <si>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</si>
  <si>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</si>
  <si>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</si>
  <si>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</si>
  <si>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</si>
  <si>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</si>
  <si>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</si>
  <si>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</si>
  <si>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</si>
  <si>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</si>
  <si>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</si>
  <si>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</si>
  <si>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</si>
  <si>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</si>
  <si>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</si>
  <si>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</si>
  <si>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</si>
  <si>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</si>
  <si>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</si>
  <si>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</si>
  <si>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</si>
  <si>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</si>
  <si>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</si>
  <si>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</si>
  <si>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</si>
  <si>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</si>
  <si>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</si>
  <si>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</si>
  <si>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</si>
  <si>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</si>
  <si>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</si>
  <si>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</si>
  <si>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</si>
  <si>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</si>
  <si>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출판사</t>
    <phoneticPr fontId="22" type="noConversion"/>
  </si>
  <si>
    <r>
      <rPr>
        <sz val="10"/>
        <color theme="1"/>
        <rFont val="맑은 고딕"/>
        <family val="3"/>
        <charset val="129"/>
        <scheme val="major"/>
      </rPr>
      <t>작가</t>
    </r>
    <r>
      <rPr>
        <sz val="11"/>
        <color theme="1"/>
        <rFont val="맑은 고딕"/>
        <family val="3"/>
        <charset val="129"/>
        <scheme val="major"/>
      </rPr>
      <t xml:space="preserve"> CP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</si>
</sst>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3" fillId="0" borderId="0" xfId="42" applyFont="1">
      <alignment vertical="center"/>
    </xf>
    <xf numFmtId="41" fontId="23" fillId="0" borderId="0" xfId="42" applyFont="1" applyFill="1">
      <alignment vertical="center"/>
    </xf>
    <xf numFmtId="41" fontId="24" fillId="0" borderId="0" xfId="42" applyFont="1">
      <alignment vertical="center"/>
    </xf>
    <xf numFmtId="41" fontId="24" fillId="34" borderId="0" xfId="42" applyFont="1" applyFill="1">
      <alignment vertical="center"/>
    </xf>
    <xf numFmtId="0" fontId="25" fillId="35" borderId="10" xfId="0" applyFont="1" applyFill="1" applyBorder="1" applyAlignment="1">
      <alignment vertical="center"/>
    </xf>
    <xf numFmtId="0" fontId="26" fillId="35" borderId="11" xfId="0" applyFont="1" applyFill="1" applyBorder="1" applyAlignme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470"/>
  <sheetViews>
    <sheetView tabSelected="1" zoomScale="115" zoomScaleNormal="115" workbookViewId="0">
      <selection sqref="A1:XFD1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4" max="64" width="11.699218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9" ht="27" customHeight="1" x14ac:dyDescent="0.4">
      <c r="A1" s="2" t="s">
        <v>532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533</v>
      </c>
      <c r="I1" s="14" t="s">
        <v>6</v>
      </c>
      <c r="J1" s="12" t="s">
        <v>534</v>
      </c>
      <c r="K1" s="12" t="s">
        <v>535</v>
      </c>
      <c r="L1" s="12" t="s">
        <v>536</v>
      </c>
      <c r="M1" s="12" t="s">
        <v>537</v>
      </c>
      <c r="N1" s="12" t="s">
        <v>538</v>
      </c>
      <c r="O1" s="12" t="s">
        <v>539</v>
      </c>
      <c r="P1" s="12" t="s">
        <v>540</v>
      </c>
      <c r="Q1" s="12" t="s">
        <v>541</v>
      </c>
      <c r="R1" s="12" t="s">
        <v>542</v>
      </c>
      <c r="S1" s="12" t="s">
        <v>543</v>
      </c>
      <c r="T1" s="12" t="s">
        <v>544</v>
      </c>
      <c r="U1" s="12" t="s">
        <v>545</v>
      </c>
      <c r="V1" s="12" t="s">
        <v>546</v>
      </c>
      <c r="W1" s="12" t="s">
        <v>547</v>
      </c>
      <c r="X1" s="12" t="s">
        <v>548</v>
      </c>
      <c r="Y1" s="12" t="s">
        <v>549</v>
      </c>
      <c r="Z1" s="12" t="s">
        <v>550</v>
      </c>
      <c r="AA1" s="12" t="s">
        <v>551</v>
      </c>
      <c r="AB1" s="12" t="s">
        <v>552</v>
      </c>
      <c r="AC1" s="12" t="s">
        <v>553</v>
      </c>
      <c r="AD1" s="12" t="s">
        <v>554</v>
      </c>
      <c r="AE1" s="12" t="s">
        <v>555</v>
      </c>
      <c r="AF1" s="12" t="s">
        <v>556</v>
      </c>
      <c r="AG1" s="12" t="s">
        <v>557</v>
      </c>
      <c r="AH1" s="12" t="s">
        <v>558</v>
      </c>
      <c r="AI1" s="12" t="s">
        <v>559</v>
      </c>
      <c r="AJ1" s="12" t="s">
        <v>560</v>
      </c>
      <c r="AK1" s="12" t="s">
        <v>561</v>
      </c>
      <c r="AL1" s="12" t="s">
        <v>562</v>
      </c>
      <c r="AM1" s="12" t="s">
        <v>563</v>
      </c>
      <c r="AN1" s="12" t="s">
        <v>564</v>
      </c>
      <c r="AO1" s="12" t="s">
        <v>565</v>
      </c>
      <c r="AP1" s="12" t="s">
        <v>566</v>
      </c>
      <c r="AQ1" s="12" t="s">
        <v>567</v>
      </c>
      <c r="AR1" s="12" t="s">
        <v>568</v>
      </c>
      <c r="AS1" s="12" t="s">
        <v>569</v>
      </c>
      <c r="AT1" s="12" t="s">
        <v>570</v>
      </c>
      <c r="AU1" s="12" t="s">
        <v>571</v>
      </c>
      <c r="AV1" s="12" t="s">
        <v>572</v>
      </c>
      <c r="AW1" s="12" t="s">
        <v>573</v>
      </c>
      <c r="AX1" s="12" t="s">
        <v>574</v>
      </c>
      <c r="AY1" s="12" t="s">
        <v>575</v>
      </c>
      <c r="AZ1" s="12" t="s">
        <v>576</v>
      </c>
      <c r="BA1" s="12" t="s">
        <v>577</v>
      </c>
      <c r="BB1" s="12" t="s">
        <v>578</v>
      </c>
      <c r="BC1" s="12" t="s">
        <v>579</v>
      </c>
      <c r="BD1" s="12" t="s">
        <v>580</v>
      </c>
      <c r="BE1" s="12" t="s">
        <v>581</v>
      </c>
      <c r="BF1" s="12" t="s">
        <v>582</v>
      </c>
      <c r="BG1" s="12" t="s">
        <v>583</v>
      </c>
      <c r="BH1" s="12" t="s">
        <v>584</v>
      </c>
      <c r="BI1" s="12" t="s">
        <v>585</v>
      </c>
      <c r="BJ1" s="12" t="s">
        <v>586</v>
      </c>
      <c r="BK1" s="12" t="s">
        <v>587</v>
      </c>
      <c r="BL1" s="12" t="s">
        <v>13</v>
      </c>
      <c r="BM1" s="12" t="s">
        <v>12</v>
      </c>
      <c r="BN1" s="12" t="s">
        <v>588</v>
      </c>
      <c r="BO1" s="12" t="s">
        <v>589</v>
      </c>
      <c r="BP1" s="19" t="s">
        <v>590</v>
      </c>
      <c r="BQ1" s="20" t="s">
        <v>591</v>
      </c>
    </row>
    <row r="2" spans="1:69" x14ac:dyDescent="0.4">
      <c r="A2" s="5" t="s">
        <v>14</v>
      </c>
      <c r="B2" s="5" t="s">
        <v>421</v>
      </c>
      <c r="C2" s="5">
        <v>472512</v>
      </c>
      <c r="D2" s="6"/>
      <c r="E2" s="5" t="s">
        <v>16</v>
      </c>
      <c r="F2" s="5" t="s">
        <v>39</v>
      </c>
      <c r="G2" s="5" t="s">
        <v>10</v>
      </c>
      <c r="H2" s="7" t="s">
        <v>7</v>
      </c>
      <c r="I2" s="7" t="s">
        <v>456</v>
      </c>
      <c r="J2" s="7">
        <v>33</v>
      </c>
      <c r="K2" s="8">
        <v>75488</v>
      </c>
      <c r="L2" s="8">
        <v>3300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8">
        <v>2464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81030</v>
      </c>
      <c r="AF2" s="8">
        <v>4754960</v>
      </c>
      <c r="AG2" s="8">
        <v>3563500</v>
      </c>
      <c r="AH2" s="7">
        <v>0</v>
      </c>
      <c r="AI2" s="7">
        <v>0</v>
      </c>
      <c r="AJ2" s="7">
        <v>0</v>
      </c>
      <c r="AK2" s="7">
        <v>137</v>
      </c>
      <c r="AL2" s="8">
        <v>3000</v>
      </c>
      <c r="AM2" s="8">
        <v>11200</v>
      </c>
      <c r="AN2" s="7">
        <v>0</v>
      </c>
      <c r="AO2" s="7">
        <v>0</v>
      </c>
      <c r="AP2" s="7">
        <v>0</v>
      </c>
      <c r="AQ2" s="8">
        <v>33090</v>
      </c>
      <c r="AR2" s="8">
        <v>3231800</v>
      </c>
      <c r="AS2" s="8">
        <v>77200</v>
      </c>
      <c r="AT2" s="7">
        <v>0</v>
      </c>
      <c r="AU2" s="7">
        <v>0</v>
      </c>
      <c r="AV2" s="7">
        <v>0</v>
      </c>
      <c r="AW2" s="8">
        <v>11181</v>
      </c>
      <c r="AX2" s="8">
        <v>1338664</v>
      </c>
      <c r="AY2" s="8">
        <v>3600</v>
      </c>
      <c r="AZ2" s="7">
        <v>0</v>
      </c>
      <c r="BA2" s="7">
        <v>0</v>
      </c>
      <c r="BB2" s="7">
        <v>0</v>
      </c>
      <c r="BC2" s="8">
        <v>69057</v>
      </c>
      <c r="BD2" s="8">
        <v>8268720</v>
      </c>
      <c r="BE2" s="8">
        <v>15100</v>
      </c>
      <c r="BF2" s="7">
        <v>0</v>
      </c>
      <c r="BG2" s="7">
        <v>0</v>
      </c>
      <c r="BH2" s="7">
        <v>0</v>
      </c>
      <c r="BI2" s="7">
        <v>95</v>
      </c>
      <c r="BJ2" s="8">
        <v>11400</v>
      </c>
      <c r="BK2" s="7">
        <v>0</v>
      </c>
      <c r="BL2" s="9">
        <v>631459.6</v>
      </c>
      <c r="BM2" s="10">
        <v>21282444</v>
      </c>
      <c r="BN2" s="15">
        <f>BM2-BL2</f>
        <v>20650984.399999999</v>
      </c>
      <c r="BO2" s="16">
        <f>BN2*70%</f>
        <v>14455689.079999998</v>
      </c>
    </row>
    <row r="3" spans="1:69" x14ac:dyDescent="0.4">
      <c r="A3" s="5" t="s">
        <v>14</v>
      </c>
      <c r="B3" s="5" t="s">
        <v>15</v>
      </c>
      <c r="C3" s="5">
        <v>465248</v>
      </c>
      <c r="D3" s="6"/>
      <c r="E3" s="5" t="s">
        <v>16</v>
      </c>
      <c r="F3" s="5" t="s">
        <v>17</v>
      </c>
      <c r="G3" s="5" t="s">
        <v>457</v>
      </c>
      <c r="H3" s="7" t="s">
        <v>9</v>
      </c>
      <c r="I3" s="7" t="s">
        <v>18</v>
      </c>
      <c r="J3" s="7">
        <v>101</v>
      </c>
      <c r="K3" s="8">
        <v>77685</v>
      </c>
      <c r="L3" s="8">
        <v>10100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33855</v>
      </c>
      <c r="AF3" s="8">
        <v>1618040</v>
      </c>
      <c r="AG3" s="8">
        <v>1807700</v>
      </c>
      <c r="AH3" s="7">
        <v>0</v>
      </c>
      <c r="AI3" s="7">
        <v>0</v>
      </c>
      <c r="AJ3" s="7">
        <v>0</v>
      </c>
      <c r="AK3" s="7">
        <v>42</v>
      </c>
      <c r="AL3" s="7">
        <v>840</v>
      </c>
      <c r="AM3" s="8">
        <v>3500</v>
      </c>
      <c r="AN3" s="7">
        <v>0</v>
      </c>
      <c r="AO3" s="7">
        <v>0</v>
      </c>
      <c r="AP3" s="7">
        <v>0</v>
      </c>
      <c r="AQ3" s="8">
        <v>7961</v>
      </c>
      <c r="AR3" s="8">
        <v>776700</v>
      </c>
      <c r="AS3" s="8">
        <v>19400</v>
      </c>
      <c r="AT3" s="7">
        <v>0</v>
      </c>
      <c r="AU3" s="7">
        <v>0</v>
      </c>
      <c r="AV3" s="7">
        <v>0</v>
      </c>
      <c r="AW3" s="8">
        <v>3367</v>
      </c>
      <c r="AX3" s="8">
        <v>402542</v>
      </c>
      <c r="AY3" s="8">
        <v>1500</v>
      </c>
      <c r="AZ3" s="7">
        <v>0</v>
      </c>
      <c r="BA3" s="7">
        <v>0</v>
      </c>
      <c r="BB3" s="7">
        <v>0</v>
      </c>
      <c r="BC3" s="8">
        <v>27318</v>
      </c>
      <c r="BD3" s="8">
        <v>3258960</v>
      </c>
      <c r="BE3" s="8">
        <v>16000</v>
      </c>
      <c r="BF3" s="7">
        <v>0</v>
      </c>
      <c r="BG3" s="7">
        <v>0</v>
      </c>
      <c r="BH3" s="7">
        <v>0</v>
      </c>
      <c r="BI3" s="7">
        <v>52</v>
      </c>
      <c r="BJ3" s="8">
        <v>6240</v>
      </c>
      <c r="BK3" s="7">
        <v>0</v>
      </c>
      <c r="BL3" s="9">
        <v>236355.8</v>
      </c>
      <c r="BM3" s="10">
        <v>7921522</v>
      </c>
      <c r="BN3" s="15">
        <f t="shared" ref="BN3:BN66" si="0">BM3-BL3</f>
        <v>7685166.2000000002</v>
      </c>
      <c r="BO3" s="16">
        <f t="shared" ref="BO3:BO66" si="1">BN3*70%</f>
        <v>5379616.3399999999</v>
      </c>
    </row>
    <row r="4" spans="1:69" x14ac:dyDescent="0.4">
      <c r="A4" s="5" t="s">
        <v>14</v>
      </c>
      <c r="B4" s="5" t="s">
        <v>19</v>
      </c>
      <c r="C4" s="5">
        <v>463799</v>
      </c>
      <c r="D4" s="6"/>
      <c r="E4" s="5" t="s">
        <v>16</v>
      </c>
      <c r="F4" s="5" t="s">
        <v>20</v>
      </c>
      <c r="G4" s="5" t="s">
        <v>10</v>
      </c>
      <c r="H4" s="7" t="s">
        <v>7</v>
      </c>
      <c r="I4" s="7" t="s">
        <v>21</v>
      </c>
      <c r="J4" s="7">
        <v>3</v>
      </c>
      <c r="K4" s="7">
        <v>0</v>
      </c>
      <c r="L4" s="7">
        <v>300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8">
        <v>2418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8">
        <v>15123</v>
      </c>
      <c r="AF4" s="8">
        <v>1521740</v>
      </c>
      <c r="AG4" s="8">
        <v>120300</v>
      </c>
      <c r="AH4" s="7">
        <v>0</v>
      </c>
      <c r="AI4" s="7">
        <v>0</v>
      </c>
      <c r="AJ4" s="7">
        <v>0</v>
      </c>
      <c r="AK4" s="7">
        <v>120</v>
      </c>
      <c r="AL4" s="8">
        <v>14400</v>
      </c>
      <c r="AM4" s="7">
        <v>0</v>
      </c>
      <c r="AN4" s="7">
        <v>0</v>
      </c>
      <c r="AO4" s="7">
        <v>0</v>
      </c>
      <c r="AP4" s="7">
        <v>0</v>
      </c>
      <c r="AQ4" s="8">
        <v>6434</v>
      </c>
      <c r="AR4" s="8">
        <v>633200</v>
      </c>
      <c r="AS4" s="8">
        <v>10200</v>
      </c>
      <c r="AT4" s="7">
        <v>0</v>
      </c>
      <c r="AU4" s="7">
        <v>0</v>
      </c>
      <c r="AV4" s="7">
        <v>0</v>
      </c>
      <c r="AW4" s="8">
        <v>4175</v>
      </c>
      <c r="AX4" s="8">
        <v>511198</v>
      </c>
      <c r="AY4" s="8">
        <v>1000</v>
      </c>
      <c r="AZ4" s="7">
        <v>0</v>
      </c>
      <c r="BA4" s="7">
        <v>0</v>
      </c>
      <c r="BB4" s="7">
        <v>0</v>
      </c>
      <c r="BC4" s="8">
        <v>23475</v>
      </c>
      <c r="BD4" s="8">
        <v>2813880</v>
      </c>
      <c r="BE4" s="8">
        <v>2600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224272.6</v>
      </c>
      <c r="BM4" s="10">
        <v>5628818</v>
      </c>
      <c r="BN4" s="15">
        <f t="shared" si="0"/>
        <v>5404545.4000000004</v>
      </c>
      <c r="BO4" s="16">
        <f t="shared" si="1"/>
        <v>3783181.78</v>
      </c>
    </row>
    <row r="5" spans="1:69" x14ac:dyDescent="0.4">
      <c r="A5" s="5" t="s">
        <v>14</v>
      </c>
      <c r="B5" s="5" t="s">
        <v>132</v>
      </c>
      <c r="C5" s="5">
        <v>359912</v>
      </c>
      <c r="D5" s="6"/>
      <c r="E5" s="5" t="s">
        <v>16</v>
      </c>
      <c r="F5" s="5" t="s">
        <v>133</v>
      </c>
      <c r="G5" s="5" t="s">
        <v>34</v>
      </c>
      <c r="H5" s="7" t="s">
        <v>8</v>
      </c>
      <c r="I5" s="7" t="s">
        <v>422</v>
      </c>
      <c r="J5" s="7">
        <v>0</v>
      </c>
      <c r="K5" s="8">
        <v>128195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85</v>
      </c>
      <c r="T5" s="8">
        <v>1528</v>
      </c>
      <c r="U5" s="8">
        <v>3200</v>
      </c>
      <c r="V5" s="8">
        <v>4900</v>
      </c>
      <c r="W5" s="7">
        <v>400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8">
        <v>14049</v>
      </c>
      <c r="AF5" s="8">
        <v>512760</v>
      </c>
      <c r="AG5" s="8">
        <v>919700</v>
      </c>
      <c r="AH5" s="7">
        <v>0</v>
      </c>
      <c r="AI5" s="7">
        <v>0</v>
      </c>
      <c r="AJ5" s="7">
        <v>0</v>
      </c>
      <c r="AK5" s="7">
        <v>56</v>
      </c>
      <c r="AL5" s="8">
        <v>5898</v>
      </c>
      <c r="AM5" s="7">
        <v>800</v>
      </c>
      <c r="AN5" s="7">
        <v>0</v>
      </c>
      <c r="AO5" s="7">
        <v>0</v>
      </c>
      <c r="AP5" s="7">
        <v>0</v>
      </c>
      <c r="AQ5" s="8">
        <v>3954</v>
      </c>
      <c r="AR5" s="8">
        <v>382300</v>
      </c>
      <c r="AS5" s="8">
        <v>13100</v>
      </c>
      <c r="AT5" s="7">
        <v>0</v>
      </c>
      <c r="AU5" s="7">
        <v>0</v>
      </c>
      <c r="AV5" s="7">
        <v>0</v>
      </c>
      <c r="AW5" s="8">
        <v>2096</v>
      </c>
      <c r="AX5" s="8">
        <v>251529</v>
      </c>
      <c r="AY5" s="7">
        <v>0</v>
      </c>
      <c r="AZ5" s="7">
        <v>0</v>
      </c>
      <c r="BA5" s="7">
        <v>0</v>
      </c>
      <c r="BB5" s="7">
        <v>0</v>
      </c>
      <c r="BC5" s="8">
        <v>15433</v>
      </c>
      <c r="BD5" s="8">
        <v>1851360</v>
      </c>
      <c r="BE5" s="7">
        <v>500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138003.9</v>
      </c>
      <c r="BM5" s="10">
        <v>3946447</v>
      </c>
      <c r="BN5" s="15">
        <f t="shared" si="0"/>
        <v>3808443.1</v>
      </c>
      <c r="BO5" s="16">
        <f t="shared" si="1"/>
        <v>2665910.17</v>
      </c>
    </row>
    <row r="6" spans="1:69" x14ac:dyDescent="0.4">
      <c r="A6" s="5" t="s">
        <v>14</v>
      </c>
      <c r="B6" s="5" t="s">
        <v>36</v>
      </c>
      <c r="C6" s="5">
        <v>178856</v>
      </c>
      <c r="D6" s="6"/>
      <c r="E6" s="5" t="s">
        <v>16</v>
      </c>
      <c r="F6" s="5" t="s">
        <v>30</v>
      </c>
      <c r="G6" s="5" t="s">
        <v>10</v>
      </c>
      <c r="H6" s="7" t="s">
        <v>9</v>
      </c>
      <c r="I6" s="7" t="s">
        <v>37</v>
      </c>
      <c r="J6" s="7">
        <v>0</v>
      </c>
      <c r="K6" s="7">
        <v>50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5</v>
      </c>
      <c r="T6" s="8">
        <v>3820</v>
      </c>
      <c r="U6" s="7">
        <v>200</v>
      </c>
      <c r="V6" s="7">
        <v>300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8">
        <v>8334</v>
      </c>
      <c r="AF6" s="8">
        <v>510420</v>
      </c>
      <c r="AG6" s="8">
        <v>369400</v>
      </c>
      <c r="AH6" s="7">
        <v>0</v>
      </c>
      <c r="AI6" s="7">
        <v>0</v>
      </c>
      <c r="AJ6" s="7">
        <v>0</v>
      </c>
      <c r="AK6" s="7">
        <v>93</v>
      </c>
      <c r="AL6" s="8">
        <v>11439</v>
      </c>
      <c r="AM6" s="7">
        <v>0</v>
      </c>
      <c r="AN6" s="7">
        <v>0</v>
      </c>
      <c r="AO6" s="7">
        <v>0</v>
      </c>
      <c r="AP6" s="7">
        <v>0</v>
      </c>
      <c r="AQ6" s="8">
        <v>4068</v>
      </c>
      <c r="AR6" s="8">
        <v>399100</v>
      </c>
      <c r="AS6" s="8">
        <v>7700</v>
      </c>
      <c r="AT6" s="7">
        <v>0</v>
      </c>
      <c r="AU6" s="7">
        <v>0</v>
      </c>
      <c r="AV6" s="7">
        <v>0</v>
      </c>
      <c r="AW6" s="8">
        <v>1700</v>
      </c>
      <c r="AX6" s="8">
        <v>204855</v>
      </c>
      <c r="AY6" s="8">
        <v>1000</v>
      </c>
      <c r="AZ6" s="7">
        <v>0</v>
      </c>
      <c r="BA6" s="7">
        <v>0</v>
      </c>
      <c r="BB6" s="7">
        <v>0</v>
      </c>
      <c r="BC6" s="8">
        <v>6865</v>
      </c>
      <c r="BD6" s="8">
        <v>820200</v>
      </c>
      <c r="BE6" s="8">
        <v>3000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73129.2</v>
      </c>
      <c r="BM6" s="10">
        <v>2327614</v>
      </c>
      <c r="BN6" s="15">
        <f t="shared" si="0"/>
        <v>2254484.7999999998</v>
      </c>
      <c r="BO6" s="16">
        <f t="shared" si="1"/>
        <v>1578139.3599999999</v>
      </c>
    </row>
    <row r="7" spans="1:69" ht="19.2" x14ac:dyDescent="0.4">
      <c r="A7" s="5" t="s">
        <v>14</v>
      </c>
      <c r="B7" s="5" t="s">
        <v>29</v>
      </c>
      <c r="C7" s="5">
        <v>369220</v>
      </c>
      <c r="D7" s="6"/>
      <c r="E7" s="5" t="s">
        <v>16</v>
      </c>
      <c r="F7" s="5" t="s">
        <v>30</v>
      </c>
      <c r="G7" s="5" t="s">
        <v>10</v>
      </c>
      <c r="H7" s="7" t="s">
        <v>7</v>
      </c>
      <c r="I7" s="7" t="s">
        <v>31</v>
      </c>
      <c r="J7" s="7">
        <v>3</v>
      </c>
      <c r="K7" s="7">
        <v>66</v>
      </c>
      <c r="L7" s="7">
        <v>300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616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8">
        <v>5085</v>
      </c>
      <c r="AF7" s="8">
        <v>304520</v>
      </c>
      <c r="AG7" s="8">
        <v>217300</v>
      </c>
      <c r="AH7" s="7">
        <v>0</v>
      </c>
      <c r="AI7" s="7">
        <v>0</v>
      </c>
      <c r="AJ7" s="7">
        <v>0</v>
      </c>
      <c r="AK7" s="7">
        <v>15</v>
      </c>
      <c r="AL7" s="7">
        <v>0</v>
      </c>
      <c r="AM7" s="8">
        <v>1500</v>
      </c>
      <c r="AN7" s="7">
        <v>0</v>
      </c>
      <c r="AO7" s="7">
        <v>0</v>
      </c>
      <c r="AP7" s="7">
        <v>0</v>
      </c>
      <c r="AQ7" s="8">
        <v>1841</v>
      </c>
      <c r="AR7" s="8">
        <v>181900</v>
      </c>
      <c r="AS7" s="8">
        <v>2200</v>
      </c>
      <c r="AT7" s="7">
        <v>0</v>
      </c>
      <c r="AU7" s="7">
        <v>0</v>
      </c>
      <c r="AV7" s="7">
        <v>0</v>
      </c>
      <c r="AW7" s="8">
        <v>1872</v>
      </c>
      <c r="AX7" s="8">
        <v>225136</v>
      </c>
      <c r="AY7" s="7">
        <v>0</v>
      </c>
      <c r="AZ7" s="7">
        <v>0</v>
      </c>
      <c r="BA7" s="7">
        <v>0</v>
      </c>
      <c r="BB7" s="7">
        <v>0</v>
      </c>
      <c r="BC7" s="8">
        <v>9612</v>
      </c>
      <c r="BD7" s="8">
        <v>1151040</v>
      </c>
      <c r="BE7" s="8">
        <v>2000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91576</v>
      </c>
      <c r="BM7" s="10">
        <v>2085896</v>
      </c>
      <c r="BN7" s="15">
        <f t="shared" si="0"/>
        <v>1994320</v>
      </c>
      <c r="BO7" s="16">
        <f t="shared" si="1"/>
        <v>1396024</v>
      </c>
    </row>
    <row r="8" spans="1:69" ht="19.2" x14ac:dyDescent="0.4">
      <c r="A8" s="5" t="s">
        <v>14</v>
      </c>
      <c r="B8" s="5" t="s">
        <v>38</v>
      </c>
      <c r="C8" s="5">
        <v>454534</v>
      </c>
      <c r="D8" s="6"/>
      <c r="E8" s="5" t="s">
        <v>16</v>
      </c>
      <c r="F8" s="5" t="s">
        <v>39</v>
      </c>
      <c r="G8" s="5" t="s">
        <v>10</v>
      </c>
      <c r="H8" s="7" t="s">
        <v>7</v>
      </c>
      <c r="I8" s="7" t="s">
        <v>458</v>
      </c>
      <c r="J8" s="7">
        <v>0</v>
      </c>
      <c r="K8" s="8">
        <v>25662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212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8">
        <v>7402</v>
      </c>
      <c r="AF8" s="8">
        <v>376020</v>
      </c>
      <c r="AG8" s="8">
        <v>387000</v>
      </c>
      <c r="AH8" s="7">
        <v>0</v>
      </c>
      <c r="AI8" s="7">
        <v>0</v>
      </c>
      <c r="AJ8" s="7">
        <v>0</v>
      </c>
      <c r="AK8" s="7">
        <v>142</v>
      </c>
      <c r="AL8" s="8">
        <v>10920</v>
      </c>
      <c r="AM8" s="8">
        <v>5100</v>
      </c>
      <c r="AN8" s="7">
        <v>0</v>
      </c>
      <c r="AO8" s="7">
        <v>0</v>
      </c>
      <c r="AP8" s="7">
        <v>0</v>
      </c>
      <c r="AQ8" s="8">
        <v>2581</v>
      </c>
      <c r="AR8" s="8">
        <v>254700</v>
      </c>
      <c r="AS8" s="8">
        <v>3400</v>
      </c>
      <c r="AT8" s="7">
        <v>0</v>
      </c>
      <c r="AU8" s="7">
        <v>0</v>
      </c>
      <c r="AV8" s="7">
        <v>0</v>
      </c>
      <c r="AW8" s="8">
        <v>1211</v>
      </c>
      <c r="AX8" s="8">
        <v>144370</v>
      </c>
      <c r="AY8" s="7">
        <v>800</v>
      </c>
      <c r="AZ8" s="7">
        <v>0</v>
      </c>
      <c r="BA8" s="7">
        <v>0</v>
      </c>
      <c r="BB8" s="7">
        <v>0</v>
      </c>
      <c r="BC8" s="8">
        <v>6581</v>
      </c>
      <c r="BD8" s="8">
        <v>786240</v>
      </c>
      <c r="BE8" s="8">
        <v>2900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64887.4</v>
      </c>
      <c r="BM8" s="10">
        <v>1971450</v>
      </c>
      <c r="BN8" s="15">
        <f t="shared" si="0"/>
        <v>1906562.6</v>
      </c>
      <c r="BO8" s="16">
        <f t="shared" si="1"/>
        <v>1334593.82</v>
      </c>
    </row>
    <row r="9" spans="1:69" x14ac:dyDescent="0.4">
      <c r="A9" s="5" t="s">
        <v>14</v>
      </c>
      <c r="B9" s="5" t="s">
        <v>459</v>
      </c>
      <c r="C9" s="5">
        <v>476035</v>
      </c>
      <c r="D9" s="6"/>
      <c r="E9" s="5" t="s">
        <v>16</v>
      </c>
      <c r="F9" s="5" t="s">
        <v>460</v>
      </c>
      <c r="G9" s="5" t="s">
        <v>457</v>
      </c>
      <c r="H9" s="7" t="s">
        <v>9</v>
      </c>
      <c r="I9" s="7" t="s">
        <v>461</v>
      </c>
      <c r="J9" s="7">
        <v>0</v>
      </c>
      <c r="K9" s="8">
        <v>13090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8">
        <v>5441</v>
      </c>
      <c r="AF9" s="8">
        <v>260220</v>
      </c>
      <c r="AG9" s="8">
        <v>298300</v>
      </c>
      <c r="AH9" s="7">
        <v>0</v>
      </c>
      <c r="AI9" s="7">
        <v>0</v>
      </c>
      <c r="AJ9" s="7">
        <v>0</v>
      </c>
      <c r="AK9" s="7">
        <v>13</v>
      </c>
      <c r="AL9" s="7">
        <v>501</v>
      </c>
      <c r="AM9" s="7">
        <v>900</v>
      </c>
      <c r="AN9" s="7">
        <v>0</v>
      </c>
      <c r="AO9" s="7">
        <v>0</v>
      </c>
      <c r="AP9" s="7">
        <v>0</v>
      </c>
      <c r="AQ9" s="8">
        <v>1585</v>
      </c>
      <c r="AR9" s="8">
        <v>157200</v>
      </c>
      <c r="AS9" s="8">
        <v>1300</v>
      </c>
      <c r="AT9" s="7">
        <v>0</v>
      </c>
      <c r="AU9" s="7">
        <v>0</v>
      </c>
      <c r="AV9" s="7">
        <v>0</v>
      </c>
      <c r="AW9" s="8">
        <v>1247</v>
      </c>
      <c r="AX9" s="8">
        <v>147996</v>
      </c>
      <c r="AY9" s="8">
        <v>1500</v>
      </c>
      <c r="AZ9" s="7">
        <v>0</v>
      </c>
      <c r="BA9" s="7">
        <v>0</v>
      </c>
      <c r="BB9" s="7">
        <v>0</v>
      </c>
      <c r="BC9" s="8">
        <v>8698</v>
      </c>
      <c r="BD9" s="8">
        <v>1036320</v>
      </c>
      <c r="BE9" s="8">
        <v>6200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77129.100000000006</v>
      </c>
      <c r="BM9" s="10">
        <v>1910437</v>
      </c>
      <c r="BN9" s="15">
        <f t="shared" si="0"/>
        <v>1833307.9</v>
      </c>
      <c r="BO9" s="16">
        <f t="shared" si="1"/>
        <v>1283315.5299999998</v>
      </c>
    </row>
    <row r="10" spans="1:69" x14ac:dyDescent="0.4">
      <c r="A10" s="5" t="s">
        <v>14</v>
      </c>
      <c r="B10" s="5" t="s">
        <v>28</v>
      </c>
      <c r="C10" s="5">
        <v>414278</v>
      </c>
      <c r="D10" s="6"/>
      <c r="E10" s="5" t="s">
        <v>16</v>
      </c>
      <c r="F10" s="5" t="s">
        <v>11</v>
      </c>
      <c r="G10" s="5" t="s">
        <v>10</v>
      </c>
      <c r="H10" s="7" t="s">
        <v>8</v>
      </c>
      <c r="I10" s="7" t="s">
        <v>461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112</v>
      </c>
      <c r="AF10" s="8">
        <v>290560</v>
      </c>
      <c r="AG10" s="8">
        <v>55300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102</v>
      </c>
      <c r="AR10" s="8">
        <v>311100</v>
      </c>
      <c r="AS10" s="8">
        <v>11000</v>
      </c>
      <c r="AT10" s="7">
        <v>0</v>
      </c>
      <c r="AU10" s="7">
        <v>0</v>
      </c>
      <c r="AV10" s="7">
        <v>0</v>
      </c>
      <c r="AW10" s="7">
        <v>24</v>
      </c>
      <c r="AX10" s="8">
        <v>98748</v>
      </c>
      <c r="AY10" s="7">
        <v>0</v>
      </c>
      <c r="AZ10" s="7">
        <v>0</v>
      </c>
      <c r="BA10" s="7">
        <v>0</v>
      </c>
      <c r="BB10" s="7">
        <v>0</v>
      </c>
      <c r="BC10" s="7">
        <v>291</v>
      </c>
      <c r="BD10" s="8">
        <v>1102560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76028.399999999994</v>
      </c>
      <c r="BM10" s="10">
        <v>1869268</v>
      </c>
      <c r="BN10" s="15">
        <f t="shared" si="0"/>
        <v>1793239.6</v>
      </c>
      <c r="BO10" s="16">
        <f t="shared" si="1"/>
        <v>1255267.72</v>
      </c>
    </row>
    <row r="11" spans="1:69" x14ac:dyDescent="0.4">
      <c r="A11" s="5" t="s">
        <v>14</v>
      </c>
      <c r="B11" s="5" t="s">
        <v>44</v>
      </c>
      <c r="C11" s="5">
        <v>324335</v>
      </c>
      <c r="D11" s="6"/>
      <c r="E11" s="5" t="s">
        <v>16</v>
      </c>
      <c r="F11" s="5" t="s">
        <v>30</v>
      </c>
      <c r="G11" s="5" t="s">
        <v>10</v>
      </c>
      <c r="H11" s="7" t="s">
        <v>9</v>
      </c>
      <c r="I11" s="7" t="s">
        <v>45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1</v>
      </c>
      <c r="T11" s="7">
        <v>0</v>
      </c>
      <c r="U11" s="7">
        <v>0</v>
      </c>
      <c r="V11" s="8">
        <v>3200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115</v>
      </c>
      <c r="AF11" s="8">
        <v>284240</v>
      </c>
      <c r="AG11" s="8">
        <v>66300</v>
      </c>
      <c r="AH11" s="7">
        <v>0</v>
      </c>
      <c r="AI11" s="7">
        <v>0</v>
      </c>
      <c r="AJ11" s="7">
        <v>0</v>
      </c>
      <c r="AK11" s="7">
        <v>1</v>
      </c>
      <c r="AL11" s="7">
        <v>0</v>
      </c>
      <c r="AM11" s="8">
        <v>3200</v>
      </c>
      <c r="AN11" s="7">
        <v>0</v>
      </c>
      <c r="AO11" s="7">
        <v>0</v>
      </c>
      <c r="AP11" s="7">
        <v>0</v>
      </c>
      <c r="AQ11" s="7">
        <v>93</v>
      </c>
      <c r="AR11" s="8">
        <v>266600</v>
      </c>
      <c r="AS11" s="8">
        <v>5800</v>
      </c>
      <c r="AT11" s="7">
        <v>0</v>
      </c>
      <c r="AU11" s="7">
        <v>0</v>
      </c>
      <c r="AV11" s="7">
        <v>0</v>
      </c>
      <c r="AW11" s="7">
        <v>79</v>
      </c>
      <c r="AX11" s="8">
        <v>288720</v>
      </c>
      <c r="AY11" s="7">
        <v>0</v>
      </c>
      <c r="AZ11" s="7">
        <v>0</v>
      </c>
      <c r="BA11" s="7">
        <v>0</v>
      </c>
      <c r="BB11" s="7">
        <v>0</v>
      </c>
      <c r="BC11" s="7">
        <v>181</v>
      </c>
      <c r="BD11" s="8">
        <v>612000</v>
      </c>
      <c r="BE11" s="7">
        <v>500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9">
        <v>65592</v>
      </c>
      <c r="BM11" s="10">
        <v>1530560</v>
      </c>
      <c r="BN11" s="15">
        <f t="shared" si="0"/>
        <v>1464968</v>
      </c>
      <c r="BO11" s="16">
        <f t="shared" si="1"/>
        <v>1025477.6</v>
      </c>
    </row>
    <row r="12" spans="1:69" x14ac:dyDescent="0.4">
      <c r="A12" s="5" t="s">
        <v>14</v>
      </c>
      <c r="B12" s="5" t="s">
        <v>65</v>
      </c>
      <c r="C12" s="5">
        <v>387417</v>
      </c>
      <c r="D12" s="6"/>
      <c r="E12" s="5" t="s">
        <v>16</v>
      </c>
      <c r="F12" s="5" t="s">
        <v>66</v>
      </c>
      <c r="G12" s="5" t="s">
        <v>10</v>
      </c>
      <c r="H12" s="7" t="s">
        <v>7</v>
      </c>
      <c r="I12" s="7" t="s">
        <v>67</v>
      </c>
      <c r="J12" s="7">
        <v>0</v>
      </c>
      <c r="K12" s="8">
        <v>5494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430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8">
        <v>6845</v>
      </c>
      <c r="AF12" s="8">
        <v>473760</v>
      </c>
      <c r="AG12" s="8">
        <v>227600</v>
      </c>
      <c r="AH12" s="7">
        <v>0</v>
      </c>
      <c r="AI12" s="7">
        <v>0</v>
      </c>
      <c r="AJ12" s="7">
        <v>0</v>
      </c>
      <c r="AK12" s="7">
        <v>18</v>
      </c>
      <c r="AL12" s="8">
        <v>2199</v>
      </c>
      <c r="AM12" s="7">
        <v>100</v>
      </c>
      <c r="AN12" s="7">
        <v>0</v>
      </c>
      <c r="AO12" s="7">
        <v>0</v>
      </c>
      <c r="AP12" s="7">
        <v>0</v>
      </c>
      <c r="AQ12" s="8">
        <v>2492</v>
      </c>
      <c r="AR12" s="8">
        <v>243300</v>
      </c>
      <c r="AS12" s="8">
        <v>5900</v>
      </c>
      <c r="AT12" s="7">
        <v>0</v>
      </c>
      <c r="AU12" s="7">
        <v>0</v>
      </c>
      <c r="AV12" s="7">
        <v>0</v>
      </c>
      <c r="AW12" s="7">
        <v>797</v>
      </c>
      <c r="AX12" s="8">
        <v>95031</v>
      </c>
      <c r="AY12" s="7">
        <v>500</v>
      </c>
      <c r="AZ12" s="7">
        <v>0</v>
      </c>
      <c r="BA12" s="7">
        <v>0</v>
      </c>
      <c r="BB12" s="7">
        <v>0</v>
      </c>
      <c r="BC12" s="8">
        <v>3557</v>
      </c>
      <c r="BD12" s="8">
        <v>425040</v>
      </c>
      <c r="BE12" s="8">
        <v>1500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35665.199999999997</v>
      </c>
      <c r="BM12" s="10">
        <v>1474930</v>
      </c>
      <c r="BN12" s="15">
        <f t="shared" si="0"/>
        <v>1439264.8</v>
      </c>
      <c r="BO12" s="16">
        <f t="shared" si="1"/>
        <v>1007485.36</v>
      </c>
    </row>
    <row r="13" spans="1:69" x14ac:dyDescent="0.4">
      <c r="A13" s="5" t="s">
        <v>14</v>
      </c>
      <c r="B13" s="5" t="s">
        <v>42</v>
      </c>
      <c r="C13" s="5">
        <v>321812</v>
      </c>
      <c r="D13" s="6"/>
      <c r="E13" s="5" t="s">
        <v>16</v>
      </c>
      <c r="F13" s="5" t="s">
        <v>30</v>
      </c>
      <c r="G13" s="5" t="s">
        <v>10</v>
      </c>
      <c r="H13" s="7" t="s">
        <v>7</v>
      </c>
      <c r="I13" s="7" t="s">
        <v>43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212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8">
        <v>3176</v>
      </c>
      <c r="AF13" s="8">
        <v>135580</v>
      </c>
      <c r="AG13" s="8">
        <v>190500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666</v>
      </c>
      <c r="AR13" s="8">
        <v>65300</v>
      </c>
      <c r="AS13" s="8">
        <v>1300</v>
      </c>
      <c r="AT13" s="7">
        <v>0</v>
      </c>
      <c r="AU13" s="7">
        <v>0</v>
      </c>
      <c r="AV13" s="7">
        <v>0</v>
      </c>
      <c r="AW13" s="7">
        <v>136</v>
      </c>
      <c r="AX13" s="8">
        <v>16320</v>
      </c>
      <c r="AY13" s="7">
        <v>0</v>
      </c>
      <c r="AZ13" s="7">
        <v>0</v>
      </c>
      <c r="BA13" s="7">
        <v>0</v>
      </c>
      <c r="BB13" s="7">
        <v>0</v>
      </c>
      <c r="BC13" s="8">
        <v>3680</v>
      </c>
      <c r="BD13" s="8">
        <v>441000</v>
      </c>
      <c r="BE13" s="7">
        <v>500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28092</v>
      </c>
      <c r="BM13" s="10">
        <v>850500</v>
      </c>
      <c r="BN13" s="15">
        <f t="shared" si="0"/>
        <v>822408</v>
      </c>
      <c r="BO13" s="16">
        <f t="shared" si="1"/>
        <v>575685.6</v>
      </c>
    </row>
    <row r="14" spans="1:69" x14ac:dyDescent="0.4">
      <c r="A14" s="5" t="s">
        <v>14</v>
      </c>
      <c r="B14" s="5" t="s">
        <v>25</v>
      </c>
      <c r="C14" s="5">
        <v>449889</v>
      </c>
      <c r="D14" s="6"/>
      <c r="E14" s="5" t="s">
        <v>16</v>
      </c>
      <c r="F14" s="5" t="s">
        <v>26</v>
      </c>
      <c r="G14" s="5" t="s">
        <v>10</v>
      </c>
      <c r="H14" s="7" t="s">
        <v>7</v>
      </c>
      <c r="I14" s="7" t="s">
        <v>27</v>
      </c>
      <c r="J14" s="7">
        <v>2</v>
      </c>
      <c r="K14" s="8">
        <v>7820</v>
      </c>
      <c r="L14" s="7">
        <v>200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172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8">
        <v>2239</v>
      </c>
      <c r="AF14" s="8">
        <v>133180</v>
      </c>
      <c r="AG14" s="8">
        <v>94000</v>
      </c>
      <c r="AH14" s="7">
        <v>0</v>
      </c>
      <c r="AI14" s="7">
        <v>0</v>
      </c>
      <c r="AJ14" s="7">
        <v>0</v>
      </c>
      <c r="AK14" s="7">
        <v>2</v>
      </c>
      <c r="AL14" s="7">
        <v>0</v>
      </c>
      <c r="AM14" s="7">
        <v>200</v>
      </c>
      <c r="AN14" s="7">
        <v>0</v>
      </c>
      <c r="AO14" s="7">
        <v>0</v>
      </c>
      <c r="AP14" s="7">
        <v>0</v>
      </c>
      <c r="AQ14" s="8">
        <v>1633</v>
      </c>
      <c r="AR14" s="8">
        <v>162000</v>
      </c>
      <c r="AS14" s="8">
        <v>1300</v>
      </c>
      <c r="AT14" s="7">
        <v>0</v>
      </c>
      <c r="AU14" s="7">
        <v>0</v>
      </c>
      <c r="AV14" s="7">
        <v>0</v>
      </c>
      <c r="AW14" s="8">
        <v>1037</v>
      </c>
      <c r="AX14" s="8">
        <v>124440</v>
      </c>
      <c r="AY14" s="7">
        <v>0</v>
      </c>
      <c r="AZ14" s="7">
        <v>0</v>
      </c>
      <c r="BA14" s="7">
        <v>0</v>
      </c>
      <c r="BB14" s="7">
        <v>0</v>
      </c>
      <c r="BC14" s="8">
        <v>2132</v>
      </c>
      <c r="BD14" s="8">
        <v>255240</v>
      </c>
      <c r="BE14" s="7">
        <v>500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9">
        <v>27758.400000000001</v>
      </c>
      <c r="BM14" s="10">
        <v>771060</v>
      </c>
      <c r="BN14" s="15">
        <f t="shared" si="0"/>
        <v>743301.6</v>
      </c>
      <c r="BO14" s="16">
        <f t="shared" si="1"/>
        <v>520311.11999999994</v>
      </c>
    </row>
    <row r="15" spans="1:69" x14ac:dyDescent="0.4">
      <c r="A15" s="5" t="s">
        <v>14</v>
      </c>
      <c r="B15" s="5" t="s">
        <v>83</v>
      </c>
      <c r="C15" s="5">
        <v>370935</v>
      </c>
      <c r="D15" s="6"/>
      <c r="E15" s="5" t="s">
        <v>16</v>
      </c>
      <c r="F15" s="5" t="s">
        <v>30</v>
      </c>
      <c r="G15" s="5" t="s">
        <v>10</v>
      </c>
      <c r="H15" s="7" t="s">
        <v>7</v>
      </c>
      <c r="I15" s="7" t="s">
        <v>84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50</v>
      </c>
      <c r="AF15" s="8">
        <v>90480</v>
      </c>
      <c r="AG15" s="8">
        <v>73600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13</v>
      </c>
      <c r="AR15" s="8">
        <v>41400</v>
      </c>
      <c r="AS15" s="7">
        <v>200</v>
      </c>
      <c r="AT15" s="7">
        <v>0</v>
      </c>
      <c r="AU15" s="7">
        <v>0</v>
      </c>
      <c r="AV15" s="7">
        <v>0</v>
      </c>
      <c r="AW15" s="7">
        <v>4</v>
      </c>
      <c r="AX15" s="8">
        <v>15360</v>
      </c>
      <c r="AY15" s="7">
        <v>0</v>
      </c>
      <c r="AZ15" s="7">
        <v>0</v>
      </c>
      <c r="BA15" s="7">
        <v>0</v>
      </c>
      <c r="BB15" s="7">
        <v>0</v>
      </c>
      <c r="BC15" s="7">
        <v>66</v>
      </c>
      <c r="BD15" s="8">
        <v>249960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9">
        <v>16533.599999999999</v>
      </c>
      <c r="BM15" s="10">
        <v>471000</v>
      </c>
      <c r="BN15" s="15">
        <f t="shared" si="0"/>
        <v>454466.4</v>
      </c>
      <c r="BO15" s="16">
        <f t="shared" si="1"/>
        <v>318126.48</v>
      </c>
    </row>
    <row r="16" spans="1:69" x14ac:dyDescent="0.4">
      <c r="A16" s="5" t="s">
        <v>14</v>
      </c>
      <c r="B16" s="5" t="s">
        <v>22</v>
      </c>
      <c r="C16" s="5">
        <v>445688</v>
      </c>
      <c r="D16" s="6"/>
      <c r="E16" s="5" t="s">
        <v>16</v>
      </c>
      <c r="F16" s="5" t="s">
        <v>23</v>
      </c>
      <c r="G16" s="5" t="s">
        <v>10</v>
      </c>
      <c r="H16" s="7" t="s">
        <v>7</v>
      </c>
      <c r="I16" s="7" t="s">
        <v>24</v>
      </c>
      <c r="J16" s="7">
        <v>0</v>
      </c>
      <c r="K16" s="8">
        <v>1017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8">
        <v>1537</v>
      </c>
      <c r="AF16" s="8">
        <v>133120</v>
      </c>
      <c r="AG16" s="8">
        <v>29000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499</v>
      </c>
      <c r="AR16" s="8">
        <v>49200</v>
      </c>
      <c r="AS16" s="7">
        <v>700</v>
      </c>
      <c r="AT16" s="7">
        <v>0</v>
      </c>
      <c r="AU16" s="7">
        <v>0</v>
      </c>
      <c r="AV16" s="7">
        <v>0</v>
      </c>
      <c r="AW16" s="7">
        <v>552</v>
      </c>
      <c r="AX16" s="8">
        <v>66240</v>
      </c>
      <c r="AY16" s="7">
        <v>0</v>
      </c>
      <c r="AZ16" s="7">
        <v>0</v>
      </c>
      <c r="BA16" s="7">
        <v>0</v>
      </c>
      <c r="BB16" s="7">
        <v>0</v>
      </c>
      <c r="BC16" s="8">
        <v>1023</v>
      </c>
      <c r="BD16" s="8">
        <v>122760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9">
        <v>13989.6</v>
      </c>
      <c r="BM16" s="10">
        <v>401020</v>
      </c>
      <c r="BN16" s="15">
        <f t="shared" si="0"/>
        <v>387030.4</v>
      </c>
      <c r="BO16" s="16">
        <f t="shared" si="1"/>
        <v>270921.28000000003</v>
      </c>
    </row>
    <row r="17" spans="1:67" x14ac:dyDescent="0.4">
      <c r="A17" s="5" t="s">
        <v>14</v>
      </c>
      <c r="B17" s="5" t="s">
        <v>60</v>
      </c>
      <c r="C17" s="5">
        <v>245889</v>
      </c>
      <c r="D17" s="6"/>
      <c r="E17" s="5" t="s">
        <v>16</v>
      </c>
      <c r="F17" s="5" t="s">
        <v>30</v>
      </c>
      <c r="G17" s="5" t="s">
        <v>10</v>
      </c>
      <c r="H17" s="7" t="s">
        <v>7</v>
      </c>
      <c r="I17" s="7" t="s">
        <v>61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165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8">
        <v>1300</v>
      </c>
      <c r="AF17" s="8">
        <v>70960</v>
      </c>
      <c r="AG17" s="8">
        <v>59800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330</v>
      </c>
      <c r="AR17" s="8">
        <v>32800</v>
      </c>
      <c r="AS17" s="7">
        <v>200</v>
      </c>
      <c r="AT17" s="7">
        <v>0</v>
      </c>
      <c r="AU17" s="7">
        <v>0</v>
      </c>
      <c r="AV17" s="7">
        <v>0</v>
      </c>
      <c r="AW17" s="7">
        <v>198</v>
      </c>
      <c r="AX17" s="8">
        <v>23160</v>
      </c>
      <c r="AY17" s="7">
        <v>500</v>
      </c>
      <c r="AZ17" s="7">
        <v>0</v>
      </c>
      <c r="BA17" s="7">
        <v>0</v>
      </c>
      <c r="BB17" s="7">
        <v>0</v>
      </c>
      <c r="BC17" s="8">
        <v>1641</v>
      </c>
      <c r="BD17" s="8">
        <v>196920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9">
        <v>14131.2</v>
      </c>
      <c r="BM17" s="10">
        <v>384340</v>
      </c>
      <c r="BN17" s="15">
        <f t="shared" si="0"/>
        <v>370208.8</v>
      </c>
      <c r="BO17" s="16">
        <f t="shared" si="1"/>
        <v>259146.15999999997</v>
      </c>
    </row>
    <row r="18" spans="1:67" x14ac:dyDescent="0.4">
      <c r="A18" s="5" t="s">
        <v>14</v>
      </c>
      <c r="B18" s="5" t="s">
        <v>462</v>
      </c>
      <c r="C18" s="5">
        <v>476783</v>
      </c>
      <c r="D18" s="6"/>
      <c r="E18" s="5" t="s">
        <v>16</v>
      </c>
      <c r="F18" s="5" t="s">
        <v>463</v>
      </c>
      <c r="G18" s="5" t="s">
        <v>34</v>
      </c>
      <c r="H18" s="7" t="s">
        <v>8</v>
      </c>
      <c r="I18" s="7" t="s">
        <v>464</v>
      </c>
      <c r="J18" s="7">
        <v>0</v>
      </c>
      <c r="K18" s="8">
        <v>3044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8">
        <v>1638</v>
      </c>
      <c r="AF18" s="8">
        <v>74580</v>
      </c>
      <c r="AG18" s="8">
        <v>92000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380</v>
      </c>
      <c r="AR18" s="8">
        <v>34300</v>
      </c>
      <c r="AS18" s="8">
        <v>3700</v>
      </c>
      <c r="AT18" s="7">
        <v>0</v>
      </c>
      <c r="AU18" s="7">
        <v>0</v>
      </c>
      <c r="AV18" s="7">
        <v>0</v>
      </c>
      <c r="AW18" s="7">
        <v>55</v>
      </c>
      <c r="AX18" s="8">
        <v>6798</v>
      </c>
      <c r="AY18" s="7">
        <v>0</v>
      </c>
      <c r="AZ18" s="7">
        <v>0</v>
      </c>
      <c r="BA18" s="7">
        <v>0</v>
      </c>
      <c r="BB18" s="7">
        <v>0</v>
      </c>
      <c r="BC18" s="8">
        <v>1434</v>
      </c>
      <c r="BD18" s="8">
        <v>171840</v>
      </c>
      <c r="BE18" s="7">
        <v>200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9">
        <v>10990.2</v>
      </c>
      <c r="BM18" s="10">
        <v>383418</v>
      </c>
      <c r="BN18" s="15">
        <f t="shared" si="0"/>
        <v>372427.8</v>
      </c>
      <c r="BO18" s="16">
        <f t="shared" si="1"/>
        <v>260699.45999999996</v>
      </c>
    </row>
    <row r="19" spans="1:67" x14ac:dyDescent="0.4">
      <c r="A19" s="5" t="s">
        <v>14</v>
      </c>
      <c r="B19" s="5" t="s">
        <v>438</v>
      </c>
      <c r="C19" s="5">
        <v>373610</v>
      </c>
      <c r="D19" s="6"/>
      <c r="E19" s="5" t="s">
        <v>16</v>
      </c>
      <c r="F19" s="5" t="s">
        <v>439</v>
      </c>
      <c r="G19" s="5" t="s">
        <v>10</v>
      </c>
      <c r="H19" s="7" t="s">
        <v>7</v>
      </c>
      <c r="I19" s="7" t="s">
        <v>440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79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8">
        <v>1317</v>
      </c>
      <c r="AF19" s="8">
        <v>95160</v>
      </c>
      <c r="AG19" s="8">
        <v>42400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542</v>
      </c>
      <c r="AR19" s="8">
        <v>53300</v>
      </c>
      <c r="AS19" s="7">
        <v>900</v>
      </c>
      <c r="AT19" s="7">
        <v>0</v>
      </c>
      <c r="AU19" s="7">
        <v>0</v>
      </c>
      <c r="AV19" s="7">
        <v>0</v>
      </c>
      <c r="AW19" s="7">
        <v>298</v>
      </c>
      <c r="AX19" s="8">
        <v>35760</v>
      </c>
      <c r="AY19" s="7">
        <v>0</v>
      </c>
      <c r="AZ19" s="7">
        <v>0</v>
      </c>
      <c r="BA19" s="7">
        <v>0</v>
      </c>
      <c r="BB19" s="7">
        <v>0</v>
      </c>
      <c r="BC19" s="8">
        <v>1009</v>
      </c>
      <c r="BD19" s="8">
        <v>121080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9">
        <v>10840.8</v>
      </c>
      <c r="BM19" s="10">
        <v>348600</v>
      </c>
      <c r="BN19" s="15">
        <f t="shared" si="0"/>
        <v>337759.2</v>
      </c>
      <c r="BO19" s="16">
        <f t="shared" si="1"/>
        <v>236431.44</v>
      </c>
    </row>
    <row r="20" spans="1:67" x14ac:dyDescent="0.4">
      <c r="A20" s="5" t="s">
        <v>14</v>
      </c>
      <c r="B20" s="5" t="s">
        <v>46</v>
      </c>
      <c r="C20" s="5">
        <v>412919</v>
      </c>
      <c r="D20" s="6"/>
      <c r="E20" s="5" t="s">
        <v>16</v>
      </c>
      <c r="F20" s="5" t="s">
        <v>47</v>
      </c>
      <c r="G20" s="5" t="s">
        <v>34</v>
      </c>
      <c r="H20" s="7" t="s">
        <v>8</v>
      </c>
      <c r="I20" s="7" t="s">
        <v>48</v>
      </c>
      <c r="J20" s="7">
        <v>5</v>
      </c>
      <c r="K20" s="7">
        <v>20</v>
      </c>
      <c r="L20" s="7">
        <v>500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63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702</v>
      </c>
      <c r="AF20" s="8">
        <v>26820</v>
      </c>
      <c r="AG20" s="8">
        <v>45600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229</v>
      </c>
      <c r="AR20" s="8">
        <v>22700</v>
      </c>
      <c r="AS20" s="7">
        <v>200</v>
      </c>
      <c r="AT20" s="7">
        <v>0</v>
      </c>
      <c r="AU20" s="7">
        <v>0</v>
      </c>
      <c r="AV20" s="7">
        <v>0</v>
      </c>
      <c r="AW20" s="7">
        <v>174</v>
      </c>
      <c r="AX20" s="8">
        <v>20880</v>
      </c>
      <c r="AY20" s="7">
        <v>0</v>
      </c>
      <c r="AZ20" s="7">
        <v>0</v>
      </c>
      <c r="BA20" s="7">
        <v>0</v>
      </c>
      <c r="BB20" s="7">
        <v>0</v>
      </c>
      <c r="BC20" s="8">
        <v>1750</v>
      </c>
      <c r="BD20" s="8">
        <v>209400</v>
      </c>
      <c r="BE20" s="7">
        <v>500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9">
        <v>14652</v>
      </c>
      <c r="BM20" s="10">
        <v>326600</v>
      </c>
      <c r="BN20" s="15">
        <f t="shared" si="0"/>
        <v>311948</v>
      </c>
      <c r="BO20" s="16">
        <f t="shared" si="1"/>
        <v>218363.59999999998</v>
      </c>
    </row>
    <row r="21" spans="1:67" x14ac:dyDescent="0.4">
      <c r="A21" s="5" t="s">
        <v>14</v>
      </c>
      <c r="B21" s="5" t="s">
        <v>88</v>
      </c>
      <c r="C21" s="5">
        <v>364724</v>
      </c>
      <c r="D21" s="6"/>
      <c r="E21" s="5" t="s">
        <v>16</v>
      </c>
      <c r="F21" s="5" t="s">
        <v>89</v>
      </c>
      <c r="G21" s="5" t="s">
        <v>10</v>
      </c>
      <c r="H21" s="7" t="s">
        <v>7</v>
      </c>
      <c r="I21" s="7" t="s">
        <v>90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66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844</v>
      </c>
      <c r="AF21" s="8">
        <v>64440</v>
      </c>
      <c r="AG21" s="8">
        <v>23000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413</v>
      </c>
      <c r="AR21" s="8">
        <v>40900</v>
      </c>
      <c r="AS21" s="7">
        <v>400</v>
      </c>
      <c r="AT21" s="7">
        <v>0</v>
      </c>
      <c r="AU21" s="7">
        <v>0</v>
      </c>
      <c r="AV21" s="7">
        <v>0</v>
      </c>
      <c r="AW21" s="7">
        <v>411</v>
      </c>
      <c r="AX21" s="8">
        <v>49320</v>
      </c>
      <c r="AY21" s="7">
        <v>0</v>
      </c>
      <c r="AZ21" s="7">
        <v>0</v>
      </c>
      <c r="BA21" s="7">
        <v>0</v>
      </c>
      <c r="BB21" s="7">
        <v>0</v>
      </c>
      <c r="BC21" s="7">
        <v>977</v>
      </c>
      <c r="BD21" s="8">
        <v>117240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9">
        <v>11966.4</v>
      </c>
      <c r="BM21" s="10">
        <v>295300</v>
      </c>
      <c r="BN21" s="15">
        <f t="shared" si="0"/>
        <v>283333.59999999998</v>
      </c>
      <c r="BO21" s="16">
        <f t="shared" si="1"/>
        <v>198333.51999999996</v>
      </c>
    </row>
    <row r="22" spans="1:67" ht="19.2" x14ac:dyDescent="0.4">
      <c r="A22" s="5" t="s">
        <v>14</v>
      </c>
      <c r="B22" s="5" t="s">
        <v>49</v>
      </c>
      <c r="C22" s="5">
        <v>459997</v>
      </c>
      <c r="D22" s="6"/>
      <c r="E22" s="5" t="s">
        <v>16</v>
      </c>
      <c r="F22" s="5" t="s">
        <v>50</v>
      </c>
      <c r="G22" s="5" t="s">
        <v>10</v>
      </c>
      <c r="H22" s="7" t="s">
        <v>7</v>
      </c>
      <c r="I22" s="7" t="s">
        <v>456</v>
      </c>
      <c r="J22" s="7">
        <v>0</v>
      </c>
      <c r="K22" s="8">
        <v>10211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61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8">
        <v>1162</v>
      </c>
      <c r="AF22" s="8">
        <v>89380</v>
      </c>
      <c r="AG22" s="8">
        <v>30100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464</v>
      </c>
      <c r="AR22" s="8">
        <v>45500</v>
      </c>
      <c r="AS22" s="7">
        <v>900</v>
      </c>
      <c r="AT22" s="7">
        <v>0</v>
      </c>
      <c r="AU22" s="7">
        <v>0</v>
      </c>
      <c r="AV22" s="7">
        <v>0</v>
      </c>
      <c r="AW22" s="7">
        <v>187</v>
      </c>
      <c r="AX22" s="8">
        <v>22895</v>
      </c>
      <c r="AY22" s="7">
        <v>0</v>
      </c>
      <c r="AZ22" s="7">
        <v>0</v>
      </c>
      <c r="BA22" s="7">
        <v>0</v>
      </c>
      <c r="BB22" s="7">
        <v>0</v>
      </c>
      <c r="BC22" s="7">
        <v>786</v>
      </c>
      <c r="BD22" s="8">
        <v>94320</v>
      </c>
      <c r="BE22" s="7">
        <v>0</v>
      </c>
      <c r="BF22" s="7">
        <v>0</v>
      </c>
      <c r="BG22" s="7">
        <v>0</v>
      </c>
      <c r="BH22" s="7">
        <v>0</v>
      </c>
      <c r="BI22" s="7">
        <v>4</v>
      </c>
      <c r="BJ22" s="7">
        <v>480</v>
      </c>
      <c r="BK22" s="7">
        <v>0</v>
      </c>
      <c r="BL22" s="9">
        <v>7972.7</v>
      </c>
      <c r="BM22" s="10">
        <v>283575</v>
      </c>
      <c r="BN22" s="15">
        <f t="shared" si="0"/>
        <v>275602.3</v>
      </c>
      <c r="BO22" s="16">
        <f t="shared" si="1"/>
        <v>192921.61</v>
      </c>
    </row>
    <row r="23" spans="1:67" x14ac:dyDescent="0.4">
      <c r="A23" s="5" t="s">
        <v>14</v>
      </c>
      <c r="B23" s="5" t="s">
        <v>91</v>
      </c>
      <c r="C23" s="5">
        <v>462353</v>
      </c>
      <c r="D23" s="6"/>
      <c r="E23" s="5" t="s">
        <v>16</v>
      </c>
      <c r="F23" s="5" t="s">
        <v>39</v>
      </c>
      <c r="G23" s="5" t="s">
        <v>10</v>
      </c>
      <c r="H23" s="7" t="s">
        <v>7</v>
      </c>
      <c r="I23" s="7" t="s">
        <v>92</v>
      </c>
      <c r="J23" s="7">
        <v>3</v>
      </c>
      <c r="K23" s="7">
        <v>0</v>
      </c>
      <c r="L23" s="7">
        <v>300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59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626</v>
      </c>
      <c r="AF23" s="8">
        <v>50980</v>
      </c>
      <c r="AG23" s="8">
        <v>17900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673</v>
      </c>
      <c r="AR23" s="8">
        <v>62400</v>
      </c>
      <c r="AS23" s="8">
        <v>4900</v>
      </c>
      <c r="AT23" s="7">
        <v>0</v>
      </c>
      <c r="AU23" s="7">
        <v>0</v>
      </c>
      <c r="AV23" s="7">
        <v>0</v>
      </c>
      <c r="AW23" s="7">
        <v>172</v>
      </c>
      <c r="AX23" s="8">
        <v>20640</v>
      </c>
      <c r="AY23" s="7">
        <v>0</v>
      </c>
      <c r="AZ23" s="7">
        <v>0</v>
      </c>
      <c r="BA23" s="7">
        <v>0</v>
      </c>
      <c r="BB23" s="7">
        <v>0</v>
      </c>
      <c r="BC23" s="7">
        <v>997</v>
      </c>
      <c r="BD23" s="8">
        <v>119640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9">
        <v>9242.4</v>
      </c>
      <c r="BM23" s="10">
        <v>276760</v>
      </c>
      <c r="BN23" s="15">
        <f t="shared" si="0"/>
        <v>267517.59999999998</v>
      </c>
      <c r="BO23" s="16">
        <f t="shared" si="1"/>
        <v>187262.31999999998</v>
      </c>
    </row>
    <row r="24" spans="1:67" x14ac:dyDescent="0.4">
      <c r="A24" s="5" t="s">
        <v>14</v>
      </c>
      <c r="B24" s="5" t="s">
        <v>62</v>
      </c>
      <c r="C24" s="5">
        <v>386960</v>
      </c>
      <c r="D24" s="6"/>
      <c r="E24" s="5" t="s">
        <v>16</v>
      </c>
      <c r="F24" s="5" t="s">
        <v>63</v>
      </c>
      <c r="G24" s="5" t="s">
        <v>10</v>
      </c>
      <c r="H24" s="7" t="s">
        <v>7</v>
      </c>
      <c r="I24" s="7" t="s">
        <v>64</v>
      </c>
      <c r="J24" s="7">
        <v>0</v>
      </c>
      <c r="K24" s="7">
        <v>13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73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8">
        <v>1359</v>
      </c>
      <c r="AF24" s="8">
        <v>112460</v>
      </c>
      <c r="AG24" s="8">
        <v>26900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443</v>
      </c>
      <c r="AR24" s="8">
        <v>43300</v>
      </c>
      <c r="AS24" s="8">
        <v>1000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681</v>
      </c>
      <c r="BD24" s="8">
        <v>81720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9">
        <v>4903.2</v>
      </c>
      <c r="BM24" s="10">
        <v>265380</v>
      </c>
      <c r="BN24" s="15">
        <f t="shared" si="0"/>
        <v>260476.79999999999</v>
      </c>
      <c r="BO24" s="16">
        <f t="shared" si="1"/>
        <v>182333.75999999998</v>
      </c>
    </row>
    <row r="25" spans="1:67" x14ac:dyDescent="0.4">
      <c r="A25" s="5" t="s">
        <v>14</v>
      </c>
      <c r="B25" s="5" t="s">
        <v>77</v>
      </c>
      <c r="C25" s="5">
        <v>387942</v>
      </c>
      <c r="D25" s="6"/>
      <c r="E25" s="5" t="s">
        <v>16</v>
      </c>
      <c r="F25" s="5" t="s">
        <v>78</v>
      </c>
      <c r="G25" s="5" t="s">
        <v>10</v>
      </c>
      <c r="H25" s="7" t="s">
        <v>7</v>
      </c>
      <c r="I25" s="7" t="s">
        <v>79</v>
      </c>
      <c r="J25" s="7">
        <v>0</v>
      </c>
      <c r="K25" s="7">
        <v>98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36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8">
        <v>1003</v>
      </c>
      <c r="AF25" s="8">
        <v>74120</v>
      </c>
      <c r="AG25" s="8">
        <v>29600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153</v>
      </c>
      <c r="AR25" s="8">
        <v>14600</v>
      </c>
      <c r="AS25" s="7">
        <v>700</v>
      </c>
      <c r="AT25" s="7">
        <v>0</v>
      </c>
      <c r="AU25" s="7">
        <v>0</v>
      </c>
      <c r="AV25" s="7">
        <v>0</v>
      </c>
      <c r="AW25" s="7">
        <v>164</v>
      </c>
      <c r="AX25" s="8">
        <v>19674</v>
      </c>
      <c r="AY25" s="7">
        <v>0</v>
      </c>
      <c r="AZ25" s="7">
        <v>0</v>
      </c>
      <c r="BA25" s="7">
        <v>0</v>
      </c>
      <c r="BB25" s="7">
        <v>0</v>
      </c>
      <c r="BC25" s="7">
        <v>568</v>
      </c>
      <c r="BD25" s="8">
        <v>68160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9">
        <v>6057</v>
      </c>
      <c r="BM25" s="10">
        <v>206854</v>
      </c>
      <c r="BN25" s="15">
        <f t="shared" si="0"/>
        <v>200797</v>
      </c>
      <c r="BO25" s="16">
        <f t="shared" si="1"/>
        <v>140557.9</v>
      </c>
    </row>
    <row r="26" spans="1:67" ht="19.2" x14ac:dyDescent="0.4">
      <c r="A26" s="5" t="s">
        <v>14</v>
      </c>
      <c r="B26" s="5" t="s">
        <v>465</v>
      </c>
      <c r="C26" s="5">
        <v>476003</v>
      </c>
      <c r="D26" s="6"/>
      <c r="E26" s="5" t="s">
        <v>16</v>
      </c>
      <c r="F26" s="5" t="s">
        <v>30</v>
      </c>
      <c r="G26" s="5" t="s">
        <v>10</v>
      </c>
      <c r="H26" s="7" t="s">
        <v>8</v>
      </c>
      <c r="I26" s="7" t="s">
        <v>461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2</v>
      </c>
      <c r="AF26" s="8">
        <v>7680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21</v>
      </c>
      <c r="AR26" s="8">
        <v>64500</v>
      </c>
      <c r="AS26" s="8">
        <v>2700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28</v>
      </c>
      <c r="BD26" s="8">
        <v>107520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9">
        <v>6451.2</v>
      </c>
      <c r="BM26" s="10">
        <v>182400</v>
      </c>
      <c r="BN26" s="15">
        <f t="shared" si="0"/>
        <v>175948.79999999999</v>
      </c>
      <c r="BO26" s="16">
        <f t="shared" si="1"/>
        <v>123164.15999999999</v>
      </c>
    </row>
    <row r="27" spans="1:67" x14ac:dyDescent="0.4">
      <c r="A27" s="5" t="s">
        <v>14</v>
      </c>
      <c r="B27" s="5" t="s">
        <v>32</v>
      </c>
      <c r="C27" s="5">
        <v>395270</v>
      </c>
      <c r="D27" s="6"/>
      <c r="E27" s="5" t="s">
        <v>16</v>
      </c>
      <c r="F27" s="5" t="s">
        <v>33</v>
      </c>
      <c r="G27" s="5" t="s">
        <v>34</v>
      </c>
      <c r="H27" s="7" t="s">
        <v>8</v>
      </c>
      <c r="I27" s="7" t="s">
        <v>35</v>
      </c>
      <c r="J27" s="7">
        <v>0</v>
      </c>
      <c r="K27" s="7">
        <v>1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44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639</v>
      </c>
      <c r="AF27" s="8">
        <v>21940</v>
      </c>
      <c r="AG27" s="8">
        <v>43600</v>
      </c>
      <c r="AH27" s="7">
        <v>0</v>
      </c>
      <c r="AI27" s="7">
        <v>0</v>
      </c>
      <c r="AJ27" s="7">
        <v>0</v>
      </c>
      <c r="AK27" s="7">
        <v>2</v>
      </c>
      <c r="AL27" s="7">
        <v>0</v>
      </c>
      <c r="AM27" s="7">
        <v>200</v>
      </c>
      <c r="AN27" s="7">
        <v>0</v>
      </c>
      <c r="AO27" s="7">
        <v>0</v>
      </c>
      <c r="AP27" s="7">
        <v>0</v>
      </c>
      <c r="AQ27" s="7">
        <v>192</v>
      </c>
      <c r="AR27" s="8">
        <v>19000</v>
      </c>
      <c r="AS27" s="7">
        <v>200</v>
      </c>
      <c r="AT27" s="7">
        <v>0</v>
      </c>
      <c r="AU27" s="7">
        <v>0</v>
      </c>
      <c r="AV27" s="7">
        <v>0</v>
      </c>
      <c r="AW27" s="7">
        <v>62</v>
      </c>
      <c r="AX27" s="8">
        <v>7440</v>
      </c>
      <c r="AY27" s="7">
        <v>0</v>
      </c>
      <c r="AZ27" s="7">
        <v>0</v>
      </c>
      <c r="BA27" s="7">
        <v>0</v>
      </c>
      <c r="BB27" s="7">
        <v>0</v>
      </c>
      <c r="BC27" s="7">
        <v>661</v>
      </c>
      <c r="BD27" s="8">
        <v>79320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9">
        <v>5503.2</v>
      </c>
      <c r="BM27" s="10">
        <v>171700</v>
      </c>
      <c r="BN27" s="15">
        <f t="shared" si="0"/>
        <v>166196.79999999999</v>
      </c>
      <c r="BO27" s="16">
        <f t="shared" si="1"/>
        <v>116337.75999999998</v>
      </c>
    </row>
    <row r="28" spans="1:67" x14ac:dyDescent="0.4">
      <c r="A28" s="5" t="s">
        <v>14</v>
      </c>
      <c r="B28" s="5" t="s">
        <v>71</v>
      </c>
      <c r="C28" s="5">
        <v>219203</v>
      </c>
      <c r="D28" s="6"/>
      <c r="E28" s="5" t="s">
        <v>16</v>
      </c>
      <c r="F28" s="5" t="s">
        <v>72</v>
      </c>
      <c r="G28" s="5" t="s">
        <v>10</v>
      </c>
      <c r="H28" s="7" t="s">
        <v>7</v>
      </c>
      <c r="I28" s="7" t="s">
        <v>73</v>
      </c>
      <c r="J28" s="7">
        <v>10</v>
      </c>
      <c r="K28" s="7">
        <v>31</v>
      </c>
      <c r="L28" s="8">
        <v>1000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486</v>
      </c>
      <c r="AC28" s="8">
        <v>28640</v>
      </c>
      <c r="AD28" s="8">
        <v>21500</v>
      </c>
      <c r="AE28" s="7">
        <v>7</v>
      </c>
      <c r="AF28" s="7">
        <v>600</v>
      </c>
      <c r="AG28" s="8">
        <v>1000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283</v>
      </c>
      <c r="AO28" s="8">
        <v>27700</v>
      </c>
      <c r="AP28" s="7">
        <v>600</v>
      </c>
      <c r="AQ28" s="7">
        <v>1</v>
      </c>
      <c r="AR28" s="7">
        <v>300</v>
      </c>
      <c r="AS28" s="7">
        <v>0</v>
      </c>
      <c r="AT28" s="7">
        <v>264</v>
      </c>
      <c r="AU28" s="8">
        <v>31683</v>
      </c>
      <c r="AV28" s="7">
        <v>0</v>
      </c>
      <c r="AW28" s="7">
        <v>5</v>
      </c>
      <c r="AX28" s="7">
        <v>960</v>
      </c>
      <c r="AY28" s="7">
        <v>0</v>
      </c>
      <c r="AZ28" s="7">
        <v>445</v>
      </c>
      <c r="BA28" s="8">
        <v>53400</v>
      </c>
      <c r="BB28" s="7">
        <v>0</v>
      </c>
      <c r="BC28" s="7">
        <v>1</v>
      </c>
      <c r="BD28" s="7">
        <v>360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9">
        <v>6489.9</v>
      </c>
      <c r="BM28" s="10">
        <v>167743</v>
      </c>
      <c r="BN28" s="15">
        <f t="shared" si="0"/>
        <v>161253.1</v>
      </c>
      <c r="BO28" s="16">
        <f t="shared" si="1"/>
        <v>112877.17</v>
      </c>
    </row>
    <row r="29" spans="1:67" x14ac:dyDescent="0.4">
      <c r="A29" s="5" t="s">
        <v>14</v>
      </c>
      <c r="B29" s="5" t="s">
        <v>115</v>
      </c>
      <c r="C29" s="5">
        <v>415710</v>
      </c>
      <c r="D29" s="6"/>
      <c r="E29" s="5" t="s">
        <v>16</v>
      </c>
      <c r="F29" s="5" t="s">
        <v>52</v>
      </c>
      <c r="G29" s="5" t="s">
        <v>34</v>
      </c>
      <c r="H29" s="7" t="s">
        <v>8</v>
      </c>
      <c r="I29" s="7" t="s">
        <v>116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38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330</v>
      </c>
      <c r="AF29" s="8">
        <v>21640</v>
      </c>
      <c r="AG29" s="8">
        <v>12500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321</v>
      </c>
      <c r="AR29" s="8">
        <v>31200</v>
      </c>
      <c r="AS29" s="7">
        <v>900</v>
      </c>
      <c r="AT29" s="7">
        <v>0</v>
      </c>
      <c r="AU29" s="7">
        <v>0</v>
      </c>
      <c r="AV29" s="7">
        <v>0</v>
      </c>
      <c r="AW29" s="7">
        <v>159</v>
      </c>
      <c r="AX29" s="8">
        <v>19080</v>
      </c>
      <c r="AY29" s="7">
        <v>0</v>
      </c>
      <c r="AZ29" s="7">
        <v>0</v>
      </c>
      <c r="BA29" s="7">
        <v>0</v>
      </c>
      <c r="BB29" s="7">
        <v>0</v>
      </c>
      <c r="BC29" s="7">
        <v>614</v>
      </c>
      <c r="BD29" s="8">
        <v>73680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9">
        <v>6328.8</v>
      </c>
      <c r="BM29" s="10">
        <v>159000</v>
      </c>
      <c r="BN29" s="15">
        <f t="shared" si="0"/>
        <v>152671.20000000001</v>
      </c>
      <c r="BO29" s="16">
        <f t="shared" si="1"/>
        <v>106869.84</v>
      </c>
    </row>
    <row r="30" spans="1:67" x14ac:dyDescent="0.4">
      <c r="A30" s="5" t="s">
        <v>14</v>
      </c>
      <c r="B30" s="5" t="s">
        <v>135</v>
      </c>
      <c r="C30" s="5">
        <v>406849</v>
      </c>
      <c r="D30" s="6"/>
      <c r="E30" s="5" t="s">
        <v>16</v>
      </c>
      <c r="F30" s="5" t="s">
        <v>113</v>
      </c>
      <c r="G30" s="5" t="s">
        <v>10</v>
      </c>
      <c r="H30" s="7" t="s">
        <v>7</v>
      </c>
      <c r="I30" s="7" t="s">
        <v>136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41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269</v>
      </c>
      <c r="AF30" s="8">
        <v>26200</v>
      </c>
      <c r="AG30" s="7">
        <v>700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215</v>
      </c>
      <c r="AR30" s="8">
        <v>21500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799</v>
      </c>
      <c r="BD30" s="8">
        <v>95280</v>
      </c>
      <c r="BE30" s="7">
        <v>500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9">
        <v>5716.8</v>
      </c>
      <c r="BM30" s="10">
        <v>144180</v>
      </c>
      <c r="BN30" s="15">
        <f t="shared" si="0"/>
        <v>138463.20000000001</v>
      </c>
      <c r="BO30" s="16">
        <f t="shared" si="1"/>
        <v>96924.24</v>
      </c>
    </row>
    <row r="31" spans="1:67" x14ac:dyDescent="0.4">
      <c r="A31" s="5" t="s">
        <v>14</v>
      </c>
      <c r="B31" s="5" t="s">
        <v>51</v>
      </c>
      <c r="C31" s="5">
        <v>369720</v>
      </c>
      <c r="D31" s="6"/>
      <c r="E31" s="5" t="s">
        <v>16</v>
      </c>
      <c r="F31" s="5" t="s">
        <v>52</v>
      </c>
      <c r="G31" s="5" t="s">
        <v>34</v>
      </c>
      <c r="H31" s="7" t="s">
        <v>8</v>
      </c>
      <c r="I31" s="7" t="s">
        <v>53</v>
      </c>
      <c r="J31" s="7">
        <v>0</v>
      </c>
      <c r="K31" s="7">
        <v>24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35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355</v>
      </c>
      <c r="AF31" s="8">
        <v>23800</v>
      </c>
      <c r="AG31" s="8">
        <v>14300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309</v>
      </c>
      <c r="AR31" s="8">
        <v>30900</v>
      </c>
      <c r="AS31" s="7">
        <v>0</v>
      </c>
      <c r="AT31" s="7">
        <v>0</v>
      </c>
      <c r="AU31" s="7">
        <v>0</v>
      </c>
      <c r="AV31" s="7">
        <v>0</v>
      </c>
      <c r="AW31" s="7">
        <v>79</v>
      </c>
      <c r="AX31" s="8">
        <v>9480</v>
      </c>
      <c r="AY31" s="7">
        <v>0</v>
      </c>
      <c r="AZ31" s="7">
        <v>0</v>
      </c>
      <c r="BA31" s="7">
        <v>0</v>
      </c>
      <c r="BB31" s="7">
        <v>0</v>
      </c>
      <c r="BC31" s="7">
        <v>456</v>
      </c>
      <c r="BD31" s="8">
        <v>54720</v>
      </c>
      <c r="BE31" s="7">
        <v>0</v>
      </c>
      <c r="BF31" s="7">
        <v>0</v>
      </c>
      <c r="BG31" s="7">
        <v>0</v>
      </c>
      <c r="BH31" s="7">
        <v>0</v>
      </c>
      <c r="BI31" s="7">
        <v>3</v>
      </c>
      <c r="BJ31" s="7">
        <v>360</v>
      </c>
      <c r="BK31" s="7">
        <v>0</v>
      </c>
      <c r="BL31" s="9">
        <v>4249.2</v>
      </c>
      <c r="BM31" s="10">
        <v>133560</v>
      </c>
      <c r="BN31" s="15">
        <f t="shared" si="0"/>
        <v>129310.8</v>
      </c>
      <c r="BO31" s="16">
        <f t="shared" si="1"/>
        <v>90517.56</v>
      </c>
    </row>
    <row r="32" spans="1:67" x14ac:dyDescent="0.4">
      <c r="A32" s="5" t="s">
        <v>14</v>
      </c>
      <c r="B32" s="5" t="s">
        <v>93</v>
      </c>
      <c r="C32" s="5">
        <v>211158</v>
      </c>
      <c r="D32" s="6"/>
      <c r="E32" s="5" t="s">
        <v>16</v>
      </c>
      <c r="F32" s="5" t="s">
        <v>30</v>
      </c>
      <c r="G32" s="5" t="s">
        <v>10</v>
      </c>
      <c r="H32" s="7" t="s">
        <v>7</v>
      </c>
      <c r="I32" s="7" t="s">
        <v>94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551</v>
      </c>
      <c r="AF32" s="8">
        <v>28500</v>
      </c>
      <c r="AG32" s="8">
        <v>27700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1</v>
      </c>
      <c r="AR32" s="7">
        <v>100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611</v>
      </c>
      <c r="BD32" s="8">
        <v>72720</v>
      </c>
      <c r="BE32" s="7">
        <v>500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9">
        <v>4363.2</v>
      </c>
      <c r="BM32" s="10">
        <v>129520</v>
      </c>
      <c r="BN32" s="15">
        <f t="shared" si="0"/>
        <v>125156.8</v>
      </c>
      <c r="BO32" s="16">
        <f t="shared" si="1"/>
        <v>87609.76</v>
      </c>
    </row>
    <row r="33" spans="1:67" x14ac:dyDescent="0.4">
      <c r="A33" s="5" t="s">
        <v>14</v>
      </c>
      <c r="B33" s="5" t="s">
        <v>119</v>
      </c>
      <c r="C33" s="5">
        <v>390809</v>
      </c>
      <c r="D33" s="6"/>
      <c r="E33" s="5" t="s">
        <v>16</v>
      </c>
      <c r="F33" s="5" t="s">
        <v>120</v>
      </c>
      <c r="G33" s="5" t="s">
        <v>34</v>
      </c>
      <c r="H33" s="7" t="s">
        <v>8</v>
      </c>
      <c r="I33" s="7" t="s">
        <v>35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27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210</v>
      </c>
      <c r="AF33" s="8">
        <v>14420</v>
      </c>
      <c r="AG33" s="8">
        <v>6600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118</v>
      </c>
      <c r="AR33" s="8">
        <v>11600</v>
      </c>
      <c r="AS33" s="7">
        <v>200</v>
      </c>
      <c r="AT33" s="7">
        <v>0</v>
      </c>
      <c r="AU33" s="7">
        <v>0</v>
      </c>
      <c r="AV33" s="7">
        <v>0</v>
      </c>
      <c r="AW33" s="7">
        <v>87</v>
      </c>
      <c r="AX33" s="8">
        <v>10440</v>
      </c>
      <c r="AY33" s="7">
        <v>0</v>
      </c>
      <c r="AZ33" s="7">
        <v>0</v>
      </c>
      <c r="BA33" s="7">
        <v>0</v>
      </c>
      <c r="BB33" s="7">
        <v>0</v>
      </c>
      <c r="BC33" s="7">
        <v>566</v>
      </c>
      <c r="BD33" s="8">
        <v>67920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9">
        <v>5119.2</v>
      </c>
      <c r="BM33" s="10">
        <v>111180</v>
      </c>
      <c r="BN33" s="15">
        <f t="shared" si="0"/>
        <v>106060.8</v>
      </c>
      <c r="BO33" s="16">
        <f t="shared" si="1"/>
        <v>74242.559999999998</v>
      </c>
    </row>
    <row r="34" spans="1:67" x14ac:dyDescent="0.4">
      <c r="A34" s="5" t="s">
        <v>14</v>
      </c>
      <c r="B34" s="5" t="s">
        <v>289</v>
      </c>
      <c r="C34" s="5">
        <v>392673</v>
      </c>
      <c r="D34" s="6"/>
      <c r="E34" s="5" t="s">
        <v>16</v>
      </c>
      <c r="F34" s="5" t="s">
        <v>105</v>
      </c>
      <c r="G34" s="5" t="s">
        <v>34</v>
      </c>
      <c r="H34" s="7" t="s">
        <v>8</v>
      </c>
      <c r="I34" s="7" t="s">
        <v>290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4</v>
      </c>
      <c r="AF34" s="8">
        <v>4760</v>
      </c>
      <c r="AG34" s="8">
        <v>6400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5</v>
      </c>
      <c r="AR34" s="8">
        <v>14500</v>
      </c>
      <c r="AS34" s="7">
        <v>200</v>
      </c>
      <c r="AT34" s="7">
        <v>0</v>
      </c>
      <c r="AU34" s="7">
        <v>0</v>
      </c>
      <c r="AV34" s="7">
        <v>0</v>
      </c>
      <c r="AW34" s="7">
        <v>4</v>
      </c>
      <c r="AX34" s="8">
        <v>15360</v>
      </c>
      <c r="AY34" s="7">
        <v>0</v>
      </c>
      <c r="AZ34" s="7">
        <v>0</v>
      </c>
      <c r="BA34" s="7">
        <v>0</v>
      </c>
      <c r="BB34" s="7">
        <v>0</v>
      </c>
      <c r="BC34" s="7">
        <v>18</v>
      </c>
      <c r="BD34" s="8">
        <v>65280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9">
        <v>5452.8</v>
      </c>
      <c r="BM34" s="10">
        <v>106500</v>
      </c>
      <c r="BN34" s="15">
        <f t="shared" si="0"/>
        <v>101047.2</v>
      </c>
      <c r="BO34" s="16">
        <f t="shared" si="1"/>
        <v>70733.039999999994</v>
      </c>
    </row>
    <row r="35" spans="1:67" ht="19.2" x14ac:dyDescent="0.4">
      <c r="A35" s="5" t="s">
        <v>14</v>
      </c>
      <c r="B35" s="5" t="s">
        <v>129</v>
      </c>
      <c r="C35" s="5">
        <v>383229</v>
      </c>
      <c r="D35" s="6"/>
      <c r="E35" s="5" t="s">
        <v>16</v>
      </c>
      <c r="F35" s="5" t="s">
        <v>130</v>
      </c>
      <c r="G35" s="5" t="s">
        <v>34</v>
      </c>
      <c r="H35" s="7" t="s">
        <v>8</v>
      </c>
      <c r="I35" s="7" t="s">
        <v>131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29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609</v>
      </c>
      <c r="AF35" s="8">
        <v>19380</v>
      </c>
      <c r="AG35" s="8">
        <v>41700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100</v>
      </c>
      <c r="AR35" s="8">
        <v>9900</v>
      </c>
      <c r="AS35" s="7">
        <v>100</v>
      </c>
      <c r="AT35" s="7">
        <v>0</v>
      </c>
      <c r="AU35" s="7">
        <v>0</v>
      </c>
      <c r="AV35" s="7">
        <v>0</v>
      </c>
      <c r="AW35" s="7">
        <v>62</v>
      </c>
      <c r="AX35" s="8">
        <v>7440</v>
      </c>
      <c r="AY35" s="7">
        <v>0</v>
      </c>
      <c r="AZ35" s="7">
        <v>0</v>
      </c>
      <c r="BA35" s="7">
        <v>0</v>
      </c>
      <c r="BB35" s="7">
        <v>0</v>
      </c>
      <c r="BC35" s="7">
        <v>228</v>
      </c>
      <c r="BD35" s="8">
        <v>27360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9">
        <v>2385.6</v>
      </c>
      <c r="BM35" s="10">
        <v>105880</v>
      </c>
      <c r="BN35" s="15">
        <f t="shared" si="0"/>
        <v>103494.39999999999</v>
      </c>
      <c r="BO35" s="16">
        <f t="shared" si="1"/>
        <v>72446.079999999987</v>
      </c>
    </row>
    <row r="36" spans="1:67" x14ac:dyDescent="0.4">
      <c r="A36" s="5" t="s">
        <v>14</v>
      </c>
      <c r="B36" s="5" t="s">
        <v>423</v>
      </c>
      <c r="C36" s="5">
        <v>471707</v>
      </c>
      <c r="D36" s="6"/>
      <c r="E36" s="5" t="s">
        <v>16</v>
      </c>
      <c r="F36" s="5" t="s">
        <v>424</v>
      </c>
      <c r="G36" s="5" t="s">
        <v>10</v>
      </c>
      <c r="H36" s="7" t="s">
        <v>7</v>
      </c>
      <c r="I36" s="7" t="s">
        <v>425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192</v>
      </c>
      <c r="AF36" s="8">
        <v>2280</v>
      </c>
      <c r="AG36" s="8">
        <v>17100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111</v>
      </c>
      <c r="AR36" s="8">
        <v>10900</v>
      </c>
      <c r="AS36" s="7">
        <v>200</v>
      </c>
      <c r="AT36" s="7">
        <v>0</v>
      </c>
      <c r="AU36" s="7">
        <v>0</v>
      </c>
      <c r="AV36" s="7">
        <v>0</v>
      </c>
      <c r="AW36" s="7">
        <v>118</v>
      </c>
      <c r="AX36" s="8">
        <v>14160</v>
      </c>
      <c r="AY36" s="7">
        <v>0</v>
      </c>
      <c r="AZ36" s="7">
        <v>0</v>
      </c>
      <c r="BA36" s="7">
        <v>0</v>
      </c>
      <c r="BB36" s="7">
        <v>0</v>
      </c>
      <c r="BC36" s="7">
        <v>500</v>
      </c>
      <c r="BD36" s="8">
        <v>60000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9">
        <v>5016</v>
      </c>
      <c r="BM36" s="10">
        <v>104640</v>
      </c>
      <c r="BN36" s="15">
        <f t="shared" si="0"/>
        <v>99624</v>
      </c>
      <c r="BO36" s="16">
        <f t="shared" si="1"/>
        <v>69736.799999999988</v>
      </c>
    </row>
    <row r="37" spans="1:67" x14ac:dyDescent="0.4">
      <c r="A37" s="5" t="s">
        <v>14</v>
      </c>
      <c r="B37" s="5" t="s">
        <v>40</v>
      </c>
      <c r="C37" s="5">
        <v>457807</v>
      </c>
      <c r="D37" s="6"/>
      <c r="E37" s="5" t="s">
        <v>16</v>
      </c>
      <c r="F37" s="5" t="s">
        <v>41</v>
      </c>
      <c r="G37" s="5" t="s">
        <v>34</v>
      </c>
      <c r="H37" s="7" t="s">
        <v>8</v>
      </c>
      <c r="I37" s="7" t="s">
        <v>456</v>
      </c>
      <c r="J37" s="7">
        <v>97</v>
      </c>
      <c r="K37" s="7">
        <v>854</v>
      </c>
      <c r="L37" s="8">
        <v>9700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23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192</v>
      </c>
      <c r="AF37" s="8">
        <v>14440</v>
      </c>
      <c r="AG37" s="8">
        <v>6000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44</v>
      </c>
      <c r="AR37" s="8">
        <v>4200</v>
      </c>
      <c r="AS37" s="7">
        <v>200</v>
      </c>
      <c r="AT37" s="7">
        <v>0</v>
      </c>
      <c r="AU37" s="7">
        <v>0</v>
      </c>
      <c r="AV37" s="7">
        <v>0</v>
      </c>
      <c r="AW37" s="7">
        <v>75</v>
      </c>
      <c r="AX37" s="8">
        <v>9000</v>
      </c>
      <c r="AY37" s="7">
        <v>0</v>
      </c>
      <c r="AZ37" s="7">
        <v>0</v>
      </c>
      <c r="BA37" s="7">
        <v>0</v>
      </c>
      <c r="BB37" s="7">
        <v>0</v>
      </c>
      <c r="BC37" s="7">
        <v>467</v>
      </c>
      <c r="BD37" s="8">
        <v>56040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9">
        <v>4262.3999999999996</v>
      </c>
      <c r="BM37" s="10">
        <v>99580</v>
      </c>
      <c r="BN37" s="15">
        <f t="shared" si="0"/>
        <v>95317.6</v>
      </c>
      <c r="BO37" s="16">
        <f t="shared" si="1"/>
        <v>66722.320000000007</v>
      </c>
    </row>
    <row r="38" spans="1:67" x14ac:dyDescent="0.4">
      <c r="A38" s="5" t="s">
        <v>14</v>
      </c>
      <c r="B38" s="5" t="s">
        <v>107</v>
      </c>
      <c r="C38" s="5">
        <v>428379</v>
      </c>
      <c r="D38" s="6"/>
      <c r="E38" s="5" t="s">
        <v>16</v>
      </c>
      <c r="F38" s="5" t="s">
        <v>108</v>
      </c>
      <c r="G38" s="5" t="s">
        <v>457</v>
      </c>
      <c r="H38" s="7" t="s">
        <v>8</v>
      </c>
      <c r="I38" s="7" t="s">
        <v>109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2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187</v>
      </c>
      <c r="AF38" s="8">
        <v>4240</v>
      </c>
      <c r="AG38" s="8">
        <v>14500</v>
      </c>
      <c r="AH38" s="7">
        <v>0</v>
      </c>
      <c r="AI38" s="7">
        <v>0</v>
      </c>
      <c r="AJ38" s="7">
        <v>0</v>
      </c>
      <c r="AK38" s="7">
        <v>3</v>
      </c>
      <c r="AL38" s="7">
        <v>0</v>
      </c>
      <c r="AM38" s="7">
        <v>300</v>
      </c>
      <c r="AN38" s="7">
        <v>0</v>
      </c>
      <c r="AO38" s="7">
        <v>0</v>
      </c>
      <c r="AP38" s="7">
        <v>0</v>
      </c>
      <c r="AQ38" s="7">
        <v>65</v>
      </c>
      <c r="AR38" s="8">
        <v>6200</v>
      </c>
      <c r="AS38" s="7">
        <v>300</v>
      </c>
      <c r="AT38" s="7">
        <v>0</v>
      </c>
      <c r="AU38" s="7">
        <v>0</v>
      </c>
      <c r="AV38" s="7">
        <v>0</v>
      </c>
      <c r="AW38" s="7">
        <v>33</v>
      </c>
      <c r="AX38" s="8">
        <v>3960</v>
      </c>
      <c r="AY38" s="7">
        <v>0</v>
      </c>
      <c r="AZ38" s="7">
        <v>0</v>
      </c>
      <c r="BA38" s="7">
        <v>0</v>
      </c>
      <c r="BB38" s="7">
        <v>0</v>
      </c>
      <c r="BC38" s="7">
        <v>564</v>
      </c>
      <c r="BD38" s="8">
        <v>67680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9">
        <v>4456.8</v>
      </c>
      <c r="BM38" s="10">
        <v>97180</v>
      </c>
      <c r="BN38" s="15">
        <f t="shared" si="0"/>
        <v>92723.199999999997</v>
      </c>
      <c r="BO38" s="16">
        <f t="shared" si="1"/>
        <v>64906.239999999991</v>
      </c>
    </row>
    <row r="39" spans="1:67" x14ac:dyDescent="0.4">
      <c r="A39" s="5" t="s">
        <v>14</v>
      </c>
      <c r="B39" s="5" t="s">
        <v>144</v>
      </c>
      <c r="C39" s="5">
        <v>328404</v>
      </c>
      <c r="D39" s="6"/>
      <c r="E39" s="5" t="s">
        <v>16</v>
      </c>
      <c r="F39" s="5" t="s">
        <v>33</v>
      </c>
      <c r="G39" s="5" t="s">
        <v>34</v>
      </c>
      <c r="H39" s="7" t="s">
        <v>8</v>
      </c>
      <c r="I39" s="7" t="s">
        <v>145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30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360</v>
      </c>
      <c r="AF39" s="8">
        <v>26220</v>
      </c>
      <c r="AG39" s="8">
        <v>10900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94</v>
      </c>
      <c r="AR39" s="8">
        <v>9000</v>
      </c>
      <c r="AS39" s="7">
        <v>400</v>
      </c>
      <c r="AT39" s="7">
        <v>0</v>
      </c>
      <c r="AU39" s="7">
        <v>0</v>
      </c>
      <c r="AV39" s="7">
        <v>0</v>
      </c>
      <c r="AW39" s="7">
        <v>34</v>
      </c>
      <c r="AX39" s="8">
        <v>3480</v>
      </c>
      <c r="AY39" s="7">
        <v>500</v>
      </c>
      <c r="AZ39" s="7">
        <v>0</v>
      </c>
      <c r="BA39" s="7">
        <v>0</v>
      </c>
      <c r="BB39" s="7">
        <v>0</v>
      </c>
      <c r="BC39" s="7">
        <v>385</v>
      </c>
      <c r="BD39" s="8">
        <v>46200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9">
        <v>3120</v>
      </c>
      <c r="BM39" s="10">
        <v>96700</v>
      </c>
      <c r="BN39" s="15">
        <f t="shared" si="0"/>
        <v>93580</v>
      </c>
      <c r="BO39" s="16">
        <f t="shared" si="1"/>
        <v>65505.999999999993</v>
      </c>
    </row>
    <row r="40" spans="1:67" x14ac:dyDescent="0.4">
      <c r="A40" s="5" t="s">
        <v>14</v>
      </c>
      <c r="B40" s="5" t="s">
        <v>68</v>
      </c>
      <c r="C40" s="5">
        <v>442274</v>
      </c>
      <c r="D40" s="6"/>
      <c r="E40" s="5" t="s">
        <v>16</v>
      </c>
      <c r="F40" s="5" t="s">
        <v>69</v>
      </c>
      <c r="G40" s="5" t="s">
        <v>10</v>
      </c>
      <c r="H40" s="7" t="s">
        <v>7</v>
      </c>
      <c r="I40" s="7" t="s">
        <v>70</v>
      </c>
      <c r="J40" s="7">
        <v>0</v>
      </c>
      <c r="K40" s="7">
        <v>281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109</v>
      </c>
      <c r="AF40" s="8">
        <v>9300</v>
      </c>
      <c r="AG40" s="8">
        <v>2800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168</v>
      </c>
      <c r="AR40" s="8">
        <v>16800</v>
      </c>
      <c r="AS40" s="7">
        <v>0</v>
      </c>
      <c r="AT40" s="7">
        <v>0</v>
      </c>
      <c r="AU40" s="7">
        <v>0</v>
      </c>
      <c r="AV40" s="7">
        <v>0</v>
      </c>
      <c r="AW40" s="7">
        <v>184</v>
      </c>
      <c r="AX40" s="8">
        <v>22080</v>
      </c>
      <c r="AY40" s="7">
        <v>0</v>
      </c>
      <c r="AZ40" s="7">
        <v>0</v>
      </c>
      <c r="BA40" s="7">
        <v>0</v>
      </c>
      <c r="BB40" s="7">
        <v>0</v>
      </c>
      <c r="BC40" s="7">
        <v>292</v>
      </c>
      <c r="BD40" s="8">
        <v>35040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9">
        <v>4310.3999999999996</v>
      </c>
      <c r="BM40" s="10">
        <v>86020</v>
      </c>
      <c r="BN40" s="15">
        <f t="shared" si="0"/>
        <v>81709.600000000006</v>
      </c>
      <c r="BO40" s="16">
        <f t="shared" si="1"/>
        <v>57196.72</v>
      </c>
    </row>
    <row r="41" spans="1:67" ht="19.2" x14ac:dyDescent="0.4">
      <c r="A41" s="5" t="s">
        <v>14</v>
      </c>
      <c r="B41" s="5" t="s">
        <v>110</v>
      </c>
      <c r="C41" s="5">
        <v>425289</v>
      </c>
      <c r="D41" s="6"/>
      <c r="E41" s="5" t="s">
        <v>16</v>
      </c>
      <c r="F41" s="5" t="s">
        <v>96</v>
      </c>
      <c r="G41" s="5" t="s">
        <v>10</v>
      </c>
      <c r="H41" s="7" t="s">
        <v>7</v>
      </c>
      <c r="I41" s="7" t="s">
        <v>111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36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284</v>
      </c>
      <c r="AF41" s="8">
        <v>19700</v>
      </c>
      <c r="AG41" s="8">
        <v>8700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248</v>
      </c>
      <c r="AR41" s="8">
        <v>24400</v>
      </c>
      <c r="AS41" s="7">
        <v>400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256</v>
      </c>
      <c r="BD41" s="8">
        <v>30720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9">
        <v>1843.2</v>
      </c>
      <c r="BM41" s="10">
        <v>83920</v>
      </c>
      <c r="BN41" s="15">
        <f t="shared" si="0"/>
        <v>82076.800000000003</v>
      </c>
      <c r="BO41" s="16">
        <f t="shared" si="1"/>
        <v>57453.759999999995</v>
      </c>
    </row>
    <row r="42" spans="1:67" x14ac:dyDescent="0.4">
      <c r="A42" s="5" t="s">
        <v>14</v>
      </c>
      <c r="B42" s="5" t="s">
        <v>151</v>
      </c>
      <c r="C42" s="5">
        <v>350894</v>
      </c>
      <c r="D42" s="6"/>
      <c r="E42" s="5" t="s">
        <v>16</v>
      </c>
      <c r="F42" s="5" t="s">
        <v>152</v>
      </c>
      <c r="G42" s="5" t="s">
        <v>34</v>
      </c>
      <c r="H42" s="7" t="s">
        <v>8</v>
      </c>
      <c r="I42" s="7" t="s">
        <v>153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28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200</v>
      </c>
      <c r="AF42" s="8">
        <v>4900</v>
      </c>
      <c r="AG42" s="8">
        <v>15100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127</v>
      </c>
      <c r="AR42" s="8">
        <v>12700</v>
      </c>
      <c r="AS42" s="7">
        <v>0</v>
      </c>
      <c r="AT42" s="7">
        <v>0</v>
      </c>
      <c r="AU42" s="7">
        <v>0</v>
      </c>
      <c r="AV42" s="7">
        <v>0</v>
      </c>
      <c r="AW42" s="7">
        <v>72</v>
      </c>
      <c r="AX42" s="8">
        <v>8640</v>
      </c>
      <c r="AY42" s="7">
        <v>0</v>
      </c>
      <c r="AZ42" s="7">
        <v>0</v>
      </c>
      <c r="BA42" s="7">
        <v>0</v>
      </c>
      <c r="BB42" s="7">
        <v>0</v>
      </c>
      <c r="BC42" s="7">
        <v>305</v>
      </c>
      <c r="BD42" s="8">
        <v>36600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9">
        <v>3060</v>
      </c>
      <c r="BM42" s="10">
        <v>77940</v>
      </c>
      <c r="BN42" s="15">
        <f t="shared" si="0"/>
        <v>74880</v>
      </c>
      <c r="BO42" s="16">
        <f t="shared" si="1"/>
        <v>52416</v>
      </c>
    </row>
    <row r="43" spans="1:67" x14ac:dyDescent="0.4">
      <c r="A43" s="5" t="s">
        <v>14</v>
      </c>
      <c r="B43" s="5" t="s">
        <v>85</v>
      </c>
      <c r="C43" s="5">
        <v>422032</v>
      </c>
      <c r="D43" s="6"/>
      <c r="E43" s="5" t="s">
        <v>16</v>
      </c>
      <c r="F43" s="5" t="s">
        <v>86</v>
      </c>
      <c r="G43" s="5" t="s">
        <v>10</v>
      </c>
      <c r="H43" s="7" t="s">
        <v>9</v>
      </c>
      <c r="I43" s="7" t="s">
        <v>87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30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143</v>
      </c>
      <c r="AF43" s="8">
        <v>1120</v>
      </c>
      <c r="AG43" s="8">
        <v>13200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190</v>
      </c>
      <c r="AR43" s="8">
        <v>18600</v>
      </c>
      <c r="AS43" s="7">
        <v>400</v>
      </c>
      <c r="AT43" s="7">
        <v>0</v>
      </c>
      <c r="AU43" s="7">
        <v>0</v>
      </c>
      <c r="AV43" s="7">
        <v>0</v>
      </c>
      <c r="AW43" s="7">
        <v>65</v>
      </c>
      <c r="AX43" s="8">
        <v>7800</v>
      </c>
      <c r="AY43" s="7">
        <v>0</v>
      </c>
      <c r="AZ43" s="7">
        <v>0</v>
      </c>
      <c r="BA43" s="7">
        <v>0</v>
      </c>
      <c r="BB43" s="7">
        <v>0</v>
      </c>
      <c r="BC43" s="7">
        <v>302</v>
      </c>
      <c r="BD43" s="8">
        <v>36240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9">
        <v>2954.4</v>
      </c>
      <c r="BM43" s="10">
        <v>77360</v>
      </c>
      <c r="BN43" s="15">
        <f t="shared" si="0"/>
        <v>74405.600000000006</v>
      </c>
      <c r="BO43" s="16">
        <f t="shared" si="1"/>
        <v>52083.92</v>
      </c>
    </row>
    <row r="44" spans="1:67" x14ac:dyDescent="0.4">
      <c r="A44" s="5" t="s">
        <v>14</v>
      </c>
      <c r="B44" s="5" t="s">
        <v>127</v>
      </c>
      <c r="C44" s="5">
        <v>290890</v>
      </c>
      <c r="D44" s="6"/>
      <c r="E44" s="5" t="s">
        <v>16</v>
      </c>
      <c r="F44" s="5" t="s">
        <v>30</v>
      </c>
      <c r="G44" s="5" t="s">
        <v>10</v>
      </c>
      <c r="H44" s="7" t="s">
        <v>7</v>
      </c>
      <c r="I44" s="7" t="s">
        <v>128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30</v>
      </c>
      <c r="AC44" s="8">
        <v>25680</v>
      </c>
      <c r="AD44" s="7">
        <v>800</v>
      </c>
      <c r="AE44" s="7">
        <v>1</v>
      </c>
      <c r="AF44" s="8">
        <v>3840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10</v>
      </c>
      <c r="AU44" s="8">
        <v>10080</v>
      </c>
      <c r="AV44" s="7">
        <v>0</v>
      </c>
      <c r="AW44" s="7">
        <v>1</v>
      </c>
      <c r="AX44" s="8">
        <v>3840</v>
      </c>
      <c r="AY44" s="7">
        <v>0</v>
      </c>
      <c r="AZ44" s="7">
        <v>24</v>
      </c>
      <c r="BA44" s="8">
        <v>25320</v>
      </c>
      <c r="BB44" s="7">
        <v>0</v>
      </c>
      <c r="BC44" s="7">
        <v>1</v>
      </c>
      <c r="BD44" s="8">
        <v>3840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9">
        <v>3141.6</v>
      </c>
      <c r="BM44" s="10">
        <v>73400</v>
      </c>
      <c r="BN44" s="15">
        <f t="shared" si="0"/>
        <v>70258.399999999994</v>
      </c>
      <c r="BO44" s="16">
        <f t="shared" si="1"/>
        <v>49180.87999999999</v>
      </c>
    </row>
    <row r="45" spans="1:67" x14ac:dyDescent="0.4">
      <c r="A45" s="5" t="s">
        <v>14</v>
      </c>
      <c r="B45" s="5" t="s">
        <v>57</v>
      </c>
      <c r="C45" s="5">
        <v>464776</v>
      </c>
      <c r="D45" s="6"/>
      <c r="E45" s="5" t="s">
        <v>16</v>
      </c>
      <c r="F45" s="5" t="s">
        <v>58</v>
      </c>
      <c r="G45" s="5" t="s">
        <v>457</v>
      </c>
      <c r="H45" s="7" t="s">
        <v>9</v>
      </c>
      <c r="I45" s="7" t="s">
        <v>59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115</v>
      </c>
      <c r="AF45" s="8">
        <v>3000</v>
      </c>
      <c r="AG45" s="8">
        <v>8500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3</v>
      </c>
      <c r="AR45" s="7">
        <v>300</v>
      </c>
      <c r="AS45" s="7">
        <v>0</v>
      </c>
      <c r="AT45" s="7">
        <v>0</v>
      </c>
      <c r="AU45" s="7">
        <v>0</v>
      </c>
      <c r="AV45" s="7">
        <v>0</v>
      </c>
      <c r="AW45" s="7">
        <v>1</v>
      </c>
      <c r="AX45" s="7">
        <v>120</v>
      </c>
      <c r="AY45" s="7">
        <v>0</v>
      </c>
      <c r="AZ45" s="7">
        <v>0</v>
      </c>
      <c r="BA45" s="7">
        <v>0</v>
      </c>
      <c r="BB45" s="7">
        <v>0</v>
      </c>
      <c r="BC45" s="7">
        <v>501</v>
      </c>
      <c r="BD45" s="8">
        <v>60120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9">
        <v>3619.2</v>
      </c>
      <c r="BM45" s="10">
        <v>72040</v>
      </c>
      <c r="BN45" s="15">
        <f t="shared" si="0"/>
        <v>68420.800000000003</v>
      </c>
      <c r="BO45" s="16">
        <f t="shared" si="1"/>
        <v>47894.559999999998</v>
      </c>
    </row>
    <row r="46" spans="1:67" x14ac:dyDescent="0.4">
      <c r="A46" s="5" t="s">
        <v>14</v>
      </c>
      <c r="B46" s="5" t="s">
        <v>214</v>
      </c>
      <c r="C46" s="5">
        <v>407733</v>
      </c>
      <c r="D46" s="6"/>
      <c r="E46" s="5" t="s">
        <v>16</v>
      </c>
      <c r="F46" s="5" t="s">
        <v>30</v>
      </c>
      <c r="G46" s="5" t="s">
        <v>10</v>
      </c>
      <c r="H46" s="7" t="s">
        <v>7</v>
      </c>
      <c r="I46" s="7" t="s">
        <v>215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13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76</v>
      </c>
      <c r="AF46" s="8">
        <v>2260</v>
      </c>
      <c r="AG46" s="8">
        <v>5600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92</v>
      </c>
      <c r="AR46" s="8">
        <v>9000</v>
      </c>
      <c r="AS46" s="7">
        <v>200</v>
      </c>
      <c r="AT46" s="7">
        <v>0</v>
      </c>
      <c r="AU46" s="7">
        <v>0</v>
      </c>
      <c r="AV46" s="7">
        <v>0</v>
      </c>
      <c r="AW46" s="7">
        <v>113</v>
      </c>
      <c r="AX46" s="8">
        <v>13779</v>
      </c>
      <c r="AY46" s="7">
        <v>0</v>
      </c>
      <c r="AZ46" s="7">
        <v>0</v>
      </c>
      <c r="BA46" s="7">
        <v>0</v>
      </c>
      <c r="BB46" s="7">
        <v>0</v>
      </c>
      <c r="BC46" s="7">
        <v>324</v>
      </c>
      <c r="BD46" s="8">
        <v>38880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9">
        <v>3710.7</v>
      </c>
      <c r="BM46" s="10">
        <v>69719</v>
      </c>
      <c r="BN46" s="15">
        <f t="shared" si="0"/>
        <v>66008.3</v>
      </c>
      <c r="BO46" s="16">
        <f t="shared" si="1"/>
        <v>46205.81</v>
      </c>
    </row>
    <row r="47" spans="1:67" ht="19.2" x14ac:dyDescent="0.4">
      <c r="A47" s="5" t="s">
        <v>14</v>
      </c>
      <c r="B47" s="5" t="s">
        <v>231</v>
      </c>
      <c r="C47" s="5">
        <v>408593</v>
      </c>
      <c r="D47" s="6"/>
      <c r="E47" s="5" t="s">
        <v>16</v>
      </c>
      <c r="F47" s="5" t="s">
        <v>78</v>
      </c>
      <c r="G47" s="5" t="s">
        <v>10</v>
      </c>
      <c r="H47" s="7" t="s">
        <v>7</v>
      </c>
      <c r="I47" s="7" t="s">
        <v>232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8</v>
      </c>
      <c r="AF47" s="8">
        <v>23500</v>
      </c>
      <c r="AG47" s="7">
        <v>300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4</v>
      </c>
      <c r="AR47" s="8">
        <v>12800</v>
      </c>
      <c r="AS47" s="7">
        <v>0</v>
      </c>
      <c r="AT47" s="7">
        <v>0</v>
      </c>
      <c r="AU47" s="7">
        <v>0</v>
      </c>
      <c r="AV47" s="7">
        <v>0</v>
      </c>
      <c r="AW47" s="7">
        <v>7</v>
      </c>
      <c r="AX47" s="8">
        <v>20160</v>
      </c>
      <c r="AY47" s="7">
        <v>0</v>
      </c>
      <c r="AZ47" s="7">
        <v>0</v>
      </c>
      <c r="BA47" s="7">
        <v>0</v>
      </c>
      <c r="BB47" s="7">
        <v>0</v>
      </c>
      <c r="BC47" s="7">
        <v>3</v>
      </c>
      <c r="BD47" s="8">
        <v>8880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9">
        <v>2548.8000000000002</v>
      </c>
      <c r="BM47" s="10">
        <v>65640</v>
      </c>
      <c r="BN47" s="15">
        <f t="shared" si="0"/>
        <v>63091.199999999997</v>
      </c>
      <c r="BO47" s="16">
        <f t="shared" si="1"/>
        <v>44163.839999999997</v>
      </c>
    </row>
    <row r="48" spans="1:67" x14ac:dyDescent="0.4">
      <c r="A48" s="5" t="s">
        <v>14</v>
      </c>
      <c r="B48" s="5" t="s">
        <v>117</v>
      </c>
      <c r="C48" s="5">
        <v>379813</v>
      </c>
      <c r="D48" s="6"/>
      <c r="E48" s="5" t="s">
        <v>16</v>
      </c>
      <c r="F48" s="5" t="s">
        <v>30</v>
      </c>
      <c r="G48" s="5" t="s">
        <v>10</v>
      </c>
      <c r="H48" s="7" t="s">
        <v>7</v>
      </c>
      <c r="I48" s="7" t="s">
        <v>118</v>
      </c>
      <c r="J48" s="7">
        <v>0</v>
      </c>
      <c r="K48" s="7">
        <v>10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5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245</v>
      </c>
      <c r="AF48" s="8">
        <v>7000</v>
      </c>
      <c r="AG48" s="8">
        <v>18300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336</v>
      </c>
      <c r="BD48" s="8">
        <v>40320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9">
        <v>2419.1999999999998</v>
      </c>
      <c r="BM48" s="10">
        <v>65620</v>
      </c>
      <c r="BN48" s="15">
        <f t="shared" si="0"/>
        <v>63200.800000000003</v>
      </c>
      <c r="BO48" s="16">
        <f t="shared" si="1"/>
        <v>44240.56</v>
      </c>
    </row>
    <row r="49" spans="1:67" x14ac:dyDescent="0.4">
      <c r="A49" s="5" t="s">
        <v>14</v>
      </c>
      <c r="B49" s="5" t="s">
        <v>146</v>
      </c>
      <c r="C49" s="5">
        <v>392777</v>
      </c>
      <c r="D49" s="6"/>
      <c r="E49" s="5" t="s">
        <v>16</v>
      </c>
      <c r="F49" s="5" t="s">
        <v>89</v>
      </c>
      <c r="G49" s="5" t="s">
        <v>10</v>
      </c>
      <c r="H49" s="7" t="s">
        <v>7</v>
      </c>
      <c r="I49" s="7" t="s">
        <v>147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6</v>
      </c>
      <c r="AF49" s="8">
        <v>16000</v>
      </c>
      <c r="AG49" s="8">
        <v>3200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2</v>
      </c>
      <c r="AR49" s="8">
        <v>6400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10</v>
      </c>
      <c r="BD49" s="8">
        <v>38400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9">
        <v>2304</v>
      </c>
      <c r="BM49" s="10">
        <v>64000</v>
      </c>
      <c r="BN49" s="15">
        <f t="shared" si="0"/>
        <v>61696</v>
      </c>
      <c r="BO49" s="16">
        <f t="shared" si="1"/>
        <v>43187.199999999997</v>
      </c>
    </row>
    <row r="50" spans="1:67" x14ac:dyDescent="0.4">
      <c r="A50" s="5" t="s">
        <v>14</v>
      </c>
      <c r="B50" s="5" t="s">
        <v>199</v>
      </c>
      <c r="C50" s="5">
        <v>458566</v>
      </c>
      <c r="D50" s="6"/>
      <c r="E50" s="5" t="s">
        <v>16</v>
      </c>
      <c r="F50" s="5" t="s">
        <v>30</v>
      </c>
      <c r="G50" s="5" t="s">
        <v>10</v>
      </c>
      <c r="H50" s="7" t="s">
        <v>7</v>
      </c>
      <c r="I50" s="7" t="s">
        <v>200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16</v>
      </c>
      <c r="BD50" s="8">
        <v>61440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9">
        <v>3686.4</v>
      </c>
      <c r="BM50" s="10">
        <v>61440</v>
      </c>
      <c r="BN50" s="15">
        <f t="shared" si="0"/>
        <v>57753.599999999999</v>
      </c>
      <c r="BO50" s="16">
        <f t="shared" si="1"/>
        <v>40427.519999999997</v>
      </c>
    </row>
    <row r="51" spans="1:67" x14ac:dyDescent="0.4">
      <c r="A51" s="5" t="s">
        <v>14</v>
      </c>
      <c r="B51" s="5" t="s">
        <v>100</v>
      </c>
      <c r="C51" s="5">
        <v>287641</v>
      </c>
      <c r="D51" s="6"/>
      <c r="E51" s="5" t="s">
        <v>16</v>
      </c>
      <c r="F51" s="5" t="s">
        <v>30</v>
      </c>
      <c r="G51" s="5" t="s">
        <v>10</v>
      </c>
      <c r="H51" s="7" t="s">
        <v>7</v>
      </c>
      <c r="I51" s="7" t="s">
        <v>101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9</v>
      </c>
      <c r="AF51" s="8">
        <v>23500</v>
      </c>
      <c r="AG51" s="8">
        <v>2000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10</v>
      </c>
      <c r="BD51" s="8">
        <v>34080</v>
      </c>
      <c r="BE51" s="7">
        <v>500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9">
        <v>2044.8</v>
      </c>
      <c r="BM51" s="10">
        <v>60080</v>
      </c>
      <c r="BN51" s="15">
        <f t="shared" si="0"/>
        <v>58035.199999999997</v>
      </c>
      <c r="BO51" s="16">
        <f t="shared" si="1"/>
        <v>40624.639999999992</v>
      </c>
    </row>
    <row r="52" spans="1:67" x14ac:dyDescent="0.4">
      <c r="A52" s="5" t="s">
        <v>14</v>
      </c>
      <c r="B52" s="5" t="s">
        <v>137</v>
      </c>
      <c r="C52" s="5">
        <v>337887</v>
      </c>
      <c r="D52" s="6"/>
      <c r="E52" s="5" t="s">
        <v>16</v>
      </c>
      <c r="F52" s="5" t="s">
        <v>133</v>
      </c>
      <c r="G52" s="5" t="s">
        <v>34</v>
      </c>
      <c r="H52" s="7" t="s">
        <v>8</v>
      </c>
      <c r="I52" s="7" t="s">
        <v>138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1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198</v>
      </c>
      <c r="AF52" s="8">
        <v>9620</v>
      </c>
      <c r="AG52" s="8">
        <v>11700</v>
      </c>
      <c r="AH52" s="7">
        <v>0</v>
      </c>
      <c r="AI52" s="7">
        <v>0</v>
      </c>
      <c r="AJ52" s="7">
        <v>0</v>
      </c>
      <c r="AK52" s="7">
        <v>17</v>
      </c>
      <c r="AL52" s="8">
        <v>2040</v>
      </c>
      <c r="AM52" s="7">
        <v>0</v>
      </c>
      <c r="AN52" s="7">
        <v>0</v>
      </c>
      <c r="AO52" s="7">
        <v>0</v>
      </c>
      <c r="AP52" s="7">
        <v>0</v>
      </c>
      <c r="AQ52" s="7">
        <v>40</v>
      </c>
      <c r="AR52" s="8">
        <v>3800</v>
      </c>
      <c r="AS52" s="7">
        <v>200</v>
      </c>
      <c r="AT52" s="7">
        <v>0</v>
      </c>
      <c r="AU52" s="7">
        <v>0</v>
      </c>
      <c r="AV52" s="7">
        <v>0</v>
      </c>
      <c r="AW52" s="7">
        <v>35</v>
      </c>
      <c r="AX52" s="8">
        <v>4200</v>
      </c>
      <c r="AY52" s="7">
        <v>0</v>
      </c>
      <c r="AZ52" s="7">
        <v>0</v>
      </c>
      <c r="BA52" s="7">
        <v>0</v>
      </c>
      <c r="BB52" s="7">
        <v>0</v>
      </c>
      <c r="BC52" s="7">
        <v>202</v>
      </c>
      <c r="BD52" s="8">
        <v>24240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9">
        <v>2486.4</v>
      </c>
      <c r="BM52" s="10">
        <v>55800</v>
      </c>
      <c r="BN52" s="15">
        <f t="shared" si="0"/>
        <v>53313.599999999999</v>
      </c>
      <c r="BO52" s="16">
        <f t="shared" si="1"/>
        <v>37319.519999999997</v>
      </c>
    </row>
    <row r="53" spans="1:67" x14ac:dyDescent="0.4">
      <c r="A53" s="5" t="s">
        <v>14</v>
      </c>
      <c r="B53" s="5" t="s">
        <v>226</v>
      </c>
      <c r="C53" s="5">
        <v>399878</v>
      </c>
      <c r="D53" s="6"/>
      <c r="E53" s="5" t="s">
        <v>16</v>
      </c>
      <c r="F53" s="5" t="s">
        <v>227</v>
      </c>
      <c r="G53" s="5" t="s">
        <v>34</v>
      </c>
      <c r="H53" s="7" t="s">
        <v>8</v>
      </c>
      <c r="I53" s="7" t="s">
        <v>228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20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131</v>
      </c>
      <c r="AF53" s="8">
        <v>9520</v>
      </c>
      <c r="AG53" s="8">
        <v>4800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77</v>
      </c>
      <c r="AR53" s="8">
        <v>7700</v>
      </c>
      <c r="AS53" s="7">
        <v>0</v>
      </c>
      <c r="AT53" s="7">
        <v>0</v>
      </c>
      <c r="AU53" s="7">
        <v>0</v>
      </c>
      <c r="AV53" s="7">
        <v>0</v>
      </c>
      <c r="AW53" s="7">
        <v>70</v>
      </c>
      <c r="AX53" s="8">
        <v>8400</v>
      </c>
      <c r="AY53" s="7">
        <v>0</v>
      </c>
      <c r="AZ53" s="7">
        <v>0</v>
      </c>
      <c r="BA53" s="7">
        <v>0</v>
      </c>
      <c r="BB53" s="7">
        <v>0</v>
      </c>
      <c r="BC53" s="7">
        <v>193</v>
      </c>
      <c r="BD53" s="8">
        <v>23160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9">
        <v>2229.6</v>
      </c>
      <c r="BM53" s="10">
        <v>53580</v>
      </c>
      <c r="BN53" s="15">
        <f t="shared" si="0"/>
        <v>51350.400000000001</v>
      </c>
      <c r="BO53" s="16">
        <f t="shared" si="1"/>
        <v>35945.279999999999</v>
      </c>
    </row>
    <row r="54" spans="1:67" x14ac:dyDescent="0.4">
      <c r="A54" s="5" t="s">
        <v>14</v>
      </c>
      <c r="B54" s="5" t="s">
        <v>159</v>
      </c>
      <c r="C54" s="5">
        <v>376361</v>
      </c>
      <c r="D54" s="6"/>
      <c r="E54" s="5" t="s">
        <v>16</v>
      </c>
      <c r="F54" s="5" t="s">
        <v>47</v>
      </c>
      <c r="G54" s="5" t="s">
        <v>34</v>
      </c>
      <c r="H54" s="7" t="s">
        <v>8</v>
      </c>
      <c r="I54" s="7" t="s">
        <v>160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19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168</v>
      </c>
      <c r="AF54" s="8">
        <v>6300</v>
      </c>
      <c r="AG54" s="8">
        <v>10500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61</v>
      </c>
      <c r="AR54" s="8">
        <v>5200</v>
      </c>
      <c r="AS54" s="7">
        <v>900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252</v>
      </c>
      <c r="BD54" s="8">
        <v>30240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9">
        <v>1814.4</v>
      </c>
      <c r="BM54" s="10">
        <v>53140</v>
      </c>
      <c r="BN54" s="15">
        <f t="shared" si="0"/>
        <v>51325.599999999999</v>
      </c>
      <c r="BO54" s="16">
        <f t="shared" si="1"/>
        <v>35927.919999999998</v>
      </c>
    </row>
    <row r="55" spans="1:67" x14ac:dyDescent="0.4">
      <c r="A55" s="5" t="s">
        <v>14</v>
      </c>
      <c r="B55" s="5" t="s">
        <v>121</v>
      </c>
      <c r="C55" s="5">
        <v>425414</v>
      </c>
      <c r="D55" s="6"/>
      <c r="E55" s="5" t="s">
        <v>16</v>
      </c>
      <c r="F55" s="5" t="s">
        <v>122</v>
      </c>
      <c r="G55" s="5" t="s">
        <v>10</v>
      </c>
      <c r="H55" s="7" t="s">
        <v>7</v>
      </c>
      <c r="I55" s="7" t="s">
        <v>123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13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241</v>
      </c>
      <c r="AF55" s="8">
        <v>25040</v>
      </c>
      <c r="AG55" s="8">
        <v>1100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17</v>
      </c>
      <c r="AX55" s="8">
        <v>2040</v>
      </c>
      <c r="AY55" s="7">
        <v>0</v>
      </c>
      <c r="AZ55" s="7">
        <v>0</v>
      </c>
      <c r="BA55" s="7">
        <v>0</v>
      </c>
      <c r="BB55" s="7">
        <v>0</v>
      </c>
      <c r="BC55" s="7">
        <v>207</v>
      </c>
      <c r="BD55" s="8">
        <v>24840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9">
        <v>1694.4</v>
      </c>
      <c r="BM55" s="10">
        <v>53020</v>
      </c>
      <c r="BN55" s="15">
        <f t="shared" si="0"/>
        <v>51325.599999999999</v>
      </c>
      <c r="BO55" s="16">
        <f t="shared" si="1"/>
        <v>35927.919999999998</v>
      </c>
    </row>
    <row r="56" spans="1:67" x14ac:dyDescent="0.4">
      <c r="A56" s="5" t="s">
        <v>14</v>
      </c>
      <c r="B56" s="5" t="s">
        <v>142</v>
      </c>
      <c r="C56" s="5">
        <v>367994</v>
      </c>
      <c r="D56" s="6"/>
      <c r="E56" s="5" t="s">
        <v>16</v>
      </c>
      <c r="F56" s="5" t="s">
        <v>33</v>
      </c>
      <c r="G56" s="5" t="s">
        <v>34</v>
      </c>
      <c r="H56" s="7" t="s">
        <v>8</v>
      </c>
      <c r="I56" s="7" t="s">
        <v>143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15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169</v>
      </c>
      <c r="AF56" s="8">
        <v>10620</v>
      </c>
      <c r="AG56" s="8">
        <v>7400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16</v>
      </c>
      <c r="AR56" s="8">
        <v>1000</v>
      </c>
      <c r="AS56" s="7">
        <v>600</v>
      </c>
      <c r="AT56" s="7">
        <v>0</v>
      </c>
      <c r="AU56" s="7">
        <v>0</v>
      </c>
      <c r="AV56" s="7">
        <v>0</v>
      </c>
      <c r="AW56" s="7">
        <v>2</v>
      </c>
      <c r="AX56" s="7">
        <v>240</v>
      </c>
      <c r="AY56" s="7">
        <v>0</v>
      </c>
      <c r="AZ56" s="7">
        <v>0</v>
      </c>
      <c r="BA56" s="7">
        <v>0</v>
      </c>
      <c r="BB56" s="7">
        <v>0</v>
      </c>
      <c r="BC56" s="7">
        <v>268</v>
      </c>
      <c r="BD56" s="8">
        <v>32160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9">
        <v>1953.6</v>
      </c>
      <c r="BM56" s="10">
        <v>52020</v>
      </c>
      <c r="BN56" s="15">
        <f t="shared" si="0"/>
        <v>50066.400000000001</v>
      </c>
      <c r="BO56" s="16">
        <f t="shared" si="1"/>
        <v>35046.479999999996</v>
      </c>
    </row>
    <row r="57" spans="1:67" x14ac:dyDescent="0.4">
      <c r="A57" s="5" t="s">
        <v>14</v>
      </c>
      <c r="B57" s="5" t="s">
        <v>104</v>
      </c>
      <c r="C57" s="5">
        <v>359539</v>
      </c>
      <c r="D57" s="6"/>
      <c r="E57" s="5" t="s">
        <v>16</v>
      </c>
      <c r="F57" s="5" t="s">
        <v>105</v>
      </c>
      <c r="G57" s="5" t="s">
        <v>34</v>
      </c>
      <c r="H57" s="7" t="s">
        <v>8</v>
      </c>
      <c r="I57" s="7" t="s">
        <v>106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6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35</v>
      </c>
      <c r="AF57" s="8">
        <v>2120</v>
      </c>
      <c r="AG57" s="8">
        <v>1600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60</v>
      </c>
      <c r="AR57" s="8">
        <v>6000</v>
      </c>
      <c r="AS57" s="7">
        <v>0</v>
      </c>
      <c r="AT57" s="7">
        <v>0</v>
      </c>
      <c r="AU57" s="7">
        <v>0</v>
      </c>
      <c r="AV57" s="7">
        <v>0</v>
      </c>
      <c r="AW57" s="7">
        <v>37</v>
      </c>
      <c r="AX57" s="8">
        <v>4440</v>
      </c>
      <c r="AY57" s="7">
        <v>0</v>
      </c>
      <c r="AZ57" s="7">
        <v>0</v>
      </c>
      <c r="BA57" s="7">
        <v>0</v>
      </c>
      <c r="BB57" s="7">
        <v>0</v>
      </c>
      <c r="BC57" s="7">
        <v>290</v>
      </c>
      <c r="BD57" s="8">
        <v>34800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9">
        <v>2532</v>
      </c>
      <c r="BM57" s="10">
        <v>48960</v>
      </c>
      <c r="BN57" s="15">
        <f t="shared" si="0"/>
        <v>46428</v>
      </c>
      <c r="BO57" s="16">
        <f t="shared" si="1"/>
        <v>32499.599999999999</v>
      </c>
    </row>
    <row r="58" spans="1:67" x14ac:dyDescent="0.4">
      <c r="A58" s="5" t="s">
        <v>14</v>
      </c>
      <c r="B58" s="5" t="s">
        <v>223</v>
      </c>
      <c r="C58" s="5">
        <v>353981</v>
      </c>
      <c r="D58" s="6"/>
      <c r="E58" s="5" t="s">
        <v>16</v>
      </c>
      <c r="F58" s="5" t="s">
        <v>224</v>
      </c>
      <c r="G58" s="5" t="s">
        <v>34</v>
      </c>
      <c r="H58" s="7" t="s">
        <v>8</v>
      </c>
      <c r="I58" s="7" t="s">
        <v>225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16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234</v>
      </c>
      <c r="AF58" s="8">
        <v>11000</v>
      </c>
      <c r="AG58" s="8">
        <v>12700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207</v>
      </c>
      <c r="BD58" s="8">
        <v>24840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9">
        <v>1490.4</v>
      </c>
      <c r="BM58" s="10">
        <v>48540</v>
      </c>
      <c r="BN58" s="15">
        <f t="shared" si="0"/>
        <v>47049.599999999999</v>
      </c>
      <c r="BO58" s="16">
        <f t="shared" si="1"/>
        <v>32934.719999999994</v>
      </c>
    </row>
    <row r="59" spans="1:67" x14ac:dyDescent="0.4">
      <c r="A59" s="5" t="s">
        <v>14</v>
      </c>
      <c r="B59" s="5" t="s">
        <v>339</v>
      </c>
      <c r="C59" s="5">
        <v>278898</v>
      </c>
      <c r="D59" s="6"/>
      <c r="E59" s="5" t="s">
        <v>16</v>
      </c>
      <c r="F59" s="5" t="s">
        <v>340</v>
      </c>
      <c r="G59" s="5" t="s">
        <v>10</v>
      </c>
      <c r="H59" s="7" t="s">
        <v>7</v>
      </c>
      <c r="I59" s="7" t="s">
        <v>341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252</v>
      </c>
      <c r="AF59" s="8">
        <v>21460</v>
      </c>
      <c r="AG59" s="8">
        <v>3900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164</v>
      </c>
      <c r="AX59" s="8">
        <v>19680</v>
      </c>
      <c r="AY59" s="7">
        <v>0</v>
      </c>
      <c r="AZ59" s="7">
        <v>0</v>
      </c>
      <c r="BA59" s="7">
        <v>0</v>
      </c>
      <c r="BB59" s="7">
        <v>0</v>
      </c>
      <c r="BC59" s="7">
        <v>15</v>
      </c>
      <c r="BD59" s="8">
        <v>1800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9">
        <v>2076</v>
      </c>
      <c r="BM59" s="10">
        <v>46840</v>
      </c>
      <c r="BN59" s="15">
        <f t="shared" si="0"/>
        <v>44764</v>
      </c>
      <c r="BO59" s="16">
        <f t="shared" si="1"/>
        <v>31334.799999999999</v>
      </c>
    </row>
    <row r="60" spans="1:67" x14ac:dyDescent="0.4">
      <c r="A60" s="5" t="s">
        <v>14</v>
      </c>
      <c r="B60" s="5" t="s">
        <v>220</v>
      </c>
      <c r="C60" s="5">
        <v>434558</v>
      </c>
      <c r="D60" s="6"/>
      <c r="E60" s="5" t="s">
        <v>16</v>
      </c>
      <c r="F60" s="5" t="s">
        <v>221</v>
      </c>
      <c r="G60" s="5" t="s">
        <v>10</v>
      </c>
      <c r="H60" s="7" t="s">
        <v>7</v>
      </c>
      <c r="I60" s="7" t="s">
        <v>222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12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28</v>
      </c>
      <c r="AF60" s="8">
        <v>2800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227</v>
      </c>
      <c r="AR60" s="8">
        <v>17500</v>
      </c>
      <c r="AS60" s="8">
        <v>5200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146</v>
      </c>
      <c r="BD60" s="8">
        <v>17520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9">
        <v>1051.2</v>
      </c>
      <c r="BM60" s="10">
        <v>43020</v>
      </c>
      <c r="BN60" s="15">
        <f t="shared" si="0"/>
        <v>41968.800000000003</v>
      </c>
      <c r="BO60" s="16">
        <f t="shared" si="1"/>
        <v>29378.16</v>
      </c>
    </row>
    <row r="61" spans="1:67" x14ac:dyDescent="0.4">
      <c r="A61" s="5" t="s">
        <v>14</v>
      </c>
      <c r="B61" s="5" t="s">
        <v>148</v>
      </c>
      <c r="C61" s="5">
        <v>422374</v>
      </c>
      <c r="D61" s="6"/>
      <c r="E61" s="5" t="s">
        <v>16</v>
      </c>
      <c r="F61" s="5" t="s">
        <v>149</v>
      </c>
      <c r="G61" s="5" t="s">
        <v>10</v>
      </c>
      <c r="H61" s="7" t="s">
        <v>7</v>
      </c>
      <c r="I61" s="7" t="s">
        <v>114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11</v>
      </c>
      <c r="BD61" s="8">
        <v>42240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9">
        <v>2534.4</v>
      </c>
      <c r="BM61" s="10">
        <v>42240</v>
      </c>
      <c r="BN61" s="15">
        <f t="shared" si="0"/>
        <v>39705.599999999999</v>
      </c>
      <c r="BO61" s="16">
        <f t="shared" si="1"/>
        <v>27793.919999999998</v>
      </c>
    </row>
    <row r="62" spans="1:67" x14ac:dyDescent="0.4">
      <c r="A62" s="5" t="s">
        <v>14</v>
      </c>
      <c r="B62" s="5" t="s">
        <v>74</v>
      </c>
      <c r="C62" s="5">
        <v>465250</v>
      </c>
      <c r="D62" s="6"/>
      <c r="E62" s="5" t="s">
        <v>16</v>
      </c>
      <c r="F62" s="5" t="s">
        <v>75</v>
      </c>
      <c r="G62" s="5" t="s">
        <v>457</v>
      </c>
      <c r="H62" s="7" t="s">
        <v>7</v>
      </c>
      <c r="I62" s="7" t="s">
        <v>76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312</v>
      </c>
      <c r="AF62" s="8">
        <v>17500</v>
      </c>
      <c r="AG62" s="8">
        <v>13700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108</v>
      </c>
      <c r="AR62" s="8">
        <v>10800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42000</v>
      </c>
      <c r="BN62" s="15">
        <f t="shared" si="0"/>
        <v>42000</v>
      </c>
      <c r="BO62" s="16">
        <f t="shared" si="1"/>
        <v>29399.999999999996</v>
      </c>
    </row>
    <row r="63" spans="1:67" x14ac:dyDescent="0.4">
      <c r="A63" s="5" t="s">
        <v>14</v>
      </c>
      <c r="B63" s="5" t="s">
        <v>209</v>
      </c>
      <c r="C63" s="5">
        <v>393598</v>
      </c>
      <c r="D63" s="6"/>
      <c r="E63" s="5" t="s">
        <v>16</v>
      </c>
      <c r="F63" s="5" t="s">
        <v>210</v>
      </c>
      <c r="G63" s="5" t="s">
        <v>34</v>
      </c>
      <c r="H63" s="7" t="s">
        <v>8</v>
      </c>
      <c r="I63" s="7" t="s">
        <v>211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18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89</v>
      </c>
      <c r="AF63" s="7">
        <v>720</v>
      </c>
      <c r="AG63" s="8">
        <v>8300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3</v>
      </c>
      <c r="AX63" s="7">
        <v>360</v>
      </c>
      <c r="AY63" s="7">
        <v>0</v>
      </c>
      <c r="AZ63" s="7">
        <v>0</v>
      </c>
      <c r="BA63" s="7">
        <v>0</v>
      </c>
      <c r="BB63" s="7">
        <v>0</v>
      </c>
      <c r="BC63" s="7">
        <v>269</v>
      </c>
      <c r="BD63" s="8">
        <v>32280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9">
        <v>1972.8</v>
      </c>
      <c r="BM63" s="10">
        <v>41660</v>
      </c>
      <c r="BN63" s="15">
        <f t="shared" si="0"/>
        <v>39687.199999999997</v>
      </c>
      <c r="BO63" s="16">
        <f t="shared" si="1"/>
        <v>27781.039999999997</v>
      </c>
    </row>
    <row r="64" spans="1:67" x14ac:dyDescent="0.4">
      <c r="A64" s="5" t="s">
        <v>14</v>
      </c>
      <c r="B64" s="5" t="s">
        <v>407</v>
      </c>
      <c r="C64" s="5">
        <v>410142</v>
      </c>
      <c r="D64" s="6"/>
      <c r="E64" s="5" t="s">
        <v>16</v>
      </c>
      <c r="F64" s="5" t="s">
        <v>63</v>
      </c>
      <c r="G64" s="5" t="s">
        <v>10</v>
      </c>
      <c r="H64" s="7" t="s">
        <v>7</v>
      </c>
      <c r="I64" s="7" t="s">
        <v>216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9</v>
      </c>
      <c r="AR64" s="8">
        <v>28800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3</v>
      </c>
      <c r="BD64" s="8">
        <v>11520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691.2</v>
      </c>
      <c r="BM64" s="10">
        <v>40320</v>
      </c>
      <c r="BN64" s="15">
        <f t="shared" si="0"/>
        <v>39628.800000000003</v>
      </c>
      <c r="BO64" s="16">
        <f t="shared" si="1"/>
        <v>27740.16</v>
      </c>
    </row>
    <row r="65" spans="1:67" x14ac:dyDescent="0.4">
      <c r="A65" s="5" t="s">
        <v>14</v>
      </c>
      <c r="B65" s="5" t="s">
        <v>178</v>
      </c>
      <c r="C65" s="5">
        <v>316658</v>
      </c>
      <c r="D65" s="6"/>
      <c r="E65" s="5" t="s">
        <v>16</v>
      </c>
      <c r="F65" s="5" t="s">
        <v>66</v>
      </c>
      <c r="G65" s="5" t="s">
        <v>10</v>
      </c>
      <c r="H65" s="7" t="s">
        <v>7</v>
      </c>
      <c r="I65" s="7" t="s">
        <v>179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183</v>
      </c>
      <c r="AF65" s="8">
        <v>17620</v>
      </c>
      <c r="AG65" s="8">
        <v>2700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73</v>
      </c>
      <c r="AR65" s="8">
        <v>7300</v>
      </c>
      <c r="AS65" s="7">
        <v>0</v>
      </c>
      <c r="AT65" s="7">
        <v>0</v>
      </c>
      <c r="AU65" s="7">
        <v>0</v>
      </c>
      <c r="AV65" s="7">
        <v>0</v>
      </c>
      <c r="AW65" s="7">
        <v>7</v>
      </c>
      <c r="AX65" s="7">
        <v>840</v>
      </c>
      <c r="AY65" s="7">
        <v>0</v>
      </c>
      <c r="AZ65" s="7">
        <v>0</v>
      </c>
      <c r="BA65" s="7">
        <v>0</v>
      </c>
      <c r="BB65" s="7">
        <v>0</v>
      </c>
      <c r="BC65" s="7">
        <v>90</v>
      </c>
      <c r="BD65" s="8">
        <v>10800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732</v>
      </c>
      <c r="BM65" s="10">
        <v>39260</v>
      </c>
      <c r="BN65" s="15">
        <f t="shared" si="0"/>
        <v>38528</v>
      </c>
      <c r="BO65" s="16">
        <f t="shared" si="1"/>
        <v>26969.599999999999</v>
      </c>
    </row>
    <row r="66" spans="1:67" x14ac:dyDescent="0.4">
      <c r="A66" s="5" t="s">
        <v>14</v>
      </c>
      <c r="B66" s="5" t="s">
        <v>180</v>
      </c>
      <c r="C66" s="5">
        <v>370192</v>
      </c>
      <c r="D66" s="6"/>
      <c r="E66" s="5" t="s">
        <v>16</v>
      </c>
      <c r="F66" s="5" t="s">
        <v>133</v>
      </c>
      <c r="G66" s="5" t="s">
        <v>34</v>
      </c>
      <c r="H66" s="7" t="s">
        <v>8</v>
      </c>
      <c r="I66" s="7" t="s">
        <v>181</v>
      </c>
      <c r="J66" s="7">
        <v>0</v>
      </c>
      <c r="K66" s="7">
        <v>7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20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121</v>
      </c>
      <c r="AF66" s="8">
        <v>4300</v>
      </c>
      <c r="AG66" s="8">
        <v>7800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79</v>
      </c>
      <c r="AR66" s="8">
        <v>7900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138</v>
      </c>
      <c r="BD66" s="8">
        <v>16560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993.6</v>
      </c>
      <c r="BM66" s="10">
        <v>36560</v>
      </c>
      <c r="BN66" s="15">
        <f t="shared" si="0"/>
        <v>35566.400000000001</v>
      </c>
      <c r="BO66" s="16">
        <f t="shared" si="1"/>
        <v>24896.48</v>
      </c>
    </row>
    <row r="67" spans="1:67" x14ac:dyDescent="0.4">
      <c r="A67" s="5" t="s">
        <v>14</v>
      </c>
      <c r="B67" s="5" t="s">
        <v>124</v>
      </c>
      <c r="C67" s="5">
        <v>386704</v>
      </c>
      <c r="D67" s="6"/>
      <c r="E67" s="5" t="s">
        <v>16</v>
      </c>
      <c r="F67" s="5" t="s">
        <v>125</v>
      </c>
      <c r="G67" s="5" t="s">
        <v>34</v>
      </c>
      <c r="H67" s="7" t="s">
        <v>8</v>
      </c>
      <c r="I67" s="7" t="s">
        <v>126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8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125</v>
      </c>
      <c r="AF67" s="8">
        <v>11800</v>
      </c>
      <c r="AG67" s="7">
        <v>700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93</v>
      </c>
      <c r="AR67" s="8">
        <v>9300</v>
      </c>
      <c r="AS67" s="7">
        <v>0</v>
      </c>
      <c r="AT67" s="7">
        <v>0</v>
      </c>
      <c r="AU67" s="7">
        <v>0</v>
      </c>
      <c r="AV67" s="7">
        <v>0</v>
      </c>
      <c r="AW67" s="7">
        <v>2</v>
      </c>
      <c r="AX67" s="7">
        <v>240</v>
      </c>
      <c r="AY67" s="7">
        <v>0</v>
      </c>
      <c r="AZ67" s="7">
        <v>0</v>
      </c>
      <c r="BA67" s="7">
        <v>0</v>
      </c>
      <c r="BB67" s="7">
        <v>0</v>
      </c>
      <c r="BC67" s="7">
        <v>118</v>
      </c>
      <c r="BD67" s="8">
        <v>14160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873.6</v>
      </c>
      <c r="BM67" s="10">
        <v>36200</v>
      </c>
      <c r="BN67" s="15">
        <f t="shared" ref="BN67:BN130" si="2">BM67-BL67</f>
        <v>35326.400000000001</v>
      </c>
      <c r="BO67" s="16">
        <f t="shared" ref="BO67:BO130" si="3">BN67*70%</f>
        <v>24728.48</v>
      </c>
    </row>
    <row r="68" spans="1:67" x14ac:dyDescent="0.4">
      <c r="A68" s="5" t="s">
        <v>14</v>
      </c>
      <c r="B68" s="5" t="s">
        <v>161</v>
      </c>
      <c r="C68" s="5">
        <v>423577</v>
      </c>
      <c r="D68" s="6"/>
      <c r="E68" s="5" t="s">
        <v>16</v>
      </c>
      <c r="F68" s="5" t="s">
        <v>162</v>
      </c>
      <c r="G68" s="5" t="s">
        <v>34</v>
      </c>
      <c r="H68" s="7" t="s">
        <v>8</v>
      </c>
      <c r="I68" s="7" t="s">
        <v>163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13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225</v>
      </c>
      <c r="AF68" s="8">
        <v>14040</v>
      </c>
      <c r="AG68" s="8">
        <v>9700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22</v>
      </c>
      <c r="AR68" s="8">
        <v>2200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78</v>
      </c>
      <c r="BD68" s="8">
        <v>9360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561.6</v>
      </c>
      <c r="BM68" s="10">
        <v>35300</v>
      </c>
      <c r="BN68" s="15">
        <f t="shared" si="2"/>
        <v>34738.400000000001</v>
      </c>
      <c r="BO68" s="16">
        <f t="shared" si="3"/>
        <v>24316.880000000001</v>
      </c>
    </row>
    <row r="69" spans="1:67" x14ac:dyDescent="0.4">
      <c r="A69" s="5" t="s">
        <v>14</v>
      </c>
      <c r="B69" s="5" t="s">
        <v>466</v>
      </c>
      <c r="C69" s="5">
        <v>408588</v>
      </c>
      <c r="D69" s="6"/>
      <c r="E69" s="5" t="s">
        <v>16</v>
      </c>
      <c r="F69" s="5" t="s">
        <v>363</v>
      </c>
      <c r="G69" s="5" t="s">
        <v>10</v>
      </c>
      <c r="H69" s="7" t="s">
        <v>7</v>
      </c>
      <c r="I69" s="7" t="s">
        <v>232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9</v>
      </c>
      <c r="AF69" s="8">
        <v>34560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0">
        <v>34560</v>
      </c>
      <c r="BN69" s="15">
        <f t="shared" si="2"/>
        <v>34560</v>
      </c>
      <c r="BO69" s="16">
        <f t="shared" si="3"/>
        <v>24192</v>
      </c>
    </row>
    <row r="70" spans="1:67" x14ac:dyDescent="0.4">
      <c r="A70" s="5" t="s">
        <v>14</v>
      </c>
      <c r="B70" s="5" t="s">
        <v>186</v>
      </c>
      <c r="C70" s="5">
        <v>423328</v>
      </c>
      <c r="D70" s="6"/>
      <c r="E70" s="5" t="s">
        <v>16</v>
      </c>
      <c r="F70" s="5" t="s">
        <v>30</v>
      </c>
      <c r="G70" s="5" t="s">
        <v>10</v>
      </c>
      <c r="H70" s="7" t="s">
        <v>7</v>
      </c>
      <c r="I70" s="7" t="s">
        <v>187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10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163</v>
      </c>
      <c r="AF70" s="8">
        <v>13820</v>
      </c>
      <c r="AG70" s="8">
        <v>2500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10</v>
      </c>
      <c r="AR70" s="8">
        <v>1000</v>
      </c>
      <c r="AS70" s="7">
        <v>0</v>
      </c>
      <c r="AT70" s="7">
        <v>0</v>
      </c>
      <c r="AU70" s="7">
        <v>0</v>
      </c>
      <c r="AV70" s="7">
        <v>0</v>
      </c>
      <c r="AW70" s="7">
        <v>60</v>
      </c>
      <c r="AX70" s="8">
        <v>7200</v>
      </c>
      <c r="AY70" s="7">
        <v>0</v>
      </c>
      <c r="AZ70" s="7">
        <v>0</v>
      </c>
      <c r="BA70" s="7">
        <v>0</v>
      </c>
      <c r="BB70" s="7">
        <v>0</v>
      </c>
      <c r="BC70" s="7">
        <v>83</v>
      </c>
      <c r="BD70" s="8">
        <v>9960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9">
        <v>1317.6</v>
      </c>
      <c r="BM70" s="10">
        <v>34480</v>
      </c>
      <c r="BN70" s="15">
        <f t="shared" si="2"/>
        <v>33162.400000000001</v>
      </c>
      <c r="BO70" s="16">
        <f t="shared" si="3"/>
        <v>23213.68</v>
      </c>
    </row>
    <row r="71" spans="1:67" x14ac:dyDescent="0.4">
      <c r="A71" s="5" t="s">
        <v>14</v>
      </c>
      <c r="B71" s="5" t="s">
        <v>467</v>
      </c>
      <c r="C71" s="5">
        <v>393275</v>
      </c>
      <c r="D71" s="6"/>
      <c r="E71" s="5" t="s">
        <v>16</v>
      </c>
      <c r="F71" s="5" t="s">
        <v>189</v>
      </c>
      <c r="G71" s="5" t="s">
        <v>10</v>
      </c>
      <c r="H71" s="7" t="s">
        <v>7</v>
      </c>
      <c r="I71" s="7" t="s">
        <v>468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8</v>
      </c>
      <c r="AX71" s="8">
        <v>29696</v>
      </c>
      <c r="AY71" s="7">
        <v>0</v>
      </c>
      <c r="AZ71" s="7">
        <v>0</v>
      </c>
      <c r="BA71" s="7">
        <v>0</v>
      </c>
      <c r="BB71" s="7">
        <v>0</v>
      </c>
      <c r="BC71" s="7">
        <v>1</v>
      </c>
      <c r="BD71" s="8">
        <v>3840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9">
        <v>3200</v>
      </c>
      <c r="BM71" s="10">
        <v>33536</v>
      </c>
      <c r="BN71" s="15">
        <f t="shared" si="2"/>
        <v>30336</v>
      </c>
      <c r="BO71" s="16">
        <f t="shared" si="3"/>
        <v>21235.199999999997</v>
      </c>
    </row>
    <row r="72" spans="1:67" x14ac:dyDescent="0.4">
      <c r="A72" s="5" t="s">
        <v>14</v>
      </c>
      <c r="B72" s="5" t="s">
        <v>249</v>
      </c>
      <c r="C72" s="5">
        <v>462361</v>
      </c>
      <c r="D72" s="6"/>
      <c r="E72" s="5" t="s">
        <v>16</v>
      </c>
      <c r="F72" s="5" t="s">
        <v>39</v>
      </c>
      <c r="G72" s="5" t="s">
        <v>10</v>
      </c>
      <c r="H72" s="7" t="s">
        <v>7</v>
      </c>
      <c r="I72" s="7" t="s">
        <v>250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4</v>
      </c>
      <c r="AF72" s="8">
        <v>3840</v>
      </c>
      <c r="AG72" s="8">
        <v>9100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7</v>
      </c>
      <c r="AR72" s="8">
        <v>19600</v>
      </c>
      <c r="AS72" s="7">
        <v>100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0">
        <v>32640</v>
      </c>
      <c r="BN72" s="15">
        <f t="shared" si="2"/>
        <v>32640</v>
      </c>
      <c r="BO72" s="16">
        <f t="shared" si="3"/>
        <v>22848</v>
      </c>
    </row>
    <row r="73" spans="1:67" x14ac:dyDescent="0.4">
      <c r="A73" s="5" t="s">
        <v>14</v>
      </c>
      <c r="B73" s="5" t="s">
        <v>156</v>
      </c>
      <c r="C73" s="5">
        <v>433508</v>
      </c>
      <c r="D73" s="6"/>
      <c r="E73" s="5" t="s">
        <v>16</v>
      </c>
      <c r="F73" s="5" t="s">
        <v>157</v>
      </c>
      <c r="G73" s="5" t="s">
        <v>10</v>
      </c>
      <c r="H73" s="7" t="s">
        <v>7</v>
      </c>
      <c r="I73" s="7" t="s">
        <v>158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13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53</v>
      </c>
      <c r="AF73" s="8">
        <v>6240</v>
      </c>
      <c r="AG73" s="7">
        <v>100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254</v>
      </c>
      <c r="AR73" s="8">
        <v>25200</v>
      </c>
      <c r="AS73" s="7">
        <v>200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10">
        <v>31740</v>
      </c>
      <c r="BN73" s="15">
        <f t="shared" si="2"/>
        <v>31740</v>
      </c>
      <c r="BO73" s="16">
        <f t="shared" si="3"/>
        <v>22218</v>
      </c>
    </row>
    <row r="74" spans="1:67" x14ac:dyDescent="0.4">
      <c r="A74" s="5" t="s">
        <v>14</v>
      </c>
      <c r="B74" s="5" t="s">
        <v>253</v>
      </c>
      <c r="C74" s="5">
        <v>400251</v>
      </c>
      <c r="D74" s="6"/>
      <c r="E74" s="5" t="s">
        <v>16</v>
      </c>
      <c r="F74" s="5" t="s">
        <v>41</v>
      </c>
      <c r="G74" s="5" t="s">
        <v>34</v>
      </c>
      <c r="H74" s="7" t="s">
        <v>8</v>
      </c>
      <c r="I74" s="7" t="s">
        <v>254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4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205</v>
      </c>
      <c r="AF74" s="8">
        <v>13400</v>
      </c>
      <c r="AG74" s="8">
        <v>7700</v>
      </c>
      <c r="AH74" s="7">
        <v>0</v>
      </c>
      <c r="AI74" s="7">
        <v>0</v>
      </c>
      <c r="AJ74" s="7">
        <v>0</v>
      </c>
      <c r="AK74" s="7">
        <v>2</v>
      </c>
      <c r="AL74" s="7">
        <v>240</v>
      </c>
      <c r="AM74" s="7">
        <v>0</v>
      </c>
      <c r="AN74" s="7">
        <v>0</v>
      </c>
      <c r="AO74" s="7">
        <v>0</v>
      </c>
      <c r="AP74" s="7">
        <v>0</v>
      </c>
      <c r="AQ74" s="7">
        <v>29</v>
      </c>
      <c r="AR74" s="8">
        <v>2900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62</v>
      </c>
      <c r="BD74" s="8">
        <v>7440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518.4</v>
      </c>
      <c r="BM74" s="10">
        <v>31680</v>
      </c>
      <c r="BN74" s="15">
        <f t="shared" si="2"/>
        <v>31161.599999999999</v>
      </c>
      <c r="BO74" s="16">
        <f t="shared" si="3"/>
        <v>21813.119999999999</v>
      </c>
    </row>
    <row r="75" spans="1:67" x14ac:dyDescent="0.4">
      <c r="A75" s="5" t="s">
        <v>14</v>
      </c>
      <c r="B75" s="5" t="s">
        <v>318</v>
      </c>
      <c r="C75" s="5">
        <v>431330</v>
      </c>
      <c r="D75" s="6"/>
      <c r="E75" s="5" t="s">
        <v>16</v>
      </c>
      <c r="F75" s="5" t="s">
        <v>269</v>
      </c>
      <c r="G75" s="5" t="s">
        <v>34</v>
      </c>
      <c r="H75" s="7" t="s">
        <v>8</v>
      </c>
      <c r="I75" s="7" t="s">
        <v>319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8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43</v>
      </c>
      <c r="AF75" s="7">
        <v>0</v>
      </c>
      <c r="AG75" s="8">
        <v>4300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1</v>
      </c>
      <c r="AX75" s="7">
        <v>120</v>
      </c>
      <c r="AY75" s="7">
        <v>0</v>
      </c>
      <c r="AZ75" s="7">
        <v>0</v>
      </c>
      <c r="BA75" s="7">
        <v>0</v>
      </c>
      <c r="BB75" s="7">
        <v>0</v>
      </c>
      <c r="BC75" s="7">
        <v>212</v>
      </c>
      <c r="BD75" s="8">
        <v>25440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9">
        <v>1538.4</v>
      </c>
      <c r="BM75" s="10">
        <v>29860</v>
      </c>
      <c r="BN75" s="15">
        <f t="shared" si="2"/>
        <v>28321.599999999999</v>
      </c>
      <c r="BO75" s="16">
        <f t="shared" si="3"/>
        <v>19825.12</v>
      </c>
    </row>
    <row r="76" spans="1:67" x14ac:dyDescent="0.4">
      <c r="A76" s="5" t="s">
        <v>14</v>
      </c>
      <c r="B76" s="5" t="s">
        <v>277</v>
      </c>
      <c r="C76" s="5">
        <v>358724</v>
      </c>
      <c r="D76" s="6"/>
      <c r="E76" s="5" t="s">
        <v>16</v>
      </c>
      <c r="F76" s="5" t="s">
        <v>278</v>
      </c>
      <c r="G76" s="5" t="s">
        <v>34</v>
      </c>
      <c r="H76" s="7" t="s">
        <v>8</v>
      </c>
      <c r="I76" s="7" t="s">
        <v>106</v>
      </c>
      <c r="J76" s="7">
        <v>6</v>
      </c>
      <c r="K76" s="7">
        <v>0</v>
      </c>
      <c r="L76" s="7">
        <v>600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5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19</v>
      </c>
      <c r="AX76" s="8">
        <v>2280</v>
      </c>
      <c r="AY76" s="7">
        <v>0</v>
      </c>
      <c r="AZ76" s="7">
        <v>0</v>
      </c>
      <c r="BA76" s="7">
        <v>0</v>
      </c>
      <c r="BB76" s="7">
        <v>0</v>
      </c>
      <c r="BC76" s="7">
        <v>221</v>
      </c>
      <c r="BD76" s="8">
        <v>26520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9">
        <v>1819.2</v>
      </c>
      <c r="BM76" s="10">
        <v>29400</v>
      </c>
      <c r="BN76" s="15">
        <f t="shared" si="2"/>
        <v>27580.799999999999</v>
      </c>
      <c r="BO76" s="16">
        <f t="shared" si="3"/>
        <v>19306.559999999998</v>
      </c>
    </row>
    <row r="77" spans="1:67" x14ac:dyDescent="0.4">
      <c r="A77" s="5" t="s">
        <v>14</v>
      </c>
      <c r="B77" s="5" t="s">
        <v>175</v>
      </c>
      <c r="C77" s="5">
        <v>419744</v>
      </c>
      <c r="D77" s="6"/>
      <c r="E77" s="5" t="s">
        <v>16</v>
      </c>
      <c r="F77" s="5" t="s">
        <v>176</v>
      </c>
      <c r="G77" s="5" t="s">
        <v>10</v>
      </c>
      <c r="H77" s="7" t="s">
        <v>7</v>
      </c>
      <c r="I77" s="7" t="s">
        <v>177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19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2</v>
      </c>
      <c r="AF77" s="7">
        <v>0</v>
      </c>
      <c r="AG77" s="7">
        <v>200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236</v>
      </c>
      <c r="BD77" s="8">
        <v>28320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9">
        <v>1699.2</v>
      </c>
      <c r="BM77" s="10">
        <v>28520</v>
      </c>
      <c r="BN77" s="15">
        <f t="shared" si="2"/>
        <v>26820.799999999999</v>
      </c>
      <c r="BO77" s="16">
        <f t="shared" si="3"/>
        <v>18774.559999999998</v>
      </c>
    </row>
    <row r="78" spans="1:67" x14ac:dyDescent="0.4">
      <c r="A78" s="5" t="s">
        <v>14</v>
      </c>
      <c r="B78" s="5" t="s">
        <v>192</v>
      </c>
      <c r="C78" s="5">
        <v>402649</v>
      </c>
      <c r="D78" s="6"/>
      <c r="E78" s="5" t="s">
        <v>16</v>
      </c>
      <c r="F78" s="5" t="s">
        <v>41</v>
      </c>
      <c r="G78" s="5" t="s">
        <v>34</v>
      </c>
      <c r="H78" s="7" t="s">
        <v>8</v>
      </c>
      <c r="I78" s="7" t="s">
        <v>193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14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78</v>
      </c>
      <c r="AF78" s="8">
        <v>7800</v>
      </c>
      <c r="AG78" s="7">
        <v>0</v>
      </c>
      <c r="AH78" s="7">
        <v>0</v>
      </c>
      <c r="AI78" s="7">
        <v>0</v>
      </c>
      <c r="AJ78" s="7">
        <v>0</v>
      </c>
      <c r="AK78" s="7">
        <v>1</v>
      </c>
      <c r="AL78" s="7">
        <v>0</v>
      </c>
      <c r="AM78" s="7">
        <v>100</v>
      </c>
      <c r="AN78" s="7">
        <v>0</v>
      </c>
      <c r="AO78" s="7">
        <v>0</v>
      </c>
      <c r="AP78" s="7">
        <v>0</v>
      </c>
      <c r="AQ78" s="7">
        <v>79</v>
      </c>
      <c r="AR78" s="8">
        <v>7900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104</v>
      </c>
      <c r="BD78" s="8">
        <v>12480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748.8</v>
      </c>
      <c r="BM78" s="10">
        <v>28280</v>
      </c>
      <c r="BN78" s="15">
        <f t="shared" si="2"/>
        <v>27531.200000000001</v>
      </c>
      <c r="BO78" s="16">
        <f t="shared" si="3"/>
        <v>19271.84</v>
      </c>
    </row>
    <row r="79" spans="1:67" x14ac:dyDescent="0.4">
      <c r="A79" s="5" t="s">
        <v>14</v>
      </c>
      <c r="B79" s="5" t="s">
        <v>283</v>
      </c>
      <c r="C79" s="5">
        <v>381070</v>
      </c>
      <c r="D79" s="6"/>
      <c r="E79" s="5" t="s">
        <v>16</v>
      </c>
      <c r="F79" s="5" t="s">
        <v>284</v>
      </c>
      <c r="G79" s="5" t="s">
        <v>34</v>
      </c>
      <c r="H79" s="7" t="s">
        <v>8</v>
      </c>
      <c r="I79" s="7" t="s">
        <v>285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7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74</v>
      </c>
      <c r="AF79" s="8">
        <v>6320</v>
      </c>
      <c r="AG79" s="8">
        <v>1100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16</v>
      </c>
      <c r="AR79" s="8">
        <v>1600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153</v>
      </c>
      <c r="BD79" s="8">
        <v>18360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9">
        <v>1101.5999999999999</v>
      </c>
      <c r="BM79" s="10">
        <v>27380</v>
      </c>
      <c r="BN79" s="15">
        <f t="shared" si="2"/>
        <v>26278.400000000001</v>
      </c>
      <c r="BO79" s="16">
        <f t="shared" si="3"/>
        <v>18394.88</v>
      </c>
    </row>
    <row r="80" spans="1:67" x14ac:dyDescent="0.4">
      <c r="A80" s="5" t="s">
        <v>14</v>
      </c>
      <c r="B80" s="5" t="s">
        <v>469</v>
      </c>
      <c r="C80" s="5">
        <v>476076</v>
      </c>
      <c r="D80" s="6"/>
      <c r="E80" s="5" t="s">
        <v>16</v>
      </c>
      <c r="F80" s="5" t="s">
        <v>221</v>
      </c>
      <c r="G80" s="5" t="s">
        <v>10</v>
      </c>
      <c r="H80" s="7" t="s">
        <v>7</v>
      </c>
      <c r="I80" s="7" t="s">
        <v>461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7</v>
      </c>
      <c r="BD80" s="8">
        <v>26880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9">
        <v>1612.8</v>
      </c>
      <c r="BM80" s="10">
        <v>26880</v>
      </c>
      <c r="BN80" s="15">
        <f t="shared" si="2"/>
        <v>25267.200000000001</v>
      </c>
      <c r="BO80" s="16">
        <f t="shared" si="3"/>
        <v>17687.04</v>
      </c>
    </row>
    <row r="81" spans="1:67" x14ac:dyDescent="0.4">
      <c r="A81" s="5" t="s">
        <v>14</v>
      </c>
      <c r="B81" s="5" t="s">
        <v>470</v>
      </c>
      <c r="C81" s="5">
        <v>414343</v>
      </c>
      <c r="D81" s="6"/>
      <c r="E81" s="5" t="s">
        <v>16</v>
      </c>
      <c r="F81" s="5" t="s">
        <v>11</v>
      </c>
      <c r="G81" s="5" t="s">
        <v>10</v>
      </c>
      <c r="H81" s="7" t="s">
        <v>7</v>
      </c>
      <c r="I81" s="7" t="s">
        <v>202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8</v>
      </c>
      <c r="AF81" s="8">
        <v>3840</v>
      </c>
      <c r="AG81" s="8">
        <v>22400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0">
        <v>26240</v>
      </c>
      <c r="BN81" s="15">
        <f t="shared" si="2"/>
        <v>26240</v>
      </c>
      <c r="BO81" s="16">
        <f t="shared" si="3"/>
        <v>18368</v>
      </c>
    </row>
    <row r="82" spans="1:67" x14ac:dyDescent="0.4">
      <c r="A82" s="5" t="s">
        <v>14</v>
      </c>
      <c r="B82" s="5" t="s">
        <v>188</v>
      </c>
      <c r="C82" s="5">
        <v>325640</v>
      </c>
      <c r="D82" s="6"/>
      <c r="E82" s="5" t="s">
        <v>16</v>
      </c>
      <c r="F82" s="5" t="s">
        <v>189</v>
      </c>
      <c r="G82" s="5" t="s">
        <v>10</v>
      </c>
      <c r="H82" s="7" t="s">
        <v>7</v>
      </c>
      <c r="I82" s="7" t="s">
        <v>190</v>
      </c>
      <c r="J82" s="7">
        <v>0</v>
      </c>
      <c r="K82" s="7">
        <v>5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6</v>
      </c>
      <c r="T82" s="7">
        <v>12</v>
      </c>
      <c r="U82" s="7">
        <v>0</v>
      </c>
      <c r="V82" s="7">
        <v>600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71</v>
      </c>
      <c r="AF82" s="7">
        <v>200</v>
      </c>
      <c r="AG82" s="8">
        <v>6900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123</v>
      </c>
      <c r="AR82" s="8">
        <v>12300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52</v>
      </c>
      <c r="BD82" s="8">
        <v>6240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374.4</v>
      </c>
      <c r="BM82" s="10">
        <v>26240</v>
      </c>
      <c r="BN82" s="15">
        <f t="shared" si="2"/>
        <v>25865.599999999999</v>
      </c>
      <c r="BO82" s="16">
        <f t="shared" si="3"/>
        <v>18105.919999999998</v>
      </c>
    </row>
    <row r="83" spans="1:67" x14ac:dyDescent="0.4">
      <c r="A83" s="5" t="s">
        <v>14</v>
      </c>
      <c r="B83" s="5" t="s">
        <v>426</v>
      </c>
      <c r="C83" s="5">
        <v>471701</v>
      </c>
      <c r="D83" s="6"/>
      <c r="E83" s="5" t="s">
        <v>16</v>
      </c>
      <c r="F83" s="5" t="s">
        <v>427</v>
      </c>
      <c r="G83" s="5" t="s">
        <v>444</v>
      </c>
      <c r="H83" s="7" t="s">
        <v>9</v>
      </c>
      <c r="I83" s="7" t="s">
        <v>428</v>
      </c>
      <c r="J83" s="7">
        <v>0</v>
      </c>
      <c r="K83" s="7">
        <v>41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177</v>
      </c>
      <c r="AF83" s="7">
        <v>0</v>
      </c>
      <c r="AG83" s="8">
        <v>17700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84</v>
      </c>
      <c r="AR83" s="8">
        <v>8400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1</v>
      </c>
      <c r="BD83" s="7">
        <v>120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7.2</v>
      </c>
      <c r="BM83" s="10">
        <v>26220</v>
      </c>
      <c r="BN83" s="15">
        <f t="shared" si="2"/>
        <v>26212.799999999999</v>
      </c>
      <c r="BO83" s="16">
        <f t="shared" si="3"/>
        <v>18348.96</v>
      </c>
    </row>
    <row r="84" spans="1:67" x14ac:dyDescent="0.4">
      <c r="A84" s="5" t="s">
        <v>14</v>
      </c>
      <c r="B84" s="5" t="s">
        <v>201</v>
      </c>
      <c r="C84" s="5">
        <v>458568</v>
      </c>
      <c r="D84" s="6"/>
      <c r="E84" s="5" t="s">
        <v>16</v>
      </c>
      <c r="F84" s="5" t="s">
        <v>30</v>
      </c>
      <c r="G84" s="5" t="s">
        <v>10</v>
      </c>
      <c r="H84" s="7" t="s">
        <v>7</v>
      </c>
      <c r="I84" s="7" t="s">
        <v>200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3</v>
      </c>
      <c r="AF84" s="8">
        <v>9600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4</v>
      </c>
      <c r="BD84" s="8">
        <v>15360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921.6</v>
      </c>
      <c r="BM84" s="10">
        <v>24960</v>
      </c>
      <c r="BN84" s="15">
        <f t="shared" si="2"/>
        <v>24038.400000000001</v>
      </c>
      <c r="BO84" s="16">
        <f t="shared" si="3"/>
        <v>16826.88</v>
      </c>
    </row>
    <row r="85" spans="1:67" ht="19.2" x14ac:dyDescent="0.4">
      <c r="A85" s="5" t="s">
        <v>14</v>
      </c>
      <c r="B85" s="5" t="s">
        <v>430</v>
      </c>
      <c r="C85" s="5">
        <v>472228</v>
      </c>
      <c r="D85" s="6"/>
      <c r="E85" s="5" t="s">
        <v>16</v>
      </c>
      <c r="F85" s="5" t="s">
        <v>431</v>
      </c>
      <c r="G85" s="5" t="s">
        <v>457</v>
      </c>
      <c r="H85" s="7" t="s">
        <v>8</v>
      </c>
      <c r="I85" s="7" t="s">
        <v>432</v>
      </c>
      <c r="J85" s="7">
        <v>0</v>
      </c>
      <c r="K85" s="7">
        <v>29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34</v>
      </c>
      <c r="AF85" s="8">
        <v>4080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97</v>
      </c>
      <c r="AR85" s="8">
        <v>7400</v>
      </c>
      <c r="AS85" s="8">
        <v>2300</v>
      </c>
      <c r="AT85" s="7">
        <v>0</v>
      </c>
      <c r="AU85" s="7">
        <v>0</v>
      </c>
      <c r="AV85" s="7">
        <v>0</v>
      </c>
      <c r="AW85" s="7">
        <v>63</v>
      </c>
      <c r="AX85" s="8">
        <v>7560</v>
      </c>
      <c r="AY85" s="7">
        <v>0</v>
      </c>
      <c r="AZ85" s="7">
        <v>0</v>
      </c>
      <c r="BA85" s="7">
        <v>0</v>
      </c>
      <c r="BB85" s="7">
        <v>0</v>
      </c>
      <c r="BC85" s="7">
        <v>30</v>
      </c>
      <c r="BD85" s="8">
        <v>3600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972</v>
      </c>
      <c r="BM85" s="10">
        <v>24940</v>
      </c>
      <c r="BN85" s="15">
        <f t="shared" si="2"/>
        <v>23968</v>
      </c>
      <c r="BO85" s="16">
        <f t="shared" si="3"/>
        <v>16777.599999999999</v>
      </c>
    </row>
    <row r="86" spans="1:67" x14ac:dyDescent="0.4">
      <c r="A86" s="5" t="s">
        <v>14</v>
      </c>
      <c r="B86" s="5" t="s">
        <v>242</v>
      </c>
      <c r="C86" s="5">
        <v>305522</v>
      </c>
      <c r="D86" s="6"/>
      <c r="E86" s="5" t="s">
        <v>16</v>
      </c>
      <c r="F86" s="5" t="s">
        <v>41</v>
      </c>
      <c r="G86" s="5" t="s">
        <v>34</v>
      </c>
      <c r="H86" s="7" t="s">
        <v>8</v>
      </c>
      <c r="I86" s="7" t="s">
        <v>243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187</v>
      </c>
      <c r="AF86" s="8">
        <v>6100</v>
      </c>
      <c r="AG86" s="8">
        <v>12700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1</v>
      </c>
      <c r="AR86" s="7">
        <v>100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43</v>
      </c>
      <c r="BD86" s="8">
        <v>5160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309.60000000000002</v>
      </c>
      <c r="BM86" s="10">
        <v>24060</v>
      </c>
      <c r="BN86" s="15">
        <f t="shared" si="2"/>
        <v>23750.400000000001</v>
      </c>
      <c r="BO86" s="16">
        <f t="shared" si="3"/>
        <v>16625.28</v>
      </c>
    </row>
    <row r="87" spans="1:67" x14ac:dyDescent="0.4">
      <c r="A87" s="5" t="s">
        <v>14</v>
      </c>
      <c r="B87" s="5" t="s">
        <v>238</v>
      </c>
      <c r="C87" s="5">
        <v>351033</v>
      </c>
      <c r="D87" s="6" t="s">
        <v>239</v>
      </c>
      <c r="E87" s="5" t="s">
        <v>16</v>
      </c>
      <c r="F87" s="5" t="s">
        <v>30</v>
      </c>
      <c r="G87" s="5" t="s">
        <v>10</v>
      </c>
      <c r="H87" s="7" t="s">
        <v>7</v>
      </c>
      <c r="I87" s="7" t="s">
        <v>240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131</v>
      </c>
      <c r="AF87" s="8">
        <v>10440</v>
      </c>
      <c r="AG87" s="8">
        <v>3300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78</v>
      </c>
      <c r="BD87" s="8">
        <v>9360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561.6</v>
      </c>
      <c r="BM87" s="10">
        <v>23100</v>
      </c>
      <c r="BN87" s="15">
        <f t="shared" si="2"/>
        <v>22538.400000000001</v>
      </c>
      <c r="BO87" s="16">
        <f t="shared" si="3"/>
        <v>15776.88</v>
      </c>
    </row>
    <row r="88" spans="1:67" x14ac:dyDescent="0.4">
      <c r="A88" s="5" t="s">
        <v>14</v>
      </c>
      <c r="B88" s="5" t="s">
        <v>244</v>
      </c>
      <c r="C88" s="5">
        <v>458561</v>
      </c>
      <c r="D88" s="6"/>
      <c r="E88" s="5" t="s">
        <v>16</v>
      </c>
      <c r="F88" s="5" t="s">
        <v>30</v>
      </c>
      <c r="G88" s="5" t="s">
        <v>10</v>
      </c>
      <c r="H88" s="7" t="s">
        <v>7</v>
      </c>
      <c r="I88" s="7" t="s">
        <v>200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4</v>
      </c>
      <c r="AF88" s="7">
        <v>0</v>
      </c>
      <c r="AG88" s="7">
        <v>400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11</v>
      </c>
      <c r="AR88" s="8">
        <v>1100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177</v>
      </c>
      <c r="BD88" s="8">
        <v>21240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9">
        <v>1274.4000000000001</v>
      </c>
      <c r="BM88" s="10">
        <v>22740</v>
      </c>
      <c r="BN88" s="15">
        <f t="shared" si="2"/>
        <v>21465.599999999999</v>
      </c>
      <c r="BO88" s="16">
        <f t="shared" si="3"/>
        <v>15025.919999999998</v>
      </c>
    </row>
    <row r="89" spans="1:67" x14ac:dyDescent="0.4">
      <c r="A89" s="5" t="s">
        <v>14</v>
      </c>
      <c r="B89" s="5" t="s">
        <v>291</v>
      </c>
      <c r="C89" s="5">
        <v>328894</v>
      </c>
      <c r="D89" s="6"/>
      <c r="E89" s="5" t="s">
        <v>16</v>
      </c>
      <c r="F89" s="5" t="s">
        <v>207</v>
      </c>
      <c r="G89" s="5" t="s">
        <v>34</v>
      </c>
      <c r="H89" s="7" t="s">
        <v>8</v>
      </c>
      <c r="I89" s="7" t="s">
        <v>292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7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80</v>
      </c>
      <c r="AF89" s="7">
        <v>0</v>
      </c>
      <c r="AG89" s="8">
        <v>8000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28</v>
      </c>
      <c r="AR89" s="8">
        <v>2800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98</v>
      </c>
      <c r="BD89" s="8">
        <v>11760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705.6</v>
      </c>
      <c r="BM89" s="10">
        <v>22560</v>
      </c>
      <c r="BN89" s="15">
        <f t="shared" si="2"/>
        <v>21854.400000000001</v>
      </c>
      <c r="BO89" s="16">
        <f t="shared" si="3"/>
        <v>15298.08</v>
      </c>
    </row>
    <row r="90" spans="1:67" x14ac:dyDescent="0.4">
      <c r="A90" s="5" t="s">
        <v>14</v>
      </c>
      <c r="B90" s="5" t="s">
        <v>154</v>
      </c>
      <c r="C90" s="5">
        <v>394079</v>
      </c>
      <c r="D90" s="6"/>
      <c r="E90" s="5" t="s">
        <v>16</v>
      </c>
      <c r="F90" s="5" t="s">
        <v>52</v>
      </c>
      <c r="G90" s="5" t="s">
        <v>34</v>
      </c>
      <c r="H90" s="7" t="s">
        <v>8</v>
      </c>
      <c r="I90" s="7" t="s">
        <v>155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5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19</v>
      </c>
      <c r="AF90" s="7">
        <v>0</v>
      </c>
      <c r="AG90" s="8">
        <v>1900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75</v>
      </c>
      <c r="AR90" s="8">
        <v>7500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109</v>
      </c>
      <c r="BD90" s="8">
        <v>13080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784.8</v>
      </c>
      <c r="BM90" s="10">
        <v>22480</v>
      </c>
      <c r="BN90" s="15">
        <f t="shared" si="2"/>
        <v>21695.200000000001</v>
      </c>
      <c r="BO90" s="16">
        <f t="shared" si="3"/>
        <v>15186.64</v>
      </c>
    </row>
    <row r="91" spans="1:67" x14ac:dyDescent="0.4">
      <c r="A91" s="5" t="s">
        <v>14</v>
      </c>
      <c r="B91" s="5" t="s">
        <v>255</v>
      </c>
      <c r="C91" s="5">
        <v>434853</v>
      </c>
      <c r="D91" s="6"/>
      <c r="E91" s="5" t="s">
        <v>16</v>
      </c>
      <c r="F91" s="5" t="s">
        <v>256</v>
      </c>
      <c r="G91" s="5" t="s">
        <v>10</v>
      </c>
      <c r="H91" s="7" t="s">
        <v>7</v>
      </c>
      <c r="I91" s="7" t="s">
        <v>257</v>
      </c>
      <c r="J91" s="7">
        <v>2</v>
      </c>
      <c r="K91" s="7">
        <v>0</v>
      </c>
      <c r="L91" s="7">
        <v>200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9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152</v>
      </c>
      <c r="AF91" s="8">
        <v>18000</v>
      </c>
      <c r="AG91" s="7">
        <v>200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34</v>
      </c>
      <c r="BD91" s="8">
        <v>4080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244.8</v>
      </c>
      <c r="BM91" s="10">
        <v>22480</v>
      </c>
      <c r="BN91" s="15">
        <f t="shared" si="2"/>
        <v>22235.200000000001</v>
      </c>
      <c r="BO91" s="16">
        <f t="shared" si="3"/>
        <v>15564.64</v>
      </c>
    </row>
    <row r="92" spans="1:67" x14ac:dyDescent="0.4">
      <c r="A92" s="5" t="s">
        <v>14</v>
      </c>
      <c r="B92" s="5" t="s">
        <v>471</v>
      </c>
      <c r="C92" s="5">
        <v>475991</v>
      </c>
      <c r="D92" s="6"/>
      <c r="E92" s="5" t="s">
        <v>16</v>
      </c>
      <c r="F92" s="5" t="s">
        <v>424</v>
      </c>
      <c r="G92" s="5" t="s">
        <v>10</v>
      </c>
      <c r="H92" s="7" t="s">
        <v>7</v>
      </c>
      <c r="I92" s="7" t="s">
        <v>461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1</v>
      </c>
      <c r="AF92" s="8">
        <v>3200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1</v>
      </c>
      <c r="AR92" s="7">
        <v>200</v>
      </c>
      <c r="AS92" s="7">
        <v>0</v>
      </c>
      <c r="AT92" s="7">
        <v>0</v>
      </c>
      <c r="AU92" s="7">
        <v>0</v>
      </c>
      <c r="AV92" s="7">
        <v>0</v>
      </c>
      <c r="AW92" s="7">
        <v>2</v>
      </c>
      <c r="AX92" s="8">
        <v>7680</v>
      </c>
      <c r="AY92" s="7">
        <v>0</v>
      </c>
      <c r="AZ92" s="7">
        <v>0</v>
      </c>
      <c r="BA92" s="7">
        <v>0</v>
      </c>
      <c r="BB92" s="7">
        <v>0</v>
      </c>
      <c r="BC92" s="7">
        <v>3</v>
      </c>
      <c r="BD92" s="8">
        <v>11280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9">
        <v>1444.8</v>
      </c>
      <c r="BM92" s="10">
        <v>22360</v>
      </c>
      <c r="BN92" s="15">
        <f t="shared" si="2"/>
        <v>20915.2</v>
      </c>
      <c r="BO92" s="16">
        <f t="shared" si="3"/>
        <v>14640.64</v>
      </c>
    </row>
    <row r="93" spans="1:67" x14ac:dyDescent="0.4">
      <c r="A93" s="5" t="s">
        <v>14</v>
      </c>
      <c r="B93" s="5" t="s">
        <v>263</v>
      </c>
      <c r="C93" s="5">
        <v>395192</v>
      </c>
      <c r="D93" s="6"/>
      <c r="E93" s="5" t="s">
        <v>16</v>
      </c>
      <c r="F93" s="5" t="s">
        <v>130</v>
      </c>
      <c r="G93" s="5" t="s">
        <v>34</v>
      </c>
      <c r="H93" s="7" t="s">
        <v>8</v>
      </c>
      <c r="I93" s="7" t="s">
        <v>264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5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138</v>
      </c>
      <c r="AF93" s="8">
        <v>6600</v>
      </c>
      <c r="AG93" s="8">
        <v>7200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8</v>
      </c>
      <c r="AR93" s="7">
        <v>800</v>
      </c>
      <c r="AS93" s="7">
        <v>0</v>
      </c>
      <c r="AT93" s="7">
        <v>0</v>
      </c>
      <c r="AU93" s="7">
        <v>0</v>
      </c>
      <c r="AV93" s="7">
        <v>0</v>
      </c>
      <c r="AW93" s="7">
        <v>5</v>
      </c>
      <c r="AX93" s="7">
        <v>240</v>
      </c>
      <c r="AY93" s="7">
        <v>300</v>
      </c>
      <c r="AZ93" s="7">
        <v>0</v>
      </c>
      <c r="BA93" s="7">
        <v>0</v>
      </c>
      <c r="BB93" s="7">
        <v>0</v>
      </c>
      <c r="BC93" s="7">
        <v>56</v>
      </c>
      <c r="BD93" s="8">
        <v>6720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427.2</v>
      </c>
      <c r="BM93" s="10">
        <v>21860</v>
      </c>
      <c r="BN93" s="15">
        <f t="shared" si="2"/>
        <v>21432.799999999999</v>
      </c>
      <c r="BO93" s="16">
        <f t="shared" si="3"/>
        <v>15002.96</v>
      </c>
    </row>
    <row r="94" spans="1:67" x14ac:dyDescent="0.4">
      <c r="A94" s="5" t="s">
        <v>14</v>
      </c>
      <c r="B94" s="5" t="s">
        <v>54</v>
      </c>
      <c r="C94" s="5">
        <v>463946</v>
      </c>
      <c r="D94" s="6"/>
      <c r="E94" s="5" t="s">
        <v>16</v>
      </c>
      <c r="F94" s="5" t="s">
        <v>55</v>
      </c>
      <c r="G94" s="5" t="s">
        <v>10</v>
      </c>
      <c r="H94" s="7" t="s">
        <v>7</v>
      </c>
      <c r="I94" s="7" t="s">
        <v>56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3</v>
      </c>
      <c r="AF94" s="7">
        <v>0</v>
      </c>
      <c r="AG94" s="7">
        <v>300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5</v>
      </c>
      <c r="AX94" s="7">
        <v>600</v>
      </c>
      <c r="AY94" s="7">
        <v>0</v>
      </c>
      <c r="AZ94" s="7">
        <v>0</v>
      </c>
      <c r="BA94" s="7">
        <v>0</v>
      </c>
      <c r="BB94" s="7">
        <v>0</v>
      </c>
      <c r="BC94" s="7">
        <v>171</v>
      </c>
      <c r="BD94" s="8">
        <v>20400</v>
      </c>
      <c r="BE94" s="7">
        <v>100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9">
        <v>1284</v>
      </c>
      <c r="BM94" s="10">
        <v>21400</v>
      </c>
      <c r="BN94" s="15">
        <f t="shared" si="2"/>
        <v>20116</v>
      </c>
      <c r="BO94" s="16">
        <f t="shared" si="3"/>
        <v>14081.199999999999</v>
      </c>
    </row>
    <row r="95" spans="1:67" x14ac:dyDescent="0.4">
      <c r="A95" s="5" t="s">
        <v>14</v>
      </c>
      <c r="B95" s="5" t="s">
        <v>281</v>
      </c>
      <c r="C95" s="5">
        <v>416378</v>
      </c>
      <c r="D95" s="6"/>
      <c r="E95" s="5" t="s">
        <v>16</v>
      </c>
      <c r="F95" s="5" t="s">
        <v>125</v>
      </c>
      <c r="G95" s="5" t="s">
        <v>34</v>
      </c>
      <c r="H95" s="7" t="s">
        <v>8</v>
      </c>
      <c r="I95" s="7" t="s">
        <v>282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15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25</v>
      </c>
      <c r="AF95" s="8">
        <v>3000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58</v>
      </c>
      <c r="AR95" s="8">
        <v>5800</v>
      </c>
      <c r="AS95" s="7">
        <v>0</v>
      </c>
      <c r="AT95" s="7">
        <v>0</v>
      </c>
      <c r="AU95" s="7">
        <v>0</v>
      </c>
      <c r="AV95" s="7">
        <v>0</v>
      </c>
      <c r="AW95" s="7">
        <v>58</v>
      </c>
      <c r="AX95" s="8">
        <v>6960</v>
      </c>
      <c r="AY95" s="7">
        <v>0</v>
      </c>
      <c r="AZ95" s="7">
        <v>0</v>
      </c>
      <c r="BA95" s="7">
        <v>0</v>
      </c>
      <c r="BB95" s="7">
        <v>0</v>
      </c>
      <c r="BC95" s="7">
        <v>40</v>
      </c>
      <c r="BD95" s="8">
        <v>4800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984</v>
      </c>
      <c r="BM95" s="10">
        <v>20560</v>
      </c>
      <c r="BN95" s="15">
        <f t="shared" si="2"/>
        <v>19576</v>
      </c>
      <c r="BO95" s="16">
        <f t="shared" si="3"/>
        <v>13703.199999999999</v>
      </c>
    </row>
    <row r="96" spans="1:67" x14ac:dyDescent="0.4">
      <c r="A96" s="5" t="s">
        <v>14</v>
      </c>
      <c r="B96" s="5" t="s">
        <v>472</v>
      </c>
      <c r="C96" s="5">
        <v>475889</v>
      </c>
      <c r="D96" s="6"/>
      <c r="E96" s="5" t="s">
        <v>16</v>
      </c>
      <c r="F96" s="5" t="s">
        <v>176</v>
      </c>
      <c r="G96" s="5" t="s">
        <v>10</v>
      </c>
      <c r="H96" s="7" t="s">
        <v>7</v>
      </c>
      <c r="I96" s="7" t="s">
        <v>461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5</v>
      </c>
      <c r="AF96" s="8">
        <v>14100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2</v>
      </c>
      <c r="BD96" s="8">
        <v>6120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367.2</v>
      </c>
      <c r="BM96" s="10">
        <v>20220</v>
      </c>
      <c r="BN96" s="15">
        <f t="shared" si="2"/>
        <v>19852.8</v>
      </c>
      <c r="BO96" s="16">
        <f t="shared" si="3"/>
        <v>13896.96</v>
      </c>
    </row>
    <row r="97" spans="1:67" x14ac:dyDescent="0.4">
      <c r="A97" s="5" t="s">
        <v>14</v>
      </c>
      <c r="B97" s="5" t="s">
        <v>170</v>
      </c>
      <c r="C97" s="5">
        <v>382640</v>
      </c>
      <c r="D97" s="6"/>
      <c r="E97" s="5" t="s">
        <v>16</v>
      </c>
      <c r="F97" s="5" t="s">
        <v>149</v>
      </c>
      <c r="G97" s="5" t="s">
        <v>10</v>
      </c>
      <c r="H97" s="7" t="s">
        <v>7</v>
      </c>
      <c r="I97" s="7" t="s">
        <v>171</v>
      </c>
      <c r="J97" s="7">
        <v>0</v>
      </c>
      <c r="K97" s="7">
        <v>5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3</v>
      </c>
      <c r="AF97" s="7">
        <v>0</v>
      </c>
      <c r="AG97" s="7">
        <v>300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195</v>
      </c>
      <c r="AR97" s="8">
        <v>19100</v>
      </c>
      <c r="AS97" s="7">
        <v>400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10">
        <v>19800</v>
      </c>
      <c r="BN97" s="15">
        <f t="shared" si="2"/>
        <v>19800</v>
      </c>
      <c r="BO97" s="16">
        <f t="shared" si="3"/>
        <v>13860</v>
      </c>
    </row>
    <row r="98" spans="1:67" x14ac:dyDescent="0.4">
      <c r="A98" s="5" t="s">
        <v>14</v>
      </c>
      <c r="B98" s="5" t="s">
        <v>245</v>
      </c>
      <c r="C98" s="5">
        <v>341374</v>
      </c>
      <c r="D98" s="6"/>
      <c r="E98" s="5" t="s">
        <v>16</v>
      </c>
      <c r="F98" s="5" t="s">
        <v>130</v>
      </c>
      <c r="G98" s="5" t="s">
        <v>34</v>
      </c>
      <c r="H98" s="7" t="s">
        <v>8</v>
      </c>
      <c r="I98" s="7" t="s">
        <v>246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11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122</v>
      </c>
      <c r="AF98" s="8">
        <v>10600</v>
      </c>
      <c r="AG98" s="8">
        <v>1600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5</v>
      </c>
      <c r="AR98" s="7">
        <v>500</v>
      </c>
      <c r="AS98" s="7">
        <v>0</v>
      </c>
      <c r="AT98" s="7">
        <v>0</v>
      </c>
      <c r="AU98" s="7">
        <v>0</v>
      </c>
      <c r="AV98" s="7">
        <v>0</v>
      </c>
      <c r="AW98" s="7">
        <v>46</v>
      </c>
      <c r="AX98" s="8">
        <v>5520</v>
      </c>
      <c r="AY98" s="7">
        <v>0</v>
      </c>
      <c r="AZ98" s="7">
        <v>0</v>
      </c>
      <c r="BA98" s="7">
        <v>0</v>
      </c>
      <c r="BB98" s="7">
        <v>0</v>
      </c>
      <c r="BC98" s="7">
        <v>9</v>
      </c>
      <c r="BD98" s="8">
        <v>1080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616.79999999999995</v>
      </c>
      <c r="BM98" s="10">
        <v>19300</v>
      </c>
      <c r="BN98" s="15">
        <f t="shared" si="2"/>
        <v>18683.2</v>
      </c>
      <c r="BO98" s="16">
        <f t="shared" si="3"/>
        <v>13078.24</v>
      </c>
    </row>
    <row r="99" spans="1:67" x14ac:dyDescent="0.4">
      <c r="A99" s="5" t="s">
        <v>14</v>
      </c>
      <c r="B99" s="5" t="s">
        <v>229</v>
      </c>
      <c r="C99" s="5">
        <v>382446</v>
      </c>
      <c r="D99" s="6"/>
      <c r="E99" s="5" t="s">
        <v>16</v>
      </c>
      <c r="F99" s="5" t="s">
        <v>52</v>
      </c>
      <c r="G99" s="5" t="s">
        <v>34</v>
      </c>
      <c r="H99" s="7" t="s">
        <v>8</v>
      </c>
      <c r="I99" s="7" t="s">
        <v>230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1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40</v>
      </c>
      <c r="AF99" s="8">
        <v>3700</v>
      </c>
      <c r="AG99" s="7">
        <v>300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62</v>
      </c>
      <c r="AR99" s="8">
        <v>6200</v>
      </c>
      <c r="AS99" s="7">
        <v>0</v>
      </c>
      <c r="AT99" s="7">
        <v>0</v>
      </c>
      <c r="AU99" s="7">
        <v>0</v>
      </c>
      <c r="AV99" s="7">
        <v>0</v>
      </c>
      <c r="AW99" s="7">
        <v>3</v>
      </c>
      <c r="AX99" s="7">
        <v>360</v>
      </c>
      <c r="AY99" s="7">
        <v>0</v>
      </c>
      <c r="AZ99" s="7">
        <v>0</v>
      </c>
      <c r="BA99" s="7">
        <v>0</v>
      </c>
      <c r="BB99" s="7">
        <v>0</v>
      </c>
      <c r="BC99" s="7">
        <v>67</v>
      </c>
      <c r="BD99" s="8">
        <v>8040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518.4</v>
      </c>
      <c r="BM99" s="10">
        <v>18600</v>
      </c>
      <c r="BN99" s="15">
        <f t="shared" si="2"/>
        <v>18081.599999999999</v>
      </c>
      <c r="BO99" s="16">
        <f t="shared" si="3"/>
        <v>12657.119999999999</v>
      </c>
    </row>
    <row r="100" spans="1:67" x14ac:dyDescent="0.4">
      <c r="A100" s="5" t="s">
        <v>14</v>
      </c>
      <c r="B100" s="5" t="s">
        <v>295</v>
      </c>
      <c r="C100" s="5">
        <v>355320</v>
      </c>
      <c r="D100" s="6"/>
      <c r="E100" s="5" t="s">
        <v>16</v>
      </c>
      <c r="F100" s="5" t="s">
        <v>296</v>
      </c>
      <c r="G100" s="5" t="s">
        <v>34</v>
      </c>
      <c r="H100" s="7" t="s">
        <v>8</v>
      </c>
      <c r="I100" s="7" t="s">
        <v>297</v>
      </c>
      <c r="J100" s="7">
        <v>0</v>
      </c>
      <c r="K100" s="7">
        <v>1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16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60</v>
      </c>
      <c r="AF100" s="7">
        <v>0</v>
      </c>
      <c r="AG100" s="8">
        <v>6000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2</v>
      </c>
      <c r="AR100" s="7">
        <v>200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93</v>
      </c>
      <c r="BD100" s="8">
        <v>11160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669.6</v>
      </c>
      <c r="BM100" s="10">
        <v>17360</v>
      </c>
      <c r="BN100" s="15">
        <f t="shared" si="2"/>
        <v>16690.400000000001</v>
      </c>
      <c r="BO100" s="16">
        <f t="shared" si="3"/>
        <v>11683.28</v>
      </c>
    </row>
    <row r="101" spans="1:67" x14ac:dyDescent="0.4">
      <c r="A101" s="5" t="s">
        <v>14</v>
      </c>
      <c r="B101" s="5" t="s">
        <v>367</v>
      </c>
      <c r="C101" s="5">
        <v>424589</v>
      </c>
      <c r="D101" s="6"/>
      <c r="E101" s="5" t="s">
        <v>16</v>
      </c>
      <c r="F101" s="5" t="s">
        <v>368</v>
      </c>
      <c r="G101" s="5" t="s">
        <v>457</v>
      </c>
      <c r="H101" s="7" t="s">
        <v>8</v>
      </c>
      <c r="I101" s="7" t="s">
        <v>369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2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94</v>
      </c>
      <c r="AF101" s="8">
        <v>5760</v>
      </c>
      <c r="AG101" s="8">
        <v>4600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25</v>
      </c>
      <c r="AR101" s="8">
        <v>2500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34</v>
      </c>
      <c r="BD101" s="8">
        <v>4080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244.8</v>
      </c>
      <c r="BM101" s="10">
        <v>16940</v>
      </c>
      <c r="BN101" s="15">
        <f t="shared" si="2"/>
        <v>16695.2</v>
      </c>
      <c r="BO101" s="16">
        <f t="shared" si="3"/>
        <v>11686.64</v>
      </c>
    </row>
    <row r="102" spans="1:67" x14ac:dyDescent="0.4">
      <c r="A102" s="5" t="s">
        <v>14</v>
      </c>
      <c r="B102" s="5" t="s">
        <v>182</v>
      </c>
      <c r="C102" s="5">
        <v>359006</v>
      </c>
      <c r="D102" s="6"/>
      <c r="E102" s="5" t="s">
        <v>16</v>
      </c>
      <c r="F102" s="5" t="s">
        <v>130</v>
      </c>
      <c r="G102" s="5" t="s">
        <v>34</v>
      </c>
      <c r="H102" s="7" t="s">
        <v>8</v>
      </c>
      <c r="I102" s="7" t="s">
        <v>183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1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104</v>
      </c>
      <c r="AF102" s="8">
        <v>9340</v>
      </c>
      <c r="AG102" s="8">
        <v>2000</v>
      </c>
      <c r="AH102" s="7">
        <v>0</v>
      </c>
      <c r="AI102" s="7">
        <v>0</v>
      </c>
      <c r="AJ102" s="7">
        <v>0</v>
      </c>
      <c r="AK102" s="7">
        <v>10</v>
      </c>
      <c r="AL102" s="7">
        <v>0</v>
      </c>
      <c r="AM102" s="8">
        <v>1000</v>
      </c>
      <c r="AN102" s="7">
        <v>0</v>
      </c>
      <c r="AO102" s="7">
        <v>0</v>
      </c>
      <c r="AP102" s="7">
        <v>0</v>
      </c>
      <c r="AQ102" s="7">
        <v>4</v>
      </c>
      <c r="AR102" s="7">
        <v>400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31</v>
      </c>
      <c r="BD102" s="8">
        <v>3720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223.2</v>
      </c>
      <c r="BM102" s="10">
        <v>16460</v>
      </c>
      <c r="BN102" s="15">
        <f t="shared" si="2"/>
        <v>16236.8</v>
      </c>
      <c r="BO102" s="16">
        <f t="shared" si="3"/>
        <v>11365.759999999998</v>
      </c>
    </row>
    <row r="103" spans="1:67" x14ac:dyDescent="0.4">
      <c r="A103" s="5" t="s">
        <v>14</v>
      </c>
      <c r="B103" s="5" t="s">
        <v>473</v>
      </c>
      <c r="C103" s="5">
        <v>463944</v>
      </c>
      <c r="D103" s="6"/>
      <c r="E103" s="5" t="s">
        <v>16</v>
      </c>
      <c r="F103" s="5" t="s">
        <v>474</v>
      </c>
      <c r="G103" s="5" t="s">
        <v>10</v>
      </c>
      <c r="H103" s="7" t="s">
        <v>8</v>
      </c>
      <c r="I103" s="7" t="s">
        <v>475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11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163</v>
      </c>
      <c r="AF103" s="8">
        <v>16300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10">
        <v>16300</v>
      </c>
      <c r="BN103" s="15">
        <f t="shared" si="2"/>
        <v>16300</v>
      </c>
      <c r="BO103" s="16">
        <f t="shared" si="3"/>
        <v>11410</v>
      </c>
    </row>
    <row r="104" spans="1:67" x14ac:dyDescent="0.4">
      <c r="A104" s="5" t="s">
        <v>14</v>
      </c>
      <c r="B104" s="5" t="s">
        <v>235</v>
      </c>
      <c r="C104" s="5">
        <v>134596</v>
      </c>
      <c r="D104" s="6" t="s">
        <v>236</v>
      </c>
      <c r="E104" s="5" t="s">
        <v>16</v>
      </c>
      <c r="F104" s="5" t="s">
        <v>30</v>
      </c>
      <c r="G104" s="5" t="s">
        <v>10</v>
      </c>
      <c r="H104" s="7" t="s">
        <v>7</v>
      </c>
      <c r="I104" s="7" t="s">
        <v>237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5</v>
      </c>
      <c r="AF104" s="8">
        <v>16000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10">
        <v>16000</v>
      </c>
      <c r="BN104" s="15">
        <f t="shared" si="2"/>
        <v>16000</v>
      </c>
      <c r="BO104" s="16">
        <f t="shared" si="3"/>
        <v>11200</v>
      </c>
    </row>
    <row r="105" spans="1:67" x14ac:dyDescent="0.4">
      <c r="A105" s="5" t="s">
        <v>14</v>
      </c>
      <c r="B105" s="5" t="s">
        <v>311</v>
      </c>
      <c r="C105" s="5">
        <v>467494</v>
      </c>
      <c r="D105" s="6"/>
      <c r="E105" s="5" t="s">
        <v>16</v>
      </c>
      <c r="F105" s="5" t="s">
        <v>312</v>
      </c>
      <c r="G105" s="5" t="s">
        <v>34</v>
      </c>
      <c r="H105" s="7" t="s">
        <v>8</v>
      </c>
      <c r="I105" s="7" t="s">
        <v>21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3</v>
      </c>
      <c r="AF105" s="8">
        <v>10740</v>
      </c>
      <c r="AG105" s="8">
        <v>1500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1</v>
      </c>
      <c r="AR105" s="8">
        <v>3600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10">
        <v>15840</v>
      </c>
      <c r="BN105" s="15">
        <f t="shared" si="2"/>
        <v>15840</v>
      </c>
      <c r="BO105" s="16">
        <f t="shared" si="3"/>
        <v>11088</v>
      </c>
    </row>
    <row r="106" spans="1:67" x14ac:dyDescent="0.4">
      <c r="A106" s="5" t="s">
        <v>14</v>
      </c>
      <c r="B106" s="5" t="s">
        <v>212</v>
      </c>
      <c r="C106" s="5">
        <v>415992</v>
      </c>
      <c r="D106" s="6"/>
      <c r="E106" s="5" t="s">
        <v>16</v>
      </c>
      <c r="F106" s="5" t="s">
        <v>41</v>
      </c>
      <c r="G106" s="5" t="s">
        <v>34</v>
      </c>
      <c r="H106" s="7" t="s">
        <v>8</v>
      </c>
      <c r="I106" s="7" t="s">
        <v>213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26</v>
      </c>
      <c r="AF106" s="7">
        <v>200</v>
      </c>
      <c r="AG106" s="8">
        <v>2400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109</v>
      </c>
      <c r="BD106" s="8">
        <v>13080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784.8</v>
      </c>
      <c r="BM106" s="10">
        <v>15680</v>
      </c>
      <c r="BN106" s="15">
        <f t="shared" si="2"/>
        <v>14895.2</v>
      </c>
      <c r="BO106" s="16">
        <f t="shared" si="3"/>
        <v>10426.64</v>
      </c>
    </row>
    <row r="107" spans="1:67" x14ac:dyDescent="0.4">
      <c r="A107" s="5" t="s">
        <v>14</v>
      </c>
      <c r="B107" s="5" t="s">
        <v>172</v>
      </c>
      <c r="C107" s="5">
        <v>429496</v>
      </c>
      <c r="D107" s="6"/>
      <c r="E107" s="5" t="s">
        <v>16</v>
      </c>
      <c r="F107" s="5" t="s">
        <v>173</v>
      </c>
      <c r="G107" s="5" t="s">
        <v>444</v>
      </c>
      <c r="H107" s="7" t="s">
        <v>7</v>
      </c>
      <c r="I107" s="7" t="s">
        <v>174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124</v>
      </c>
      <c r="AF107" s="7">
        <v>200</v>
      </c>
      <c r="AG107" s="8">
        <v>12200</v>
      </c>
      <c r="AH107" s="7">
        <v>0</v>
      </c>
      <c r="AI107" s="7">
        <v>0</v>
      </c>
      <c r="AJ107" s="7">
        <v>0</v>
      </c>
      <c r="AK107" s="7">
        <v>25</v>
      </c>
      <c r="AL107" s="8">
        <v>3000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900</v>
      </c>
      <c r="BM107" s="10">
        <v>15400</v>
      </c>
      <c r="BN107" s="15">
        <f t="shared" si="2"/>
        <v>14500</v>
      </c>
      <c r="BO107" s="16">
        <f t="shared" si="3"/>
        <v>10150</v>
      </c>
    </row>
    <row r="108" spans="1:67" ht="19.2" x14ac:dyDescent="0.4">
      <c r="A108" s="5" t="s">
        <v>14</v>
      </c>
      <c r="B108" s="5" t="s">
        <v>429</v>
      </c>
      <c r="C108" s="5">
        <v>470379</v>
      </c>
      <c r="D108" s="6"/>
      <c r="E108" s="5" t="s">
        <v>16</v>
      </c>
      <c r="F108" s="5" t="s">
        <v>75</v>
      </c>
      <c r="G108" s="5" t="s">
        <v>457</v>
      </c>
      <c r="H108" s="7" t="s">
        <v>7</v>
      </c>
      <c r="I108" s="7" t="s">
        <v>18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2</v>
      </c>
      <c r="AF108" s="7">
        <v>0</v>
      </c>
      <c r="AG108" s="8">
        <v>7000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2</v>
      </c>
      <c r="BD108" s="8">
        <v>7800</v>
      </c>
      <c r="BE108" s="7">
        <v>500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468</v>
      </c>
      <c r="BM108" s="10">
        <v>15300</v>
      </c>
      <c r="BN108" s="15">
        <f t="shared" si="2"/>
        <v>14832</v>
      </c>
      <c r="BO108" s="16">
        <f t="shared" si="3"/>
        <v>10382.4</v>
      </c>
    </row>
    <row r="109" spans="1:67" x14ac:dyDescent="0.4">
      <c r="A109" s="5" t="s">
        <v>14</v>
      </c>
      <c r="B109" s="5" t="s">
        <v>286</v>
      </c>
      <c r="C109" s="5">
        <v>404148</v>
      </c>
      <c r="D109" s="6"/>
      <c r="E109" s="5" t="s">
        <v>16</v>
      </c>
      <c r="F109" s="5" t="s">
        <v>287</v>
      </c>
      <c r="G109" s="5" t="s">
        <v>34</v>
      </c>
      <c r="H109" s="7" t="s">
        <v>8</v>
      </c>
      <c r="I109" s="7" t="s">
        <v>288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55</v>
      </c>
      <c r="AF109" s="7">
        <v>300</v>
      </c>
      <c r="AG109" s="8">
        <v>5200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56</v>
      </c>
      <c r="BD109" s="8">
        <v>6720</v>
      </c>
      <c r="BE109" s="7">
        <v>0</v>
      </c>
      <c r="BF109" s="7">
        <v>0</v>
      </c>
      <c r="BG109" s="7">
        <v>0</v>
      </c>
      <c r="BH109" s="7">
        <v>0</v>
      </c>
      <c r="BI109" s="7">
        <v>25</v>
      </c>
      <c r="BJ109" s="8">
        <v>3000</v>
      </c>
      <c r="BK109" s="7">
        <v>0</v>
      </c>
      <c r="BL109" s="7">
        <v>553.20000000000005</v>
      </c>
      <c r="BM109" s="10">
        <v>15220</v>
      </c>
      <c r="BN109" s="15">
        <f t="shared" si="2"/>
        <v>14666.8</v>
      </c>
      <c r="BO109" s="16">
        <f t="shared" si="3"/>
        <v>10266.759999999998</v>
      </c>
    </row>
    <row r="110" spans="1:67" x14ac:dyDescent="0.4">
      <c r="A110" s="5" t="s">
        <v>14</v>
      </c>
      <c r="B110" s="5" t="s">
        <v>102</v>
      </c>
      <c r="C110" s="5">
        <v>394830</v>
      </c>
      <c r="D110" s="6"/>
      <c r="E110" s="5" t="s">
        <v>16</v>
      </c>
      <c r="F110" s="5" t="s">
        <v>41</v>
      </c>
      <c r="G110" s="5" t="s">
        <v>34</v>
      </c>
      <c r="H110" s="7" t="s">
        <v>8</v>
      </c>
      <c r="I110" s="7" t="s">
        <v>103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38</v>
      </c>
      <c r="AF110" s="7">
        <v>0</v>
      </c>
      <c r="AG110" s="8">
        <v>3800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8</v>
      </c>
      <c r="AR110" s="7">
        <v>800</v>
      </c>
      <c r="AS110" s="7">
        <v>0</v>
      </c>
      <c r="AT110" s="7">
        <v>0</v>
      </c>
      <c r="AU110" s="7">
        <v>0</v>
      </c>
      <c r="AV110" s="7">
        <v>0</v>
      </c>
      <c r="AW110" s="7">
        <v>2</v>
      </c>
      <c r="AX110" s="7">
        <v>240</v>
      </c>
      <c r="AY110" s="7">
        <v>0</v>
      </c>
      <c r="AZ110" s="7">
        <v>0</v>
      </c>
      <c r="BA110" s="7">
        <v>0</v>
      </c>
      <c r="BB110" s="7">
        <v>0</v>
      </c>
      <c r="BC110" s="7">
        <v>85</v>
      </c>
      <c r="BD110" s="8">
        <v>10200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636</v>
      </c>
      <c r="BM110" s="10">
        <v>15040</v>
      </c>
      <c r="BN110" s="15">
        <f t="shared" si="2"/>
        <v>14404</v>
      </c>
      <c r="BO110" s="16">
        <f t="shared" si="3"/>
        <v>10082.799999999999</v>
      </c>
    </row>
    <row r="111" spans="1:67" x14ac:dyDescent="0.4">
      <c r="A111" s="5" t="s">
        <v>14</v>
      </c>
      <c r="B111" s="5" t="s">
        <v>98</v>
      </c>
      <c r="C111" s="5">
        <v>388999</v>
      </c>
      <c r="D111" s="6"/>
      <c r="E111" s="5" t="s">
        <v>16</v>
      </c>
      <c r="F111" s="5" t="s">
        <v>66</v>
      </c>
      <c r="G111" s="5" t="s">
        <v>10</v>
      </c>
      <c r="H111" s="7" t="s">
        <v>7</v>
      </c>
      <c r="I111" s="7" t="s">
        <v>99</v>
      </c>
      <c r="J111" s="7">
        <v>0</v>
      </c>
      <c r="K111" s="7">
        <v>15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2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37</v>
      </c>
      <c r="AF111" s="8">
        <v>3960</v>
      </c>
      <c r="AG111" s="7">
        <v>400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29</v>
      </c>
      <c r="AR111" s="8">
        <v>2900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62</v>
      </c>
      <c r="BD111" s="8">
        <v>7440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446.4</v>
      </c>
      <c r="BM111" s="10">
        <v>14700</v>
      </c>
      <c r="BN111" s="15">
        <f t="shared" si="2"/>
        <v>14253.6</v>
      </c>
      <c r="BO111" s="16">
        <f t="shared" si="3"/>
        <v>9977.52</v>
      </c>
    </row>
    <row r="112" spans="1:67" x14ac:dyDescent="0.4">
      <c r="A112" s="5" t="s">
        <v>14</v>
      </c>
      <c r="B112" s="5" t="s">
        <v>298</v>
      </c>
      <c r="C112" s="5">
        <v>445862</v>
      </c>
      <c r="D112" s="6"/>
      <c r="E112" s="5" t="s">
        <v>16</v>
      </c>
      <c r="F112" s="5" t="s">
        <v>47</v>
      </c>
      <c r="G112" s="5" t="s">
        <v>34</v>
      </c>
      <c r="H112" s="7" t="s">
        <v>8</v>
      </c>
      <c r="I112" s="7" t="s">
        <v>195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2</v>
      </c>
      <c r="AF112" s="8">
        <v>2100</v>
      </c>
      <c r="AG112" s="8">
        <v>2300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1</v>
      </c>
      <c r="AR112" s="8">
        <v>2200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3</v>
      </c>
      <c r="BD112" s="8">
        <v>7920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475.2</v>
      </c>
      <c r="BM112" s="10">
        <v>14520</v>
      </c>
      <c r="BN112" s="15">
        <f t="shared" si="2"/>
        <v>14044.8</v>
      </c>
      <c r="BO112" s="16">
        <f t="shared" si="3"/>
        <v>9831.3599999999988</v>
      </c>
    </row>
    <row r="113" spans="1:67" ht="19.2" x14ac:dyDescent="0.4">
      <c r="A113" s="5" t="s">
        <v>14</v>
      </c>
      <c r="B113" s="5" t="s">
        <v>164</v>
      </c>
      <c r="C113" s="5">
        <v>467470</v>
      </c>
      <c r="D113" s="6"/>
      <c r="E113" s="5" t="s">
        <v>16</v>
      </c>
      <c r="F113" s="5" t="s">
        <v>165</v>
      </c>
      <c r="G113" s="5" t="s">
        <v>34</v>
      </c>
      <c r="H113" s="7" t="s">
        <v>8</v>
      </c>
      <c r="I113" s="7" t="s">
        <v>166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2</v>
      </c>
      <c r="AF113" s="7">
        <v>0</v>
      </c>
      <c r="AG113" s="8">
        <v>3200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3</v>
      </c>
      <c r="BD113" s="8">
        <v>10560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633.6</v>
      </c>
      <c r="BM113" s="10">
        <v>13760</v>
      </c>
      <c r="BN113" s="15">
        <f t="shared" si="2"/>
        <v>13126.4</v>
      </c>
      <c r="BO113" s="16">
        <f t="shared" si="3"/>
        <v>9188.48</v>
      </c>
    </row>
    <row r="114" spans="1:67" ht="19.2" x14ac:dyDescent="0.4">
      <c r="A114" s="5" t="s">
        <v>14</v>
      </c>
      <c r="B114" s="5" t="s">
        <v>251</v>
      </c>
      <c r="C114" s="5">
        <v>469072</v>
      </c>
      <c r="D114" s="6"/>
      <c r="E114" s="5" t="s">
        <v>16</v>
      </c>
      <c r="F114" s="5" t="s">
        <v>165</v>
      </c>
      <c r="G114" s="5" t="s">
        <v>34</v>
      </c>
      <c r="H114" s="7" t="s">
        <v>8</v>
      </c>
      <c r="I114" s="7" t="s">
        <v>252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94</v>
      </c>
      <c r="AF114" s="8">
        <v>1000</v>
      </c>
      <c r="AG114" s="8">
        <v>8400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12</v>
      </c>
      <c r="AX114" s="8">
        <v>1440</v>
      </c>
      <c r="AY114" s="7">
        <v>0</v>
      </c>
      <c r="AZ114" s="7">
        <v>0</v>
      </c>
      <c r="BA114" s="7">
        <v>0</v>
      </c>
      <c r="BB114" s="7">
        <v>0</v>
      </c>
      <c r="BC114" s="7">
        <v>20</v>
      </c>
      <c r="BD114" s="8">
        <v>2400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288</v>
      </c>
      <c r="BM114" s="10">
        <v>13240</v>
      </c>
      <c r="BN114" s="15">
        <f t="shared" si="2"/>
        <v>12952</v>
      </c>
      <c r="BO114" s="16">
        <f t="shared" si="3"/>
        <v>9066.4</v>
      </c>
    </row>
    <row r="115" spans="1:67" x14ac:dyDescent="0.4">
      <c r="A115" s="5" t="s">
        <v>14</v>
      </c>
      <c r="B115" s="5" t="s">
        <v>336</v>
      </c>
      <c r="C115" s="5">
        <v>406872</v>
      </c>
      <c r="D115" s="6"/>
      <c r="E115" s="5" t="s">
        <v>16</v>
      </c>
      <c r="F115" s="5" t="s">
        <v>337</v>
      </c>
      <c r="G115" s="5" t="s">
        <v>457</v>
      </c>
      <c r="H115" s="7" t="s">
        <v>9</v>
      </c>
      <c r="I115" s="7" t="s">
        <v>338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100</v>
      </c>
      <c r="AF115" s="7">
        <v>0</v>
      </c>
      <c r="AG115" s="8">
        <v>10000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24</v>
      </c>
      <c r="BD115" s="8">
        <v>2880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172.8</v>
      </c>
      <c r="BM115" s="10">
        <v>12880</v>
      </c>
      <c r="BN115" s="15">
        <f t="shared" si="2"/>
        <v>12707.2</v>
      </c>
      <c r="BO115" s="16">
        <f t="shared" si="3"/>
        <v>8895.0399999999991</v>
      </c>
    </row>
    <row r="116" spans="1:67" x14ac:dyDescent="0.4">
      <c r="A116" s="5" t="s">
        <v>14</v>
      </c>
      <c r="B116" s="5" t="s">
        <v>274</v>
      </c>
      <c r="C116" s="5">
        <v>417258</v>
      </c>
      <c r="D116" s="6"/>
      <c r="E116" s="5" t="s">
        <v>16</v>
      </c>
      <c r="F116" s="5" t="s">
        <v>275</v>
      </c>
      <c r="G116" s="5" t="s">
        <v>34</v>
      </c>
      <c r="H116" s="7" t="s">
        <v>8</v>
      </c>
      <c r="I116" s="7" t="s">
        <v>276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13</v>
      </c>
      <c r="AF116" s="8">
        <v>1560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94</v>
      </c>
      <c r="BD116" s="8">
        <v>11280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676.8</v>
      </c>
      <c r="BM116" s="10">
        <v>12840</v>
      </c>
      <c r="BN116" s="15">
        <f t="shared" si="2"/>
        <v>12163.2</v>
      </c>
      <c r="BO116" s="16">
        <f t="shared" si="3"/>
        <v>8514.24</v>
      </c>
    </row>
    <row r="117" spans="1:67" x14ac:dyDescent="0.4">
      <c r="A117" s="5" t="s">
        <v>14</v>
      </c>
      <c r="B117" s="5" t="s">
        <v>258</v>
      </c>
      <c r="C117" s="5">
        <v>297776</v>
      </c>
      <c r="D117" s="6"/>
      <c r="E117" s="5" t="s">
        <v>16</v>
      </c>
      <c r="F117" s="5" t="s">
        <v>259</v>
      </c>
      <c r="G117" s="5" t="s">
        <v>457</v>
      </c>
      <c r="H117" s="7" t="s">
        <v>9</v>
      </c>
      <c r="I117" s="7" t="s">
        <v>260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6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88</v>
      </c>
      <c r="AF117" s="7">
        <v>740</v>
      </c>
      <c r="AG117" s="8">
        <v>8100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28</v>
      </c>
      <c r="AR117" s="8">
        <v>2800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8</v>
      </c>
      <c r="BD117" s="7">
        <v>960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57.6</v>
      </c>
      <c r="BM117" s="10">
        <v>12600</v>
      </c>
      <c r="BN117" s="15">
        <f t="shared" si="2"/>
        <v>12542.4</v>
      </c>
      <c r="BO117" s="16">
        <f t="shared" si="3"/>
        <v>8779.6799999999985</v>
      </c>
    </row>
    <row r="118" spans="1:67" x14ac:dyDescent="0.4">
      <c r="A118" s="5" t="s">
        <v>14</v>
      </c>
      <c r="B118" s="5" t="s">
        <v>194</v>
      </c>
      <c r="C118" s="5">
        <v>445861</v>
      </c>
      <c r="D118" s="6"/>
      <c r="E118" s="5" t="s">
        <v>16</v>
      </c>
      <c r="F118" s="5" t="s">
        <v>47</v>
      </c>
      <c r="G118" s="5" t="s">
        <v>34</v>
      </c>
      <c r="H118" s="7" t="s">
        <v>8</v>
      </c>
      <c r="I118" s="7" t="s">
        <v>195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2</v>
      </c>
      <c r="AF118" s="7">
        <v>0</v>
      </c>
      <c r="AG118" s="8">
        <v>4500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3</v>
      </c>
      <c r="BD118" s="8">
        <v>8040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482.4</v>
      </c>
      <c r="BM118" s="10">
        <v>12540</v>
      </c>
      <c r="BN118" s="15">
        <f t="shared" si="2"/>
        <v>12057.6</v>
      </c>
      <c r="BO118" s="16">
        <f t="shared" si="3"/>
        <v>8440.32</v>
      </c>
    </row>
    <row r="119" spans="1:67" x14ac:dyDescent="0.4">
      <c r="A119" s="5" t="s">
        <v>14</v>
      </c>
      <c r="B119" s="5" t="s">
        <v>247</v>
      </c>
      <c r="C119" s="5">
        <v>251205</v>
      </c>
      <c r="D119" s="6"/>
      <c r="E119" s="5" t="s">
        <v>16</v>
      </c>
      <c r="F119" s="5" t="s">
        <v>66</v>
      </c>
      <c r="G119" s="5" t="s">
        <v>10</v>
      </c>
      <c r="H119" s="7" t="s">
        <v>7</v>
      </c>
      <c r="I119" s="7" t="s">
        <v>248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1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36</v>
      </c>
      <c r="AF119" s="8">
        <v>3100</v>
      </c>
      <c r="AG119" s="7">
        <v>500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73</v>
      </c>
      <c r="BD119" s="8">
        <v>8760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525.6</v>
      </c>
      <c r="BM119" s="10">
        <v>12360</v>
      </c>
      <c r="BN119" s="15">
        <f t="shared" si="2"/>
        <v>11834.4</v>
      </c>
      <c r="BO119" s="16">
        <f t="shared" si="3"/>
        <v>8284.08</v>
      </c>
    </row>
    <row r="120" spans="1:67" x14ac:dyDescent="0.4">
      <c r="A120" s="5" t="s">
        <v>14</v>
      </c>
      <c r="B120" s="5" t="s">
        <v>313</v>
      </c>
      <c r="C120" s="5">
        <v>363413</v>
      </c>
      <c r="D120" s="6"/>
      <c r="E120" s="5" t="s">
        <v>16</v>
      </c>
      <c r="F120" s="5" t="s">
        <v>105</v>
      </c>
      <c r="G120" s="5" t="s">
        <v>34</v>
      </c>
      <c r="H120" s="7" t="s">
        <v>8</v>
      </c>
      <c r="I120" s="7" t="s">
        <v>314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1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77</v>
      </c>
      <c r="AR120" s="8">
        <v>7700</v>
      </c>
      <c r="AS120" s="7">
        <v>0</v>
      </c>
      <c r="AT120" s="7">
        <v>0</v>
      </c>
      <c r="AU120" s="7">
        <v>0</v>
      </c>
      <c r="AV120" s="7">
        <v>0</v>
      </c>
      <c r="AW120" s="7">
        <v>9</v>
      </c>
      <c r="AX120" s="8">
        <v>1080</v>
      </c>
      <c r="AY120" s="7">
        <v>0</v>
      </c>
      <c r="AZ120" s="7">
        <v>0</v>
      </c>
      <c r="BA120" s="7">
        <v>0</v>
      </c>
      <c r="BB120" s="7">
        <v>0</v>
      </c>
      <c r="BC120" s="7">
        <v>24</v>
      </c>
      <c r="BD120" s="8">
        <v>2880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280.8</v>
      </c>
      <c r="BM120" s="10">
        <v>11660</v>
      </c>
      <c r="BN120" s="15">
        <f t="shared" si="2"/>
        <v>11379.2</v>
      </c>
      <c r="BO120" s="16">
        <f t="shared" si="3"/>
        <v>7965.44</v>
      </c>
    </row>
    <row r="121" spans="1:67" x14ac:dyDescent="0.4">
      <c r="A121" s="5" t="s">
        <v>14</v>
      </c>
      <c r="B121" s="5" t="s">
        <v>476</v>
      </c>
      <c r="C121" s="5">
        <v>410077</v>
      </c>
      <c r="D121" s="6"/>
      <c r="E121" s="5" t="s">
        <v>16</v>
      </c>
      <c r="F121" s="5" t="s">
        <v>477</v>
      </c>
      <c r="G121" s="5" t="s">
        <v>10</v>
      </c>
      <c r="H121" s="7" t="s">
        <v>7</v>
      </c>
      <c r="I121" s="7" t="s">
        <v>216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3</v>
      </c>
      <c r="AF121" s="8">
        <v>11520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10">
        <v>11520</v>
      </c>
      <c r="BN121" s="15">
        <f t="shared" si="2"/>
        <v>11520</v>
      </c>
      <c r="BO121" s="16">
        <f t="shared" si="3"/>
        <v>8063.9999999999991</v>
      </c>
    </row>
    <row r="122" spans="1:67" x14ac:dyDescent="0.4">
      <c r="A122" s="5" t="s">
        <v>14</v>
      </c>
      <c r="B122" s="5" t="s">
        <v>478</v>
      </c>
      <c r="C122" s="5">
        <v>463951</v>
      </c>
      <c r="D122" s="6"/>
      <c r="E122" s="5" t="s">
        <v>16</v>
      </c>
      <c r="F122" s="5" t="s">
        <v>122</v>
      </c>
      <c r="G122" s="5" t="s">
        <v>10</v>
      </c>
      <c r="H122" s="7" t="s">
        <v>7</v>
      </c>
      <c r="I122" s="7" t="s">
        <v>479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1</v>
      </c>
      <c r="AF122" s="8">
        <v>3840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2</v>
      </c>
      <c r="AR122" s="8">
        <v>6400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10">
        <v>10240</v>
      </c>
      <c r="BN122" s="15">
        <f t="shared" si="2"/>
        <v>10240</v>
      </c>
      <c r="BO122" s="16">
        <f t="shared" si="3"/>
        <v>7168</v>
      </c>
    </row>
    <row r="123" spans="1:67" x14ac:dyDescent="0.4">
      <c r="A123" s="5" t="s">
        <v>14</v>
      </c>
      <c r="B123" s="5" t="s">
        <v>233</v>
      </c>
      <c r="C123" s="5">
        <v>429534</v>
      </c>
      <c r="D123" s="6"/>
      <c r="E123" s="5" t="s">
        <v>16</v>
      </c>
      <c r="F123" s="5" t="s">
        <v>173</v>
      </c>
      <c r="G123" s="5" t="s">
        <v>444</v>
      </c>
      <c r="H123" s="7" t="s">
        <v>7</v>
      </c>
      <c r="I123" s="7" t="s">
        <v>234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3</v>
      </c>
      <c r="AX123" s="8">
        <v>10080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9">
        <v>1008</v>
      </c>
      <c r="BM123" s="10">
        <v>10080</v>
      </c>
      <c r="BN123" s="15">
        <f t="shared" si="2"/>
        <v>9072</v>
      </c>
      <c r="BO123" s="16">
        <f t="shared" si="3"/>
        <v>6350.4</v>
      </c>
    </row>
    <row r="124" spans="1:67" x14ac:dyDescent="0.4">
      <c r="A124" s="5" t="s">
        <v>14</v>
      </c>
      <c r="B124" s="5" t="s">
        <v>324</v>
      </c>
      <c r="C124" s="5">
        <v>389960</v>
      </c>
      <c r="D124" s="6"/>
      <c r="E124" s="5" t="s">
        <v>16</v>
      </c>
      <c r="F124" s="5" t="s">
        <v>108</v>
      </c>
      <c r="G124" s="5" t="s">
        <v>457</v>
      </c>
      <c r="H124" s="7" t="s">
        <v>9</v>
      </c>
      <c r="I124" s="7" t="s">
        <v>325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18</v>
      </c>
      <c r="AX124" s="8">
        <v>2160</v>
      </c>
      <c r="AY124" s="7">
        <v>0</v>
      </c>
      <c r="AZ124" s="7">
        <v>0</v>
      </c>
      <c r="BA124" s="7">
        <v>0</v>
      </c>
      <c r="BB124" s="7">
        <v>0</v>
      </c>
      <c r="BC124" s="7">
        <v>63</v>
      </c>
      <c r="BD124" s="8">
        <v>7560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669.6</v>
      </c>
      <c r="BM124" s="10">
        <v>9720</v>
      </c>
      <c r="BN124" s="15">
        <f t="shared" si="2"/>
        <v>9050.4</v>
      </c>
      <c r="BO124" s="16">
        <f t="shared" si="3"/>
        <v>6335.28</v>
      </c>
    </row>
    <row r="125" spans="1:67" x14ac:dyDescent="0.4">
      <c r="A125" s="5" t="s">
        <v>14</v>
      </c>
      <c r="B125" s="5" t="s">
        <v>304</v>
      </c>
      <c r="C125" s="5">
        <v>377088</v>
      </c>
      <c r="D125" s="6"/>
      <c r="E125" s="5" t="s">
        <v>16</v>
      </c>
      <c r="F125" s="5" t="s">
        <v>305</v>
      </c>
      <c r="G125" s="5" t="s">
        <v>34</v>
      </c>
      <c r="H125" s="7" t="s">
        <v>8</v>
      </c>
      <c r="I125" s="7" t="s">
        <v>306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1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18</v>
      </c>
      <c r="AF125" s="7">
        <v>0</v>
      </c>
      <c r="AG125" s="8">
        <v>1800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11</v>
      </c>
      <c r="AR125" s="8">
        <v>1000</v>
      </c>
      <c r="AS125" s="7">
        <v>100</v>
      </c>
      <c r="AT125" s="7">
        <v>0</v>
      </c>
      <c r="AU125" s="7">
        <v>0</v>
      </c>
      <c r="AV125" s="7">
        <v>0</v>
      </c>
      <c r="AW125" s="7">
        <v>12</v>
      </c>
      <c r="AX125" s="8">
        <v>1440</v>
      </c>
      <c r="AY125" s="7">
        <v>0</v>
      </c>
      <c r="AZ125" s="7">
        <v>0</v>
      </c>
      <c r="BA125" s="7">
        <v>0</v>
      </c>
      <c r="BB125" s="7">
        <v>0</v>
      </c>
      <c r="BC125" s="7">
        <v>39</v>
      </c>
      <c r="BD125" s="8">
        <v>4680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424.8</v>
      </c>
      <c r="BM125" s="10">
        <v>9020</v>
      </c>
      <c r="BN125" s="15">
        <f t="shared" si="2"/>
        <v>8595.2000000000007</v>
      </c>
      <c r="BO125" s="16">
        <f t="shared" si="3"/>
        <v>6016.64</v>
      </c>
    </row>
    <row r="126" spans="1:67" x14ac:dyDescent="0.4">
      <c r="A126" s="5" t="s">
        <v>14</v>
      </c>
      <c r="B126" s="5" t="s">
        <v>326</v>
      </c>
      <c r="C126" s="5">
        <v>332935</v>
      </c>
      <c r="D126" s="6"/>
      <c r="E126" s="5" t="s">
        <v>16</v>
      </c>
      <c r="F126" s="5" t="s">
        <v>269</v>
      </c>
      <c r="G126" s="5" t="s">
        <v>34</v>
      </c>
      <c r="H126" s="7" t="s">
        <v>8</v>
      </c>
      <c r="I126" s="7" t="s">
        <v>327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1</v>
      </c>
      <c r="AF126" s="7">
        <v>0</v>
      </c>
      <c r="AG126" s="7">
        <v>100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72</v>
      </c>
      <c r="BD126" s="8">
        <v>8640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518.4</v>
      </c>
      <c r="BM126" s="10">
        <v>8740</v>
      </c>
      <c r="BN126" s="15">
        <f t="shared" si="2"/>
        <v>8221.6</v>
      </c>
      <c r="BO126" s="16">
        <f t="shared" si="3"/>
        <v>5755.12</v>
      </c>
    </row>
    <row r="127" spans="1:67" x14ac:dyDescent="0.4">
      <c r="A127" s="5" t="s">
        <v>14</v>
      </c>
      <c r="B127" s="5" t="s">
        <v>80</v>
      </c>
      <c r="C127" s="5">
        <v>429621</v>
      </c>
      <c r="D127" s="6"/>
      <c r="E127" s="5" t="s">
        <v>16</v>
      </c>
      <c r="F127" s="5" t="s">
        <v>81</v>
      </c>
      <c r="G127" s="5" t="s">
        <v>457</v>
      </c>
      <c r="H127" s="7" t="s">
        <v>8</v>
      </c>
      <c r="I127" s="7" t="s">
        <v>82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14</v>
      </c>
      <c r="AF127" s="8">
        <v>1400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58</v>
      </c>
      <c r="BD127" s="8">
        <v>6960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417.6</v>
      </c>
      <c r="BM127" s="10">
        <v>8360</v>
      </c>
      <c r="BN127" s="15">
        <f t="shared" si="2"/>
        <v>7942.4</v>
      </c>
      <c r="BO127" s="16">
        <f t="shared" si="3"/>
        <v>5559.6799999999994</v>
      </c>
    </row>
    <row r="128" spans="1:67" x14ac:dyDescent="0.4">
      <c r="A128" s="5" t="s">
        <v>14</v>
      </c>
      <c r="B128" s="5" t="s">
        <v>320</v>
      </c>
      <c r="C128" s="5">
        <v>414120</v>
      </c>
      <c r="D128" s="6"/>
      <c r="E128" s="5" t="s">
        <v>16</v>
      </c>
      <c r="F128" s="5" t="s">
        <v>41</v>
      </c>
      <c r="G128" s="5" t="s">
        <v>34</v>
      </c>
      <c r="H128" s="7" t="s">
        <v>8</v>
      </c>
      <c r="I128" s="7" t="s">
        <v>202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6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32</v>
      </c>
      <c r="AF128" s="8">
        <v>2500</v>
      </c>
      <c r="AG128" s="7">
        <v>700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42</v>
      </c>
      <c r="BD128" s="8">
        <v>5040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302.39999999999998</v>
      </c>
      <c r="BM128" s="10">
        <v>8240</v>
      </c>
      <c r="BN128" s="15">
        <f t="shared" si="2"/>
        <v>7937.6</v>
      </c>
      <c r="BO128" s="16">
        <f t="shared" si="3"/>
        <v>5556.32</v>
      </c>
    </row>
    <row r="129" spans="1:67" x14ac:dyDescent="0.4">
      <c r="A129" s="5" t="s">
        <v>14</v>
      </c>
      <c r="B129" s="5" t="s">
        <v>261</v>
      </c>
      <c r="C129" s="5">
        <v>353788</v>
      </c>
      <c r="D129" s="6"/>
      <c r="E129" s="5" t="s">
        <v>16</v>
      </c>
      <c r="F129" s="5" t="s">
        <v>207</v>
      </c>
      <c r="G129" s="5" t="s">
        <v>34</v>
      </c>
      <c r="H129" s="7" t="s">
        <v>8</v>
      </c>
      <c r="I129" s="7" t="s">
        <v>262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11</v>
      </c>
      <c r="AF129" s="7">
        <v>0</v>
      </c>
      <c r="AG129" s="8">
        <v>1100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57</v>
      </c>
      <c r="BD129" s="8">
        <v>6840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410.4</v>
      </c>
      <c r="BM129" s="10">
        <v>7940</v>
      </c>
      <c r="BN129" s="15">
        <f t="shared" si="2"/>
        <v>7529.6</v>
      </c>
      <c r="BO129" s="16">
        <f t="shared" si="3"/>
        <v>5270.72</v>
      </c>
    </row>
    <row r="130" spans="1:67" ht="19.2" x14ac:dyDescent="0.4">
      <c r="A130" s="5" t="s">
        <v>14</v>
      </c>
      <c r="B130" s="5" t="s">
        <v>150</v>
      </c>
      <c r="C130" s="5">
        <v>428319</v>
      </c>
      <c r="D130" s="6"/>
      <c r="E130" s="5" t="s">
        <v>16</v>
      </c>
      <c r="F130" s="5" t="s">
        <v>96</v>
      </c>
      <c r="G130" s="5" t="s">
        <v>10</v>
      </c>
      <c r="H130" s="7" t="s">
        <v>7</v>
      </c>
      <c r="I130" s="7" t="s">
        <v>109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29</v>
      </c>
      <c r="AF130" s="8">
        <v>3240</v>
      </c>
      <c r="AG130" s="7">
        <v>200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2</v>
      </c>
      <c r="AX130" s="7">
        <v>240</v>
      </c>
      <c r="AY130" s="7">
        <v>0</v>
      </c>
      <c r="AZ130" s="7">
        <v>0</v>
      </c>
      <c r="BA130" s="7">
        <v>0</v>
      </c>
      <c r="BB130" s="7">
        <v>0</v>
      </c>
      <c r="BC130" s="7">
        <v>35</v>
      </c>
      <c r="BD130" s="8">
        <v>4200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276</v>
      </c>
      <c r="BM130" s="10">
        <v>7880</v>
      </c>
      <c r="BN130" s="15">
        <f t="shared" si="2"/>
        <v>7604</v>
      </c>
      <c r="BO130" s="16">
        <f t="shared" si="3"/>
        <v>5322.7999999999993</v>
      </c>
    </row>
    <row r="131" spans="1:67" x14ac:dyDescent="0.4">
      <c r="A131" s="5" t="s">
        <v>14</v>
      </c>
      <c r="B131" s="5" t="s">
        <v>480</v>
      </c>
      <c r="C131" s="5">
        <v>350655</v>
      </c>
      <c r="D131" s="6"/>
      <c r="E131" s="5" t="s">
        <v>16</v>
      </c>
      <c r="F131" s="5" t="s">
        <v>269</v>
      </c>
      <c r="G131" s="5" t="s">
        <v>34</v>
      </c>
      <c r="H131" s="7" t="s">
        <v>8</v>
      </c>
      <c r="I131" s="7" t="s">
        <v>481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64</v>
      </c>
      <c r="BD131" s="8">
        <v>7680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460.8</v>
      </c>
      <c r="BM131" s="10">
        <v>7680</v>
      </c>
      <c r="BN131" s="15">
        <f t="shared" ref="BN131:BN185" si="4">BM131-BL131</f>
        <v>7219.2</v>
      </c>
      <c r="BO131" s="16">
        <f t="shared" ref="BO131:BO185" si="5">BN131*70%</f>
        <v>5053.4399999999996</v>
      </c>
    </row>
    <row r="132" spans="1:67" x14ac:dyDescent="0.4">
      <c r="A132" s="5" t="s">
        <v>14</v>
      </c>
      <c r="B132" s="5" t="s">
        <v>293</v>
      </c>
      <c r="C132" s="5">
        <v>391329</v>
      </c>
      <c r="D132" s="6"/>
      <c r="E132" s="5" t="s">
        <v>16</v>
      </c>
      <c r="F132" s="5" t="s">
        <v>66</v>
      </c>
      <c r="G132" s="5" t="s">
        <v>10</v>
      </c>
      <c r="H132" s="7" t="s">
        <v>7</v>
      </c>
      <c r="I132" s="7" t="s">
        <v>294</v>
      </c>
      <c r="J132" s="7">
        <v>0</v>
      </c>
      <c r="K132" s="7">
        <v>3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2</v>
      </c>
      <c r="BD132" s="8">
        <v>7680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460.8</v>
      </c>
      <c r="BM132" s="10">
        <v>7680</v>
      </c>
      <c r="BN132" s="15">
        <f t="shared" si="4"/>
        <v>7219.2</v>
      </c>
      <c r="BO132" s="16">
        <f t="shared" si="5"/>
        <v>5053.4399999999996</v>
      </c>
    </row>
    <row r="133" spans="1:67" ht="19.2" x14ac:dyDescent="0.4">
      <c r="A133" s="5" t="s">
        <v>14</v>
      </c>
      <c r="B133" s="5" t="s">
        <v>191</v>
      </c>
      <c r="C133" s="5">
        <v>467503</v>
      </c>
      <c r="D133" s="6"/>
      <c r="E133" s="5" t="s">
        <v>16</v>
      </c>
      <c r="F133" s="5" t="s">
        <v>165</v>
      </c>
      <c r="G133" s="5" t="s">
        <v>34</v>
      </c>
      <c r="H133" s="7" t="s">
        <v>8</v>
      </c>
      <c r="I133" s="7" t="s">
        <v>27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1</v>
      </c>
      <c r="AX133" s="8">
        <v>3240</v>
      </c>
      <c r="AY133" s="7">
        <v>0</v>
      </c>
      <c r="AZ133" s="7">
        <v>0</v>
      </c>
      <c r="BA133" s="7">
        <v>0</v>
      </c>
      <c r="BB133" s="7">
        <v>0</v>
      </c>
      <c r="BC133" s="7">
        <v>2</v>
      </c>
      <c r="BD133" s="8">
        <v>4440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590.4</v>
      </c>
      <c r="BM133" s="10">
        <v>7680</v>
      </c>
      <c r="BN133" s="15">
        <f t="shared" si="4"/>
        <v>7089.6</v>
      </c>
      <c r="BO133" s="16">
        <f t="shared" si="5"/>
        <v>4962.72</v>
      </c>
    </row>
    <row r="134" spans="1:67" x14ac:dyDescent="0.4">
      <c r="A134" s="5" t="s">
        <v>14</v>
      </c>
      <c r="B134" s="5" t="s">
        <v>241</v>
      </c>
      <c r="C134" s="5">
        <v>356295</v>
      </c>
      <c r="D134" s="6"/>
      <c r="E134" s="5" t="s">
        <v>16</v>
      </c>
      <c r="F134" s="5" t="s">
        <v>41</v>
      </c>
      <c r="G134" s="5" t="s">
        <v>34</v>
      </c>
      <c r="H134" s="7" t="s">
        <v>8</v>
      </c>
      <c r="I134" s="7" t="s">
        <v>205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4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3</v>
      </c>
      <c r="AF134" s="7">
        <v>0</v>
      </c>
      <c r="AG134" s="7">
        <v>300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1</v>
      </c>
      <c r="AR134" s="7">
        <v>100</v>
      </c>
      <c r="AS134" s="7">
        <v>0</v>
      </c>
      <c r="AT134" s="7">
        <v>0</v>
      </c>
      <c r="AU134" s="7">
        <v>0</v>
      </c>
      <c r="AV134" s="7">
        <v>0</v>
      </c>
      <c r="AW134" s="7">
        <v>4</v>
      </c>
      <c r="AX134" s="7">
        <v>480</v>
      </c>
      <c r="AY134" s="7">
        <v>0</v>
      </c>
      <c r="AZ134" s="7">
        <v>0</v>
      </c>
      <c r="BA134" s="7">
        <v>0</v>
      </c>
      <c r="BB134" s="7">
        <v>0</v>
      </c>
      <c r="BC134" s="7">
        <v>56</v>
      </c>
      <c r="BD134" s="8">
        <v>6720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451.2</v>
      </c>
      <c r="BM134" s="10">
        <v>7600</v>
      </c>
      <c r="BN134" s="15">
        <f t="shared" si="4"/>
        <v>7148.8</v>
      </c>
      <c r="BO134" s="16">
        <f t="shared" si="5"/>
        <v>5004.16</v>
      </c>
    </row>
    <row r="135" spans="1:67" x14ac:dyDescent="0.4">
      <c r="A135" s="5" t="s">
        <v>14</v>
      </c>
      <c r="B135" s="5" t="s">
        <v>358</v>
      </c>
      <c r="C135" s="5">
        <v>395497</v>
      </c>
      <c r="D135" s="6"/>
      <c r="E135" s="5" t="s">
        <v>16</v>
      </c>
      <c r="F135" s="5" t="s">
        <v>359</v>
      </c>
      <c r="G135" s="5" t="s">
        <v>34</v>
      </c>
      <c r="H135" s="7" t="s">
        <v>8</v>
      </c>
      <c r="I135" s="7" t="s">
        <v>360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8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61</v>
      </c>
      <c r="AF135" s="7">
        <v>900</v>
      </c>
      <c r="AG135" s="8">
        <v>5200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4</v>
      </c>
      <c r="AX135" s="7">
        <v>480</v>
      </c>
      <c r="AY135" s="7">
        <v>0</v>
      </c>
      <c r="AZ135" s="7">
        <v>0</v>
      </c>
      <c r="BA135" s="7">
        <v>0</v>
      </c>
      <c r="BB135" s="7">
        <v>0</v>
      </c>
      <c r="BC135" s="7">
        <v>7</v>
      </c>
      <c r="BD135" s="7">
        <v>840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98.4</v>
      </c>
      <c r="BM135" s="10">
        <v>7420</v>
      </c>
      <c r="BN135" s="15">
        <f t="shared" si="4"/>
        <v>7321.6</v>
      </c>
      <c r="BO135" s="16">
        <f t="shared" si="5"/>
        <v>5125.12</v>
      </c>
    </row>
    <row r="136" spans="1:67" x14ac:dyDescent="0.4">
      <c r="A136" s="5" t="s">
        <v>14</v>
      </c>
      <c r="B136" s="5" t="s">
        <v>446</v>
      </c>
      <c r="C136" s="5">
        <v>473531</v>
      </c>
      <c r="D136" s="6"/>
      <c r="E136" s="5" t="s">
        <v>16</v>
      </c>
      <c r="F136" s="5" t="s">
        <v>447</v>
      </c>
      <c r="G136" s="5" t="s">
        <v>34</v>
      </c>
      <c r="H136" s="7" t="s">
        <v>308</v>
      </c>
      <c r="I136" s="7" t="s">
        <v>448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2</v>
      </c>
      <c r="BD136" s="8">
        <v>7200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432</v>
      </c>
      <c r="BM136" s="10">
        <v>7200</v>
      </c>
      <c r="BN136" s="15">
        <f t="shared" si="4"/>
        <v>6768</v>
      </c>
      <c r="BO136" s="16">
        <f t="shared" si="5"/>
        <v>4737.5999999999995</v>
      </c>
    </row>
    <row r="137" spans="1:67" x14ac:dyDescent="0.4">
      <c r="A137" s="5" t="s">
        <v>14</v>
      </c>
      <c r="B137" s="5" t="s">
        <v>315</v>
      </c>
      <c r="C137" s="5">
        <v>430085</v>
      </c>
      <c r="D137" s="6"/>
      <c r="E137" s="5" t="s">
        <v>16</v>
      </c>
      <c r="F137" s="5" t="s">
        <v>86</v>
      </c>
      <c r="G137" s="5" t="s">
        <v>10</v>
      </c>
      <c r="H137" s="7" t="s">
        <v>9</v>
      </c>
      <c r="I137" s="7" t="s">
        <v>316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1</v>
      </c>
      <c r="AR137" s="8">
        <v>3200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1</v>
      </c>
      <c r="BD137" s="8">
        <v>3840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230.4</v>
      </c>
      <c r="BM137" s="10">
        <v>7040</v>
      </c>
      <c r="BN137" s="15">
        <f t="shared" si="4"/>
        <v>6809.6</v>
      </c>
      <c r="BO137" s="16">
        <f t="shared" si="5"/>
        <v>4766.72</v>
      </c>
    </row>
    <row r="138" spans="1:67" x14ac:dyDescent="0.4">
      <c r="A138" s="5" t="s">
        <v>14</v>
      </c>
      <c r="B138" s="5" t="s">
        <v>482</v>
      </c>
      <c r="C138" s="5">
        <v>476105</v>
      </c>
      <c r="D138" s="6"/>
      <c r="E138" s="5" t="s">
        <v>16</v>
      </c>
      <c r="F138" s="5" t="s">
        <v>218</v>
      </c>
      <c r="G138" s="5" t="s">
        <v>10</v>
      </c>
      <c r="H138" s="7" t="s">
        <v>7</v>
      </c>
      <c r="I138" s="7" t="s">
        <v>461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1</v>
      </c>
      <c r="AF138" s="8">
        <v>3200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1</v>
      </c>
      <c r="BD138" s="8">
        <v>3840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230.4</v>
      </c>
      <c r="BM138" s="10">
        <v>7040</v>
      </c>
      <c r="BN138" s="15">
        <f t="shared" si="4"/>
        <v>6809.6</v>
      </c>
      <c r="BO138" s="16">
        <f t="shared" si="5"/>
        <v>4766.72</v>
      </c>
    </row>
    <row r="139" spans="1:67" x14ac:dyDescent="0.4">
      <c r="A139" s="5" t="s">
        <v>14</v>
      </c>
      <c r="B139" s="5" t="s">
        <v>279</v>
      </c>
      <c r="C139" s="5">
        <v>327548</v>
      </c>
      <c r="D139" s="6"/>
      <c r="E139" s="5" t="s">
        <v>16</v>
      </c>
      <c r="F139" s="5" t="s">
        <v>207</v>
      </c>
      <c r="G139" s="5" t="s">
        <v>34</v>
      </c>
      <c r="H139" s="7" t="s">
        <v>8</v>
      </c>
      <c r="I139" s="7" t="s">
        <v>280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15</v>
      </c>
      <c r="AF139" s="8">
        <v>1500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44</v>
      </c>
      <c r="BD139" s="8">
        <v>5280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316.8</v>
      </c>
      <c r="BM139" s="10">
        <v>6780</v>
      </c>
      <c r="BN139" s="15">
        <f t="shared" si="4"/>
        <v>6463.2</v>
      </c>
      <c r="BO139" s="16">
        <f t="shared" si="5"/>
        <v>4524.24</v>
      </c>
    </row>
    <row r="140" spans="1:67" x14ac:dyDescent="0.4">
      <c r="A140" s="5" t="s">
        <v>14</v>
      </c>
      <c r="B140" s="5" t="s">
        <v>483</v>
      </c>
      <c r="C140" s="5">
        <v>393408</v>
      </c>
      <c r="D140" s="6"/>
      <c r="E140" s="5" t="s">
        <v>16</v>
      </c>
      <c r="F140" s="5" t="s">
        <v>484</v>
      </c>
      <c r="G140" s="5" t="s">
        <v>34</v>
      </c>
      <c r="H140" s="7" t="s">
        <v>8</v>
      </c>
      <c r="I140" s="7" t="s">
        <v>485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66</v>
      </c>
      <c r="AF140" s="8">
        <v>5800</v>
      </c>
      <c r="AG140" s="7">
        <v>800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10">
        <v>6600</v>
      </c>
      <c r="BN140" s="15">
        <f t="shared" si="4"/>
        <v>6600</v>
      </c>
      <c r="BO140" s="16">
        <f t="shared" si="5"/>
        <v>4620</v>
      </c>
    </row>
    <row r="141" spans="1:67" x14ac:dyDescent="0.4">
      <c r="A141" s="5" t="s">
        <v>14</v>
      </c>
      <c r="B141" s="5" t="s">
        <v>486</v>
      </c>
      <c r="C141" s="5">
        <v>476040</v>
      </c>
      <c r="D141" s="6"/>
      <c r="E141" s="5" t="s">
        <v>16</v>
      </c>
      <c r="F141" s="5" t="s">
        <v>157</v>
      </c>
      <c r="G141" s="5" t="s">
        <v>10</v>
      </c>
      <c r="H141" s="7" t="s">
        <v>7</v>
      </c>
      <c r="I141" s="7" t="s">
        <v>461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2</v>
      </c>
      <c r="AF141" s="8">
        <v>6400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10">
        <v>6400</v>
      </c>
      <c r="BN141" s="15">
        <f t="shared" si="4"/>
        <v>6400</v>
      </c>
      <c r="BO141" s="16">
        <f t="shared" si="5"/>
        <v>4480</v>
      </c>
    </row>
    <row r="142" spans="1:67" x14ac:dyDescent="0.4">
      <c r="A142" s="5" t="s">
        <v>14</v>
      </c>
      <c r="B142" s="5" t="s">
        <v>95</v>
      </c>
      <c r="C142" s="5">
        <v>395179</v>
      </c>
      <c r="D142" s="6"/>
      <c r="E142" s="5" t="s">
        <v>16</v>
      </c>
      <c r="F142" s="5" t="s">
        <v>96</v>
      </c>
      <c r="G142" s="5" t="s">
        <v>10</v>
      </c>
      <c r="H142" s="7" t="s">
        <v>7</v>
      </c>
      <c r="I142" s="7" t="s">
        <v>97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2</v>
      </c>
      <c r="AF142" s="7">
        <v>0</v>
      </c>
      <c r="AG142" s="8">
        <v>6400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10">
        <v>6400</v>
      </c>
      <c r="BN142" s="15">
        <f t="shared" si="4"/>
        <v>6400</v>
      </c>
      <c r="BO142" s="16">
        <f t="shared" si="5"/>
        <v>4480</v>
      </c>
    </row>
    <row r="143" spans="1:67" ht="19.2" x14ac:dyDescent="0.4">
      <c r="A143" s="5" t="s">
        <v>14</v>
      </c>
      <c r="B143" s="5" t="s">
        <v>374</v>
      </c>
      <c r="C143" s="5">
        <v>458432</v>
      </c>
      <c r="D143" s="6"/>
      <c r="E143" s="5" t="s">
        <v>16</v>
      </c>
      <c r="F143" s="5" t="s">
        <v>130</v>
      </c>
      <c r="G143" s="5" t="s">
        <v>34</v>
      </c>
      <c r="H143" s="7" t="s">
        <v>308</v>
      </c>
      <c r="I143" s="7" t="s">
        <v>375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2</v>
      </c>
      <c r="AF143" s="8">
        <v>6000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10">
        <v>6000</v>
      </c>
      <c r="BN143" s="15">
        <f t="shared" si="4"/>
        <v>6000</v>
      </c>
      <c r="BO143" s="16">
        <f t="shared" si="5"/>
        <v>4200</v>
      </c>
    </row>
    <row r="144" spans="1:67" x14ac:dyDescent="0.4">
      <c r="A144" s="5" t="s">
        <v>14</v>
      </c>
      <c r="B144" s="5" t="s">
        <v>392</v>
      </c>
      <c r="C144" s="5">
        <v>387975</v>
      </c>
      <c r="D144" s="6"/>
      <c r="E144" s="5" t="s">
        <v>16</v>
      </c>
      <c r="F144" s="5" t="s">
        <v>152</v>
      </c>
      <c r="G144" s="5" t="s">
        <v>34</v>
      </c>
      <c r="H144" s="7" t="s">
        <v>308</v>
      </c>
      <c r="I144" s="7" t="s">
        <v>143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2</v>
      </c>
      <c r="AR144" s="8">
        <v>5600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10">
        <v>5600</v>
      </c>
      <c r="BN144" s="15">
        <f t="shared" si="4"/>
        <v>5600</v>
      </c>
      <c r="BO144" s="16">
        <f t="shared" si="5"/>
        <v>3919.9999999999995</v>
      </c>
    </row>
    <row r="145" spans="1:67" x14ac:dyDescent="0.4">
      <c r="A145" s="5" t="s">
        <v>14</v>
      </c>
      <c r="B145" s="5" t="s">
        <v>196</v>
      </c>
      <c r="C145" s="5">
        <v>371774</v>
      </c>
      <c r="D145" s="6"/>
      <c r="E145" s="5" t="s">
        <v>16</v>
      </c>
      <c r="F145" s="5" t="s">
        <v>197</v>
      </c>
      <c r="G145" s="5" t="s">
        <v>10</v>
      </c>
      <c r="H145" s="7" t="s">
        <v>7</v>
      </c>
      <c r="I145" s="7" t="s">
        <v>198</v>
      </c>
      <c r="J145" s="7">
        <v>0</v>
      </c>
      <c r="K145" s="7">
        <v>5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51</v>
      </c>
      <c r="AF145" s="8">
        <v>4300</v>
      </c>
      <c r="AG145" s="7">
        <v>800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1</v>
      </c>
      <c r="AR145" s="7">
        <v>100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2</v>
      </c>
      <c r="BD145" s="7">
        <v>240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14.4</v>
      </c>
      <c r="BM145" s="10">
        <v>5440</v>
      </c>
      <c r="BN145" s="15">
        <f t="shared" si="4"/>
        <v>5425.6</v>
      </c>
      <c r="BO145" s="16">
        <f t="shared" si="5"/>
        <v>3797.92</v>
      </c>
    </row>
    <row r="146" spans="1:67" x14ac:dyDescent="0.4">
      <c r="A146" s="5" t="s">
        <v>14</v>
      </c>
      <c r="B146" s="5" t="s">
        <v>217</v>
      </c>
      <c r="C146" s="5">
        <v>434877</v>
      </c>
      <c r="D146" s="6"/>
      <c r="E146" s="5" t="s">
        <v>16</v>
      </c>
      <c r="F146" s="5" t="s">
        <v>218</v>
      </c>
      <c r="G146" s="5" t="s">
        <v>10</v>
      </c>
      <c r="H146" s="7" t="s">
        <v>7</v>
      </c>
      <c r="I146" s="7" t="s">
        <v>219</v>
      </c>
      <c r="J146" s="7">
        <v>1</v>
      </c>
      <c r="K146" s="7">
        <v>0</v>
      </c>
      <c r="L146" s="7">
        <v>100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28</v>
      </c>
      <c r="AF146" s="8">
        <v>1200</v>
      </c>
      <c r="AG146" s="8">
        <v>1600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20</v>
      </c>
      <c r="BD146" s="8">
        <v>2400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144</v>
      </c>
      <c r="BM146" s="10">
        <v>5300</v>
      </c>
      <c r="BN146" s="15">
        <f t="shared" si="4"/>
        <v>5156</v>
      </c>
      <c r="BO146" s="16">
        <f t="shared" si="5"/>
        <v>3609.2</v>
      </c>
    </row>
    <row r="147" spans="1:67" x14ac:dyDescent="0.4">
      <c r="A147" s="5" t="s">
        <v>14</v>
      </c>
      <c r="B147" s="5" t="s">
        <v>436</v>
      </c>
      <c r="C147" s="5">
        <v>352505</v>
      </c>
      <c r="D147" s="6"/>
      <c r="E147" s="5" t="s">
        <v>16</v>
      </c>
      <c r="F147" s="5" t="s">
        <v>365</v>
      </c>
      <c r="G147" s="5" t="s">
        <v>34</v>
      </c>
      <c r="H147" s="7" t="s">
        <v>7</v>
      </c>
      <c r="I147" s="7" t="s">
        <v>437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1</v>
      </c>
      <c r="BD147" s="8">
        <v>5280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316.8</v>
      </c>
      <c r="BM147" s="10">
        <v>5280</v>
      </c>
      <c r="BN147" s="15">
        <f t="shared" si="4"/>
        <v>4963.2</v>
      </c>
      <c r="BO147" s="16">
        <f t="shared" si="5"/>
        <v>3474.24</v>
      </c>
    </row>
    <row r="148" spans="1:67" x14ac:dyDescent="0.4">
      <c r="A148" s="5" t="s">
        <v>14</v>
      </c>
      <c r="B148" s="5" t="s">
        <v>346</v>
      </c>
      <c r="C148" s="5">
        <v>469950</v>
      </c>
      <c r="D148" s="6"/>
      <c r="E148" s="5" t="s">
        <v>16</v>
      </c>
      <c r="F148" s="5" t="s">
        <v>312</v>
      </c>
      <c r="G148" s="5" t="s">
        <v>34</v>
      </c>
      <c r="H148" s="7" t="s">
        <v>8</v>
      </c>
      <c r="I148" s="7" t="s">
        <v>347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52</v>
      </c>
      <c r="AF148" s="7">
        <v>0</v>
      </c>
      <c r="AG148" s="8">
        <v>5200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10">
        <v>5200</v>
      </c>
      <c r="BN148" s="15">
        <f t="shared" si="4"/>
        <v>5200</v>
      </c>
      <c r="BO148" s="16">
        <f t="shared" si="5"/>
        <v>3639.9999999999995</v>
      </c>
    </row>
    <row r="149" spans="1:67" x14ac:dyDescent="0.4">
      <c r="A149" s="5" t="s">
        <v>14</v>
      </c>
      <c r="B149" s="5" t="s">
        <v>404</v>
      </c>
      <c r="C149" s="5">
        <v>447222</v>
      </c>
      <c r="D149" s="6"/>
      <c r="E149" s="5" t="s">
        <v>16</v>
      </c>
      <c r="F149" s="5" t="s">
        <v>269</v>
      </c>
      <c r="G149" s="5" t="s">
        <v>34</v>
      </c>
      <c r="H149" s="7" t="s">
        <v>8</v>
      </c>
      <c r="I149" s="7" t="s">
        <v>405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37</v>
      </c>
      <c r="AF149" s="8">
        <v>4440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7</v>
      </c>
      <c r="AR149" s="7">
        <v>500</v>
      </c>
      <c r="AS149" s="7">
        <v>200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10">
        <v>5140</v>
      </c>
      <c r="BN149" s="15">
        <f t="shared" si="4"/>
        <v>5140</v>
      </c>
      <c r="BO149" s="16">
        <f t="shared" si="5"/>
        <v>3597.9999999999995</v>
      </c>
    </row>
    <row r="150" spans="1:67" x14ac:dyDescent="0.4">
      <c r="A150" s="5" t="s">
        <v>14</v>
      </c>
      <c r="B150" s="5" t="s">
        <v>487</v>
      </c>
      <c r="C150" s="5">
        <v>416216</v>
      </c>
      <c r="D150" s="6"/>
      <c r="E150" s="5" t="s">
        <v>16</v>
      </c>
      <c r="F150" s="5" t="s">
        <v>287</v>
      </c>
      <c r="G150" s="5" t="s">
        <v>34</v>
      </c>
      <c r="H150" s="7" t="s">
        <v>8</v>
      </c>
      <c r="I150" s="7" t="s">
        <v>155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2</v>
      </c>
      <c r="AF150" s="7">
        <v>0</v>
      </c>
      <c r="AG150" s="8">
        <v>5000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10">
        <v>5000</v>
      </c>
      <c r="BN150" s="15">
        <f t="shared" si="4"/>
        <v>5000</v>
      </c>
      <c r="BO150" s="16">
        <f t="shared" si="5"/>
        <v>3500</v>
      </c>
    </row>
    <row r="151" spans="1:67" x14ac:dyDescent="0.4">
      <c r="A151" s="5" t="s">
        <v>14</v>
      </c>
      <c r="B151" s="5" t="s">
        <v>184</v>
      </c>
      <c r="C151" s="5">
        <v>378409</v>
      </c>
      <c r="D151" s="6"/>
      <c r="E151" s="5" t="s">
        <v>16</v>
      </c>
      <c r="F151" s="5" t="s">
        <v>47</v>
      </c>
      <c r="G151" s="5" t="s">
        <v>34</v>
      </c>
      <c r="H151" s="7" t="s">
        <v>8</v>
      </c>
      <c r="I151" s="7" t="s">
        <v>185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46</v>
      </c>
      <c r="AF151" s="7">
        <v>0</v>
      </c>
      <c r="AG151" s="8">
        <v>4600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1</v>
      </c>
      <c r="BD151" s="7">
        <v>120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7.2</v>
      </c>
      <c r="BM151" s="10">
        <v>4720</v>
      </c>
      <c r="BN151" s="15">
        <f t="shared" si="4"/>
        <v>4712.8</v>
      </c>
      <c r="BO151" s="16">
        <f t="shared" si="5"/>
        <v>3298.96</v>
      </c>
    </row>
    <row r="152" spans="1:67" x14ac:dyDescent="0.4">
      <c r="A152" s="5" t="s">
        <v>14</v>
      </c>
      <c r="B152" s="5" t="s">
        <v>416</v>
      </c>
      <c r="C152" s="5">
        <v>380275</v>
      </c>
      <c r="D152" s="6"/>
      <c r="E152" s="5" t="s">
        <v>16</v>
      </c>
      <c r="F152" s="5" t="s">
        <v>41</v>
      </c>
      <c r="G152" s="5" t="s">
        <v>34</v>
      </c>
      <c r="H152" s="7" t="s">
        <v>308</v>
      </c>
      <c r="I152" s="7" t="s">
        <v>417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5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46</v>
      </c>
      <c r="AF152" s="8">
        <v>4600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10">
        <v>4600</v>
      </c>
      <c r="BN152" s="15">
        <f t="shared" si="4"/>
        <v>4600</v>
      </c>
      <c r="BO152" s="16">
        <f t="shared" si="5"/>
        <v>3220</v>
      </c>
    </row>
    <row r="153" spans="1:67" x14ac:dyDescent="0.4">
      <c r="A153" s="5" t="s">
        <v>14</v>
      </c>
      <c r="B153" s="5" t="s">
        <v>139</v>
      </c>
      <c r="C153" s="5">
        <v>399034</v>
      </c>
      <c r="D153" s="6"/>
      <c r="E153" s="5" t="s">
        <v>16</v>
      </c>
      <c r="F153" s="5" t="s">
        <v>140</v>
      </c>
      <c r="G153" s="5" t="s">
        <v>34</v>
      </c>
      <c r="H153" s="7" t="s">
        <v>8</v>
      </c>
      <c r="I153" s="7" t="s">
        <v>141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36</v>
      </c>
      <c r="AX153" s="8">
        <v>4320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432</v>
      </c>
      <c r="BM153" s="10">
        <v>4320</v>
      </c>
      <c r="BN153" s="15">
        <f t="shared" si="4"/>
        <v>3888</v>
      </c>
      <c r="BO153" s="16">
        <f t="shared" si="5"/>
        <v>2721.6</v>
      </c>
    </row>
    <row r="154" spans="1:67" x14ac:dyDescent="0.4">
      <c r="A154" s="5" t="s">
        <v>14</v>
      </c>
      <c r="B154" s="5" t="s">
        <v>265</v>
      </c>
      <c r="C154" s="5">
        <v>428860</v>
      </c>
      <c r="D154" s="6"/>
      <c r="E154" s="5" t="s">
        <v>16</v>
      </c>
      <c r="F154" s="5" t="s">
        <v>266</v>
      </c>
      <c r="G154" s="5" t="s">
        <v>10</v>
      </c>
      <c r="H154" s="7" t="s">
        <v>7</v>
      </c>
      <c r="I154" s="7" t="s">
        <v>267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35</v>
      </c>
      <c r="AX154" s="8">
        <v>4200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420</v>
      </c>
      <c r="BM154" s="10">
        <v>4200</v>
      </c>
      <c r="BN154" s="15">
        <f t="shared" si="4"/>
        <v>3780</v>
      </c>
      <c r="BO154" s="16">
        <f t="shared" si="5"/>
        <v>2646</v>
      </c>
    </row>
    <row r="155" spans="1:67" x14ac:dyDescent="0.4">
      <c r="A155" s="5" t="s">
        <v>14</v>
      </c>
      <c r="B155" s="5" t="s">
        <v>433</v>
      </c>
      <c r="C155" s="5">
        <v>336316</v>
      </c>
      <c r="D155" s="6"/>
      <c r="E155" s="5" t="s">
        <v>16</v>
      </c>
      <c r="F155" s="5" t="s">
        <v>434</v>
      </c>
      <c r="G155" s="5" t="s">
        <v>34</v>
      </c>
      <c r="H155" s="7" t="s">
        <v>8</v>
      </c>
      <c r="I155" s="7" t="s">
        <v>435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3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41</v>
      </c>
      <c r="AF155" s="8">
        <v>4100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10">
        <v>4100</v>
      </c>
      <c r="BN155" s="15">
        <f t="shared" si="4"/>
        <v>4100</v>
      </c>
      <c r="BO155" s="16">
        <f t="shared" si="5"/>
        <v>2870</v>
      </c>
    </row>
    <row r="156" spans="1:67" x14ac:dyDescent="0.4">
      <c r="A156" s="5" t="s">
        <v>14</v>
      </c>
      <c r="B156" s="5" t="s">
        <v>299</v>
      </c>
      <c r="C156" s="5">
        <v>427091</v>
      </c>
      <c r="D156" s="6"/>
      <c r="E156" s="5" t="s">
        <v>16</v>
      </c>
      <c r="F156" s="5" t="s">
        <v>41</v>
      </c>
      <c r="G156" s="5" t="s">
        <v>34</v>
      </c>
      <c r="H156" s="7" t="s">
        <v>8</v>
      </c>
      <c r="I156" s="7" t="s">
        <v>300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40</v>
      </c>
      <c r="AF156" s="8">
        <v>4060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10">
        <v>4060</v>
      </c>
      <c r="BN156" s="15">
        <f t="shared" si="4"/>
        <v>4060</v>
      </c>
      <c r="BO156" s="16">
        <f t="shared" si="5"/>
        <v>2842</v>
      </c>
    </row>
    <row r="157" spans="1:67" x14ac:dyDescent="0.4">
      <c r="A157" s="5" t="s">
        <v>14</v>
      </c>
      <c r="B157" s="5" t="s">
        <v>372</v>
      </c>
      <c r="C157" s="5">
        <v>392658</v>
      </c>
      <c r="D157" s="6"/>
      <c r="E157" s="5" t="s">
        <v>16</v>
      </c>
      <c r="F157" s="5" t="s">
        <v>52</v>
      </c>
      <c r="G157" s="5" t="s">
        <v>34</v>
      </c>
      <c r="H157" s="7" t="s">
        <v>308</v>
      </c>
      <c r="I157" s="7" t="s">
        <v>290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1</v>
      </c>
      <c r="BD157" s="8">
        <v>3840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230.4</v>
      </c>
      <c r="BM157" s="10">
        <v>3840</v>
      </c>
      <c r="BN157" s="15">
        <f t="shared" si="4"/>
        <v>3609.6</v>
      </c>
      <c r="BO157" s="16">
        <f t="shared" si="5"/>
        <v>2526.7199999999998</v>
      </c>
    </row>
    <row r="158" spans="1:67" x14ac:dyDescent="0.4">
      <c r="A158" s="5" t="s">
        <v>14</v>
      </c>
      <c r="B158" s="5" t="s">
        <v>303</v>
      </c>
      <c r="C158" s="5">
        <v>385169</v>
      </c>
      <c r="D158" s="6"/>
      <c r="E158" s="5" t="s">
        <v>16</v>
      </c>
      <c r="F158" s="5" t="s">
        <v>207</v>
      </c>
      <c r="G158" s="5" t="s">
        <v>34</v>
      </c>
      <c r="H158" s="7" t="s">
        <v>8</v>
      </c>
      <c r="I158" s="7" t="s">
        <v>297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38</v>
      </c>
      <c r="AF158" s="7">
        <v>0</v>
      </c>
      <c r="AG158" s="8">
        <v>3800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10">
        <v>3800</v>
      </c>
      <c r="BN158" s="15">
        <f t="shared" si="4"/>
        <v>3800</v>
      </c>
      <c r="BO158" s="16">
        <f t="shared" si="5"/>
        <v>2660</v>
      </c>
    </row>
    <row r="159" spans="1:67" ht="19.2" x14ac:dyDescent="0.4">
      <c r="A159" s="5" t="s">
        <v>14</v>
      </c>
      <c r="B159" s="5" t="s">
        <v>488</v>
      </c>
      <c r="C159" s="5">
        <v>473533</v>
      </c>
      <c r="D159" s="6"/>
      <c r="E159" s="5" t="s">
        <v>16</v>
      </c>
      <c r="F159" s="5" t="s">
        <v>489</v>
      </c>
      <c r="G159" s="5" t="s">
        <v>10</v>
      </c>
      <c r="H159" s="7" t="s">
        <v>7</v>
      </c>
      <c r="I159" s="7" t="s">
        <v>456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37</v>
      </c>
      <c r="AF159" s="8">
        <v>3700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10">
        <v>3700</v>
      </c>
      <c r="BN159" s="15">
        <f t="shared" si="4"/>
        <v>3700</v>
      </c>
      <c r="BO159" s="16">
        <f t="shared" si="5"/>
        <v>2590</v>
      </c>
    </row>
    <row r="160" spans="1:67" x14ac:dyDescent="0.4">
      <c r="A160" s="5" t="s">
        <v>14</v>
      </c>
      <c r="B160" s="5" t="s">
        <v>395</v>
      </c>
      <c r="C160" s="5">
        <v>444215</v>
      </c>
      <c r="D160" s="6"/>
      <c r="E160" s="5" t="s">
        <v>16</v>
      </c>
      <c r="F160" s="5" t="s">
        <v>224</v>
      </c>
      <c r="G160" s="5" t="s">
        <v>34</v>
      </c>
      <c r="H160" s="7" t="s">
        <v>308</v>
      </c>
      <c r="I160" s="7" t="s">
        <v>396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1</v>
      </c>
      <c r="AF160" s="8">
        <v>3400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10">
        <v>3400</v>
      </c>
      <c r="BN160" s="15">
        <f t="shared" si="4"/>
        <v>3400</v>
      </c>
      <c r="BO160" s="16">
        <f t="shared" si="5"/>
        <v>2380</v>
      </c>
    </row>
    <row r="161" spans="1:67" x14ac:dyDescent="0.4">
      <c r="A161" s="5" t="s">
        <v>14</v>
      </c>
      <c r="B161" s="5" t="s">
        <v>490</v>
      </c>
      <c r="C161" s="5">
        <v>351726</v>
      </c>
      <c r="D161" s="6"/>
      <c r="E161" s="5" t="s">
        <v>16</v>
      </c>
      <c r="F161" s="5" t="s">
        <v>491</v>
      </c>
      <c r="G161" s="5" t="s">
        <v>10</v>
      </c>
      <c r="H161" s="7" t="s">
        <v>7</v>
      </c>
      <c r="I161" s="7" t="s">
        <v>492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4</v>
      </c>
      <c r="AF161" s="7">
        <v>400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25</v>
      </c>
      <c r="BD161" s="8">
        <v>3000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180</v>
      </c>
      <c r="BM161" s="10">
        <v>3400</v>
      </c>
      <c r="BN161" s="15">
        <f t="shared" si="4"/>
        <v>3220</v>
      </c>
      <c r="BO161" s="16">
        <f t="shared" si="5"/>
        <v>2254</v>
      </c>
    </row>
    <row r="162" spans="1:67" x14ac:dyDescent="0.4">
      <c r="A162" s="5" t="s">
        <v>14</v>
      </c>
      <c r="B162" s="5" t="s">
        <v>112</v>
      </c>
      <c r="C162" s="5">
        <v>422368</v>
      </c>
      <c r="D162" s="6"/>
      <c r="E162" s="5" t="s">
        <v>16</v>
      </c>
      <c r="F162" s="5" t="s">
        <v>113</v>
      </c>
      <c r="G162" s="5" t="s">
        <v>10</v>
      </c>
      <c r="H162" s="7" t="s">
        <v>7</v>
      </c>
      <c r="I162" s="7" t="s">
        <v>114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1</v>
      </c>
      <c r="AR162" s="8">
        <v>3200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10">
        <v>3200</v>
      </c>
      <c r="BN162" s="15">
        <f t="shared" si="4"/>
        <v>3200</v>
      </c>
      <c r="BO162" s="16">
        <f t="shared" si="5"/>
        <v>2240</v>
      </c>
    </row>
    <row r="163" spans="1:67" x14ac:dyDescent="0.4">
      <c r="A163" s="5" t="s">
        <v>14</v>
      </c>
      <c r="B163" s="5" t="s">
        <v>301</v>
      </c>
      <c r="C163" s="5">
        <v>391008</v>
      </c>
      <c r="D163" s="6"/>
      <c r="E163" s="5" t="s">
        <v>16</v>
      </c>
      <c r="F163" s="5" t="s">
        <v>125</v>
      </c>
      <c r="G163" s="5" t="s">
        <v>34</v>
      </c>
      <c r="H163" s="7" t="s">
        <v>8</v>
      </c>
      <c r="I163" s="7" t="s">
        <v>302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26</v>
      </c>
      <c r="BD163" s="8">
        <v>3120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187.2</v>
      </c>
      <c r="BM163" s="10">
        <v>3120</v>
      </c>
      <c r="BN163" s="15">
        <f t="shared" si="4"/>
        <v>2932.8</v>
      </c>
      <c r="BO163" s="16">
        <f t="shared" si="5"/>
        <v>2052.96</v>
      </c>
    </row>
    <row r="164" spans="1:67" x14ac:dyDescent="0.4">
      <c r="A164" s="5" t="s">
        <v>14</v>
      </c>
      <c r="B164" s="5" t="s">
        <v>328</v>
      </c>
      <c r="C164" s="5">
        <v>366144</v>
      </c>
      <c r="D164" s="6"/>
      <c r="E164" s="5" t="s">
        <v>16</v>
      </c>
      <c r="F164" s="5" t="s">
        <v>329</v>
      </c>
      <c r="G164" s="5" t="s">
        <v>34</v>
      </c>
      <c r="H164" s="7" t="s">
        <v>8</v>
      </c>
      <c r="I164" s="7" t="s">
        <v>330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8</v>
      </c>
      <c r="AF164" s="7">
        <v>700</v>
      </c>
      <c r="AG164" s="7">
        <v>200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18</v>
      </c>
      <c r="BD164" s="8">
        <v>2160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129.6</v>
      </c>
      <c r="BM164" s="10">
        <v>3060</v>
      </c>
      <c r="BN164" s="15">
        <f t="shared" si="4"/>
        <v>2930.4</v>
      </c>
      <c r="BO164" s="16">
        <f t="shared" si="5"/>
        <v>2051.2799999999997</v>
      </c>
    </row>
    <row r="165" spans="1:67" x14ac:dyDescent="0.4">
      <c r="A165" s="5" t="s">
        <v>14</v>
      </c>
      <c r="B165" s="5" t="s">
        <v>408</v>
      </c>
      <c r="C165" s="5">
        <v>426259</v>
      </c>
      <c r="D165" s="6"/>
      <c r="E165" s="5" t="s">
        <v>16</v>
      </c>
      <c r="F165" s="5" t="s">
        <v>130</v>
      </c>
      <c r="G165" s="5" t="s">
        <v>34</v>
      </c>
      <c r="H165" s="7" t="s">
        <v>308</v>
      </c>
      <c r="I165" s="7" t="s">
        <v>409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1</v>
      </c>
      <c r="AF165" s="8">
        <v>2800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10">
        <v>2800</v>
      </c>
      <c r="BN165" s="15">
        <f t="shared" si="4"/>
        <v>2800</v>
      </c>
      <c r="BO165" s="16">
        <f t="shared" si="5"/>
        <v>1959.9999999999998</v>
      </c>
    </row>
    <row r="166" spans="1:67" x14ac:dyDescent="0.4">
      <c r="A166" s="5" t="s">
        <v>14</v>
      </c>
      <c r="B166" s="5" t="s">
        <v>364</v>
      </c>
      <c r="C166" s="5">
        <v>321027</v>
      </c>
      <c r="D166" s="6"/>
      <c r="E166" s="5" t="s">
        <v>16</v>
      </c>
      <c r="F166" s="5" t="s">
        <v>365</v>
      </c>
      <c r="G166" s="5" t="s">
        <v>34</v>
      </c>
      <c r="H166" s="7" t="s">
        <v>7</v>
      </c>
      <c r="I166" s="7" t="s">
        <v>366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23</v>
      </c>
      <c r="AF166" s="7">
        <v>0</v>
      </c>
      <c r="AG166" s="8">
        <v>2300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10">
        <v>2300</v>
      </c>
      <c r="BN166" s="15">
        <f t="shared" si="4"/>
        <v>2300</v>
      </c>
      <c r="BO166" s="16">
        <f t="shared" si="5"/>
        <v>1610</v>
      </c>
    </row>
    <row r="167" spans="1:67" x14ac:dyDescent="0.4">
      <c r="A167" s="5" t="s">
        <v>14</v>
      </c>
      <c r="B167" s="5" t="s">
        <v>342</v>
      </c>
      <c r="C167" s="5">
        <v>388508</v>
      </c>
      <c r="D167" s="6"/>
      <c r="E167" s="5" t="s">
        <v>16</v>
      </c>
      <c r="F167" s="5" t="s">
        <v>343</v>
      </c>
      <c r="G167" s="5" t="s">
        <v>457</v>
      </c>
      <c r="H167" s="7" t="s">
        <v>7</v>
      </c>
      <c r="I167" s="7" t="s">
        <v>344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20</v>
      </c>
      <c r="AF167" s="8">
        <v>2080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10">
        <v>2080</v>
      </c>
      <c r="BN167" s="15">
        <f t="shared" si="4"/>
        <v>2080</v>
      </c>
      <c r="BO167" s="16">
        <f t="shared" si="5"/>
        <v>1456</v>
      </c>
    </row>
    <row r="168" spans="1:67" x14ac:dyDescent="0.4">
      <c r="A168" s="5" t="s">
        <v>14</v>
      </c>
      <c r="B168" s="5" t="s">
        <v>493</v>
      </c>
      <c r="C168" s="5">
        <v>467498</v>
      </c>
      <c r="D168" s="6"/>
      <c r="E168" s="5" t="s">
        <v>16</v>
      </c>
      <c r="F168" s="5" t="s">
        <v>312</v>
      </c>
      <c r="G168" s="5" t="s">
        <v>34</v>
      </c>
      <c r="H168" s="7" t="s">
        <v>8</v>
      </c>
      <c r="I168" s="7" t="s">
        <v>21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1</v>
      </c>
      <c r="AF168" s="7">
        <v>0</v>
      </c>
      <c r="AG168" s="8">
        <v>1800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10">
        <v>1800</v>
      </c>
      <c r="BN168" s="15">
        <f t="shared" si="4"/>
        <v>1800</v>
      </c>
      <c r="BO168" s="16">
        <f t="shared" si="5"/>
        <v>1260</v>
      </c>
    </row>
    <row r="169" spans="1:67" x14ac:dyDescent="0.4">
      <c r="A169" s="5" t="s">
        <v>14</v>
      </c>
      <c r="B169" s="5" t="s">
        <v>348</v>
      </c>
      <c r="C169" s="5">
        <v>463949</v>
      </c>
      <c r="D169" s="6"/>
      <c r="E169" s="5" t="s">
        <v>16</v>
      </c>
      <c r="F169" s="5" t="s">
        <v>349</v>
      </c>
      <c r="G169" s="5" t="s">
        <v>10</v>
      </c>
      <c r="H169" s="7" t="s">
        <v>7</v>
      </c>
      <c r="I169" s="7" t="s">
        <v>56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4</v>
      </c>
      <c r="AF169" s="7">
        <v>300</v>
      </c>
      <c r="AG169" s="7">
        <v>100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10</v>
      </c>
      <c r="BD169" s="8">
        <v>1200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72</v>
      </c>
      <c r="BM169" s="10">
        <v>1600</v>
      </c>
      <c r="BN169" s="15">
        <f t="shared" si="4"/>
        <v>1528</v>
      </c>
      <c r="BO169" s="16">
        <f t="shared" si="5"/>
        <v>1069.5999999999999</v>
      </c>
    </row>
    <row r="170" spans="1:67" x14ac:dyDescent="0.4">
      <c r="A170" s="5" t="s">
        <v>14</v>
      </c>
      <c r="B170" s="5" t="s">
        <v>494</v>
      </c>
      <c r="C170" s="5">
        <v>428374</v>
      </c>
      <c r="D170" s="6"/>
      <c r="E170" s="5" t="s">
        <v>16</v>
      </c>
      <c r="F170" s="5" t="s">
        <v>495</v>
      </c>
      <c r="G170" s="5" t="s">
        <v>457</v>
      </c>
      <c r="H170" s="7" t="s">
        <v>7</v>
      </c>
      <c r="I170" s="7" t="s">
        <v>109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13</v>
      </c>
      <c r="BD170" s="8">
        <v>1560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93.6</v>
      </c>
      <c r="BM170" s="10">
        <v>1560</v>
      </c>
      <c r="BN170" s="15">
        <f t="shared" si="4"/>
        <v>1466.4</v>
      </c>
      <c r="BO170" s="16">
        <f t="shared" si="5"/>
        <v>1026.48</v>
      </c>
    </row>
    <row r="171" spans="1:67" x14ac:dyDescent="0.4">
      <c r="A171" s="5" t="s">
        <v>14</v>
      </c>
      <c r="B171" s="5" t="s">
        <v>309</v>
      </c>
      <c r="C171" s="5">
        <v>382325</v>
      </c>
      <c r="D171" s="6"/>
      <c r="E171" s="5" t="s">
        <v>16</v>
      </c>
      <c r="F171" s="5" t="s">
        <v>33</v>
      </c>
      <c r="G171" s="5" t="s">
        <v>34</v>
      </c>
      <c r="H171" s="7" t="s">
        <v>8</v>
      </c>
      <c r="I171" s="7" t="s">
        <v>310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7</v>
      </c>
      <c r="AR171" s="7">
        <v>700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4</v>
      </c>
      <c r="BD171" s="7">
        <v>480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28.8</v>
      </c>
      <c r="BM171" s="10">
        <v>1180</v>
      </c>
      <c r="BN171" s="15">
        <f t="shared" si="4"/>
        <v>1151.2</v>
      </c>
      <c r="BO171" s="16">
        <f t="shared" si="5"/>
        <v>805.84</v>
      </c>
    </row>
    <row r="172" spans="1:67" x14ac:dyDescent="0.4">
      <c r="A172" s="5" t="s">
        <v>14</v>
      </c>
      <c r="B172" s="5" t="s">
        <v>350</v>
      </c>
      <c r="C172" s="5">
        <v>408191</v>
      </c>
      <c r="D172" s="6"/>
      <c r="E172" s="5" t="s">
        <v>16</v>
      </c>
      <c r="F172" s="5" t="s">
        <v>130</v>
      </c>
      <c r="G172" s="5" t="s">
        <v>34</v>
      </c>
      <c r="H172" s="7" t="s">
        <v>8</v>
      </c>
      <c r="I172" s="7" t="s">
        <v>232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9</v>
      </c>
      <c r="BD172" s="8">
        <v>1080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64.8</v>
      </c>
      <c r="BM172" s="10">
        <v>1080</v>
      </c>
      <c r="BN172" s="15">
        <f t="shared" si="4"/>
        <v>1015.2</v>
      </c>
      <c r="BO172" s="16">
        <f t="shared" si="5"/>
        <v>710.64</v>
      </c>
    </row>
    <row r="173" spans="1:67" x14ac:dyDescent="0.4">
      <c r="A173" s="5" t="s">
        <v>14</v>
      </c>
      <c r="B173" s="5" t="s">
        <v>333</v>
      </c>
      <c r="C173" s="5">
        <v>157002</v>
      </c>
      <c r="D173" s="6" t="s">
        <v>334</v>
      </c>
      <c r="E173" s="5" t="s">
        <v>16</v>
      </c>
      <c r="F173" s="5" t="s">
        <v>30</v>
      </c>
      <c r="G173" s="5" t="s">
        <v>10</v>
      </c>
      <c r="H173" s="7" t="s">
        <v>7</v>
      </c>
      <c r="I173" s="7" t="s">
        <v>335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7</v>
      </c>
      <c r="AF173" s="7">
        <v>0</v>
      </c>
      <c r="AG173" s="7">
        <v>700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11">
        <v>700</v>
      </c>
      <c r="BN173" s="15">
        <f t="shared" si="4"/>
        <v>700</v>
      </c>
      <c r="BO173" s="16">
        <f t="shared" si="5"/>
        <v>489.99999999999994</v>
      </c>
    </row>
    <row r="174" spans="1:67" x14ac:dyDescent="0.4">
      <c r="A174" s="5" t="s">
        <v>14</v>
      </c>
      <c r="B174" s="5" t="s">
        <v>331</v>
      </c>
      <c r="C174" s="5">
        <v>358202</v>
      </c>
      <c r="D174" s="6"/>
      <c r="E174" s="5" t="s">
        <v>16</v>
      </c>
      <c r="F174" s="5" t="s">
        <v>269</v>
      </c>
      <c r="G174" s="5" t="s">
        <v>34</v>
      </c>
      <c r="H174" s="7" t="s">
        <v>8</v>
      </c>
      <c r="I174" s="7" t="s">
        <v>332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7</v>
      </c>
      <c r="AR174" s="7">
        <v>700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11">
        <v>700</v>
      </c>
      <c r="BN174" s="15">
        <f t="shared" si="4"/>
        <v>700</v>
      </c>
      <c r="BO174" s="16">
        <f t="shared" si="5"/>
        <v>489.99999999999994</v>
      </c>
    </row>
    <row r="175" spans="1:67" x14ac:dyDescent="0.4">
      <c r="A175" s="5" t="s">
        <v>14</v>
      </c>
      <c r="B175" s="5" t="s">
        <v>413</v>
      </c>
      <c r="C175" s="5">
        <v>392578</v>
      </c>
      <c r="D175" s="6"/>
      <c r="E175" s="5" t="s">
        <v>16</v>
      </c>
      <c r="F175" s="5" t="s">
        <v>269</v>
      </c>
      <c r="G175" s="5" t="s">
        <v>34</v>
      </c>
      <c r="H175" s="7" t="s">
        <v>308</v>
      </c>
      <c r="I175" s="7" t="s">
        <v>389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5</v>
      </c>
      <c r="AF175" s="7">
        <v>0</v>
      </c>
      <c r="AG175" s="7">
        <v>500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11">
        <v>500</v>
      </c>
      <c r="BN175" s="15">
        <f t="shared" si="4"/>
        <v>500</v>
      </c>
      <c r="BO175" s="16">
        <f t="shared" si="5"/>
        <v>350</v>
      </c>
    </row>
    <row r="176" spans="1:67" x14ac:dyDescent="0.4">
      <c r="A176" s="5" t="s">
        <v>14</v>
      </c>
      <c r="B176" s="5" t="s">
        <v>206</v>
      </c>
      <c r="C176" s="5">
        <v>421661</v>
      </c>
      <c r="D176" s="6"/>
      <c r="E176" s="5" t="s">
        <v>16</v>
      </c>
      <c r="F176" s="5" t="s">
        <v>207</v>
      </c>
      <c r="G176" s="5" t="s">
        <v>34</v>
      </c>
      <c r="H176" s="7" t="s">
        <v>8</v>
      </c>
      <c r="I176" s="7" t="s">
        <v>208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4</v>
      </c>
      <c r="AF176" s="7">
        <v>0</v>
      </c>
      <c r="AG176" s="7">
        <v>400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11">
        <v>400</v>
      </c>
      <c r="BN176" s="15">
        <f t="shared" si="4"/>
        <v>400</v>
      </c>
      <c r="BO176" s="16">
        <f t="shared" si="5"/>
        <v>280</v>
      </c>
    </row>
    <row r="177" spans="1:67" x14ac:dyDescent="0.4">
      <c r="A177" s="5" t="s">
        <v>14</v>
      </c>
      <c r="B177" s="5" t="s">
        <v>271</v>
      </c>
      <c r="C177" s="5">
        <v>434847</v>
      </c>
      <c r="D177" s="6"/>
      <c r="E177" s="5" t="s">
        <v>16</v>
      </c>
      <c r="F177" s="5" t="s">
        <v>272</v>
      </c>
      <c r="G177" s="5" t="s">
        <v>10</v>
      </c>
      <c r="H177" s="7" t="s">
        <v>7</v>
      </c>
      <c r="I177" s="7" t="s">
        <v>273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3</v>
      </c>
      <c r="AF177" s="7">
        <v>0</v>
      </c>
      <c r="AG177" s="7">
        <v>300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11">
        <v>300</v>
      </c>
      <c r="BN177" s="15">
        <f t="shared" si="4"/>
        <v>300</v>
      </c>
      <c r="BO177" s="16">
        <f t="shared" si="5"/>
        <v>210</v>
      </c>
    </row>
    <row r="178" spans="1:67" x14ac:dyDescent="0.4">
      <c r="A178" s="5" t="s">
        <v>14</v>
      </c>
      <c r="B178" s="5" t="s">
        <v>356</v>
      </c>
      <c r="C178" s="5">
        <v>452403</v>
      </c>
      <c r="D178" s="6"/>
      <c r="E178" s="5" t="s">
        <v>16</v>
      </c>
      <c r="F178" s="5" t="s">
        <v>345</v>
      </c>
      <c r="G178" s="5" t="s">
        <v>34</v>
      </c>
      <c r="H178" s="7" t="s">
        <v>8</v>
      </c>
      <c r="I178" s="7" t="s">
        <v>357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2</v>
      </c>
      <c r="AF178" s="7">
        <v>240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11">
        <v>240</v>
      </c>
      <c r="BN178" s="15">
        <f t="shared" si="4"/>
        <v>240</v>
      </c>
      <c r="BO178" s="16">
        <f t="shared" si="5"/>
        <v>168</v>
      </c>
    </row>
    <row r="179" spans="1:67" x14ac:dyDescent="0.4">
      <c r="A179" s="5" t="s">
        <v>14</v>
      </c>
      <c r="B179" s="5" t="s">
        <v>355</v>
      </c>
      <c r="C179" s="5">
        <v>356294</v>
      </c>
      <c r="D179" s="6"/>
      <c r="E179" s="5" t="s">
        <v>16</v>
      </c>
      <c r="F179" s="5" t="s">
        <v>41</v>
      </c>
      <c r="G179" s="5" t="s">
        <v>34</v>
      </c>
      <c r="H179" s="7" t="s">
        <v>8</v>
      </c>
      <c r="I179" s="7" t="s">
        <v>205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1</v>
      </c>
      <c r="AF179" s="7">
        <v>100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1</v>
      </c>
      <c r="BD179" s="7">
        <v>120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7.2</v>
      </c>
      <c r="BM179" s="11">
        <v>220</v>
      </c>
      <c r="BN179" s="15">
        <f t="shared" si="4"/>
        <v>212.8</v>
      </c>
      <c r="BO179" s="16">
        <f t="shared" si="5"/>
        <v>148.96</v>
      </c>
    </row>
    <row r="180" spans="1:67" x14ac:dyDescent="0.4">
      <c r="A180" s="5" t="s">
        <v>14</v>
      </c>
      <c r="B180" s="5" t="s">
        <v>321</v>
      </c>
      <c r="C180" s="5">
        <v>440303</v>
      </c>
      <c r="D180" s="6"/>
      <c r="E180" s="5" t="s">
        <v>16</v>
      </c>
      <c r="F180" s="5" t="s">
        <v>322</v>
      </c>
      <c r="G180" s="5" t="s">
        <v>457</v>
      </c>
      <c r="H180" s="7" t="s">
        <v>7</v>
      </c>
      <c r="I180" s="7" t="s">
        <v>323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2</v>
      </c>
      <c r="AF180" s="7">
        <v>0</v>
      </c>
      <c r="AG180" s="7">
        <v>200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11">
        <v>200</v>
      </c>
      <c r="BN180" s="15">
        <f t="shared" si="4"/>
        <v>200</v>
      </c>
      <c r="BO180" s="16">
        <f t="shared" si="5"/>
        <v>140</v>
      </c>
    </row>
    <row r="181" spans="1:67" x14ac:dyDescent="0.4">
      <c r="A181" s="5" t="s">
        <v>14</v>
      </c>
      <c r="B181" s="5" t="s">
        <v>496</v>
      </c>
      <c r="C181" s="5">
        <v>451412</v>
      </c>
      <c r="D181" s="6"/>
      <c r="E181" s="5" t="s">
        <v>16</v>
      </c>
      <c r="F181" s="5" t="s">
        <v>497</v>
      </c>
      <c r="G181" s="5" t="s">
        <v>457</v>
      </c>
      <c r="H181" s="7" t="s">
        <v>8</v>
      </c>
      <c r="I181" s="7" t="s">
        <v>498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2</v>
      </c>
      <c r="AR181" s="7">
        <v>200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11">
        <v>200</v>
      </c>
      <c r="BN181" s="15">
        <f t="shared" si="4"/>
        <v>200</v>
      </c>
      <c r="BO181" s="16">
        <f t="shared" si="5"/>
        <v>140</v>
      </c>
    </row>
    <row r="182" spans="1:67" x14ac:dyDescent="0.4">
      <c r="A182" s="5" t="s">
        <v>14</v>
      </c>
      <c r="B182" s="5" t="s">
        <v>203</v>
      </c>
      <c r="C182" s="5">
        <v>332138</v>
      </c>
      <c r="D182" s="6"/>
      <c r="E182" s="5" t="s">
        <v>16</v>
      </c>
      <c r="F182" s="5" t="s">
        <v>204</v>
      </c>
      <c r="G182" s="5" t="s">
        <v>34</v>
      </c>
      <c r="H182" s="7" t="s">
        <v>9</v>
      </c>
      <c r="I182" s="7" t="s">
        <v>205</v>
      </c>
      <c r="J182" s="7">
        <v>2</v>
      </c>
      <c r="K182" s="7">
        <v>0</v>
      </c>
      <c r="L182" s="7">
        <v>200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11">
        <v>200</v>
      </c>
      <c r="BN182" s="15">
        <f t="shared" si="4"/>
        <v>200</v>
      </c>
      <c r="BO182" s="16">
        <f t="shared" si="5"/>
        <v>140</v>
      </c>
    </row>
    <row r="183" spans="1:67" x14ac:dyDescent="0.4">
      <c r="A183" s="5" t="s">
        <v>14</v>
      </c>
      <c r="B183" s="5" t="s">
        <v>167</v>
      </c>
      <c r="C183" s="5">
        <v>387822</v>
      </c>
      <c r="D183" s="6"/>
      <c r="E183" s="5" t="s">
        <v>16</v>
      </c>
      <c r="F183" s="5" t="s">
        <v>168</v>
      </c>
      <c r="G183" s="5" t="s">
        <v>34</v>
      </c>
      <c r="H183" s="7" t="s">
        <v>8</v>
      </c>
      <c r="I183" s="7" t="s">
        <v>169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1</v>
      </c>
      <c r="BD183" s="7">
        <v>120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7.2</v>
      </c>
      <c r="BM183" s="11">
        <v>120</v>
      </c>
      <c r="BN183" s="15">
        <f t="shared" si="4"/>
        <v>112.8</v>
      </c>
      <c r="BO183" s="16">
        <f t="shared" si="5"/>
        <v>78.959999999999994</v>
      </c>
    </row>
    <row r="184" spans="1:67" x14ac:dyDescent="0.4">
      <c r="A184" s="5" t="s">
        <v>14</v>
      </c>
      <c r="B184" s="5" t="s">
        <v>268</v>
      </c>
      <c r="C184" s="5">
        <v>407159</v>
      </c>
      <c r="D184" s="6"/>
      <c r="E184" s="5" t="s">
        <v>16</v>
      </c>
      <c r="F184" s="5" t="s">
        <v>269</v>
      </c>
      <c r="G184" s="5" t="s">
        <v>34</v>
      </c>
      <c r="H184" s="7" t="s">
        <v>8</v>
      </c>
      <c r="I184" s="7" t="s">
        <v>270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1</v>
      </c>
      <c r="BD184" s="7">
        <v>120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7.2</v>
      </c>
      <c r="BM184" s="11">
        <v>120</v>
      </c>
      <c r="BN184" s="15">
        <f t="shared" si="4"/>
        <v>112.8</v>
      </c>
      <c r="BO184" s="16">
        <f t="shared" si="5"/>
        <v>78.959999999999994</v>
      </c>
    </row>
    <row r="185" spans="1:67" x14ac:dyDescent="0.4">
      <c r="A185" s="5" t="s">
        <v>14</v>
      </c>
      <c r="B185" s="5" t="s">
        <v>499</v>
      </c>
      <c r="C185" s="5">
        <v>335995</v>
      </c>
      <c r="D185" s="6"/>
      <c r="E185" s="5" t="s">
        <v>16</v>
      </c>
      <c r="F185" s="5" t="s">
        <v>197</v>
      </c>
      <c r="G185" s="5" t="s">
        <v>10</v>
      </c>
      <c r="H185" s="7" t="s">
        <v>7</v>
      </c>
      <c r="I185" s="7" t="s">
        <v>500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1</v>
      </c>
      <c r="BD185" s="7">
        <v>120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7.2</v>
      </c>
      <c r="BM185" s="11">
        <v>120</v>
      </c>
      <c r="BN185" s="15">
        <f t="shared" si="4"/>
        <v>112.8</v>
      </c>
      <c r="BO185" s="16">
        <f t="shared" si="5"/>
        <v>78.959999999999994</v>
      </c>
    </row>
    <row r="186" spans="1:67" ht="19.2" x14ac:dyDescent="0.4">
      <c r="A186" s="5" t="s">
        <v>525</v>
      </c>
      <c r="B186" s="5" t="s">
        <v>15</v>
      </c>
      <c r="C186" s="5">
        <v>465248</v>
      </c>
      <c r="D186" s="6"/>
      <c r="E186" s="5" t="s">
        <v>16</v>
      </c>
      <c r="F186" s="5" t="s">
        <v>17</v>
      </c>
      <c r="G186" s="5" t="s">
        <v>457</v>
      </c>
      <c r="H186" s="7" t="s">
        <v>9</v>
      </c>
      <c r="I186" s="7" t="s">
        <v>18</v>
      </c>
      <c r="J186" s="7">
        <v>143</v>
      </c>
      <c r="K186" s="8">
        <v>31001</v>
      </c>
      <c r="L186" s="8">
        <v>14300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8">
        <v>18534</v>
      </c>
      <c r="AF186" s="8">
        <v>1223340</v>
      </c>
      <c r="AG186" s="8">
        <v>768400</v>
      </c>
      <c r="AH186" s="7">
        <v>0</v>
      </c>
      <c r="AI186" s="7">
        <v>0</v>
      </c>
      <c r="AJ186" s="7">
        <v>0</v>
      </c>
      <c r="AK186" s="7">
        <v>112</v>
      </c>
      <c r="AL186" s="8">
        <v>1699</v>
      </c>
      <c r="AM186" s="8">
        <v>9900</v>
      </c>
      <c r="AN186" s="7">
        <v>0</v>
      </c>
      <c r="AO186" s="7">
        <v>0</v>
      </c>
      <c r="AP186" s="7">
        <v>0</v>
      </c>
      <c r="AQ186" s="8">
        <v>2218</v>
      </c>
      <c r="AR186" s="8">
        <v>217900</v>
      </c>
      <c r="AS186" s="8">
        <v>3900</v>
      </c>
      <c r="AT186" s="7">
        <v>0</v>
      </c>
      <c r="AU186" s="7">
        <v>0</v>
      </c>
      <c r="AV186" s="7">
        <v>0</v>
      </c>
      <c r="AW186" s="7">
        <v>2</v>
      </c>
      <c r="AX186" s="7">
        <v>240</v>
      </c>
      <c r="AY186" s="7">
        <v>0</v>
      </c>
      <c r="AZ186" s="7">
        <v>0</v>
      </c>
      <c r="BA186" s="7">
        <v>0</v>
      </c>
      <c r="BB186" s="7">
        <v>0</v>
      </c>
      <c r="BC186" s="7">
        <v>20</v>
      </c>
      <c r="BD186" s="8">
        <v>2400</v>
      </c>
      <c r="BE186" s="7">
        <v>0</v>
      </c>
      <c r="BF186" s="7">
        <v>0</v>
      </c>
      <c r="BG186" s="7">
        <v>0</v>
      </c>
      <c r="BH186" s="7">
        <v>0</v>
      </c>
      <c r="BI186" s="8">
        <v>3165</v>
      </c>
      <c r="BJ186" s="8">
        <v>375720</v>
      </c>
      <c r="BK186" s="8">
        <v>3400</v>
      </c>
      <c r="BL186" s="9">
        <v>19463.7</v>
      </c>
      <c r="BM186" s="10">
        <v>2621199</v>
      </c>
      <c r="BN186" s="15">
        <f t="shared" ref="BN186:BN249" si="6">BM186-BL186</f>
        <v>2601735.2999999998</v>
      </c>
      <c r="BO186" s="16">
        <f t="shared" ref="BO186:BO249" si="7">BN186*70%</f>
        <v>1821214.7099999997</v>
      </c>
    </row>
    <row r="187" spans="1:67" ht="19.2" x14ac:dyDescent="0.4">
      <c r="A187" s="5" t="s">
        <v>525</v>
      </c>
      <c r="B187" s="5" t="s">
        <v>421</v>
      </c>
      <c r="C187" s="5">
        <v>472512</v>
      </c>
      <c r="D187" s="6"/>
      <c r="E187" s="5" t="s">
        <v>16</v>
      </c>
      <c r="F187" s="5" t="s">
        <v>39</v>
      </c>
      <c r="G187" s="5" t="s">
        <v>10</v>
      </c>
      <c r="H187" s="7" t="s">
        <v>7</v>
      </c>
      <c r="I187" s="7" t="s">
        <v>456</v>
      </c>
      <c r="J187" s="7">
        <v>4</v>
      </c>
      <c r="K187" s="8">
        <v>6714</v>
      </c>
      <c r="L187" s="7">
        <v>400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217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8">
        <v>12414</v>
      </c>
      <c r="AF187" s="8">
        <v>1076800</v>
      </c>
      <c r="AG187" s="8">
        <v>305800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8">
        <v>3502</v>
      </c>
      <c r="AR187" s="8">
        <v>337200</v>
      </c>
      <c r="AS187" s="8">
        <v>13000</v>
      </c>
      <c r="AT187" s="7">
        <v>0</v>
      </c>
      <c r="AU187" s="7">
        <v>0</v>
      </c>
      <c r="AV187" s="7">
        <v>0</v>
      </c>
      <c r="AW187" s="7">
        <v>22</v>
      </c>
      <c r="AX187" s="8">
        <v>2640</v>
      </c>
      <c r="AY187" s="7">
        <v>0</v>
      </c>
      <c r="AZ187" s="7">
        <v>0</v>
      </c>
      <c r="BA187" s="7">
        <v>0</v>
      </c>
      <c r="BB187" s="7">
        <v>0</v>
      </c>
      <c r="BC187" s="7">
        <v>172</v>
      </c>
      <c r="BD187" s="8">
        <v>20640</v>
      </c>
      <c r="BE187" s="7">
        <v>0</v>
      </c>
      <c r="BF187" s="7">
        <v>0</v>
      </c>
      <c r="BG187" s="7">
        <v>0</v>
      </c>
      <c r="BH187" s="7">
        <v>0</v>
      </c>
      <c r="BI187" s="8">
        <v>2110</v>
      </c>
      <c r="BJ187" s="8">
        <v>252120</v>
      </c>
      <c r="BK187" s="7">
        <v>900</v>
      </c>
      <c r="BL187" s="9">
        <v>14108.4</v>
      </c>
      <c r="BM187" s="10">
        <v>2009500</v>
      </c>
      <c r="BN187" s="15">
        <f t="shared" si="6"/>
        <v>1995391.6</v>
      </c>
      <c r="BO187" s="16">
        <f t="shared" si="7"/>
        <v>1396774.1199999999</v>
      </c>
    </row>
    <row r="188" spans="1:67" ht="19.2" x14ac:dyDescent="0.4">
      <c r="A188" s="5" t="s">
        <v>525</v>
      </c>
      <c r="B188" s="5" t="s">
        <v>132</v>
      </c>
      <c r="C188" s="5">
        <v>359912</v>
      </c>
      <c r="D188" s="6"/>
      <c r="E188" s="5" t="s">
        <v>16</v>
      </c>
      <c r="F188" s="5" t="s">
        <v>133</v>
      </c>
      <c r="G188" s="5" t="s">
        <v>34</v>
      </c>
      <c r="H188" s="7" t="s">
        <v>8</v>
      </c>
      <c r="I188" s="7" t="s">
        <v>422</v>
      </c>
      <c r="J188" s="7">
        <v>0</v>
      </c>
      <c r="K188" s="8">
        <v>27646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33</v>
      </c>
      <c r="T188" s="7">
        <v>549</v>
      </c>
      <c r="U188" s="8">
        <v>2000</v>
      </c>
      <c r="V188" s="7">
        <v>0</v>
      </c>
      <c r="W188" s="8">
        <v>1300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8">
        <v>3321</v>
      </c>
      <c r="AF188" s="8">
        <v>214520</v>
      </c>
      <c r="AG188" s="8">
        <v>146000</v>
      </c>
      <c r="AH188" s="7">
        <v>0</v>
      </c>
      <c r="AI188" s="7">
        <v>0</v>
      </c>
      <c r="AJ188" s="7">
        <v>0</v>
      </c>
      <c r="AK188" s="7">
        <v>6</v>
      </c>
      <c r="AL188" s="7">
        <v>0</v>
      </c>
      <c r="AM188" s="7">
        <v>600</v>
      </c>
      <c r="AN188" s="7">
        <v>0</v>
      </c>
      <c r="AO188" s="7">
        <v>0</v>
      </c>
      <c r="AP188" s="7">
        <v>0</v>
      </c>
      <c r="AQ188" s="7">
        <v>585</v>
      </c>
      <c r="AR188" s="8">
        <v>56400</v>
      </c>
      <c r="AS188" s="8">
        <v>2100</v>
      </c>
      <c r="AT188" s="7">
        <v>0</v>
      </c>
      <c r="AU188" s="7">
        <v>0</v>
      </c>
      <c r="AV188" s="7">
        <v>0</v>
      </c>
      <c r="AW188" s="7">
        <v>29</v>
      </c>
      <c r="AX188" s="8">
        <v>3480</v>
      </c>
      <c r="AY188" s="7">
        <v>0</v>
      </c>
      <c r="AZ188" s="7">
        <v>0</v>
      </c>
      <c r="BA188" s="7">
        <v>0</v>
      </c>
      <c r="BB188" s="7">
        <v>0</v>
      </c>
      <c r="BC188" s="7">
        <v>20</v>
      </c>
      <c r="BD188" s="8">
        <v>2400</v>
      </c>
      <c r="BE188" s="7">
        <v>0</v>
      </c>
      <c r="BF188" s="7">
        <v>0</v>
      </c>
      <c r="BG188" s="7">
        <v>0</v>
      </c>
      <c r="BH188" s="7">
        <v>0</v>
      </c>
      <c r="BI188" s="7">
        <v>726</v>
      </c>
      <c r="BJ188" s="8">
        <v>86400</v>
      </c>
      <c r="BK188" s="7">
        <v>600</v>
      </c>
      <c r="BL188" s="9">
        <v>4812</v>
      </c>
      <c r="BM188" s="10">
        <v>515800</v>
      </c>
      <c r="BN188" s="15">
        <f t="shared" si="6"/>
        <v>510988</v>
      </c>
      <c r="BO188" s="16">
        <f t="shared" si="7"/>
        <v>357691.6</v>
      </c>
    </row>
    <row r="189" spans="1:67" ht="19.2" x14ac:dyDescent="0.4">
      <c r="A189" s="5" t="s">
        <v>525</v>
      </c>
      <c r="B189" s="5" t="s">
        <v>459</v>
      </c>
      <c r="C189" s="5">
        <v>476035</v>
      </c>
      <c r="D189" s="6"/>
      <c r="E189" s="5" t="s">
        <v>16</v>
      </c>
      <c r="F189" s="5" t="s">
        <v>460</v>
      </c>
      <c r="G189" s="5" t="s">
        <v>457</v>
      </c>
      <c r="H189" s="7" t="s">
        <v>9</v>
      </c>
      <c r="I189" s="7" t="s">
        <v>461</v>
      </c>
      <c r="J189" s="7">
        <v>0</v>
      </c>
      <c r="K189" s="8">
        <v>2841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8">
        <v>2064</v>
      </c>
      <c r="AF189" s="8">
        <v>163520</v>
      </c>
      <c r="AG189" s="8">
        <v>64600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726</v>
      </c>
      <c r="AR189" s="8">
        <v>71500</v>
      </c>
      <c r="AS189" s="8">
        <v>1100</v>
      </c>
      <c r="AT189" s="7">
        <v>0</v>
      </c>
      <c r="AU189" s="7">
        <v>0</v>
      </c>
      <c r="AV189" s="7">
        <v>0</v>
      </c>
      <c r="AW189" s="7">
        <v>56</v>
      </c>
      <c r="AX189" s="8">
        <v>6720</v>
      </c>
      <c r="AY189" s="7">
        <v>0</v>
      </c>
      <c r="AZ189" s="7">
        <v>0</v>
      </c>
      <c r="BA189" s="7">
        <v>0</v>
      </c>
      <c r="BB189" s="7">
        <v>0</v>
      </c>
      <c r="BC189" s="7">
        <v>102</v>
      </c>
      <c r="BD189" s="8">
        <v>12240</v>
      </c>
      <c r="BE189" s="7">
        <v>0</v>
      </c>
      <c r="BF189" s="7">
        <v>0</v>
      </c>
      <c r="BG189" s="7">
        <v>0</v>
      </c>
      <c r="BH189" s="7">
        <v>0</v>
      </c>
      <c r="BI189" s="7">
        <v>766</v>
      </c>
      <c r="BJ189" s="8">
        <v>89880</v>
      </c>
      <c r="BK189" s="8">
        <v>1700</v>
      </c>
      <c r="BL189" s="9">
        <v>5900.4</v>
      </c>
      <c r="BM189" s="10">
        <v>411260</v>
      </c>
      <c r="BN189" s="15">
        <f t="shared" si="6"/>
        <v>405359.6</v>
      </c>
      <c r="BO189" s="16">
        <f t="shared" si="7"/>
        <v>283751.71999999997</v>
      </c>
    </row>
    <row r="190" spans="1:67" ht="19.2" x14ac:dyDescent="0.4">
      <c r="A190" s="5" t="s">
        <v>525</v>
      </c>
      <c r="B190" s="5" t="s">
        <v>38</v>
      </c>
      <c r="C190" s="5">
        <v>454534</v>
      </c>
      <c r="D190" s="6"/>
      <c r="E190" s="5" t="s">
        <v>16</v>
      </c>
      <c r="F190" s="5" t="s">
        <v>39</v>
      </c>
      <c r="G190" s="5" t="s">
        <v>10</v>
      </c>
      <c r="H190" s="7" t="s">
        <v>7</v>
      </c>
      <c r="I190" s="7" t="s">
        <v>458</v>
      </c>
      <c r="J190" s="7">
        <v>0</v>
      </c>
      <c r="K190" s="8">
        <v>2170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29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8">
        <v>1095</v>
      </c>
      <c r="AF190" s="8">
        <v>72940</v>
      </c>
      <c r="AG190" s="8">
        <v>44200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529</v>
      </c>
      <c r="AR190" s="8">
        <v>52700</v>
      </c>
      <c r="AS190" s="7">
        <v>200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116</v>
      </c>
      <c r="BD190" s="8">
        <v>13920</v>
      </c>
      <c r="BE190" s="7">
        <v>0</v>
      </c>
      <c r="BF190" s="7">
        <v>0</v>
      </c>
      <c r="BG190" s="7">
        <v>0</v>
      </c>
      <c r="BH190" s="7">
        <v>0</v>
      </c>
      <c r="BI190" s="7">
        <v>558</v>
      </c>
      <c r="BJ190" s="8">
        <v>66720</v>
      </c>
      <c r="BK190" s="7">
        <v>200</v>
      </c>
      <c r="BL190" s="9">
        <v>4171.2</v>
      </c>
      <c r="BM190" s="10">
        <v>250880</v>
      </c>
      <c r="BN190" s="15">
        <f t="shared" si="6"/>
        <v>246708.8</v>
      </c>
      <c r="BO190" s="16">
        <f t="shared" si="7"/>
        <v>172696.15999999997</v>
      </c>
    </row>
    <row r="191" spans="1:67" ht="19.2" x14ac:dyDescent="0.4">
      <c r="A191" s="5" t="s">
        <v>525</v>
      </c>
      <c r="B191" s="5" t="s">
        <v>19</v>
      </c>
      <c r="C191" s="5">
        <v>463799</v>
      </c>
      <c r="D191" s="6"/>
      <c r="E191" s="5" t="s">
        <v>16</v>
      </c>
      <c r="F191" s="5" t="s">
        <v>20</v>
      </c>
      <c r="G191" s="5" t="s">
        <v>10</v>
      </c>
      <c r="H191" s="7" t="s">
        <v>7</v>
      </c>
      <c r="I191" s="7" t="s">
        <v>21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116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211</v>
      </c>
      <c r="AF191" s="8">
        <v>25320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26</v>
      </c>
      <c r="AR191" s="8">
        <v>2400</v>
      </c>
      <c r="AS191" s="7">
        <v>200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8">
        <v>1385</v>
      </c>
      <c r="BJ191" s="8">
        <v>166200</v>
      </c>
      <c r="BK191" s="7">
        <v>0</v>
      </c>
      <c r="BL191" s="9">
        <v>8310</v>
      </c>
      <c r="BM191" s="10">
        <v>194120</v>
      </c>
      <c r="BN191" s="15">
        <f t="shared" si="6"/>
        <v>185810</v>
      </c>
      <c r="BO191" s="16">
        <f t="shared" si="7"/>
        <v>130066.99999999999</v>
      </c>
    </row>
    <row r="192" spans="1:67" ht="19.2" x14ac:dyDescent="0.4">
      <c r="A192" s="5" t="s">
        <v>525</v>
      </c>
      <c r="B192" s="5" t="s">
        <v>36</v>
      </c>
      <c r="C192" s="5">
        <v>178856</v>
      </c>
      <c r="D192" s="6"/>
      <c r="E192" s="5" t="s">
        <v>16</v>
      </c>
      <c r="F192" s="5" t="s">
        <v>30</v>
      </c>
      <c r="G192" s="5" t="s">
        <v>10</v>
      </c>
      <c r="H192" s="7" t="s">
        <v>9</v>
      </c>
      <c r="I192" s="7" t="s">
        <v>37</v>
      </c>
      <c r="J192" s="7">
        <v>0</v>
      </c>
      <c r="K192" s="7">
        <v>6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365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8">
        <v>1350</v>
      </c>
      <c r="AF192" s="8">
        <v>97360</v>
      </c>
      <c r="AG192" s="8">
        <v>53700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11</v>
      </c>
      <c r="AR192" s="8">
        <v>1100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168</v>
      </c>
      <c r="BD192" s="8">
        <v>20160</v>
      </c>
      <c r="BE192" s="7">
        <v>0</v>
      </c>
      <c r="BF192" s="7">
        <v>0</v>
      </c>
      <c r="BG192" s="7">
        <v>0</v>
      </c>
      <c r="BH192" s="7">
        <v>0</v>
      </c>
      <c r="BI192" s="7">
        <v>135</v>
      </c>
      <c r="BJ192" s="8">
        <v>16200</v>
      </c>
      <c r="BK192" s="7">
        <v>0</v>
      </c>
      <c r="BL192" s="9">
        <v>2019.6</v>
      </c>
      <c r="BM192" s="10">
        <v>188520</v>
      </c>
      <c r="BN192" s="15">
        <f t="shared" si="6"/>
        <v>186500.4</v>
      </c>
      <c r="BO192" s="16">
        <f t="shared" si="7"/>
        <v>130550.27999999998</v>
      </c>
    </row>
    <row r="193" spans="1:67" ht="19.2" x14ac:dyDescent="0.4">
      <c r="A193" s="5" t="s">
        <v>525</v>
      </c>
      <c r="B193" s="5" t="s">
        <v>29</v>
      </c>
      <c r="C193" s="5">
        <v>369220</v>
      </c>
      <c r="D193" s="6"/>
      <c r="E193" s="5" t="s">
        <v>16</v>
      </c>
      <c r="F193" s="5" t="s">
        <v>30</v>
      </c>
      <c r="G193" s="5" t="s">
        <v>10</v>
      </c>
      <c r="H193" s="7" t="s">
        <v>7</v>
      </c>
      <c r="I193" s="7" t="s">
        <v>31</v>
      </c>
      <c r="J193" s="7">
        <v>3</v>
      </c>
      <c r="K193" s="7">
        <v>5</v>
      </c>
      <c r="L193" s="7">
        <v>300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3</v>
      </c>
      <c r="T193" s="7">
        <v>60</v>
      </c>
      <c r="U193" s="7">
        <v>0</v>
      </c>
      <c r="V193" s="7">
        <v>300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886</v>
      </c>
      <c r="AF193" s="8">
        <v>48640</v>
      </c>
      <c r="AG193" s="8">
        <v>40100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32</v>
      </c>
      <c r="AR193" s="8">
        <v>3200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1</v>
      </c>
      <c r="BD193" s="7">
        <v>120</v>
      </c>
      <c r="BE193" s="7">
        <v>0</v>
      </c>
      <c r="BF193" s="7">
        <v>0</v>
      </c>
      <c r="BG193" s="7">
        <v>0</v>
      </c>
      <c r="BH193" s="7">
        <v>0</v>
      </c>
      <c r="BI193" s="7">
        <v>529</v>
      </c>
      <c r="BJ193" s="8">
        <v>62880</v>
      </c>
      <c r="BK193" s="7">
        <v>500</v>
      </c>
      <c r="BL193" s="9">
        <v>3151.2</v>
      </c>
      <c r="BM193" s="10">
        <v>156040</v>
      </c>
      <c r="BN193" s="15">
        <f t="shared" si="6"/>
        <v>152888.79999999999</v>
      </c>
      <c r="BO193" s="16">
        <f t="shared" si="7"/>
        <v>107022.15999999999</v>
      </c>
    </row>
    <row r="194" spans="1:67" ht="19.2" x14ac:dyDescent="0.4">
      <c r="A194" s="5" t="s">
        <v>525</v>
      </c>
      <c r="B194" s="5" t="s">
        <v>28</v>
      </c>
      <c r="C194" s="5">
        <v>414278</v>
      </c>
      <c r="D194" s="6"/>
      <c r="E194" s="5" t="s">
        <v>16</v>
      </c>
      <c r="F194" s="5" t="s">
        <v>11</v>
      </c>
      <c r="G194" s="5" t="s">
        <v>10</v>
      </c>
      <c r="H194" s="7" t="s">
        <v>8</v>
      </c>
      <c r="I194" s="7" t="s">
        <v>461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34</v>
      </c>
      <c r="AF194" s="8">
        <v>92780</v>
      </c>
      <c r="AG194" s="8">
        <v>30800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2</v>
      </c>
      <c r="AX194" s="8">
        <v>7680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1</v>
      </c>
      <c r="BJ194" s="8">
        <v>3840</v>
      </c>
      <c r="BK194" s="7">
        <v>0</v>
      </c>
      <c r="BL194" s="7">
        <v>960</v>
      </c>
      <c r="BM194" s="10">
        <v>135100</v>
      </c>
      <c r="BN194" s="15">
        <f t="shared" si="6"/>
        <v>134140</v>
      </c>
      <c r="BO194" s="16">
        <f t="shared" si="7"/>
        <v>93898</v>
      </c>
    </row>
    <row r="195" spans="1:67" ht="19.2" x14ac:dyDescent="0.4">
      <c r="A195" s="5" t="s">
        <v>525</v>
      </c>
      <c r="B195" s="5" t="s">
        <v>372</v>
      </c>
      <c r="C195" s="5">
        <v>392658</v>
      </c>
      <c r="D195" s="6"/>
      <c r="E195" s="5" t="s">
        <v>16</v>
      </c>
      <c r="F195" s="5" t="s">
        <v>52</v>
      </c>
      <c r="G195" s="5" t="s">
        <v>34</v>
      </c>
      <c r="H195" s="7" t="s">
        <v>308</v>
      </c>
      <c r="I195" s="7" t="s">
        <v>290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12</v>
      </c>
      <c r="AC195" s="8">
        <v>20400</v>
      </c>
      <c r="AD195" s="8">
        <v>7600</v>
      </c>
      <c r="AE195" s="7">
        <v>14</v>
      </c>
      <c r="AF195" s="8">
        <v>39120</v>
      </c>
      <c r="AG195" s="8">
        <v>10600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9</v>
      </c>
      <c r="AO195" s="8">
        <v>19800</v>
      </c>
      <c r="AP195" s="7">
        <v>600</v>
      </c>
      <c r="AQ195" s="7">
        <v>3</v>
      </c>
      <c r="AR195" s="8">
        <v>8700</v>
      </c>
      <c r="AS195" s="7">
        <v>900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1</v>
      </c>
      <c r="BA195" s="8">
        <v>3000</v>
      </c>
      <c r="BB195" s="7">
        <v>0</v>
      </c>
      <c r="BC195" s="7">
        <v>0</v>
      </c>
      <c r="BD195" s="7">
        <v>0</v>
      </c>
      <c r="BE195" s="7">
        <v>0</v>
      </c>
      <c r="BF195" s="7">
        <v>3</v>
      </c>
      <c r="BG195" s="8">
        <v>9000</v>
      </c>
      <c r="BH195" s="7">
        <v>0</v>
      </c>
      <c r="BI195" s="7">
        <v>0</v>
      </c>
      <c r="BJ195" s="7">
        <v>0</v>
      </c>
      <c r="BK195" s="7">
        <v>0</v>
      </c>
      <c r="BL195" s="7">
        <v>630</v>
      </c>
      <c r="BM195" s="10">
        <v>119720</v>
      </c>
      <c r="BN195" s="15">
        <f t="shared" si="6"/>
        <v>119090</v>
      </c>
      <c r="BO195" s="16">
        <f t="shared" si="7"/>
        <v>83363</v>
      </c>
    </row>
    <row r="196" spans="1:67" ht="19.2" x14ac:dyDescent="0.4">
      <c r="A196" s="5" t="s">
        <v>525</v>
      </c>
      <c r="B196" s="5" t="s">
        <v>462</v>
      </c>
      <c r="C196" s="5">
        <v>476783</v>
      </c>
      <c r="D196" s="6"/>
      <c r="E196" s="5" t="s">
        <v>16</v>
      </c>
      <c r="F196" s="5" t="s">
        <v>463</v>
      </c>
      <c r="G196" s="5" t="s">
        <v>34</v>
      </c>
      <c r="H196" s="7" t="s">
        <v>8</v>
      </c>
      <c r="I196" s="7" t="s">
        <v>464</v>
      </c>
      <c r="J196" s="7">
        <v>0</v>
      </c>
      <c r="K196" s="7">
        <v>663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566</v>
      </c>
      <c r="AF196" s="8">
        <v>39900</v>
      </c>
      <c r="AG196" s="8">
        <v>20000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155</v>
      </c>
      <c r="AR196" s="8">
        <v>14900</v>
      </c>
      <c r="AS196" s="7">
        <v>600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23</v>
      </c>
      <c r="BD196" s="8">
        <v>2760</v>
      </c>
      <c r="BE196" s="7">
        <v>0</v>
      </c>
      <c r="BF196" s="7">
        <v>0</v>
      </c>
      <c r="BG196" s="7">
        <v>0</v>
      </c>
      <c r="BH196" s="7">
        <v>0</v>
      </c>
      <c r="BI196" s="7">
        <v>155</v>
      </c>
      <c r="BJ196" s="8">
        <v>18600</v>
      </c>
      <c r="BK196" s="7">
        <v>0</v>
      </c>
      <c r="BL196" s="9">
        <v>1095.5999999999999</v>
      </c>
      <c r="BM196" s="10">
        <v>96760</v>
      </c>
      <c r="BN196" s="15">
        <f t="shared" si="6"/>
        <v>95664.4</v>
      </c>
      <c r="BO196" s="16">
        <f t="shared" si="7"/>
        <v>66965.079999999987</v>
      </c>
    </row>
    <row r="197" spans="1:67" ht="19.2" x14ac:dyDescent="0.4">
      <c r="A197" s="5" t="s">
        <v>525</v>
      </c>
      <c r="B197" s="5" t="s">
        <v>22</v>
      </c>
      <c r="C197" s="5">
        <v>445688</v>
      </c>
      <c r="D197" s="6"/>
      <c r="E197" s="5" t="s">
        <v>16</v>
      </c>
      <c r="F197" s="5" t="s">
        <v>23</v>
      </c>
      <c r="G197" s="5" t="s">
        <v>10</v>
      </c>
      <c r="H197" s="7" t="s">
        <v>7</v>
      </c>
      <c r="I197" s="7" t="s">
        <v>24</v>
      </c>
      <c r="J197" s="7">
        <v>0</v>
      </c>
      <c r="K197" s="7">
        <v>114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33</v>
      </c>
      <c r="AF197" s="7">
        <v>100</v>
      </c>
      <c r="AG197" s="8">
        <v>3200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169</v>
      </c>
      <c r="AR197" s="8">
        <v>16500</v>
      </c>
      <c r="AS197" s="7">
        <v>400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539</v>
      </c>
      <c r="BJ197" s="8">
        <v>64680</v>
      </c>
      <c r="BK197" s="7">
        <v>0</v>
      </c>
      <c r="BL197" s="9">
        <v>3234</v>
      </c>
      <c r="BM197" s="10">
        <v>84880</v>
      </c>
      <c r="BN197" s="15">
        <f t="shared" si="6"/>
        <v>81646</v>
      </c>
      <c r="BO197" s="16">
        <f t="shared" si="7"/>
        <v>57152.2</v>
      </c>
    </row>
    <row r="198" spans="1:67" ht="19.2" x14ac:dyDescent="0.4">
      <c r="A198" s="5" t="s">
        <v>525</v>
      </c>
      <c r="B198" s="5" t="s">
        <v>25</v>
      </c>
      <c r="C198" s="5">
        <v>449889</v>
      </c>
      <c r="D198" s="6"/>
      <c r="E198" s="5" t="s">
        <v>16</v>
      </c>
      <c r="F198" s="5" t="s">
        <v>26</v>
      </c>
      <c r="G198" s="5" t="s">
        <v>10</v>
      </c>
      <c r="H198" s="7" t="s">
        <v>7</v>
      </c>
      <c r="I198" s="7" t="s">
        <v>27</v>
      </c>
      <c r="J198" s="7">
        <v>3</v>
      </c>
      <c r="K198" s="7">
        <v>611</v>
      </c>
      <c r="L198" s="7">
        <v>300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27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348</v>
      </c>
      <c r="AF198" s="8">
        <v>37180</v>
      </c>
      <c r="AG198" s="8">
        <v>3100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107</v>
      </c>
      <c r="AR198" s="8">
        <v>10700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264</v>
      </c>
      <c r="BJ198" s="8">
        <v>31680</v>
      </c>
      <c r="BK198" s="7">
        <v>0</v>
      </c>
      <c r="BL198" s="9">
        <v>1584</v>
      </c>
      <c r="BM198" s="10">
        <v>82960</v>
      </c>
      <c r="BN198" s="15">
        <f t="shared" si="6"/>
        <v>81376</v>
      </c>
      <c r="BO198" s="16">
        <f t="shared" si="7"/>
        <v>56963.199999999997</v>
      </c>
    </row>
    <row r="199" spans="1:67" ht="19.2" x14ac:dyDescent="0.4">
      <c r="A199" s="5" t="s">
        <v>525</v>
      </c>
      <c r="B199" s="5" t="s">
        <v>65</v>
      </c>
      <c r="C199" s="5">
        <v>387417</v>
      </c>
      <c r="D199" s="6"/>
      <c r="E199" s="5" t="s">
        <v>16</v>
      </c>
      <c r="F199" s="5" t="s">
        <v>66</v>
      </c>
      <c r="G199" s="5" t="s">
        <v>10</v>
      </c>
      <c r="H199" s="7" t="s">
        <v>7</v>
      </c>
      <c r="I199" s="7" t="s">
        <v>67</v>
      </c>
      <c r="J199" s="7">
        <v>0</v>
      </c>
      <c r="K199" s="7">
        <v>469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35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591</v>
      </c>
      <c r="AF199" s="8">
        <v>36960</v>
      </c>
      <c r="AG199" s="8">
        <v>23300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178</v>
      </c>
      <c r="AR199" s="8">
        <v>17800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10">
        <v>78060</v>
      </c>
      <c r="BN199" s="15">
        <f t="shared" si="6"/>
        <v>78060</v>
      </c>
      <c r="BO199" s="16">
        <f t="shared" si="7"/>
        <v>54642</v>
      </c>
    </row>
    <row r="200" spans="1:67" ht="19.2" x14ac:dyDescent="0.4">
      <c r="A200" s="5" t="s">
        <v>525</v>
      </c>
      <c r="B200" s="5" t="s">
        <v>307</v>
      </c>
      <c r="C200" s="5">
        <v>381684</v>
      </c>
      <c r="D200" s="6"/>
      <c r="E200" s="5" t="s">
        <v>16</v>
      </c>
      <c r="F200" s="5" t="s">
        <v>133</v>
      </c>
      <c r="G200" s="5" t="s">
        <v>34</v>
      </c>
      <c r="H200" s="7" t="s">
        <v>308</v>
      </c>
      <c r="I200" s="7" t="s">
        <v>134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10</v>
      </c>
      <c r="AF200" s="8">
        <v>25880</v>
      </c>
      <c r="AG200" s="8">
        <v>15200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1</v>
      </c>
      <c r="BD200" s="7">
        <v>720</v>
      </c>
      <c r="BE200" s="7">
        <v>0</v>
      </c>
      <c r="BF200" s="7">
        <v>0</v>
      </c>
      <c r="BG200" s="7">
        <v>0</v>
      </c>
      <c r="BH200" s="7">
        <v>0</v>
      </c>
      <c r="BI200" s="7">
        <v>4</v>
      </c>
      <c r="BJ200" s="8">
        <v>18240</v>
      </c>
      <c r="BK200" s="7">
        <v>0</v>
      </c>
      <c r="BL200" s="7">
        <v>955.2</v>
      </c>
      <c r="BM200" s="10">
        <v>60040</v>
      </c>
      <c r="BN200" s="15">
        <f t="shared" si="6"/>
        <v>59084.800000000003</v>
      </c>
      <c r="BO200" s="16">
        <f t="shared" si="7"/>
        <v>41359.360000000001</v>
      </c>
    </row>
    <row r="201" spans="1:67" ht="19.2" x14ac:dyDescent="0.4">
      <c r="A201" s="5" t="s">
        <v>525</v>
      </c>
      <c r="B201" s="5" t="s">
        <v>51</v>
      </c>
      <c r="C201" s="5">
        <v>369720</v>
      </c>
      <c r="D201" s="6"/>
      <c r="E201" s="5" t="s">
        <v>16</v>
      </c>
      <c r="F201" s="5" t="s">
        <v>52</v>
      </c>
      <c r="G201" s="5" t="s">
        <v>34</v>
      </c>
      <c r="H201" s="7" t="s">
        <v>8</v>
      </c>
      <c r="I201" s="7" t="s">
        <v>53</v>
      </c>
      <c r="J201" s="7">
        <v>0</v>
      </c>
      <c r="K201" s="7">
        <v>12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19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408</v>
      </c>
      <c r="AF201" s="8">
        <v>33560</v>
      </c>
      <c r="AG201" s="8">
        <v>10700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41</v>
      </c>
      <c r="AR201" s="8">
        <v>4100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7</v>
      </c>
      <c r="BD201" s="7">
        <v>840</v>
      </c>
      <c r="BE201" s="7">
        <v>0</v>
      </c>
      <c r="BF201" s="7">
        <v>0</v>
      </c>
      <c r="BG201" s="7">
        <v>0</v>
      </c>
      <c r="BH201" s="7">
        <v>0</v>
      </c>
      <c r="BI201" s="7">
        <v>89</v>
      </c>
      <c r="BJ201" s="8">
        <v>10680</v>
      </c>
      <c r="BK201" s="7">
        <v>0</v>
      </c>
      <c r="BL201" s="7">
        <v>584.4</v>
      </c>
      <c r="BM201" s="10">
        <v>59880</v>
      </c>
      <c r="BN201" s="15">
        <f t="shared" si="6"/>
        <v>59295.6</v>
      </c>
      <c r="BO201" s="16">
        <f t="shared" si="7"/>
        <v>41506.92</v>
      </c>
    </row>
    <row r="202" spans="1:67" ht="19.2" x14ac:dyDescent="0.4">
      <c r="A202" s="5" t="s">
        <v>525</v>
      </c>
      <c r="B202" s="5" t="s">
        <v>235</v>
      </c>
      <c r="C202" s="5">
        <v>134596</v>
      </c>
      <c r="D202" s="6" t="s">
        <v>236</v>
      </c>
      <c r="E202" s="5" t="s">
        <v>16</v>
      </c>
      <c r="F202" s="5" t="s">
        <v>30</v>
      </c>
      <c r="G202" s="5" t="s">
        <v>10</v>
      </c>
      <c r="H202" s="7" t="s">
        <v>7</v>
      </c>
      <c r="I202" s="7" t="s">
        <v>237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5</v>
      </c>
      <c r="AF202" s="8">
        <v>19200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5</v>
      </c>
      <c r="BJ202" s="8">
        <v>19200</v>
      </c>
      <c r="BK202" s="7">
        <v>0</v>
      </c>
      <c r="BL202" s="7">
        <v>960</v>
      </c>
      <c r="BM202" s="10">
        <v>38400</v>
      </c>
      <c r="BN202" s="15">
        <f t="shared" si="6"/>
        <v>37440</v>
      </c>
      <c r="BO202" s="16">
        <f t="shared" si="7"/>
        <v>26208</v>
      </c>
    </row>
    <row r="203" spans="1:67" ht="19.2" x14ac:dyDescent="0.4">
      <c r="A203" s="5" t="s">
        <v>525</v>
      </c>
      <c r="B203" s="5" t="s">
        <v>60</v>
      </c>
      <c r="C203" s="5">
        <v>245889</v>
      </c>
      <c r="D203" s="6"/>
      <c r="E203" s="5" t="s">
        <v>16</v>
      </c>
      <c r="F203" s="5" t="s">
        <v>30</v>
      </c>
      <c r="G203" s="5" t="s">
        <v>10</v>
      </c>
      <c r="H203" s="7" t="s">
        <v>7</v>
      </c>
      <c r="I203" s="7" t="s">
        <v>61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19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134</v>
      </c>
      <c r="AF203" s="7">
        <v>0</v>
      </c>
      <c r="AG203" s="8">
        <v>13400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215</v>
      </c>
      <c r="AR203" s="8">
        <v>21100</v>
      </c>
      <c r="AS203" s="7">
        <v>400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1</v>
      </c>
      <c r="BD203" s="7">
        <v>120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7.2</v>
      </c>
      <c r="BM203" s="10">
        <v>35020</v>
      </c>
      <c r="BN203" s="15">
        <f t="shared" si="6"/>
        <v>35012.800000000003</v>
      </c>
      <c r="BO203" s="16">
        <f t="shared" si="7"/>
        <v>24508.959999999999</v>
      </c>
    </row>
    <row r="204" spans="1:67" ht="19.2" x14ac:dyDescent="0.4">
      <c r="A204" s="5" t="s">
        <v>525</v>
      </c>
      <c r="B204" s="5" t="s">
        <v>423</v>
      </c>
      <c r="C204" s="5">
        <v>471707</v>
      </c>
      <c r="D204" s="6"/>
      <c r="E204" s="5" t="s">
        <v>16</v>
      </c>
      <c r="F204" s="5" t="s">
        <v>424</v>
      </c>
      <c r="G204" s="5" t="s">
        <v>10</v>
      </c>
      <c r="H204" s="7" t="s">
        <v>7</v>
      </c>
      <c r="I204" s="7" t="s">
        <v>425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185</v>
      </c>
      <c r="AF204" s="8">
        <v>22100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55</v>
      </c>
      <c r="BJ204" s="8">
        <v>6600</v>
      </c>
      <c r="BK204" s="7">
        <v>0</v>
      </c>
      <c r="BL204" s="7">
        <v>330</v>
      </c>
      <c r="BM204" s="10">
        <v>28700</v>
      </c>
      <c r="BN204" s="15">
        <f t="shared" si="6"/>
        <v>28370</v>
      </c>
      <c r="BO204" s="16">
        <f t="shared" si="7"/>
        <v>19859</v>
      </c>
    </row>
    <row r="205" spans="1:67" ht="19.2" x14ac:dyDescent="0.4">
      <c r="A205" s="5" t="s">
        <v>525</v>
      </c>
      <c r="B205" s="5" t="s">
        <v>32</v>
      </c>
      <c r="C205" s="5">
        <v>395270</v>
      </c>
      <c r="D205" s="6"/>
      <c r="E205" s="5" t="s">
        <v>16</v>
      </c>
      <c r="F205" s="5" t="s">
        <v>33</v>
      </c>
      <c r="G205" s="5" t="s">
        <v>34</v>
      </c>
      <c r="H205" s="7" t="s">
        <v>8</v>
      </c>
      <c r="I205" s="7" t="s">
        <v>35</v>
      </c>
      <c r="J205" s="7">
        <v>0</v>
      </c>
      <c r="K205" s="7">
        <v>2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20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191</v>
      </c>
      <c r="AF205" s="8">
        <v>9800</v>
      </c>
      <c r="AG205" s="8">
        <v>10900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64</v>
      </c>
      <c r="BJ205" s="8">
        <v>7680</v>
      </c>
      <c r="BK205" s="7">
        <v>0</v>
      </c>
      <c r="BL205" s="7">
        <v>384</v>
      </c>
      <c r="BM205" s="10">
        <v>28380</v>
      </c>
      <c r="BN205" s="15">
        <f t="shared" si="6"/>
        <v>27996</v>
      </c>
      <c r="BO205" s="16">
        <f t="shared" si="7"/>
        <v>19597.199999999997</v>
      </c>
    </row>
    <row r="206" spans="1:67" ht="19.2" x14ac:dyDescent="0.4">
      <c r="A206" s="5" t="s">
        <v>525</v>
      </c>
      <c r="B206" s="5" t="s">
        <v>77</v>
      </c>
      <c r="C206" s="5">
        <v>387942</v>
      </c>
      <c r="D206" s="6"/>
      <c r="E206" s="5" t="s">
        <v>16</v>
      </c>
      <c r="F206" s="5" t="s">
        <v>78</v>
      </c>
      <c r="G206" s="5" t="s">
        <v>10</v>
      </c>
      <c r="H206" s="7" t="s">
        <v>7</v>
      </c>
      <c r="I206" s="7" t="s">
        <v>79</v>
      </c>
      <c r="J206" s="7">
        <v>0</v>
      </c>
      <c r="K206" s="7">
        <v>15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8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280</v>
      </c>
      <c r="AF206" s="7">
        <v>580</v>
      </c>
      <c r="AG206" s="8">
        <v>27500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10">
        <v>28080</v>
      </c>
      <c r="BN206" s="15">
        <f t="shared" si="6"/>
        <v>28080</v>
      </c>
      <c r="BO206" s="16">
        <f t="shared" si="7"/>
        <v>19656</v>
      </c>
    </row>
    <row r="207" spans="1:67" ht="19.2" x14ac:dyDescent="0.4">
      <c r="A207" s="5" t="s">
        <v>525</v>
      </c>
      <c r="B207" s="5" t="s">
        <v>95</v>
      </c>
      <c r="C207" s="5">
        <v>395179</v>
      </c>
      <c r="D207" s="6"/>
      <c r="E207" s="5" t="s">
        <v>16</v>
      </c>
      <c r="F207" s="5" t="s">
        <v>96</v>
      </c>
      <c r="G207" s="5" t="s">
        <v>10</v>
      </c>
      <c r="H207" s="7" t="s">
        <v>7</v>
      </c>
      <c r="I207" s="7" t="s">
        <v>97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2</v>
      </c>
      <c r="AF207" s="8">
        <v>4680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1</v>
      </c>
      <c r="AR207" s="8">
        <v>1100</v>
      </c>
      <c r="AS207" s="7">
        <v>500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6</v>
      </c>
      <c r="BD207" s="8">
        <v>20280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9">
        <v>1216.8</v>
      </c>
      <c r="BM207" s="10">
        <v>26560</v>
      </c>
      <c r="BN207" s="15">
        <f t="shared" si="6"/>
        <v>25343.200000000001</v>
      </c>
      <c r="BO207" s="16">
        <f t="shared" si="7"/>
        <v>17740.239999999998</v>
      </c>
    </row>
    <row r="208" spans="1:67" ht="19.2" x14ac:dyDescent="0.4">
      <c r="A208" s="5" t="s">
        <v>525</v>
      </c>
      <c r="B208" s="5" t="s">
        <v>88</v>
      </c>
      <c r="C208" s="5">
        <v>364724</v>
      </c>
      <c r="D208" s="6"/>
      <c r="E208" s="5" t="s">
        <v>16</v>
      </c>
      <c r="F208" s="5" t="s">
        <v>89</v>
      </c>
      <c r="G208" s="5" t="s">
        <v>10</v>
      </c>
      <c r="H208" s="7" t="s">
        <v>7</v>
      </c>
      <c r="I208" s="7" t="s">
        <v>90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194</v>
      </c>
      <c r="AF208" s="8">
        <v>23280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5</v>
      </c>
      <c r="BJ208" s="7">
        <v>600</v>
      </c>
      <c r="BK208" s="7">
        <v>0</v>
      </c>
      <c r="BL208" s="7">
        <v>30</v>
      </c>
      <c r="BM208" s="10">
        <v>23880</v>
      </c>
      <c r="BN208" s="15">
        <f t="shared" si="6"/>
        <v>23850</v>
      </c>
      <c r="BO208" s="16">
        <f t="shared" si="7"/>
        <v>16695</v>
      </c>
    </row>
    <row r="209" spans="1:67" ht="19.2" x14ac:dyDescent="0.4">
      <c r="A209" s="5" t="s">
        <v>525</v>
      </c>
      <c r="B209" s="5" t="s">
        <v>71</v>
      </c>
      <c r="C209" s="5">
        <v>219203</v>
      </c>
      <c r="D209" s="6"/>
      <c r="E209" s="5" t="s">
        <v>16</v>
      </c>
      <c r="F209" s="5" t="s">
        <v>72</v>
      </c>
      <c r="G209" s="5" t="s">
        <v>10</v>
      </c>
      <c r="H209" s="7" t="s">
        <v>7</v>
      </c>
      <c r="I209" s="7" t="s">
        <v>73</v>
      </c>
      <c r="J209" s="7">
        <v>1</v>
      </c>
      <c r="K209" s="7">
        <v>5</v>
      </c>
      <c r="L209" s="7">
        <v>100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104</v>
      </c>
      <c r="AC209" s="7">
        <v>480</v>
      </c>
      <c r="AD209" s="8">
        <v>10000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126</v>
      </c>
      <c r="AO209" s="8">
        <v>12600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10">
        <v>23180</v>
      </c>
      <c r="BN209" s="15">
        <f t="shared" si="6"/>
        <v>23180</v>
      </c>
      <c r="BO209" s="16">
        <f t="shared" si="7"/>
        <v>16225.999999999998</v>
      </c>
    </row>
    <row r="210" spans="1:67" ht="19.2" x14ac:dyDescent="0.4">
      <c r="A210" s="5" t="s">
        <v>525</v>
      </c>
      <c r="B210" s="5" t="s">
        <v>46</v>
      </c>
      <c r="C210" s="5">
        <v>412919</v>
      </c>
      <c r="D210" s="6"/>
      <c r="E210" s="5" t="s">
        <v>16</v>
      </c>
      <c r="F210" s="5" t="s">
        <v>47</v>
      </c>
      <c r="G210" s="5" t="s">
        <v>34</v>
      </c>
      <c r="H210" s="7" t="s">
        <v>8</v>
      </c>
      <c r="I210" s="7" t="s">
        <v>48</v>
      </c>
      <c r="J210" s="7">
        <v>3</v>
      </c>
      <c r="K210" s="7">
        <v>6</v>
      </c>
      <c r="L210" s="7">
        <v>300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170</v>
      </c>
      <c r="AF210" s="8">
        <v>15720</v>
      </c>
      <c r="AG210" s="8">
        <v>3900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24</v>
      </c>
      <c r="AR210" s="8">
        <v>2200</v>
      </c>
      <c r="AS210" s="7">
        <v>200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5</v>
      </c>
      <c r="BJ210" s="7">
        <v>600</v>
      </c>
      <c r="BK210" s="7">
        <v>0</v>
      </c>
      <c r="BL210" s="7">
        <v>30</v>
      </c>
      <c r="BM210" s="10">
        <v>22920</v>
      </c>
      <c r="BN210" s="15">
        <f t="shared" si="6"/>
        <v>22890</v>
      </c>
      <c r="BO210" s="16">
        <f t="shared" si="7"/>
        <v>16022.999999999998</v>
      </c>
    </row>
    <row r="211" spans="1:67" ht="19.2" x14ac:dyDescent="0.4">
      <c r="A211" s="5" t="s">
        <v>525</v>
      </c>
      <c r="B211" s="5" t="s">
        <v>49</v>
      </c>
      <c r="C211" s="5">
        <v>459997</v>
      </c>
      <c r="D211" s="6"/>
      <c r="E211" s="5" t="s">
        <v>16</v>
      </c>
      <c r="F211" s="5" t="s">
        <v>50</v>
      </c>
      <c r="G211" s="5" t="s">
        <v>10</v>
      </c>
      <c r="H211" s="7" t="s">
        <v>7</v>
      </c>
      <c r="I211" s="7" t="s">
        <v>456</v>
      </c>
      <c r="J211" s="7">
        <v>0</v>
      </c>
      <c r="K211" s="8">
        <v>4325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146</v>
      </c>
      <c r="AF211" s="8">
        <v>16560</v>
      </c>
      <c r="AG211" s="7">
        <v>800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55</v>
      </c>
      <c r="AR211" s="8">
        <v>5500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10">
        <v>22860</v>
      </c>
      <c r="BN211" s="15">
        <f t="shared" si="6"/>
        <v>22860</v>
      </c>
      <c r="BO211" s="16">
        <f t="shared" si="7"/>
        <v>16001.999999999998</v>
      </c>
    </row>
    <row r="212" spans="1:67" ht="19.2" x14ac:dyDescent="0.4">
      <c r="A212" s="5" t="s">
        <v>525</v>
      </c>
      <c r="B212" s="5" t="s">
        <v>98</v>
      </c>
      <c r="C212" s="5">
        <v>388999</v>
      </c>
      <c r="D212" s="6"/>
      <c r="E212" s="5" t="s">
        <v>16</v>
      </c>
      <c r="F212" s="5" t="s">
        <v>66</v>
      </c>
      <c r="G212" s="5" t="s">
        <v>10</v>
      </c>
      <c r="H212" s="7" t="s">
        <v>7</v>
      </c>
      <c r="I212" s="7" t="s">
        <v>99</v>
      </c>
      <c r="J212" s="7">
        <v>0</v>
      </c>
      <c r="K212" s="7">
        <v>2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12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188</v>
      </c>
      <c r="AF212" s="8">
        <v>22560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10">
        <v>22560</v>
      </c>
      <c r="BN212" s="15">
        <f t="shared" si="6"/>
        <v>22560</v>
      </c>
      <c r="BO212" s="16">
        <f t="shared" si="7"/>
        <v>15791.999999999998</v>
      </c>
    </row>
    <row r="213" spans="1:67" ht="19.2" x14ac:dyDescent="0.4">
      <c r="A213" s="5" t="s">
        <v>525</v>
      </c>
      <c r="B213" s="5" t="s">
        <v>83</v>
      </c>
      <c r="C213" s="5">
        <v>370935</v>
      </c>
      <c r="D213" s="6"/>
      <c r="E213" s="5" t="s">
        <v>16</v>
      </c>
      <c r="F213" s="5" t="s">
        <v>30</v>
      </c>
      <c r="G213" s="5" t="s">
        <v>10</v>
      </c>
      <c r="H213" s="7" t="s">
        <v>7</v>
      </c>
      <c r="I213" s="7" t="s">
        <v>84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7</v>
      </c>
      <c r="AF213" s="7">
        <v>0</v>
      </c>
      <c r="AG213" s="8">
        <v>22400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10">
        <v>22400</v>
      </c>
      <c r="BN213" s="15">
        <f t="shared" si="6"/>
        <v>22400</v>
      </c>
      <c r="BO213" s="16">
        <f t="shared" si="7"/>
        <v>15679.999999999998</v>
      </c>
    </row>
    <row r="214" spans="1:67" ht="19.2" x14ac:dyDescent="0.4">
      <c r="A214" s="5" t="s">
        <v>525</v>
      </c>
      <c r="B214" s="5" t="s">
        <v>420</v>
      </c>
      <c r="C214" s="5">
        <v>387972</v>
      </c>
      <c r="D214" s="6"/>
      <c r="E214" s="5" t="s">
        <v>16</v>
      </c>
      <c r="F214" s="5" t="s">
        <v>33</v>
      </c>
      <c r="G214" s="5" t="s">
        <v>34</v>
      </c>
      <c r="H214" s="7" t="s">
        <v>308</v>
      </c>
      <c r="I214" s="7" t="s">
        <v>143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3</v>
      </c>
      <c r="AC214" s="8">
        <v>3300</v>
      </c>
      <c r="AD214" s="8">
        <v>4200</v>
      </c>
      <c r="AE214" s="7">
        <v>1</v>
      </c>
      <c r="AF214" s="7">
        <v>0</v>
      </c>
      <c r="AG214" s="7">
        <v>100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2</v>
      </c>
      <c r="AO214" s="8">
        <v>5000</v>
      </c>
      <c r="AP214" s="7">
        <v>0</v>
      </c>
      <c r="AQ214" s="7">
        <v>2</v>
      </c>
      <c r="AR214" s="8">
        <v>6100</v>
      </c>
      <c r="AS214" s="7">
        <v>200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1</v>
      </c>
      <c r="BG214" s="8">
        <v>3000</v>
      </c>
      <c r="BH214" s="7">
        <v>0</v>
      </c>
      <c r="BI214" s="7">
        <v>0</v>
      </c>
      <c r="BJ214" s="7">
        <v>0</v>
      </c>
      <c r="BK214" s="7">
        <v>0</v>
      </c>
      <c r="BL214" s="7">
        <v>150</v>
      </c>
      <c r="BM214" s="10">
        <v>21900</v>
      </c>
      <c r="BN214" s="15">
        <f t="shared" si="6"/>
        <v>21750</v>
      </c>
      <c r="BO214" s="16">
        <f t="shared" si="7"/>
        <v>15224.999999999998</v>
      </c>
    </row>
    <row r="215" spans="1:67" ht="19.2" x14ac:dyDescent="0.4">
      <c r="A215" s="5" t="s">
        <v>525</v>
      </c>
      <c r="B215" s="5" t="s">
        <v>438</v>
      </c>
      <c r="C215" s="5">
        <v>373610</v>
      </c>
      <c r="D215" s="6"/>
      <c r="E215" s="5" t="s">
        <v>16</v>
      </c>
      <c r="F215" s="5" t="s">
        <v>439</v>
      </c>
      <c r="G215" s="5" t="s">
        <v>10</v>
      </c>
      <c r="H215" s="7" t="s">
        <v>7</v>
      </c>
      <c r="I215" s="7" t="s">
        <v>440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177</v>
      </c>
      <c r="AF215" s="8">
        <v>21160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10">
        <v>21160</v>
      </c>
      <c r="BN215" s="15">
        <f t="shared" si="6"/>
        <v>21160</v>
      </c>
      <c r="BO215" s="16">
        <f t="shared" si="7"/>
        <v>14811.999999999998</v>
      </c>
    </row>
    <row r="216" spans="1:67" ht="19.2" x14ac:dyDescent="0.4">
      <c r="A216" s="5" t="s">
        <v>525</v>
      </c>
      <c r="B216" s="5" t="s">
        <v>42</v>
      </c>
      <c r="C216" s="5">
        <v>321812</v>
      </c>
      <c r="D216" s="6"/>
      <c r="E216" s="5" t="s">
        <v>16</v>
      </c>
      <c r="F216" s="5" t="s">
        <v>30</v>
      </c>
      <c r="G216" s="5" t="s">
        <v>10</v>
      </c>
      <c r="H216" s="7" t="s">
        <v>7</v>
      </c>
      <c r="I216" s="7" t="s">
        <v>43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11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25</v>
      </c>
      <c r="AF216" s="8">
        <v>2400</v>
      </c>
      <c r="AG216" s="7">
        <v>500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151</v>
      </c>
      <c r="AR216" s="8">
        <v>14400</v>
      </c>
      <c r="AS216" s="7">
        <v>700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26</v>
      </c>
      <c r="BD216" s="8">
        <v>3120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187.2</v>
      </c>
      <c r="BM216" s="10">
        <v>21120</v>
      </c>
      <c r="BN216" s="15">
        <f t="shared" si="6"/>
        <v>20932.8</v>
      </c>
      <c r="BO216" s="16">
        <f t="shared" si="7"/>
        <v>14652.96</v>
      </c>
    </row>
    <row r="217" spans="1:67" ht="19.2" x14ac:dyDescent="0.4">
      <c r="A217" s="5" t="s">
        <v>525</v>
      </c>
      <c r="B217" s="5" t="s">
        <v>418</v>
      </c>
      <c r="C217" s="5">
        <v>413284</v>
      </c>
      <c r="D217" s="6"/>
      <c r="E217" s="5" t="s">
        <v>16</v>
      </c>
      <c r="F217" s="5" t="s">
        <v>259</v>
      </c>
      <c r="G217" s="5" t="s">
        <v>457</v>
      </c>
      <c r="H217" s="7" t="s">
        <v>7</v>
      </c>
      <c r="I217" s="7" t="s">
        <v>419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5</v>
      </c>
      <c r="AF217" s="8">
        <v>21000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10">
        <v>21000</v>
      </c>
      <c r="BN217" s="15">
        <f t="shared" si="6"/>
        <v>21000</v>
      </c>
      <c r="BO217" s="16">
        <f t="shared" si="7"/>
        <v>14699.999999999998</v>
      </c>
    </row>
    <row r="218" spans="1:67" ht="19.2" x14ac:dyDescent="0.4">
      <c r="A218" s="5" t="s">
        <v>525</v>
      </c>
      <c r="B218" s="5" t="s">
        <v>446</v>
      </c>
      <c r="C218" s="5">
        <v>473531</v>
      </c>
      <c r="D218" s="6"/>
      <c r="E218" s="5" t="s">
        <v>16</v>
      </c>
      <c r="F218" s="5" t="s">
        <v>447</v>
      </c>
      <c r="G218" s="5" t="s">
        <v>34</v>
      </c>
      <c r="H218" s="7" t="s">
        <v>308</v>
      </c>
      <c r="I218" s="7" t="s">
        <v>448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6</v>
      </c>
      <c r="AF218" s="7">
        <v>200</v>
      </c>
      <c r="AG218" s="8">
        <v>16900</v>
      </c>
      <c r="AH218" s="7">
        <v>0</v>
      </c>
      <c r="AI218" s="7">
        <v>0</v>
      </c>
      <c r="AJ218" s="7">
        <v>0</v>
      </c>
      <c r="AK218" s="7">
        <v>1</v>
      </c>
      <c r="AL218" s="7">
        <v>0</v>
      </c>
      <c r="AM218" s="7">
        <v>900</v>
      </c>
      <c r="AN218" s="7">
        <v>0</v>
      </c>
      <c r="AO218" s="7">
        <v>0</v>
      </c>
      <c r="AP218" s="7">
        <v>0</v>
      </c>
      <c r="AQ218" s="7">
        <v>1</v>
      </c>
      <c r="AR218" s="8">
        <v>3000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10">
        <v>21000</v>
      </c>
      <c r="BN218" s="15">
        <f t="shared" si="6"/>
        <v>21000</v>
      </c>
      <c r="BO218" s="16">
        <f t="shared" si="7"/>
        <v>14699.999999999998</v>
      </c>
    </row>
    <row r="219" spans="1:67" ht="19.2" x14ac:dyDescent="0.4">
      <c r="A219" s="5" t="s">
        <v>525</v>
      </c>
      <c r="B219" s="5" t="s">
        <v>220</v>
      </c>
      <c r="C219" s="5">
        <v>434558</v>
      </c>
      <c r="D219" s="6"/>
      <c r="E219" s="5" t="s">
        <v>16</v>
      </c>
      <c r="F219" s="5" t="s">
        <v>221</v>
      </c>
      <c r="G219" s="5" t="s">
        <v>10</v>
      </c>
      <c r="H219" s="7" t="s">
        <v>7</v>
      </c>
      <c r="I219" s="7" t="s">
        <v>222</v>
      </c>
      <c r="J219" s="7">
        <v>3</v>
      </c>
      <c r="K219" s="7">
        <v>0</v>
      </c>
      <c r="L219" s="7">
        <v>300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8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166</v>
      </c>
      <c r="AF219" s="8">
        <v>19920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10">
        <v>20220</v>
      </c>
      <c r="BN219" s="15">
        <f t="shared" si="6"/>
        <v>20220</v>
      </c>
      <c r="BO219" s="16">
        <f t="shared" si="7"/>
        <v>14154</v>
      </c>
    </row>
    <row r="220" spans="1:67" ht="19.2" x14ac:dyDescent="0.4">
      <c r="A220" s="5" t="s">
        <v>525</v>
      </c>
      <c r="B220" s="5" t="s">
        <v>249</v>
      </c>
      <c r="C220" s="5">
        <v>462361</v>
      </c>
      <c r="D220" s="6"/>
      <c r="E220" s="5" t="s">
        <v>16</v>
      </c>
      <c r="F220" s="5" t="s">
        <v>39</v>
      </c>
      <c r="G220" s="5" t="s">
        <v>10</v>
      </c>
      <c r="H220" s="7" t="s">
        <v>7</v>
      </c>
      <c r="I220" s="7" t="s">
        <v>250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2</v>
      </c>
      <c r="AF220" s="8">
        <v>4800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4</v>
      </c>
      <c r="AR220" s="8">
        <v>7000</v>
      </c>
      <c r="AS220" s="8">
        <v>5000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10">
        <v>16800</v>
      </c>
      <c r="BN220" s="15">
        <f t="shared" si="6"/>
        <v>16800</v>
      </c>
      <c r="BO220" s="16">
        <f t="shared" si="7"/>
        <v>11760</v>
      </c>
    </row>
    <row r="221" spans="1:67" ht="19.2" x14ac:dyDescent="0.4">
      <c r="A221" s="5" t="s">
        <v>525</v>
      </c>
      <c r="B221" s="5" t="s">
        <v>62</v>
      </c>
      <c r="C221" s="5">
        <v>386960</v>
      </c>
      <c r="D221" s="6"/>
      <c r="E221" s="5" t="s">
        <v>16</v>
      </c>
      <c r="F221" s="5" t="s">
        <v>63</v>
      </c>
      <c r="G221" s="5" t="s">
        <v>10</v>
      </c>
      <c r="H221" s="7" t="s">
        <v>7</v>
      </c>
      <c r="I221" s="7" t="s">
        <v>64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164</v>
      </c>
      <c r="AF221" s="8">
        <v>10100</v>
      </c>
      <c r="AG221" s="8">
        <v>6300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10">
        <v>16400</v>
      </c>
      <c r="BN221" s="15">
        <f t="shared" si="6"/>
        <v>16400</v>
      </c>
      <c r="BO221" s="16">
        <f t="shared" si="7"/>
        <v>11480</v>
      </c>
    </row>
    <row r="222" spans="1:67" ht="19.2" x14ac:dyDescent="0.4">
      <c r="A222" s="5" t="s">
        <v>525</v>
      </c>
      <c r="B222" s="5" t="s">
        <v>91</v>
      </c>
      <c r="C222" s="5">
        <v>462353</v>
      </c>
      <c r="D222" s="6"/>
      <c r="E222" s="5" t="s">
        <v>16</v>
      </c>
      <c r="F222" s="5" t="s">
        <v>39</v>
      </c>
      <c r="G222" s="5" t="s">
        <v>10</v>
      </c>
      <c r="H222" s="7" t="s">
        <v>7</v>
      </c>
      <c r="I222" s="7" t="s">
        <v>92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117</v>
      </c>
      <c r="AF222" s="8">
        <v>8400</v>
      </c>
      <c r="AG222" s="8">
        <v>4700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29</v>
      </c>
      <c r="AR222" s="8">
        <v>2900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10">
        <v>16000</v>
      </c>
      <c r="BN222" s="15">
        <f t="shared" si="6"/>
        <v>16000</v>
      </c>
      <c r="BO222" s="16">
        <f t="shared" si="7"/>
        <v>11200</v>
      </c>
    </row>
    <row r="223" spans="1:67" ht="19.2" x14ac:dyDescent="0.4">
      <c r="A223" s="5" t="s">
        <v>525</v>
      </c>
      <c r="B223" s="5" t="s">
        <v>373</v>
      </c>
      <c r="C223" s="5">
        <v>425648</v>
      </c>
      <c r="D223" s="6"/>
      <c r="E223" s="5" t="s">
        <v>16</v>
      </c>
      <c r="F223" s="5" t="s">
        <v>227</v>
      </c>
      <c r="G223" s="5" t="s">
        <v>34</v>
      </c>
      <c r="H223" s="7" t="s">
        <v>308</v>
      </c>
      <c r="I223" s="7" t="s">
        <v>228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4</v>
      </c>
      <c r="AF223" s="8">
        <v>15360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10">
        <v>15360</v>
      </c>
      <c r="BN223" s="15">
        <f t="shared" si="6"/>
        <v>15360</v>
      </c>
      <c r="BO223" s="16">
        <f t="shared" si="7"/>
        <v>10752</v>
      </c>
    </row>
    <row r="224" spans="1:67" ht="19.2" x14ac:dyDescent="0.4">
      <c r="A224" s="5" t="s">
        <v>525</v>
      </c>
      <c r="B224" s="5" t="s">
        <v>161</v>
      </c>
      <c r="C224" s="5">
        <v>423577</v>
      </c>
      <c r="D224" s="6"/>
      <c r="E224" s="5" t="s">
        <v>16</v>
      </c>
      <c r="F224" s="5" t="s">
        <v>162</v>
      </c>
      <c r="G224" s="5" t="s">
        <v>34</v>
      </c>
      <c r="H224" s="7" t="s">
        <v>8</v>
      </c>
      <c r="I224" s="7" t="s">
        <v>163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13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72</v>
      </c>
      <c r="AF224" s="8">
        <v>6600</v>
      </c>
      <c r="AG224" s="7">
        <v>600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65</v>
      </c>
      <c r="BJ224" s="8">
        <v>7800</v>
      </c>
      <c r="BK224" s="7">
        <v>0</v>
      </c>
      <c r="BL224" s="7">
        <v>390</v>
      </c>
      <c r="BM224" s="10">
        <v>15000</v>
      </c>
      <c r="BN224" s="15">
        <f t="shared" si="6"/>
        <v>14610</v>
      </c>
      <c r="BO224" s="16">
        <f t="shared" si="7"/>
        <v>10227</v>
      </c>
    </row>
    <row r="225" spans="1:67" ht="19.2" x14ac:dyDescent="0.4">
      <c r="A225" s="5" t="s">
        <v>525</v>
      </c>
      <c r="B225" s="5" t="s">
        <v>85</v>
      </c>
      <c r="C225" s="5">
        <v>422032</v>
      </c>
      <c r="D225" s="6"/>
      <c r="E225" s="5" t="s">
        <v>16</v>
      </c>
      <c r="F225" s="5" t="s">
        <v>86</v>
      </c>
      <c r="G225" s="5" t="s">
        <v>10</v>
      </c>
      <c r="H225" s="7" t="s">
        <v>9</v>
      </c>
      <c r="I225" s="7" t="s">
        <v>87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6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1</v>
      </c>
      <c r="AR225" s="7">
        <v>100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123</v>
      </c>
      <c r="BJ225" s="8">
        <v>14760</v>
      </c>
      <c r="BK225" s="7">
        <v>0</v>
      </c>
      <c r="BL225" s="7">
        <v>738</v>
      </c>
      <c r="BM225" s="10">
        <v>14860</v>
      </c>
      <c r="BN225" s="15">
        <f t="shared" si="6"/>
        <v>14122</v>
      </c>
      <c r="BO225" s="16">
        <f t="shared" si="7"/>
        <v>9885.4</v>
      </c>
    </row>
    <row r="226" spans="1:67" ht="19.2" x14ac:dyDescent="0.4">
      <c r="A226" s="5" t="s">
        <v>525</v>
      </c>
      <c r="B226" s="5" t="s">
        <v>383</v>
      </c>
      <c r="C226" s="5">
        <v>377683</v>
      </c>
      <c r="D226" s="6"/>
      <c r="E226" s="5" t="s">
        <v>16</v>
      </c>
      <c r="F226" s="5" t="s">
        <v>33</v>
      </c>
      <c r="G226" s="5" t="s">
        <v>34</v>
      </c>
      <c r="H226" s="7" t="s">
        <v>308</v>
      </c>
      <c r="I226" s="7" t="s">
        <v>384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4</v>
      </c>
      <c r="AF226" s="8">
        <v>14400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10">
        <v>14400</v>
      </c>
      <c r="BN226" s="15">
        <f t="shared" si="6"/>
        <v>14400</v>
      </c>
      <c r="BO226" s="16">
        <f t="shared" si="7"/>
        <v>10080</v>
      </c>
    </row>
    <row r="227" spans="1:67" ht="19.2" x14ac:dyDescent="0.4">
      <c r="A227" s="5" t="s">
        <v>525</v>
      </c>
      <c r="B227" s="5" t="s">
        <v>385</v>
      </c>
      <c r="C227" s="5">
        <v>383234</v>
      </c>
      <c r="D227" s="6"/>
      <c r="E227" s="5" t="s">
        <v>16</v>
      </c>
      <c r="F227" s="5" t="s">
        <v>130</v>
      </c>
      <c r="G227" s="5" t="s">
        <v>34</v>
      </c>
      <c r="H227" s="7" t="s">
        <v>308</v>
      </c>
      <c r="I227" s="7" t="s">
        <v>131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4</v>
      </c>
      <c r="AF227" s="8">
        <v>7680</v>
      </c>
      <c r="AG227" s="8">
        <v>5200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1</v>
      </c>
      <c r="BJ227" s="8">
        <v>1440</v>
      </c>
      <c r="BK227" s="7">
        <v>0</v>
      </c>
      <c r="BL227" s="7">
        <v>72</v>
      </c>
      <c r="BM227" s="10">
        <v>14320</v>
      </c>
      <c r="BN227" s="15">
        <f t="shared" si="6"/>
        <v>14248</v>
      </c>
      <c r="BO227" s="16">
        <f t="shared" si="7"/>
        <v>9973.5999999999985</v>
      </c>
    </row>
    <row r="228" spans="1:67" ht="19.2" x14ac:dyDescent="0.4">
      <c r="A228" s="5" t="s">
        <v>525</v>
      </c>
      <c r="B228" s="5" t="s">
        <v>68</v>
      </c>
      <c r="C228" s="5">
        <v>442274</v>
      </c>
      <c r="D228" s="6"/>
      <c r="E228" s="5" t="s">
        <v>16</v>
      </c>
      <c r="F228" s="5" t="s">
        <v>69</v>
      </c>
      <c r="G228" s="5" t="s">
        <v>10</v>
      </c>
      <c r="H228" s="7" t="s">
        <v>7</v>
      </c>
      <c r="I228" s="7" t="s">
        <v>70</v>
      </c>
      <c r="J228" s="7">
        <v>3</v>
      </c>
      <c r="K228" s="7">
        <v>79</v>
      </c>
      <c r="L228" s="7">
        <v>300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116</v>
      </c>
      <c r="AF228" s="8">
        <v>12680</v>
      </c>
      <c r="AG228" s="8">
        <v>1000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10">
        <v>13980</v>
      </c>
      <c r="BN228" s="15">
        <f t="shared" si="6"/>
        <v>13980</v>
      </c>
      <c r="BO228" s="16">
        <f t="shared" si="7"/>
        <v>9786</v>
      </c>
    </row>
    <row r="229" spans="1:67" ht="19.2" x14ac:dyDescent="0.4">
      <c r="A229" s="5" t="s">
        <v>525</v>
      </c>
      <c r="B229" s="5" t="s">
        <v>443</v>
      </c>
      <c r="C229" s="5">
        <v>473172</v>
      </c>
      <c r="D229" s="6"/>
      <c r="E229" s="5" t="s">
        <v>16</v>
      </c>
      <c r="F229" s="5" t="s">
        <v>427</v>
      </c>
      <c r="G229" s="5" t="s">
        <v>444</v>
      </c>
      <c r="H229" s="7" t="s">
        <v>9</v>
      </c>
      <c r="I229" s="7" t="s">
        <v>445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3</v>
      </c>
      <c r="AF229" s="7">
        <v>0</v>
      </c>
      <c r="AG229" s="8">
        <v>6800</v>
      </c>
      <c r="AH229" s="7">
        <v>0</v>
      </c>
      <c r="AI229" s="7">
        <v>0</v>
      </c>
      <c r="AJ229" s="7">
        <v>0</v>
      </c>
      <c r="AK229" s="7">
        <v>1</v>
      </c>
      <c r="AL229" s="7">
        <v>0</v>
      </c>
      <c r="AM229" s="8">
        <v>1300</v>
      </c>
      <c r="AN229" s="7">
        <v>0</v>
      </c>
      <c r="AO229" s="7">
        <v>0</v>
      </c>
      <c r="AP229" s="7">
        <v>0</v>
      </c>
      <c r="AQ229" s="7">
        <v>2</v>
      </c>
      <c r="AR229" s="8">
        <v>5400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10">
        <v>13500</v>
      </c>
      <c r="BN229" s="15">
        <f t="shared" si="6"/>
        <v>13500</v>
      </c>
      <c r="BO229" s="16">
        <f t="shared" si="7"/>
        <v>9450</v>
      </c>
    </row>
    <row r="230" spans="1:67" ht="19.2" x14ac:dyDescent="0.4">
      <c r="A230" s="5" t="s">
        <v>525</v>
      </c>
      <c r="B230" s="5" t="s">
        <v>44</v>
      </c>
      <c r="C230" s="5">
        <v>324335</v>
      </c>
      <c r="D230" s="6"/>
      <c r="E230" s="5" t="s">
        <v>16</v>
      </c>
      <c r="F230" s="5" t="s">
        <v>30</v>
      </c>
      <c r="G230" s="5" t="s">
        <v>10</v>
      </c>
      <c r="H230" s="7" t="s">
        <v>9</v>
      </c>
      <c r="I230" s="7" t="s">
        <v>45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1</v>
      </c>
      <c r="AF230" s="7">
        <v>0</v>
      </c>
      <c r="AG230" s="7">
        <v>800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3</v>
      </c>
      <c r="AR230" s="8">
        <v>9600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1</v>
      </c>
      <c r="BJ230" s="8">
        <v>2880</v>
      </c>
      <c r="BK230" s="7">
        <v>0</v>
      </c>
      <c r="BL230" s="7">
        <v>144</v>
      </c>
      <c r="BM230" s="10">
        <v>13280</v>
      </c>
      <c r="BN230" s="15">
        <f t="shared" si="6"/>
        <v>13136</v>
      </c>
      <c r="BO230" s="16">
        <f t="shared" si="7"/>
        <v>9195.1999999999989</v>
      </c>
    </row>
    <row r="231" spans="1:67" ht="19.2" x14ac:dyDescent="0.4">
      <c r="A231" s="5" t="s">
        <v>525</v>
      </c>
      <c r="B231" s="5" t="s">
        <v>374</v>
      </c>
      <c r="C231" s="5">
        <v>458432</v>
      </c>
      <c r="D231" s="6"/>
      <c r="E231" s="5" t="s">
        <v>16</v>
      </c>
      <c r="F231" s="5" t="s">
        <v>130</v>
      </c>
      <c r="G231" s="5" t="s">
        <v>34</v>
      </c>
      <c r="H231" s="7" t="s">
        <v>308</v>
      </c>
      <c r="I231" s="7" t="s">
        <v>375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4</v>
      </c>
      <c r="AF231" s="8">
        <v>7200</v>
      </c>
      <c r="AG231" s="8">
        <v>6000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10">
        <v>13200</v>
      </c>
      <c r="BN231" s="15">
        <f t="shared" si="6"/>
        <v>13200</v>
      </c>
      <c r="BO231" s="16">
        <f t="shared" si="7"/>
        <v>9240</v>
      </c>
    </row>
    <row r="232" spans="1:67" ht="19.2" x14ac:dyDescent="0.4">
      <c r="A232" s="5" t="s">
        <v>525</v>
      </c>
      <c r="B232" s="5" t="s">
        <v>129</v>
      </c>
      <c r="C232" s="5">
        <v>383229</v>
      </c>
      <c r="D232" s="6"/>
      <c r="E232" s="5" t="s">
        <v>16</v>
      </c>
      <c r="F232" s="5" t="s">
        <v>130</v>
      </c>
      <c r="G232" s="5" t="s">
        <v>34</v>
      </c>
      <c r="H232" s="7" t="s">
        <v>8</v>
      </c>
      <c r="I232" s="7" t="s">
        <v>131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1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99</v>
      </c>
      <c r="AF232" s="8">
        <v>6560</v>
      </c>
      <c r="AG232" s="8">
        <v>3500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14</v>
      </c>
      <c r="AR232" s="8">
        <v>1400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5</v>
      </c>
      <c r="BJ232" s="7">
        <v>600</v>
      </c>
      <c r="BK232" s="7">
        <v>0</v>
      </c>
      <c r="BL232" s="7">
        <v>30</v>
      </c>
      <c r="BM232" s="10">
        <v>12060</v>
      </c>
      <c r="BN232" s="15">
        <f t="shared" si="6"/>
        <v>12030</v>
      </c>
      <c r="BO232" s="16">
        <f t="shared" si="7"/>
        <v>8421</v>
      </c>
    </row>
    <row r="233" spans="1:67" ht="19.2" x14ac:dyDescent="0.4">
      <c r="A233" s="5" t="s">
        <v>525</v>
      </c>
      <c r="B233" s="5" t="s">
        <v>115</v>
      </c>
      <c r="C233" s="5">
        <v>415710</v>
      </c>
      <c r="D233" s="6"/>
      <c r="E233" s="5" t="s">
        <v>16</v>
      </c>
      <c r="F233" s="5" t="s">
        <v>52</v>
      </c>
      <c r="G233" s="5" t="s">
        <v>34</v>
      </c>
      <c r="H233" s="7" t="s">
        <v>8</v>
      </c>
      <c r="I233" s="7" t="s">
        <v>116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99</v>
      </c>
      <c r="AF233" s="8">
        <v>10680</v>
      </c>
      <c r="AG233" s="8">
        <v>1000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10">
        <v>11680</v>
      </c>
      <c r="BN233" s="15">
        <f t="shared" si="6"/>
        <v>11680</v>
      </c>
      <c r="BO233" s="16">
        <f t="shared" si="7"/>
        <v>8175.9999999999991</v>
      </c>
    </row>
    <row r="234" spans="1:67" ht="19.2" x14ac:dyDescent="0.4">
      <c r="A234" s="5" t="s">
        <v>525</v>
      </c>
      <c r="B234" s="5" t="s">
        <v>370</v>
      </c>
      <c r="C234" s="5">
        <v>454879</v>
      </c>
      <c r="D234" s="6"/>
      <c r="E234" s="5" t="s">
        <v>16</v>
      </c>
      <c r="F234" s="5" t="s">
        <v>210</v>
      </c>
      <c r="G234" s="5" t="s">
        <v>34</v>
      </c>
      <c r="H234" s="7" t="s">
        <v>308</v>
      </c>
      <c r="I234" s="7" t="s">
        <v>371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3</v>
      </c>
      <c r="AF234" s="8">
        <v>5320</v>
      </c>
      <c r="AG234" s="8">
        <v>5800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10">
        <v>11120</v>
      </c>
      <c r="BN234" s="15">
        <f t="shared" si="6"/>
        <v>11120</v>
      </c>
      <c r="BO234" s="16">
        <f t="shared" si="7"/>
        <v>7783.9999999999991</v>
      </c>
    </row>
    <row r="235" spans="1:67" ht="19.2" x14ac:dyDescent="0.4">
      <c r="A235" s="5" t="s">
        <v>525</v>
      </c>
      <c r="B235" s="5" t="s">
        <v>449</v>
      </c>
      <c r="C235" s="5">
        <v>473173</v>
      </c>
      <c r="D235" s="6"/>
      <c r="E235" s="5" t="s">
        <v>16</v>
      </c>
      <c r="F235" s="5" t="s">
        <v>427</v>
      </c>
      <c r="G235" s="5" t="s">
        <v>444</v>
      </c>
      <c r="H235" s="7" t="s">
        <v>9</v>
      </c>
      <c r="I235" s="7" t="s">
        <v>445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2</v>
      </c>
      <c r="AF235" s="7">
        <v>0</v>
      </c>
      <c r="AG235" s="8">
        <v>6100</v>
      </c>
      <c r="AH235" s="7">
        <v>0</v>
      </c>
      <c r="AI235" s="7">
        <v>0</v>
      </c>
      <c r="AJ235" s="7">
        <v>0</v>
      </c>
      <c r="AK235" s="7">
        <v>1</v>
      </c>
      <c r="AL235" s="7">
        <v>0</v>
      </c>
      <c r="AM235" s="8">
        <v>1300</v>
      </c>
      <c r="AN235" s="7">
        <v>0</v>
      </c>
      <c r="AO235" s="7">
        <v>0</v>
      </c>
      <c r="AP235" s="7">
        <v>0</v>
      </c>
      <c r="AQ235" s="7">
        <v>1</v>
      </c>
      <c r="AR235" s="8">
        <v>3700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10">
        <v>11100</v>
      </c>
      <c r="BN235" s="15">
        <f t="shared" si="6"/>
        <v>11100</v>
      </c>
      <c r="BO235" s="16">
        <f t="shared" si="7"/>
        <v>7769.9999999999991</v>
      </c>
    </row>
    <row r="236" spans="1:67" ht="19.2" x14ac:dyDescent="0.4">
      <c r="A236" s="5" t="s">
        <v>525</v>
      </c>
      <c r="B236" s="5" t="s">
        <v>119</v>
      </c>
      <c r="C236" s="5">
        <v>390809</v>
      </c>
      <c r="D236" s="6"/>
      <c r="E236" s="5" t="s">
        <v>16</v>
      </c>
      <c r="F236" s="5" t="s">
        <v>120</v>
      </c>
      <c r="G236" s="5" t="s">
        <v>34</v>
      </c>
      <c r="H236" s="7" t="s">
        <v>8</v>
      </c>
      <c r="I236" s="7" t="s">
        <v>35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6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82</v>
      </c>
      <c r="AF236" s="8">
        <v>9840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7</v>
      </c>
      <c r="AR236" s="7">
        <v>700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2</v>
      </c>
      <c r="BJ236" s="7">
        <v>240</v>
      </c>
      <c r="BK236" s="7">
        <v>0</v>
      </c>
      <c r="BL236" s="7">
        <v>12</v>
      </c>
      <c r="BM236" s="10">
        <v>10780</v>
      </c>
      <c r="BN236" s="15">
        <f t="shared" si="6"/>
        <v>10768</v>
      </c>
      <c r="BO236" s="16">
        <f t="shared" si="7"/>
        <v>7537.5999999999995</v>
      </c>
    </row>
    <row r="237" spans="1:67" ht="19.2" x14ac:dyDescent="0.4">
      <c r="A237" s="5" t="s">
        <v>525</v>
      </c>
      <c r="B237" s="5" t="s">
        <v>426</v>
      </c>
      <c r="C237" s="5">
        <v>471701</v>
      </c>
      <c r="D237" s="6"/>
      <c r="E237" s="5" t="s">
        <v>16</v>
      </c>
      <c r="F237" s="5" t="s">
        <v>427</v>
      </c>
      <c r="G237" s="5" t="s">
        <v>444</v>
      </c>
      <c r="H237" s="7" t="s">
        <v>9</v>
      </c>
      <c r="I237" s="7" t="s">
        <v>428</v>
      </c>
      <c r="J237" s="7">
        <v>0</v>
      </c>
      <c r="K237" s="7">
        <v>28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100</v>
      </c>
      <c r="AF237" s="8">
        <v>1920</v>
      </c>
      <c r="AG237" s="8">
        <v>8400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10">
        <v>10320</v>
      </c>
      <c r="BN237" s="15">
        <f t="shared" si="6"/>
        <v>10320</v>
      </c>
      <c r="BO237" s="16">
        <f t="shared" si="7"/>
        <v>7223.9999999999991</v>
      </c>
    </row>
    <row r="238" spans="1:67" ht="19.2" x14ac:dyDescent="0.4">
      <c r="A238" s="5" t="s">
        <v>525</v>
      </c>
      <c r="B238" s="5" t="s">
        <v>191</v>
      </c>
      <c r="C238" s="5">
        <v>467503</v>
      </c>
      <c r="D238" s="6"/>
      <c r="E238" s="5" t="s">
        <v>16</v>
      </c>
      <c r="F238" s="5" t="s">
        <v>165</v>
      </c>
      <c r="G238" s="5" t="s">
        <v>34</v>
      </c>
      <c r="H238" s="7" t="s">
        <v>8</v>
      </c>
      <c r="I238" s="7" t="s">
        <v>27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3</v>
      </c>
      <c r="AF238" s="8">
        <v>7040</v>
      </c>
      <c r="AG238" s="8">
        <v>3200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10">
        <v>10240</v>
      </c>
      <c r="BN238" s="15">
        <f t="shared" si="6"/>
        <v>10240</v>
      </c>
      <c r="BO238" s="16">
        <f t="shared" si="7"/>
        <v>7168</v>
      </c>
    </row>
    <row r="239" spans="1:67" ht="19.2" x14ac:dyDescent="0.4">
      <c r="A239" s="5" t="s">
        <v>525</v>
      </c>
      <c r="B239" s="5" t="s">
        <v>223</v>
      </c>
      <c r="C239" s="5">
        <v>353981</v>
      </c>
      <c r="D239" s="6"/>
      <c r="E239" s="5" t="s">
        <v>16</v>
      </c>
      <c r="F239" s="5" t="s">
        <v>224</v>
      </c>
      <c r="G239" s="5" t="s">
        <v>34</v>
      </c>
      <c r="H239" s="7" t="s">
        <v>8</v>
      </c>
      <c r="I239" s="7" t="s">
        <v>225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11</v>
      </c>
      <c r="AF239" s="8">
        <v>1100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87</v>
      </c>
      <c r="AR239" s="8">
        <v>8700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10">
        <v>9800</v>
      </c>
      <c r="BN239" s="15">
        <f t="shared" si="6"/>
        <v>9800</v>
      </c>
      <c r="BO239" s="16">
        <f t="shared" si="7"/>
        <v>6860</v>
      </c>
    </row>
    <row r="240" spans="1:67" ht="19.2" x14ac:dyDescent="0.4">
      <c r="A240" s="5" t="s">
        <v>525</v>
      </c>
      <c r="B240" s="5" t="s">
        <v>154</v>
      </c>
      <c r="C240" s="5">
        <v>394079</v>
      </c>
      <c r="D240" s="6"/>
      <c r="E240" s="5" t="s">
        <v>16</v>
      </c>
      <c r="F240" s="5" t="s">
        <v>52</v>
      </c>
      <c r="G240" s="5" t="s">
        <v>34</v>
      </c>
      <c r="H240" s="7" t="s">
        <v>8</v>
      </c>
      <c r="I240" s="7" t="s">
        <v>155</v>
      </c>
      <c r="J240" s="7">
        <v>0</v>
      </c>
      <c r="K240" s="7">
        <v>1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8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82</v>
      </c>
      <c r="AF240" s="8">
        <v>9120</v>
      </c>
      <c r="AG240" s="7">
        <v>600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10">
        <v>9720</v>
      </c>
      <c r="BN240" s="15">
        <f t="shared" si="6"/>
        <v>9720</v>
      </c>
      <c r="BO240" s="16">
        <f t="shared" si="7"/>
        <v>6804</v>
      </c>
    </row>
    <row r="241" spans="1:67" ht="19.2" x14ac:dyDescent="0.4">
      <c r="A241" s="5" t="s">
        <v>525</v>
      </c>
      <c r="B241" s="5" t="s">
        <v>164</v>
      </c>
      <c r="C241" s="5">
        <v>467470</v>
      </c>
      <c r="D241" s="6"/>
      <c r="E241" s="5" t="s">
        <v>16</v>
      </c>
      <c r="F241" s="5" t="s">
        <v>165</v>
      </c>
      <c r="G241" s="5" t="s">
        <v>34</v>
      </c>
      <c r="H241" s="7" t="s">
        <v>8</v>
      </c>
      <c r="I241" s="7" t="s">
        <v>166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3</v>
      </c>
      <c r="AF241" s="8">
        <v>6600</v>
      </c>
      <c r="AG241" s="8">
        <v>3000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10">
        <v>9600</v>
      </c>
      <c r="BN241" s="15">
        <f t="shared" si="6"/>
        <v>9600</v>
      </c>
      <c r="BO241" s="16">
        <f t="shared" si="7"/>
        <v>6720</v>
      </c>
    </row>
    <row r="242" spans="1:67" ht="19.2" x14ac:dyDescent="0.4">
      <c r="A242" s="5" t="s">
        <v>525</v>
      </c>
      <c r="B242" s="5" t="s">
        <v>251</v>
      </c>
      <c r="C242" s="5">
        <v>469072</v>
      </c>
      <c r="D242" s="6"/>
      <c r="E242" s="5" t="s">
        <v>16</v>
      </c>
      <c r="F242" s="5" t="s">
        <v>165</v>
      </c>
      <c r="G242" s="5" t="s">
        <v>34</v>
      </c>
      <c r="H242" s="7" t="s">
        <v>8</v>
      </c>
      <c r="I242" s="7" t="s">
        <v>252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94</v>
      </c>
      <c r="AF242" s="8">
        <v>2640</v>
      </c>
      <c r="AG242" s="8">
        <v>6800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1</v>
      </c>
      <c r="BJ242" s="7">
        <v>120</v>
      </c>
      <c r="BK242" s="7">
        <v>0</v>
      </c>
      <c r="BL242" s="7">
        <v>6</v>
      </c>
      <c r="BM242" s="10">
        <v>9560</v>
      </c>
      <c r="BN242" s="15">
        <f t="shared" si="6"/>
        <v>9554</v>
      </c>
      <c r="BO242" s="16">
        <f t="shared" si="7"/>
        <v>6687.7999999999993</v>
      </c>
    </row>
    <row r="243" spans="1:67" ht="19.2" x14ac:dyDescent="0.4">
      <c r="A243" s="5" t="s">
        <v>525</v>
      </c>
      <c r="B243" s="5" t="s">
        <v>454</v>
      </c>
      <c r="C243" s="5">
        <v>428408</v>
      </c>
      <c r="D243" s="6"/>
      <c r="E243" s="5" t="s">
        <v>16</v>
      </c>
      <c r="F243" s="5" t="s">
        <v>41</v>
      </c>
      <c r="G243" s="5" t="s">
        <v>34</v>
      </c>
      <c r="H243" s="7" t="s">
        <v>308</v>
      </c>
      <c r="I243" s="7" t="s">
        <v>213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3</v>
      </c>
      <c r="BJ243" s="8">
        <v>9360</v>
      </c>
      <c r="BK243" s="7">
        <v>0</v>
      </c>
      <c r="BL243" s="7">
        <v>468</v>
      </c>
      <c r="BM243" s="10">
        <v>9360</v>
      </c>
      <c r="BN243" s="15">
        <f t="shared" si="6"/>
        <v>8892</v>
      </c>
      <c r="BO243" s="16">
        <f t="shared" si="7"/>
        <v>6224.4</v>
      </c>
    </row>
    <row r="244" spans="1:67" ht="19.2" x14ac:dyDescent="0.4">
      <c r="A244" s="5" t="s">
        <v>525</v>
      </c>
      <c r="B244" s="5" t="s">
        <v>501</v>
      </c>
      <c r="C244" s="5">
        <v>416195</v>
      </c>
      <c r="D244" s="6"/>
      <c r="E244" s="5" t="s">
        <v>16</v>
      </c>
      <c r="F244" s="5" t="s">
        <v>52</v>
      </c>
      <c r="G244" s="5" t="s">
        <v>34</v>
      </c>
      <c r="H244" s="7" t="s">
        <v>308</v>
      </c>
      <c r="I244" s="7" t="s">
        <v>155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2</v>
      </c>
      <c r="AF244" s="8">
        <v>9120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10">
        <v>9120</v>
      </c>
      <c r="BN244" s="15">
        <f t="shared" si="6"/>
        <v>9120</v>
      </c>
      <c r="BO244" s="16">
        <f t="shared" si="7"/>
        <v>6384</v>
      </c>
    </row>
    <row r="245" spans="1:67" ht="19.2" x14ac:dyDescent="0.4">
      <c r="A245" s="5" t="s">
        <v>525</v>
      </c>
      <c r="B245" s="5" t="s">
        <v>144</v>
      </c>
      <c r="C245" s="5">
        <v>328404</v>
      </c>
      <c r="D245" s="6"/>
      <c r="E245" s="5" t="s">
        <v>16</v>
      </c>
      <c r="F245" s="5" t="s">
        <v>33</v>
      </c>
      <c r="G245" s="5" t="s">
        <v>34</v>
      </c>
      <c r="H245" s="7" t="s">
        <v>8</v>
      </c>
      <c r="I245" s="7" t="s">
        <v>145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56</v>
      </c>
      <c r="AF245" s="8">
        <v>2160</v>
      </c>
      <c r="AG245" s="8">
        <v>3800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24</v>
      </c>
      <c r="BJ245" s="8">
        <v>2880</v>
      </c>
      <c r="BK245" s="7">
        <v>0</v>
      </c>
      <c r="BL245" s="7">
        <v>144</v>
      </c>
      <c r="BM245" s="10">
        <v>8840</v>
      </c>
      <c r="BN245" s="15">
        <f t="shared" si="6"/>
        <v>8696</v>
      </c>
      <c r="BO245" s="16">
        <f t="shared" si="7"/>
        <v>6087.2</v>
      </c>
    </row>
    <row r="246" spans="1:67" ht="19.2" x14ac:dyDescent="0.4">
      <c r="A246" s="5" t="s">
        <v>525</v>
      </c>
      <c r="B246" s="5" t="s">
        <v>451</v>
      </c>
      <c r="C246" s="5">
        <v>388551</v>
      </c>
      <c r="D246" s="6"/>
      <c r="E246" s="5" t="s">
        <v>16</v>
      </c>
      <c r="F246" s="5" t="s">
        <v>133</v>
      </c>
      <c r="G246" s="5" t="s">
        <v>34</v>
      </c>
      <c r="H246" s="7" t="s">
        <v>308</v>
      </c>
      <c r="I246" s="7" t="s">
        <v>452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2</v>
      </c>
      <c r="AF246" s="8">
        <v>8800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10">
        <v>8800</v>
      </c>
      <c r="BN246" s="15">
        <f t="shared" si="6"/>
        <v>8800</v>
      </c>
      <c r="BO246" s="16">
        <f t="shared" si="7"/>
        <v>6160</v>
      </c>
    </row>
    <row r="247" spans="1:67" ht="19.2" x14ac:dyDescent="0.4">
      <c r="A247" s="5" t="s">
        <v>525</v>
      </c>
      <c r="B247" s="5" t="s">
        <v>40</v>
      </c>
      <c r="C247" s="5">
        <v>457807</v>
      </c>
      <c r="D247" s="6"/>
      <c r="E247" s="5" t="s">
        <v>16</v>
      </c>
      <c r="F247" s="5" t="s">
        <v>41</v>
      </c>
      <c r="G247" s="5" t="s">
        <v>34</v>
      </c>
      <c r="H247" s="7" t="s">
        <v>8</v>
      </c>
      <c r="I247" s="7" t="s">
        <v>456</v>
      </c>
      <c r="J247" s="7">
        <v>23</v>
      </c>
      <c r="K247" s="7">
        <v>555</v>
      </c>
      <c r="L247" s="8">
        <v>2300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4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34</v>
      </c>
      <c r="AF247" s="7">
        <v>400</v>
      </c>
      <c r="AG247" s="8">
        <v>3000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27</v>
      </c>
      <c r="AR247" s="8">
        <v>2700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3</v>
      </c>
      <c r="BJ247" s="7">
        <v>360</v>
      </c>
      <c r="BK247" s="7">
        <v>0</v>
      </c>
      <c r="BL247" s="7">
        <v>18</v>
      </c>
      <c r="BM247" s="10">
        <v>8760</v>
      </c>
      <c r="BN247" s="15">
        <f t="shared" si="6"/>
        <v>8742</v>
      </c>
      <c r="BO247" s="16">
        <f t="shared" si="7"/>
        <v>6119.4</v>
      </c>
    </row>
    <row r="248" spans="1:67" ht="19.2" x14ac:dyDescent="0.4">
      <c r="A248" s="5" t="s">
        <v>525</v>
      </c>
      <c r="B248" s="5" t="s">
        <v>194</v>
      </c>
      <c r="C248" s="5">
        <v>445861</v>
      </c>
      <c r="D248" s="6"/>
      <c r="E248" s="5" t="s">
        <v>16</v>
      </c>
      <c r="F248" s="5" t="s">
        <v>47</v>
      </c>
      <c r="G248" s="5" t="s">
        <v>34</v>
      </c>
      <c r="H248" s="7" t="s">
        <v>8</v>
      </c>
      <c r="I248" s="7" t="s">
        <v>195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3</v>
      </c>
      <c r="AF248" s="7">
        <v>0</v>
      </c>
      <c r="AG248" s="8">
        <v>8400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10">
        <v>8400</v>
      </c>
      <c r="BN248" s="15">
        <f t="shared" si="6"/>
        <v>8400</v>
      </c>
      <c r="BO248" s="16">
        <f t="shared" si="7"/>
        <v>5880</v>
      </c>
    </row>
    <row r="249" spans="1:67" ht="19.2" x14ac:dyDescent="0.4">
      <c r="A249" s="5" t="s">
        <v>525</v>
      </c>
      <c r="B249" s="5" t="s">
        <v>388</v>
      </c>
      <c r="C249" s="5">
        <v>416208</v>
      </c>
      <c r="D249" s="6"/>
      <c r="E249" s="5" t="s">
        <v>16</v>
      </c>
      <c r="F249" s="5" t="s">
        <v>269</v>
      </c>
      <c r="G249" s="5" t="s">
        <v>34</v>
      </c>
      <c r="H249" s="7" t="s">
        <v>308</v>
      </c>
      <c r="I249" s="7" t="s">
        <v>389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2</v>
      </c>
      <c r="AF249" s="8">
        <v>8400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10">
        <v>8400</v>
      </c>
      <c r="BN249" s="15">
        <f t="shared" si="6"/>
        <v>8400</v>
      </c>
      <c r="BO249" s="16">
        <f t="shared" si="7"/>
        <v>5880</v>
      </c>
    </row>
    <row r="250" spans="1:67" ht="19.2" x14ac:dyDescent="0.4">
      <c r="A250" s="5" t="s">
        <v>525</v>
      </c>
      <c r="B250" s="5" t="s">
        <v>233</v>
      </c>
      <c r="C250" s="5">
        <v>429534</v>
      </c>
      <c r="D250" s="6"/>
      <c r="E250" s="5" t="s">
        <v>16</v>
      </c>
      <c r="F250" s="5" t="s">
        <v>173</v>
      </c>
      <c r="G250" s="5" t="s">
        <v>444</v>
      </c>
      <c r="H250" s="7" t="s">
        <v>7</v>
      </c>
      <c r="I250" s="7" t="s">
        <v>234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3</v>
      </c>
      <c r="AF250" s="7">
        <v>0</v>
      </c>
      <c r="AG250" s="8">
        <v>8400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10">
        <v>8400</v>
      </c>
      <c r="BN250" s="15">
        <f t="shared" ref="BN250:BN313" si="8">BM250-BL250</f>
        <v>8400</v>
      </c>
      <c r="BO250" s="16">
        <f t="shared" ref="BO250:BO313" si="9">BN250*70%</f>
        <v>5880</v>
      </c>
    </row>
    <row r="251" spans="1:67" ht="19.2" x14ac:dyDescent="0.4">
      <c r="A251" s="5" t="s">
        <v>525</v>
      </c>
      <c r="B251" s="5" t="s">
        <v>416</v>
      </c>
      <c r="C251" s="5">
        <v>380275</v>
      </c>
      <c r="D251" s="6"/>
      <c r="E251" s="5" t="s">
        <v>16</v>
      </c>
      <c r="F251" s="5" t="s">
        <v>41</v>
      </c>
      <c r="G251" s="5" t="s">
        <v>34</v>
      </c>
      <c r="H251" s="7" t="s">
        <v>308</v>
      </c>
      <c r="I251" s="7" t="s">
        <v>417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40</v>
      </c>
      <c r="AF251" s="8">
        <v>4680</v>
      </c>
      <c r="AG251" s="7">
        <v>100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2</v>
      </c>
      <c r="AR251" s="7">
        <v>200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28</v>
      </c>
      <c r="BJ251" s="8">
        <v>3360</v>
      </c>
      <c r="BK251" s="7">
        <v>0</v>
      </c>
      <c r="BL251" s="7">
        <v>168</v>
      </c>
      <c r="BM251" s="10">
        <v>8340</v>
      </c>
      <c r="BN251" s="15">
        <f t="shared" si="8"/>
        <v>8172</v>
      </c>
      <c r="BO251" s="16">
        <f t="shared" si="9"/>
        <v>5720.4</v>
      </c>
    </row>
    <row r="252" spans="1:67" ht="19.2" x14ac:dyDescent="0.4">
      <c r="A252" s="5" t="s">
        <v>525</v>
      </c>
      <c r="B252" s="5" t="s">
        <v>107</v>
      </c>
      <c r="C252" s="5">
        <v>428379</v>
      </c>
      <c r="D252" s="6"/>
      <c r="E252" s="5" t="s">
        <v>16</v>
      </c>
      <c r="F252" s="5" t="s">
        <v>108</v>
      </c>
      <c r="G252" s="5" t="s">
        <v>457</v>
      </c>
      <c r="H252" s="7" t="s">
        <v>8</v>
      </c>
      <c r="I252" s="7" t="s">
        <v>109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51</v>
      </c>
      <c r="AF252" s="8">
        <v>6120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17</v>
      </c>
      <c r="BJ252" s="8">
        <v>2040</v>
      </c>
      <c r="BK252" s="7">
        <v>0</v>
      </c>
      <c r="BL252" s="7">
        <v>102</v>
      </c>
      <c r="BM252" s="10">
        <v>8160</v>
      </c>
      <c r="BN252" s="15">
        <f t="shared" si="8"/>
        <v>8058</v>
      </c>
      <c r="BO252" s="16">
        <f t="shared" si="9"/>
        <v>5640.5999999999995</v>
      </c>
    </row>
    <row r="253" spans="1:67" ht="19.2" x14ac:dyDescent="0.4">
      <c r="A253" s="5" t="s">
        <v>525</v>
      </c>
      <c r="B253" s="5" t="s">
        <v>206</v>
      </c>
      <c r="C253" s="5">
        <v>421661</v>
      </c>
      <c r="D253" s="6"/>
      <c r="E253" s="5" t="s">
        <v>16</v>
      </c>
      <c r="F253" s="5" t="s">
        <v>207</v>
      </c>
      <c r="G253" s="5" t="s">
        <v>34</v>
      </c>
      <c r="H253" s="7" t="s">
        <v>8</v>
      </c>
      <c r="I253" s="7" t="s">
        <v>208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7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18</v>
      </c>
      <c r="AF253" s="7">
        <v>480</v>
      </c>
      <c r="AG253" s="8">
        <v>1400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52</v>
      </c>
      <c r="BJ253" s="8">
        <v>6240</v>
      </c>
      <c r="BK253" s="7">
        <v>0</v>
      </c>
      <c r="BL253" s="7">
        <v>312</v>
      </c>
      <c r="BM253" s="10">
        <v>8120</v>
      </c>
      <c r="BN253" s="15">
        <f t="shared" si="8"/>
        <v>7808</v>
      </c>
      <c r="BO253" s="16">
        <f t="shared" si="9"/>
        <v>5465.5999999999995</v>
      </c>
    </row>
    <row r="254" spans="1:67" ht="19.2" x14ac:dyDescent="0.4">
      <c r="A254" s="5" t="s">
        <v>525</v>
      </c>
      <c r="B254" s="5" t="s">
        <v>450</v>
      </c>
      <c r="C254" s="5">
        <v>473532</v>
      </c>
      <c r="D254" s="6"/>
      <c r="E254" s="5" t="s">
        <v>16</v>
      </c>
      <c r="F254" s="5" t="s">
        <v>447</v>
      </c>
      <c r="G254" s="5" t="s">
        <v>34</v>
      </c>
      <c r="H254" s="7" t="s">
        <v>308</v>
      </c>
      <c r="I254" s="7" t="s">
        <v>448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3</v>
      </c>
      <c r="AF254" s="7">
        <v>0</v>
      </c>
      <c r="AG254" s="8">
        <v>8100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10">
        <v>8100</v>
      </c>
      <c r="BN254" s="15">
        <f t="shared" si="8"/>
        <v>8100</v>
      </c>
      <c r="BO254" s="16">
        <f t="shared" si="9"/>
        <v>5670</v>
      </c>
    </row>
    <row r="255" spans="1:67" ht="19.2" x14ac:dyDescent="0.4">
      <c r="A255" s="5" t="s">
        <v>525</v>
      </c>
      <c r="B255" s="5" t="s">
        <v>258</v>
      </c>
      <c r="C255" s="5">
        <v>297776</v>
      </c>
      <c r="D255" s="6"/>
      <c r="E255" s="5" t="s">
        <v>16</v>
      </c>
      <c r="F255" s="5" t="s">
        <v>259</v>
      </c>
      <c r="G255" s="5" t="s">
        <v>457</v>
      </c>
      <c r="H255" s="7" t="s">
        <v>9</v>
      </c>
      <c r="I255" s="7" t="s">
        <v>260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6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27</v>
      </c>
      <c r="AF255" s="7">
        <v>0</v>
      </c>
      <c r="AG255" s="8">
        <v>2700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37</v>
      </c>
      <c r="BD255" s="8">
        <v>4440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266.39999999999998</v>
      </c>
      <c r="BM255" s="10">
        <v>7140</v>
      </c>
      <c r="BN255" s="15">
        <f t="shared" si="8"/>
        <v>6873.6</v>
      </c>
      <c r="BO255" s="16">
        <f t="shared" si="9"/>
        <v>4811.5199999999995</v>
      </c>
    </row>
    <row r="256" spans="1:67" ht="19.2" x14ac:dyDescent="0.4">
      <c r="A256" s="5" t="s">
        <v>525</v>
      </c>
      <c r="B256" s="5" t="s">
        <v>382</v>
      </c>
      <c r="C256" s="5">
        <v>446880</v>
      </c>
      <c r="D256" s="6"/>
      <c r="E256" s="5" t="s">
        <v>16</v>
      </c>
      <c r="F256" s="5" t="s">
        <v>269</v>
      </c>
      <c r="G256" s="5" t="s">
        <v>34</v>
      </c>
      <c r="H256" s="7" t="s">
        <v>308</v>
      </c>
      <c r="I256" s="7" t="s">
        <v>319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2</v>
      </c>
      <c r="AF256" s="7">
        <v>0</v>
      </c>
      <c r="AG256" s="8">
        <v>7000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10">
        <v>7000</v>
      </c>
      <c r="BN256" s="15">
        <f t="shared" si="8"/>
        <v>7000</v>
      </c>
      <c r="BO256" s="16">
        <f t="shared" si="9"/>
        <v>4900</v>
      </c>
    </row>
    <row r="257" spans="1:67" ht="19.2" x14ac:dyDescent="0.4">
      <c r="A257" s="5" t="s">
        <v>525</v>
      </c>
      <c r="B257" s="5" t="s">
        <v>502</v>
      </c>
      <c r="C257" s="5">
        <v>431797</v>
      </c>
      <c r="D257" s="6"/>
      <c r="E257" s="5" t="s">
        <v>16</v>
      </c>
      <c r="F257" s="5" t="s">
        <v>130</v>
      </c>
      <c r="G257" s="5" t="s">
        <v>34</v>
      </c>
      <c r="H257" s="7" t="s">
        <v>308</v>
      </c>
      <c r="I257" s="7" t="s">
        <v>503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2</v>
      </c>
      <c r="BJ257" s="8">
        <v>6720</v>
      </c>
      <c r="BK257" s="7">
        <v>0</v>
      </c>
      <c r="BL257" s="7">
        <v>336</v>
      </c>
      <c r="BM257" s="10">
        <v>6720</v>
      </c>
      <c r="BN257" s="15">
        <f t="shared" si="8"/>
        <v>6384</v>
      </c>
      <c r="BO257" s="16">
        <f t="shared" si="9"/>
        <v>4468.7999999999993</v>
      </c>
    </row>
    <row r="258" spans="1:67" ht="19.2" x14ac:dyDescent="0.4">
      <c r="A258" s="5" t="s">
        <v>525</v>
      </c>
      <c r="B258" s="5" t="s">
        <v>378</v>
      </c>
      <c r="C258" s="5">
        <v>397392</v>
      </c>
      <c r="D258" s="6"/>
      <c r="E258" s="5" t="s">
        <v>16</v>
      </c>
      <c r="F258" s="5" t="s">
        <v>130</v>
      </c>
      <c r="G258" s="5" t="s">
        <v>34</v>
      </c>
      <c r="H258" s="7" t="s">
        <v>308</v>
      </c>
      <c r="I258" s="7" t="s">
        <v>379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3</v>
      </c>
      <c r="AR258" s="8">
        <v>6600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10">
        <v>6600</v>
      </c>
      <c r="BN258" s="15">
        <f t="shared" si="8"/>
        <v>6600</v>
      </c>
      <c r="BO258" s="16">
        <f t="shared" si="9"/>
        <v>4620</v>
      </c>
    </row>
    <row r="259" spans="1:67" ht="19.2" x14ac:dyDescent="0.4">
      <c r="A259" s="5" t="s">
        <v>525</v>
      </c>
      <c r="B259" s="5" t="s">
        <v>390</v>
      </c>
      <c r="C259" s="5">
        <v>431788</v>
      </c>
      <c r="D259" s="6"/>
      <c r="E259" s="5" t="s">
        <v>16</v>
      </c>
      <c r="F259" s="5" t="s">
        <v>130</v>
      </c>
      <c r="G259" s="5" t="s">
        <v>34</v>
      </c>
      <c r="H259" s="7" t="s">
        <v>308</v>
      </c>
      <c r="I259" s="7" t="s">
        <v>391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2</v>
      </c>
      <c r="AF259" s="7">
        <v>0</v>
      </c>
      <c r="AG259" s="8">
        <v>3800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1</v>
      </c>
      <c r="BJ259" s="8">
        <v>2640</v>
      </c>
      <c r="BK259" s="7">
        <v>0</v>
      </c>
      <c r="BL259" s="7">
        <v>132</v>
      </c>
      <c r="BM259" s="10">
        <v>6440</v>
      </c>
      <c r="BN259" s="15">
        <f t="shared" si="8"/>
        <v>6308</v>
      </c>
      <c r="BO259" s="16">
        <f t="shared" si="9"/>
        <v>4415.5999999999995</v>
      </c>
    </row>
    <row r="260" spans="1:67" ht="19.2" x14ac:dyDescent="0.4">
      <c r="A260" s="5" t="s">
        <v>525</v>
      </c>
      <c r="B260" s="5" t="s">
        <v>277</v>
      </c>
      <c r="C260" s="5">
        <v>358724</v>
      </c>
      <c r="D260" s="6"/>
      <c r="E260" s="5" t="s">
        <v>16</v>
      </c>
      <c r="F260" s="5" t="s">
        <v>278</v>
      </c>
      <c r="G260" s="5" t="s">
        <v>34</v>
      </c>
      <c r="H260" s="7" t="s">
        <v>8</v>
      </c>
      <c r="I260" s="7" t="s">
        <v>106</v>
      </c>
      <c r="J260" s="7">
        <v>3</v>
      </c>
      <c r="K260" s="7">
        <v>0</v>
      </c>
      <c r="L260" s="7">
        <v>300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5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51</v>
      </c>
      <c r="AF260" s="8">
        <v>6120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10">
        <v>6420</v>
      </c>
      <c r="BN260" s="15">
        <f t="shared" si="8"/>
        <v>6420</v>
      </c>
      <c r="BO260" s="16">
        <f t="shared" si="9"/>
        <v>4494</v>
      </c>
    </row>
    <row r="261" spans="1:67" ht="19.2" x14ac:dyDescent="0.4">
      <c r="A261" s="5" t="s">
        <v>525</v>
      </c>
      <c r="B261" s="5" t="s">
        <v>180</v>
      </c>
      <c r="C261" s="5">
        <v>370192</v>
      </c>
      <c r="D261" s="6"/>
      <c r="E261" s="5" t="s">
        <v>16</v>
      </c>
      <c r="F261" s="5" t="s">
        <v>133</v>
      </c>
      <c r="G261" s="5" t="s">
        <v>34</v>
      </c>
      <c r="H261" s="7" t="s">
        <v>8</v>
      </c>
      <c r="I261" s="7" t="s">
        <v>181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12</v>
      </c>
      <c r="AF261" s="8">
        <v>1440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1</v>
      </c>
      <c r="AR261" s="7">
        <v>100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40</v>
      </c>
      <c r="BJ261" s="8">
        <v>4800</v>
      </c>
      <c r="BK261" s="7">
        <v>0</v>
      </c>
      <c r="BL261" s="7">
        <v>240</v>
      </c>
      <c r="BM261" s="10">
        <v>6340</v>
      </c>
      <c r="BN261" s="15">
        <f t="shared" si="8"/>
        <v>6100</v>
      </c>
      <c r="BO261" s="16">
        <f t="shared" si="9"/>
        <v>4270</v>
      </c>
    </row>
    <row r="262" spans="1:67" ht="19.2" x14ac:dyDescent="0.4">
      <c r="A262" s="5" t="s">
        <v>525</v>
      </c>
      <c r="B262" s="5" t="s">
        <v>504</v>
      </c>
      <c r="C262" s="5">
        <v>388541</v>
      </c>
      <c r="D262" s="6"/>
      <c r="E262" s="5" t="s">
        <v>16</v>
      </c>
      <c r="F262" s="5" t="s">
        <v>41</v>
      </c>
      <c r="G262" s="5" t="s">
        <v>34</v>
      </c>
      <c r="H262" s="7" t="s">
        <v>308</v>
      </c>
      <c r="I262" s="7" t="s">
        <v>505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1</v>
      </c>
      <c r="AF262" s="8">
        <v>6120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10">
        <v>6120</v>
      </c>
      <c r="BN262" s="15">
        <f t="shared" si="8"/>
        <v>6120</v>
      </c>
      <c r="BO262" s="16">
        <f t="shared" si="9"/>
        <v>4284</v>
      </c>
    </row>
    <row r="263" spans="1:67" ht="19.2" x14ac:dyDescent="0.4">
      <c r="A263" s="5" t="s">
        <v>525</v>
      </c>
      <c r="B263" s="5" t="s">
        <v>402</v>
      </c>
      <c r="C263" s="5">
        <v>444217</v>
      </c>
      <c r="D263" s="6"/>
      <c r="E263" s="5" t="s">
        <v>16</v>
      </c>
      <c r="F263" s="5" t="s">
        <v>130</v>
      </c>
      <c r="G263" s="5" t="s">
        <v>34</v>
      </c>
      <c r="H263" s="7" t="s">
        <v>308</v>
      </c>
      <c r="I263" s="7" t="s">
        <v>403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2</v>
      </c>
      <c r="AF263" s="8">
        <v>6000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10">
        <v>6000</v>
      </c>
      <c r="BN263" s="15">
        <f t="shared" si="8"/>
        <v>6000</v>
      </c>
      <c r="BO263" s="16">
        <f t="shared" si="9"/>
        <v>4200</v>
      </c>
    </row>
    <row r="264" spans="1:67" ht="19.2" x14ac:dyDescent="0.4">
      <c r="A264" s="5" t="s">
        <v>525</v>
      </c>
      <c r="B264" s="5" t="s">
        <v>393</v>
      </c>
      <c r="C264" s="5">
        <v>331748</v>
      </c>
      <c r="D264" s="6"/>
      <c r="E264" s="5" t="s">
        <v>16</v>
      </c>
      <c r="F264" s="5" t="s">
        <v>207</v>
      </c>
      <c r="G264" s="5" t="s">
        <v>34</v>
      </c>
      <c r="H264" s="7" t="s">
        <v>308</v>
      </c>
      <c r="I264" s="7" t="s">
        <v>394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1</v>
      </c>
      <c r="AF264" s="8">
        <v>5880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10">
        <v>5880</v>
      </c>
      <c r="BN264" s="15">
        <f t="shared" si="8"/>
        <v>5880</v>
      </c>
      <c r="BO264" s="16">
        <f t="shared" si="9"/>
        <v>4116</v>
      </c>
    </row>
    <row r="265" spans="1:67" ht="19.2" x14ac:dyDescent="0.4">
      <c r="A265" s="5" t="s">
        <v>525</v>
      </c>
      <c r="B265" s="5" t="s">
        <v>291</v>
      </c>
      <c r="C265" s="5">
        <v>328894</v>
      </c>
      <c r="D265" s="6"/>
      <c r="E265" s="5" t="s">
        <v>16</v>
      </c>
      <c r="F265" s="5" t="s">
        <v>207</v>
      </c>
      <c r="G265" s="5" t="s">
        <v>34</v>
      </c>
      <c r="H265" s="7" t="s">
        <v>8</v>
      </c>
      <c r="I265" s="7" t="s">
        <v>292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4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6</v>
      </c>
      <c r="AF265" s="7">
        <v>0</v>
      </c>
      <c r="AG265" s="7">
        <v>600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3</v>
      </c>
      <c r="AR265" s="7">
        <v>300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41</v>
      </c>
      <c r="BJ265" s="8">
        <v>4920</v>
      </c>
      <c r="BK265" s="7">
        <v>0</v>
      </c>
      <c r="BL265" s="7">
        <v>246</v>
      </c>
      <c r="BM265" s="10">
        <v>5820</v>
      </c>
      <c r="BN265" s="15">
        <f t="shared" si="8"/>
        <v>5574</v>
      </c>
      <c r="BO265" s="16">
        <f t="shared" si="9"/>
        <v>3901.7999999999997</v>
      </c>
    </row>
    <row r="266" spans="1:67" ht="19.2" x14ac:dyDescent="0.4">
      <c r="A266" s="5" t="s">
        <v>525</v>
      </c>
      <c r="B266" s="5" t="s">
        <v>380</v>
      </c>
      <c r="C266" s="5">
        <v>431802</v>
      </c>
      <c r="D266" s="6"/>
      <c r="E266" s="5" t="s">
        <v>16</v>
      </c>
      <c r="F266" s="5" t="s">
        <v>130</v>
      </c>
      <c r="G266" s="5" t="s">
        <v>34</v>
      </c>
      <c r="H266" s="7" t="s">
        <v>308</v>
      </c>
      <c r="I266" s="7" t="s">
        <v>381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2</v>
      </c>
      <c r="BJ266" s="8">
        <v>5760</v>
      </c>
      <c r="BK266" s="7">
        <v>0</v>
      </c>
      <c r="BL266" s="7">
        <v>288</v>
      </c>
      <c r="BM266" s="10">
        <v>5760</v>
      </c>
      <c r="BN266" s="15">
        <f t="shared" si="8"/>
        <v>5472</v>
      </c>
      <c r="BO266" s="16">
        <f t="shared" si="9"/>
        <v>3830.3999999999996</v>
      </c>
    </row>
    <row r="267" spans="1:67" ht="19.2" x14ac:dyDescent="0.4">
      <c r="A267" s="5" t="s">
        <v>525</v>
      </c>
      <c r="B267" s="5" t="s">
        <v>117</v>
      </c>
      <c r="C267" s="5">
        <v>379813</v>
      </c>
      <c r="D267" s="6"/>
      <c r="E267" s="5" t="s">
        <v>16</v>
      </c>
      <c r="F267" s="5" t="s">
        <v>30</v>
      </c>
      <c r="G267" s="5" t="s">
        <v>10</v>
      </c>
      <c r="H267" s="7" t="s">
        <v>7</v>
      </c>
      <c r="I267" s="7" t="s">
        <v>118</v>
      </c>
      <c r="J267" s="7">
        <v>0</v>
      </c>
      <c r="K267" s="7">
        <v>2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3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48</v>
      </c>
      <c r="AF267" s="8">
        <v>5760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10">
        <v>5760</v>
      </c>
      <c r="BN267" s="15">
        <f t="shared" si="8"/>
        <v>5760</v>
      </c>
      <c r="BO267" s="16">
        <f t="shared" si="9"/>
        <v>4031.9999999999995</v>
      </c>
    </row>
    <row r="268" spans="1:67" ht="19.2" x14ac:dyDescent="0.4">
      <c r="A268" s="5" t="s">
        <v>525</v>
      </c>
      <c r="B268" s="5" t="s">
        <v>142</v>
      </c>
      <c r="C268" s="5">
        <v>367994</v>
      </c>
      <c r="D268" s="6"/>
      <c r="E268" s="5" t="s">
        <v>16</v>
      </c>
      <c r="F268" s="5" t="s">
        <v>33</v>
      </c>
      <c r="G268" s="5" t="s">
        <v>34</v>
      </c>
      <c r="H268" s="7" t="s">
        <v>8</v>
      </c>
      <c r="I268" s="7" t="s">
        <v>143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22</v>
      </c>
      <c r="AF268" s="8">
        <v>1440</v>
      </c>
      <c r="AG268" s="8">
        <v>1000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11</v>
      </c>
      <c r="AR268" s="8">
        <v>1100</v>
      </c>
      <c r="AS268" s="7">
        <v>0</v>
      </c>
      <c r="AT268" s="7">
        <v>0</v>
      </c>
      <c r="AU268" s="7">
        <v>0</v>
      </c>
      <c r="AV268" s="7">
        <v>0</v>
      </c>
      <c r="AW268" s="7">
        <v>2</v>
      </c>
      <c r="AX268" s="7">
        <v>240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16</v>
      </c>
      <c r="BJ268" s="8">
        <v>1920</v>
      </c>
      <c r="BK268" s="7">
        <v>0</v>
      </c>
      <c r="BL268" s="7">
        <v>120</v>
      </c>
      <c r="BM268" s="10">
        <v>5700</v>
      </c>
      <c r="BN268" s="15">
        <f t="shared" si="8"/>
        <v>5580</v>
      </c>
      <c r="BO268" s="16">
        <f t="shared" si="9"/>
        <v>3905.9999999999995</v>
      </c>
    </row>
    <row r="269" spans="1:67" ht="19.2" x14ac:dyDescent="0.4">
      <c r="A269" s="5" t="s">
        <v>525</v>
      </c>
      <c r="B269" s="5" t="s">
        <v>324</v>
      </c>
      <c r="C269" s="5">
        <v>389960</v>
      </c>
      <c r="D269" s="6"/>
      <c r="E269" s="5" t="s">
        <v>16</v>
      </c>
      <c r="F269" s="5" t="s">
        <v>108</v>
      </c>
      <c r="G269" s="5" t="s">
        <v>457</v>
      </c>
      <c r="H269" s="7" t="s">
        <v>9</v>
      </c>
      <c r="I269" s="7" t="s">
        <v>325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39</v>
      </c>
      <c r="AF269" s="7">
        <v>480</v>
      </c>
      <c r="AG269" s="8">
        <v>3500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12</v>
      </c>
      <c r="BJ269" s="8">
        <v>1440</v>
      </c>
      <c r="BK269" s="7">
        <v>0</v>
      </c>
      <c r="BL269" s="7">
        <v>72</v>
      </c>
      <c r="BM269" s="10">
        <v>5420</v>
      </c>
      <c r="BN269" s="15">
        <f t="shared" si="8"/>
        <v>5348</v>
      </c>
      <c r="BO269" s="16">
        <f t="shared" si="9"/>
        <v>3743.6</v>
      </c>
    </row>
    <row r="270" spans="1:67" ht="19.2" x14ac:dyDescent="0.4">
      <c r="A270" s="5" t="s">
        <v>525</v>
      </c>
      <c r="B270" s="5" t="s">
        <v>261</v>
      </c>
      <c r="C270" s="5">
        <v>353788</v>
      </c>
      <c r="D270" s="6"/>
      <c r="E270" s="5" t="s">
        <v>16</v>
      </c>
      <c r="F270" s="5" t="s">
        <v>207</v>
      </c>
      <c r="G270" s="5" t="s">
        <v>34</v>
      </c>
      <c r="H270" s="7" t="s">
        <v>8</v>
      </c>
      <c r="I270" s="7" t="s">
        <v>262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5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52</v>
      </c>
      <c r="AF270" s="7">
        <v>0</v>
      </c>
      <c r="AG270" s="8">
        <v>5200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10">
        <v>5200</v>
      </c>
      <c r="BN270" s="15">
        <f t="shared" si="8"/>
        <v>5200</v>
      </c>
      <c r="BO270" s="16">
        <f t="shared" si="9"/>
        <v>3639.9999999999995</v>
      </c>
    </row>
    <row r="271" spans="1:67" ht="19.2" x14ac:dyDescent="0.4">
      <c r="A271" s="5" t="s">
        <v>525</v>
      </c>
      <c r="B271" s="5" t="s">
        <v>298</v>
      </c>
      <c r="C271" s="5">
        <v>445862</v>
      </c>
      <c r="D271" s="6"/>
      <c r="E271" s="5" t="s">
        <v>16</v>
      </c>
      <c r="F271" s="5" t="s">
        <v>47</v>
      </c>
      <c r="G271" s="5" t="s">
        <v>34</v>
      </c>
      <c r="H271" s="7" t="s">
        <v>8</v>
      </c>
      <c r="I271" s="7" t="s">
        <v>195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1</v>
      </c>
      <c r="AF271" s="7">
        <v>0</v>
      </c>
      <c r="AG271" s="8">
        <v>2200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1</v>
      </c>
      <c r="BJ271" s="8">
        <v>2640</v>
      </c>
      <c r="BK271" s="7">
        <v>0</v>
      </c>
      <c r="BL271" s="7">
        <v>132</v>
      </c>
      <c r="BM271" s="10">
        <v>4840</v>
      </c>
      <c r="BN271" s="15">
        <f t="shared" si="8"/>
        <v>4708</v>
      </c>
      <c r="BO271" s="16">
        <f t="shared" si="9"/>
        <v>3295.6</v>
      </c>
    </row>
    <row r="272" spans="1:67" ht="19.2" x14ac:dyDescent="0.4">
      <c r="A272" s="5" t="s">
        <v>525</v>
      </c>
      <c r="B272" s="5" t="s">
        <v>244</v>
      </c>
      <c r="C272" s="5">
        <v>458561</v>
      </c>
      <c r="D272" s="6"/>
      <c r="E272" s="5" t="s">
        <v>16</v>
      </c>
      <c r="F272" s="5" t="s">
        <v>30</v>
      </c>
      <c r="G272" s="5" t="s">
        <v>10</v>
      </c>
      <c r="H272" s="7" t="s">
        <v>7</v>
      </c>
      <c r="I272" s="7" t="s">
        <v>200</v>
      </c>
      <c r="J272" s="7">
        <v>1</v>
      </c>
      <c r="K272" s="7">
        <v>0</v>
      </c>
      <c r="L272" s="7">
        <v>100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47</v>
      </c>
      <c r="AF272" s="7">
        <v>0</v>
      </c>
      <c r="AG272" s="8">
        <v>4700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10">
        <v>4800</v>
      </c>
      <c r="BN272" s="15">
        <f t="shared" si="8"/>
        <v>4800</v>
      </c>
      <c r="BO272" s="16">
        <f t="shared" si="9"/>
        <v>3360</v>
      </c>
    </row>
    <row r="273" spans="1:67" ht="19.2" x14ac:dyDescent="0.4">
      <c r="A273" s="5" t="s">
        <v>525</v>
      </c>
      <c r="B273" s="5" t="s">
        <v>506</v>
      </c>
      <c r="C273" s="5">
        <v>431781</v>
      </c>
      <c r="D273" s="6"/>
      <c r="E273" s="5" t="s">
        <v>16</v>
      </c>
      <c r="F273" s="5" t="s">
        <v>484</v>
      </c>
      <c r="G273" s="5" t="s">
        <v>34</v>
      </c>
      <c r="H273" s="7" t="s">
        <v>308</v>
      </c>
      <c r="I273" s="7" t="s">
        <v>507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1</v>
      </c>
      <c r="BJ273" s="8">
        <v>4800</v>
      </c>
      <c r="BK273" s="7">
        <v>0</v>
      </c>
      <c r="BL273" s="7">
        <v>240</v>
      </c>
      <c r="BM273" s="10">
        <v>4800</v>
      </c>
      <c r="BN273" s="15">
        <f t="shared" si="8"/>
        <v>4560</v>
      </c>
      <c r="BO273" s="16">
        <f t="shared" si="9"/>
        <v>3192</v>
      </c>
    </row>
    <row r="274" spans="1:67" ht="19.2" x14ac:dyDescent="0.4">
      <c r="A274" s="5" t="s">
        <v>525</v>
      </c>
      <c r="B274" s="5" t="s">
        <v>386</v>
      </c>
      <c r="C274" s="5">
        <v>384110</v>
      </c>
      <c r="D274" s="6"/>
      <c r="E274" s="5" t="s">
        <v>16</v>
      </c>
      <c r="F274" s="5" t="s">
        <v>353</v>
      </c>
      <c r="G274" s="5" t="s">
        <v>34</v>
      </c>
      <c r="H274" s="7" t="s">
        <v>308</v>
      </c>
      <c r="I274" s="7" t="s">
        <v>387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1</v>
      </c>
      <c r="BJ274" s="8">
        <v>4800</v>
      </c>
      <c r="BK274" s="7">
        <v>0</v>
      </c>
      <c r="BL274" s="7">
        <v>240</v>
      </c>
      <c r="BM274" s="10">
        <v>4800</v>
      </c>
      <c r="BN274" s="15">
        <f t="shared" si="8"/>
        <v>4560</v>
      </c>
      <c r="BO274" s="16">
        <f t="shared" si="9"/>
        <v>3192</v>
      </c>
    </row>
    <row r="275" spans="1:67" ht="19.2" x14ac:dyDescent="0.4">
      <c r="A275" s="5" t="s">
        <v>525</v>
      </c>
      <c r="B275" s="5" t="s">
        <v>253</v>
      </c>
      <c r="C275" s="5">
        <v>400251</v>
      </c>
      <c r="D275" s="6"/>
      <c r="E275" s="5" t="s">
        <v>16</v>
      </c>
      <c r="F275" s="5" t="s">
        <v>41</v>
      </c>
      <c r="G275" s="5" t="s">
        <v>34</v>
      </c>
      <c r="H275" s="7" t="s">
        <v>8</v>
      </c>
      <c r="I275" s="7" t="s">
        <v>254</v>
      </c>
      <c r="J275" s="7">
        <v>0</v>
      </c>
      <c r="K275" s="7">
        <v>1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6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46</v>
      </c>
      <c r="AF275" s="7">
        <v>860</v>
      </c>
      <c r="AG275" s="8">
        <v>3800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10">
        <v>4660</v>
      </c>
      <c r="BN275" s="15">
        <f t="shared" si="8"/>
        <v>4660</v>
      </c>
      <c r="BO275" s="16">
        <f t="shared" si="9"/>
        <v>3262</v>
      </c>
    </row>
    <row r="276" spans="1:67" ht="19.2" x14ac:dyDescent="0.4">
      <c r="A276" s="5" t="s">
        <v>525</v>
      </c>
      <c r="B276" s="5" t="s">
        <v>151</v>
      </c>
      <c r="C276" s="5">
        <v>350894</v>
      </c>
      <c r="D276" s="6"/>
      <c r="E276" s="5" t="s">
        <v>16</v>
      </c>
      <c r="F276" s="5" t="s">
        <v>152</v>
      </c>
      <c r="G276" s="5" t="s">
        <v>34</v>
      </c>
      <c r="H276" s="7" t="s">
        <v>8</v>
      </c>
      <c r="I276" s="7" t="s">
        <v>153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4</v>
      </c>
      <c r="AF276" s="7">
        <v>240</v>
      </c>
      <c r="AG276" s="7">
        <v>200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35</v>
      </c>
      <c r="BJ276" s="8">
        <v>4200</v>
      </c>
      <c r="BK276" s="7">
        <v>0</v>
      </c>
      <c r="BL276" s="7">
        <v>210</v>
      </c>
      <c r="BM276" s="10">
        <v>4640</v>
      </c>
      <c r="BN276" s="15">
        <f t="shared" si="8"/>
        <v>4430</v>
      </c>
      <c r="BO276" s="16">
        <f t="shared" si="9"/>
        <v>3101</v>
      </c>
    </row>
    <row r="277" spans="1:67" ht="19.2" x14ac:dyDescent="0.4">
      <c r="A277" s="5" t="s">
        <v>525</v>
      </c>
      <c r="B277" s="5" t="s">
        <v>508</v>
      </c>
      <c r="C277" s="5">
        <v>329132</v>
      </c>
      <c r="D277" s="6"/>
      <c r="E277" s="5" t="s">
        <v>16</v>
      </c>
      <c r="F277" s="5" t="s">
        <v>269</v>
      </c>
      <c r="G277" s="5" t="s">
        <v>34</v>
      </c>
      <c r="H277" s="7" t="s">
        <v>308</v>
      </c>
      <c r="I277" s="7" t="s">
        <v>509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1</v>
      </c>
      <c r="BJ277" s="8">
        <v>4560</v>
      </c>
      <c r="BK277" s="7">
        <v>0</v>
      </c>
      <c r="BL277" s="7">
        <v>228</v>
      </c>
      <c r="BM277" s="10">
        <v>4560</v>
      </c>
      <c r="BN277" s="15">
        <f t="shared" si="8"/>
        <v>4332</v>
      </c>
      <c r="BO277" s="16">
        <f t="shared" si="9"/>
        <v>3032.3999999999996</v>
      </c>
    </row>
    <row r="278" spans="1:67" ht="19.2" x14ac:dyDescent="0.4">
      <c r="A278" s="5" t="s">
        <v>525</v>
      </c>
      <c r="B278" s="5" t="s">
        <v>397</v>
      </c>
      <c r="C278" s="5">
        <v>418305</v>
      </c>
      <c r="D278" s="6"/>
      <c r="E278" s="5" t="s">
        <v>16</v>
      </c>
      <c r="F278" s="5" t="s">
        <v>120</v>
      </c>
      <c r="G278" s="5" t="s">
        <v>34</v>
      </c>
      <c r="H278" s="7" t="s">
        <v>308</v>
      </c>
      <c r="I278" s="7" t="s">
        <v>398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1</v>
      </c>
      <c r="BJ278" s="8">
        <v>3960</v>
      </c>
      <c r="BK278" s="7">
        <v>0</v>
      </c>
      <c r="BL278" s="7">
        <v>198</v>
      </c>
      <c r="BM278" s="10">
        <v>3960</v>
      </c>
      <c r="BN278" s="15">
        <f t="shared" si="8"/>
        <v>3762</v>
      </c>
      <c r="BO278" s="16">
        <f t="shared" si="9"/>
        <v>2633.3999999999996</v>
      </c>
    </row>
    <row r="279" spans="1:67" ht="19.2" x14ac:dyDescent="0.4">
      <c r="A279" s="5" t="s">
        <v>525</v>
      </c>
      <c r="B279" s="5" t="s">
        <v>263</v>
      </c>
      <c r="C279" s="5">
        <v>395192</v>
      </c>
      <c r="D279" s="6"/>
      <c r="E279" s="5" t="s">
        <v>16</v>
      </c>
      <c r="F279" s="5" t="s">
        <v>130</v>
      </c>
      <c r="G279" s="5" t="s">
        <v>34</v>
      </c>
      <c r="H279" s="7" t="s">
        <v>8</v>
      </c>
      <c r="I279" s="7" t="s">
        <v>264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38</v>
      </c>
      <c r="AF279" s="7">
        <v>100</v>
      </c>
      <c r="AG279" s="8">
        <v>3700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1</v>
      </c>
      <c r="AR279" s="7">
        <v>100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10">
        <v>3900</v>
      </c>
      <c r="BN279" s="15">
        <f t="shared" si="8"/>
        <v>3900</v>
      </c>
      <c r="BO279" s="16">
        <f t="shared" si="9"/>
        <v>2730</v>
      </c>
    </row>
    <row r="280" spans="1:67" ht="19.2" x14ac:dyDescent="0.4">
      <c r="A280" s="5" t="s">
        <v>525</v>
      </c>
      <c r="B280" s="5" t="s">
        <v>510</v>
      </c>
      <c r="C280" s="5">
        <v>381823</v>
      </c>
      <c r="D280" s="6"/>
      <c r="E280" s="5" t="s">
        <v>16</v>
      </c>
      <c r="F280" s="5" t="s">
        <v>33</v>
      </c>
      <c r="G280" s="5" t="s">
        <v>34</v>
      </c>
      <c r="H280" s="7" t="s">
        <v>308</v>
      </c>
      <c r="I280" s="7" t="s">
        <v>310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1</v>
      </c>
      <c r="AF280" s="7">
        <v>0</v>
      </c>
      <c r="AG280" s="8">
        <v>3900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10">
        <v>3900</v>
      </c>
      <c r="BN280" s="15">
        <f t="shared" si="8"/>
        <v>3900</v>
      </c>
      <c r="BO280" s="16">
        <f t="shared" si="9"/>
        <v>2730</v>
      </c>
    </row>
    <row r="281" spans="1:67" ht="19.2" x14ac:dyDescent="0.4">
      <c r="A281" s="5" t="s">
        <v>525</v>
      </c>
      <c r="B281" s="5" t="s">
        <v>313</v>
      </c>
      <c r="C281" s="5">
        <v>363413</v>
      </c>
      <c r="D281" s="6"/>
      <c r="E281" s="5" t="s">
        <v>16</v>
      </c>
      <c r="F281" s="5" t="s">
        <v>105</v>
      </c>
      <c r="G281" s="5" t="s">
        <v>34</v>
      </c>
      <c r="H281" s="7" t="s">
        <v>8</v>
      </c>
      <c r="I281" s="7" t="s">
        <v>314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2</v>
      </c>
      <c r="AF281" s="7">
        <v>240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15</v>
      </c>
      <c r="AR281" s="8">
        <v>1500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18</v>
      </c>
      <c r="BJ281" s="8">
        <v>2160</v>
      </c>
      <c r="BK281" s="7">
        <v>0</v>
      </c>
      <c r="BL281" s="7">
        <v>108</v>
      </c>
      <c r="BM281" s="10">
        <v>3900</v>
      </c>
      <c r="BN281" s="15">
        <f t="shared" si="8"/>
        <v>3792</v>
      </c>
      <c r="BO281" s="16">
        <f t="shared" si="9"/>
        <v>2654.3999999999996</v>
      </c>
    </row>
    <row r="282" spans="1:67" ht="19.2" x14ac:dyDescent="0.4">
      <c r="A282" s="5" t="s">
        <v>525</v>
      </c>
      <c r="B282" s="5" t="s">
        <v>242</v>
      </c>
      <c r="C282" s="5">
        <v>305522</v>
      </c>
      <c r="D282" s="6"/>
      <c r="E282" s="5" t="s">
        <v>16</v>
      </c>
      <c r="F282" s="5" t="s">
        <v>41</v>
      </c>
      <c r="G282" s="5" t="s">
        <v>34</v>
      </c>
      <c r="H282" s="7" t="s">
        <v>8</v>
      </c>
      <c r="I282" s="7" t="s">
        <v>243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36</v>
      </c>
      <c r="AF282" s="7">
        <v>0</v>
      </c>
      <c r="AG282" s="8">
        <v>3600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2</v>
      </c>
      <c r="BJ282" s="7">
        <v>240</v>
      </c>
      <c r="BK282" s="7">
        <v>0</v>
      </c>
      <c r="BL282" s="7">
        <v>12</v>
      </c>
      <c r="BM282" s="10">
        <v>3840</v>
      </c>
      <c r="BN282" s="15">
        <f t="shared" si="8"/>
        <v>3828</v>
      </c>
      <c r="BO282" s="16">
        <f t="shared" si="9"/>
        <v>2679.6</v>
      </c>
    </row>
    <row r="283" spans="1:67" ht="19.2" x14ac:dyDescent="0.4">
      <c r="A283" s="5" t="s">
        <v>525</v>
      </c>
      <c r="B283" s="5" t="s">
        <v>399</v>
      </c>
      <c r="C283" s="5">
        <v>426265</v>
      </c>
      <c r="D283" s="6"/>
      <c r="E283" s="5" t="s">
        <v>16</v>
      </c>
      <c r="F283" s="5" t="s">
        <v>400</v>
      </c>
      <c r="G283" s="5" t="s">
        <v>34</v>
      </c>
      <c r="H283" s="7" t="s">
        <v>308</v>
      </c>
      <c r="I283" s="7" t="s">
        <v>401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1</v>
      </c>
      <c r="AF283" s="8">
        <v>3840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10">
        <v>3840</v>
      </c>
      <c r="BN283" s="15">
        <f t="shared" si="8"/>
        <v>3840</v>
      </c>
      <c r="BO283" s="16">
        <f t="shared" si="9"/>
        <v>2688</v>
      </c>
    </row>
    <row r="284" spans="1:67" ht="19.2" x14ac:dyDescent="0.4">
      <c r="A284" s="5" t="s">
        <v>525</v>
      </c>
      <c r="B284" s="5" t="s">
        <v>146</v>
      </c>
      <c r="C284" s="5">
        <v>392777</v>
      </c>
      <c r="D284" s="6"/>
      <c r="E284" s="5" t="s">
        <v>16</v>
      </c>
      <c r="F284" s="5" t="s">
        <v>89</v>
      </c>
      <c r="G284" s="5" t="s">
        <v>10</v>
      </c>
      <c r="H284" s="7" t="s">
        <v>7</v>
      </c>
      <c r="I284" s="7" t="s">
        <v>147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1</v>
      </c>
      <c r="AF284" s="8">
        <v>3840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10">
        <v>3840</v>
      </c>
      <c r="BN284" s="15">
        <f t="shared" si="8"/>
        <v>3840</v>
      </c>
      <c r="BO284" s="16">
        <f t="shared" si="9"/>
        <v>2688</v>
      </c>
    </row>
    <row r="285" spans="1:67" ht="19.2" x14ac:dyDescent="0.4">
      <c r="A285" s="5" t="s">
        <v>525</v>
      </c>
      <c r="B285" s="5" t="s">
        <v>317</v>
      </c>
      <c r="C285" s="5">
        <v>418302</v>
      </c>
      <c r="D285" s="6"/>
      <c r="E285" s="5" t="s">
        <v>16</v>
      </c>
      <c r="F285" s="5" t="s">
        <v>33</v>
      </c>
      <c r="G285" s="5" t="s">
        <v>34</v>
      </c>
      <c r="H285" s="7" t="s">
        <v>308</v>
      </c>
      <c r="I285" s="7" t="s">
        <v>35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1</v>
      </c>
      <c r="AF285" s="7">
        <v>0</v>
      </c>
      <c r="AG285" s="8">
        <v>2600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1</v>
      </c>
      <c r="AR285" s="7">
        <v>100</v>
      </c>
      <c r="AS285" s="7">
        <v>200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1</v>
      </c>
      <c r="BJ285" s="7">
        <v>720</v>
      </c>
      <c r="BK285" s="7">
        <v>0</v>
      </c>
      <c r="BL285" s="7">
        <v>36</v>
      </c>
      <c r="BM285" s="10">
        <v>3620</v>
      </c>
      <c r="BN285" s="15">
        <f t="shared" si="8"/>
        <v>3584</v>
      </c>
      <c r="BO285" s="16">
        <f t="shared" si="9"/>
        <v>2508.7999999999997</v>
      </c>
    </row>
    <row r="286" spans="1:67" ht="19.2" x14ac:dyDescent="0.4">
      <c r="A286" s="5" t="s">
        <v>525</v>
      </c>
      <c r="B286" s="5" t="s">
        <v>159</v>
      </c>
      <c r="C286" s="5">
        <v>376361</v>
      </c>
      <c r="D286" s="6"/>
      <c r="E286" s="5" t="s">
        <v>16</v>
      </c>
      <c r="F286" s="5" t="s">
        <v>47</v>
      </c>
      <c r="G286" s="5" t="s">
        <v>34</v>
      </c>
      <c r="H286" s="7" t="s">
        <v>8</v>
      </c>
      <c r="I286" s="7" t="s">
        <v>160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1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20</v>
      </c>
      <c r="AF286" s="7">
        <v>0</v>
      </c>
      <c r="AG286" s="8">
        <v>2000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15</v>
      </c>
      <c r="AR286" s="8">
        <v>1500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10">
        <v>3500</v>
      </c>
      <c r="BN286" s="15">
        <f t="shared" si="8"/>
        <v>3500</v>
      </c>
      <c r="BO286" s="16">
        <f t="shared" si="9"/>
        <v>2450</v>
      </c>
    </row>
    <row r="287" spans="1:67" ht="19.2" x14ac:dyDescent="0.4">
      <c r="A287" s="5" t="s">
        <v>525</v>
      </c>
      <c r="B287" s="5" t="s">
        <v>376</v>
      </c>
      <c r="C287" s="5">
        <v>428126</v>
      </c>
      <c r="D287" s="6"/>
      <c r="E287" s="5" t="s">
        <v>16</v>
      </c>
      <c r="F287" s="5" t="s">
        <v>47</v>
      </c>
      <c r="G287" s="5" t="s">
        <v>34</v>
      </c>
      <c r="H287" s="7" t="s">
        <v>308</v>
      </c>
      <c r="I287" s="7" t="s">
        <v>377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1</v>
      </c>
      <c r="AF287" s="8">
        <v>3500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10">
        <v>3500</v>
      </c>
      <c r="BN287" s="15">
        <f t="shared" si="8"/>
        <v>3500</v>
      </c>
      <c r="BO287" s="16">
        <f t="shared" si="9"/>
        <v>2450</v>
      </c>
    </row>
    <row r="288" spans="1:67" ht="19.2" x14ac:dyDescent="0.4">
      <c r="A288" s="5" t="s">
        <v>525</v>
      </c>
      <c r="B288" s="5" t="s">
        <v>286</v>
      </c>
      <c r="C288" s="5">
        <v>404148</v>
      </c>
      <c r="D288" s="6"/>
      <c r="E288" s="5" t="s">
        <v>16</v>
      </c>
      <c r="F288" s="5" t="s">
        <v>287</v>
      </c>
      <c r="G288" s="5" t="s">
        <v>34</v>
      </c>
      <c r="H288" s="7" t="s">
        <v>8</v>
      </c>
      <c r="I288" s="7" t="s">
        <v>288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29</v>
      </c>
      <c r="BJ288" s="8">
        <v>3480</v>
      </c>
      <c r="BK288" s="7">
        <v>0</v>
      </c>
      <c r="BL288" s="7">
        <v>174</v>
      </c>
      <c r="BM288" s="10">
        <v>3480</v>
      </c>
      <c r="BN288" s="15">
        <f t="shared" si="8"/>
        <v>3306</v>
      </c>
      <c r="BO288" s="16">
        <f t="shared" si="9"/>
        <v>2314.1999999999998</v>
      </c>
    </row>
    <row r="289" spans="1:67" ht="19.2" x14ac:dyDescent="0.4">
      <c r="A289" s="5" t="s">
        <v>525</v>
      </c>
      <c r="B289" s="5" t="s">
        <v>392</v>
      </c>
      <c r="C289" s="5">
        <v>387975</v>
      </c>
      <c r="D289" s="6"/>
      <c r="E289" s="5" t="s">
        <v>16</v>
      </c>
      <c r="F289" s="5" t="s">
        <v>152</v>
      </c>
      <c r="G289" s="5" t="s">
        <v>34</v>
      </c>
      <c r="H289" s="7" t="s">
        <v>308</v>
      </c>
      <c r="I289" s="7" t="s">
        <v>143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1</v>
      </c>
      <c r="AF289" s="8">
        <v>3360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10">
        <v>3360</v>
      </c>
      <c r="BN289" s="15">
        <f t="shared" si="8"/>
        <v>3360</v>
      </c>
      <c r="BO289" s="16">
        <f t="shared" si="9"/>
        <v>2352</v>
      </c>
    </row>
    <row r="290" spans="1:67" ht="19.2" x14ac:dyDescent="0.4">
      <c r="A290" s="5" t="s">
        <v>525</v>
      </c>
      <c r="B290" s="5" t="s">
        <v>192</v>
      </c>
      <c r="C290" s="5">
        <v>402649</v>
      </c>
      <c r="D290" s="6"/>
      <c r="E290" s="5" t="s">
        <v>16</v>
      </c>
      <c r="F290" s="5" t="s">
        <v>41</v>
      </c>
      <c r="G290" s="5" t="s">
        <v>34</v>
      </c>
      <c r="H290" s="7" t="s">
        <v>8</v>
      </c>
      <c r="I290" s="7" t="s">
        <v>193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3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27</v>
      </c>
      <c r="AF290" s="8">
        <v>3240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10">
        <v>3240</v>
      </c>
      <c r="BN290" s="15">
        <f t="shared" si="8"/>
        <v>3240</v>
      </c>
      <c r="BO290" s="16">
        <f t="shared" si="9"/>
        <v>2268</v>
      </c>
    </row>
    <row r="291" spans="1:67" ht="19.2" x14ac:dyDescent="0.4">
      <c r="A291" s="5" t="s">
        <v>525</v>
      </c>
      <c r="B291" s="5" t="s">
        <v>413</v>
      </c>
      <c r="C291" s="5">
        <v>392578</v>
      </c>
      <c r="D291" s="6"/>
      <c r="E291" s="5" t="s">
        <v>16</v>
      </c>
      <c r="F291" s="5" t="s">
        <v>269</v>
      </c>
      <c r="G291" s="5" t="s">
        <v>34</v>
      </c>
      <c r="H291" s="7" t="s">
        <v>308</v>
      </c>
      <c r="I291" s="7" t="s">
        <v>389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29</v>
      </c>
      <c r="AF291" s="8">
        <v>2040</v>
      </c>
      <c r="AG291" s="8">
        <v>1200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10">
        <v>3240</v>
      </c>
      <c r="BN291" s="15">
        <f t="shared" si="8"/>
        <v>3240</v>
      </c>
      <c r="BO291" s="16">
        <f t="shared" si="9"/>
        <v>2268</v>
      </c>
    </row>
    <row r="292" spans="1:67" ht="19.2" x14ac:dyDescent="0.4">
      <c r="A292" s="5" t="s">
        <v>525</v>
      </c>
      <c r="B292" s="5" t="s">
        <v>407</v>
      </c>
      <c r="C292" s="5">
        <v>410142</v>
      </c>
      <c r="D292" s="6"/>
      <c r="E292" s="5" t="s">
        <v>16</v>
      </c>
      <c r="F292" s="5" t="s">
        <v>63</v>
      </c>
      <c r="G292" s="5" t="s">
        <v>10</v>
      </c>
      <c r="H292" s="7" t="s">
        <v>7</v>
      </c>
      <c r="I292" s="7" t="s">
        <v>216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1</v>
      </c>
      <c r="AF292" s="7">
        <v>0</v>
      </c>
      <c r="AG292" s="8">
        <v>3200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10">
        <v>3200</v>
      </c>
      <c r="BN292" s="15">
        <f t="shared" si="8"/>
        <v>3200</v>
      </c>
      <c r="BO292" s="16">
        <f t="shared" si="9"/>
        <v>2240</v>
      </c>
    </row>
    <row r="293" spans="1:67" ht="19.2" x14ac:dyDescent="0.4">
      <c r="A293" s="5" t="s">
        <v>525</v>
      </c>
      <c r="B293" s="5" t="s">
        <v>289</v>
      </c>
      <c r="C293" s="5">
        <v>392673</v>
      </c>
      <c r="D293" s="6"/>
      <c r="E293" s="5" t="s">
        <v>16</v>
      </c>
      <c r="F293" s="5" t="s">
        <v>105</v>
      </c>
      <c r="G293" s="5" t="s">
        <v>34</v>
      </c>
      <c r="H293" s="7" t="s">
        <v>8</v>
      </c>
      <c r="I293" s="7" t="s">
        <v>290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1</v>
      </c>
      <c r="AR293" s="8">
        <v>3200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10">
        <v>3200</v>
      </c>
      <c r="BN293" s="15">
        <f t="shared" si="8"/>
        <v>3200</v>
      </c>
      <c r="BO293" s="16">
        <f t="shared" si="9"/>
        <v>2240</v>
      </c>
    </row>
    <row r="294" spans="1:67" ht="19.2" x14ac:dyDescent="0.4">
      <c r="A294" s="5" t="s">
        <v>525</v>
      </c>
      <c r="B294" s="5" t="s">
        <v>511</v>
      </c>
      <c r="C294" s="5">
        <v>421814</v>
      </c>
      <c r="D294" s="6"/>
      <c r="E294" s="5" t="s">
        <v>16</v>
      </c>
      <c r="F294" s="5" t="s">
        <v>41</v>
      </c>
      <c r="G294" s="5" t="s">
        <v>34</v>
      </c>
      <c r="H294" s="7" t="s">
        <v>308</v>
      </c>
      <c r="I294" s="7" t="s">
        <v>193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1</v>
      </c>
      <c r="AF294" s="8">
        <v>1320</v>
      </c>
      <c r="AG294" s="8">
        <v>1800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10">
        <v>3120</v>
      </c>
      <c r="BN294" s="15">
        <f t="shared" si="8"/>
        <v>3120</v>
      </c>
      <c r="BO294" s="16">
        <f t="shared" si="9"/>
        <v>2184</v>
      </c>
    </row>
    <row r="295" spans="1:67" ht="19.2" x14ac:dyDescent="0.4">
      <c r="A295" s="5" t="s">
        <v>525</v>
      </c>
      <c r="B295" s="5" t="s">
        <v>182</v>
      </c>
      <c r="C295" s="5">
        <v>359006</v>
      </c>
      <c r="D295" s="6"/>
      <c r="E295" s="5" t="s">
        <v>16</v>
      </c>
      <c r="F295" s="5" t="s">
        <v>130</v>
      </c>
      <c r="G295" s="5" t="s">
        <v>34</v>
      </c>
      <c r="H295" s="7" t="s">
        <v>8</v>
      </c>
      <c r="I295" s="7" t="s">
        <v>183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3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29</v>
      </c>
      <c r="AF295" s="8">
        <v>2920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10">
        <v>2920</v>
      </c>
      <c r="BN295" s="15">
        <f t="shared" si="8"/>
        <v>2920</v>
      </c>
      <c r="BO295" s="16">
        <f t="shared" si="9"/>
        <v>2043.9999999999998</v>
      </c>
    </row>
    <row r="296" spans="1:67" ht="19.2" x14ac:dyDescent="0.4">
      <c r="A296" s="5" t="s">
        <v>525</v>
      </c>
      <c r="B296" s="5" t="s">
        <v>512</v>
      </c>
      <c r="C296" s="5">
        <v>434544</v>
      </c>
      <c r="D296" s="6"/>
      <c r="E296" s="5" t="s">
        <v>16</v>
      </c>
      <c r="F296" s="5" t="s">
        <v>173</v>
      </c>
      <c r="G296" s="5" t="s">
        <v>444</v>
      </c>
      <c r="H296" s="7" t="s">
        <v>308</v>
      </c>
      <c r="I296" s="7" t="s">
        <v>513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1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29</v>
      </c>
      <c r="AF296" s="7">
        <v>0</v>
      </c>
      <c r="AG296" s="8">
        <v>2900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10">
        <v>2900</v>
      </c>
      <c r="BN296" s="15">
        <f t="shared" si="8"/>
        <v>2900</v>
      </c>
      <c r="BO296" s="16">
        <f t="shared" si="9"/>
        <v>2029.9999999999998</v>
      </c>
    </row>
    <row r="297" spans="1:67" ht="19.2" x14ac:dyDescent="0.4">
      <c r="A297" s="5" t="s">
        <v>525</v>
      </c>
      <c r="B297" s="5" t="s">
        <v>295</v>
      </c>
      <c r="C297" s="5">
        <v>355320</v>
      </c>
      <c r="D297" s="6"/>
      <c r="E297" s="5" t="s">
        <v>16</v>
      </c>
      <c r="F297" s="5" t="s">
        <v>296</v>
      </c>
      <c r="G297" s="5" t="s">
        <v>34</v>
      </c>
      <c r="H297" s="7" t="s">
        <v>8</v>
      </c>
      <c r="I297" s="7" t="s">
        <v>297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1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23</v>
      </c>
      <c r="BJ297" s="8">
        <v>2760</v>
      </c>
      <c r="BK297" s="7">
        <v>0</v>
      </c>
      <c r="BL297" s="7">
        <v>138</v>
      </c>
      <c r="BM297" s="10">
        <v>2760</v>
      </c>
      <c r="BN297" s="15">
        <f t="shared" si="8"/>
        <v>2622</v>
      </c>
      <c r="BO297" s="16">
        <f t="shared" si="9"/>
        <v>1835.3999999999999</v>
      </c>
    </row>
    <row r="298" spans="1:67" ht="19.2" x14ac:dyDescent="0.4">
      <c r="A298" s="5" t="s">
        <v>525</v>
      </c>
      <c r="B298" s="5" t="s">
        <v>214</v>
      </c>
      <c r="C298" s="5">
        <v>407733</v>
      </c>
      <c r="D298" s="6"/>
      <c r="E298" s="5" t="s">
        <v>16</v>
      </c>
      <c r="F298" s="5" t="s">
        <v>30</v>
      </c>
      <c r="G298" s="5" t="s">
        <v>10</v>
      </c>
      <c r="H298" s="7" t="s">
        <v>7</v>
      </c>
      <c r="I298" s="7" t="s">
        <v>215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27</v>
      </c>
      <c r="AF298" s="7">
        <v>0</v>
      </c>
      <c r="AG298" s="8">
        <v>2700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10">
        <v>2700</v>
      </c>
      <c r="BN298" s="15">
        <f t="shared" si="8"/>
        <v>2700</v>
      </c>
      <c r="BO298" s="16">
        <f t="shared" si="9"/>
        <v>1889.9999999999998</v>
      </c>
    </row>
    <row r="299" spans="1:67" ht="19.2" x14ac:dyDescent="0.4">
      <c r="A299" s="5" t="s">
        <v>525</v>
      </c>
      <c r="B299" s="5" t="s">
        <v>412</v>
      </c>
      <c r="C299" s="5">
        <v>383236</v>
      </c>
      <c r="D299" s="6"/>
      <c r="E299" s="5" t="s">
        <v>16</v>
      </c>
      <c r="F299" s="5" t="s">
        <v>130</v>
      </c>
      <c r="G299" s="5" t="s">
        <v>34</v>
      </c>
      <c r="H299" s="7" t="s">
        <v>308</v>
      </c>
      <c r="I299" s="7" t="s">
        <v>131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4</v>
      </c>
      <c r="AF299" s="7">
        <v>960</v>
      </c>
      <c r="AG299" s="7">
        <v>800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1</v>
      </c>
      <c r="AR299" s="7">
        <v>400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1</v>
      </c>
      <c r="BJ299" s="7">
        <v>480</v>
      </c>
      <c r="BK299" s="7">
        <v>0</v>
      </c>
      <c r="BL299" s="7">
        <v>24</v>
      </c>
      <c r="BM299" s="10">
        <v>2640</v>
      </c>
      <c r="BN299" s="15">
        <f t="shared" si="8"/>
        <v>2616</v>
      </c>
      <c r="BO299" s="16">
        <f t="shared" si="9"/>
        <v>1831.1999999999998</v>
      </c>
    </row>
    <row r="300" spans="1:67" ht="19.2" x14ac:dyDescent="0.4">
      <c r="A300" s="5" t="s">
        <v>525</v>
      </c>
      <c r="B300" s="5" t="s">
        <v>57</v>
      </c>
      <c r="C300" s="5">
        <v>464776</v>
      </c>
      <c r="D300" s="6"/>
      <c r="E300" s="5" t="s">
        <v>16</v>
      </c>
      <c r="F300" s="5" t="s">
        <v>58</v>
      </c>
      <c r="G300" s="5" t="s">
        <v>457</v>
      </c>
      <c r="H300" s="7" t="s">
        <v>9</v>
      </c>
      <c r="I300" s="7" t="s">
        <v>59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9</v>
      </c>
      <c r="AF300" s="7">
        <v>360</v>
      </c>
      <c r="AG300" s="7">
        <v>600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13</v>
      </c>
      <c r="AX300" s="8">
        <v>1560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1</v>
      </c>
      <c r="BJ300" s="7">
        <v>120</v>
      </c>
      <c r="BK300" s="7">
        <v>0</v>
      </c>
      <c r="BL300" s="7">
        <v>162</v>
      </c>
      <c r="BM300" s="10">
        <v>2640</v>
      </c>
      <c r="BN300" s="15">
        <f t="shared" si="8"/>
        <v>2478</v>
      </c>
      <c r="BO300" s="16">
        <f t="shared" si="9"/>
        <v>1734.6</v>
      </c>
    </row>
    <row r="301" spans="1:67" ht="19.2" x14ac:dyDescent="0.4">
      <c r="A301" s="5" t="s">
        <v>525</v>
      </c>
      <c r="B301" s="5" t="s">
        <v>406</v>
      </c>
      <c r="C301" s="5">
        <v>425649</v>
      </c>
      <c r="D301" s="6"/>
      <c r="E301" s="5" t="s">
        <v>16</v>
      </c>
      <c r="F301" s="5" t="s">
        <v>227</v>
      </c>
      <c r="G301" s="5" t="s">
        <v>34</v>
      </c>
      <c r="H301" s="7" t="s">
        <v>308</v>
      </c>
      <c r="I301" s="7" t="s">
        <v>228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2</v>
      </c>
      <c r="AF301" s="8">
        <v>2640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10">
        <v>2640</v>
      </c>
      <c r="BN301" s="15">
        <f t="shared" si="8"/>
        <v>2640</v>
      </c>
      <c r="BO301" s="16">
        <f t="shared" si="9"/>
        <v>1847.9999999999998</v>
      </c>
    </row>
    <row r="302" spans="1:67" ht="19.2" x14ac:dyDescent="0.4">
      <c r="A302" s="5" t="s">
        <v>525</v>
      </c>
      <c r="B302" s="5" t="s">
        <v>104</v>
      </c>
      <c r="C302" s="5">
        <v>359539</v>
      </c>
      <c r="D302" s="6"/>
      <c r="E302" s="5" t="s">
        <v>16</v>
      </c>
      <c r="F302" s="5" t="s">
        <v>105</v>
      </c>
      <c r="G302" s="5" t="s">
        <v>34</v>
      </c>
      <c r="H302" s="7" t="s">
        <v>8</v>
      </c>
      <c r="I302" s="7" t="s">
        <v>106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21</v>
      </c>
      <c r="AF302" s="8">
        <v>2520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10">
        <v>2520</v>
      </c>
      <c r="BN302" s="15">
        <f t="shared" si="8"/>
        <v>2520</v>
      </c>
      <c r="BO302" s="16">
        <f t="shared" si="9"/>
        <v>1764</v>
      </c>
    </row>
    <row r="303" spans="1:67" ht="19.2" x14ac:dyDescent="0.4">
      <c r="A303" s="5" t="s">
        <v>525</v>
      </c>
      <c r="B303" s="5" t="s">
        <v>514</v>
      </c>
      <c r="C303" s="5">
        <v>414124</v>
      </c>
      <c r="D303" s="6"/>
      <c r="E303" s="5" t="s">
        <v>16</v>
      </c>
      <c r="F303" s="5" t="s">
        <v>41</v>
      </c>
      <c r="G303" s="5" t="s">
        <v>34</v>
      </c>
      <c r="H303" s="7" t="s">
        <v>308</v>
      </c>
      <c r="I303" s="7" t="s">
        <v>202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1</v>
      </c>
      <c r="AF303" s="7">
        <v>0</v>
      </c>
      <c r="AG303" s="8">
        <v>2500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10">
        <v>2500</v>
      </c>
      <c r="BN303" s="15">
        <f t="shared" si="8"/>
        <v>2500</v>
      </c>
      <c r="BO303" s="16">
        <f t="shared" si="9"/>
        <v>1750</v>
      </c>
    </row>
    <row r="304" spans="1:67" ht="19.2" x14ac:dyDescent="0.4">
      <c r="A304" s="5" t="s">
        <v>525</v>
      </c>
      <c r="B304" s="5" t="s">
        <v>515</v>
      </c>
      <c r="C304" s="5">
        <v>424575</v>
      </c>
      <c r="D304" s="6"/>
      <c r="E304" s="5" t="s">
        <v>16</v>
      </c>
      <c r="F304" s="5" t="s">
        <v>41</v>
      </c>
      <c r="G304" s="5" t="s">
        <v>34</v>
      </c>
      <c r="H304" s="7" t="s">
        <v>308</v>
      </c>
      <c r="I304" s="7" t="s">
        <v>516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1</v>
      </c>
      <c r="AF304" s="7">
        <v>0</v>
      </c>
      <c r="AG304" s="8">
        <v>2500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10">
        <v>2500</v>
      </c>
      <c r="BN304" s="15">
        <f t="shared" si="8"/>
        <v>2500</v>
      </c>
      <c r="BO304" s="16">
        <f t="shared" si="9"/>
        <v>1750</v>
      </c>
    </row>
    <row r="305" spans="1:67" ht="19.2" x14ac:dyDescent="0.4">
      <c r="A305" s="5" t="s">
        <v>525</v>
      </c>
      <c r="B305" s="5" t="s">
        <v>517</v>
      </c>
      <c r="C305" s="5">
        <v>397415</v>
      </c>
      <c r="D305" s="6"/>
      <c r="E305" s="5" t="s">
        <v>16</v>
      </c>
      <c r="F305" s="5" t="s">
        <v>204</v>
      </c>
      <c r="G305" s="5" t="s">
        <v>34</v>
      </c>
      <c r="H305" s="7" t="s">
        <v>308</v>
      </c>
      <c r="I305" s="7" t="s">
        <v>518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1</v>
      </c>
      <c r="AR305" s="8">
        <v>2500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10">
        <v>2500</v>
      </c>
      <c r="BN305" s="15">
        <f t="shared" si="8"/>
        <v>2500</v>
      </c>
      <c r="BO305" s="16">
        <f t="shared" si="9"/>
        <v>1750</v>
      </c>
    </row>
    <row r="306" spans="1:67" ht="19.2" x14ac:dyDescent="0.4">
      <c r="A306" s="5" t="s">
        <v>525</v>
      </c>
      <c r="B306" s="5" t="s">
        <v>519</v>
      </c>
      <c r="C306" s="5">
        <v>397403</v>
      </c>
      <c r="D306" s="6"/>
      <c r="E306" s="5" t="s">
        <v>16</v>
      </c>
      <c r="F306" s="5" t="s">
        <v>204</v>
      </c>
      <c r="G306" s="5" t="s">
        <v>34</v>
      </c>
      <c r="H306" s="7" t="s">
        <v>308</v>
      </c>
      <c r="I306" s="7" t="s">
        <v>520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1</v>
      </c>
      <c r="AR306" s="8">
        <v>2500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10">
        <v>2500</v>
      </c>
      <c r="BN306" s="15">
        <f t="shared" si="8"/>
        <v>2500</v>
      </c>
      <c r="BO306" s="16">
        <f t="shared" si="9"/>
        <v>1750</v>
      </c>
    </row>
    <row r="307" spans="1:67" ht="19.2" x14ac:dyDescent="0.4">
      <c r="A307" s="5" t="s">
        <v>525</v>
      </c>
      <c r="B307" s="5" t="s">
        <v>80</v>
      </c>
      <c r="C307" s="5">
        <v>429621</v>
      </c>
      <c r="D307" s="6"/>
      <c r="E307" s="5" t="s">
        <v>16</v>
      </c>
      <c r="F307" s="5" t="s">
        <v>81</v>
      </c>
      <c r="G307" s="5" t="s">
        <v>457</v>
      </c>
      <c r="H307" s="7" t="s">
        <v>8</v>
      </c>
      <c r="I307" s="7" t="s">
        <v>82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15</v>
      </c>
      <c r="AF307" s="8">
        <v>1560</v>
      </c>
      <c r="AG307" s="7">
        <v>200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6</v>
      </c>
      <c r="AR307" s="7">
        <v>600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10">
        <v>2360</v>
      </c>
      <c r="BN307" s="15">
        <f t="shared" si="8"/>
        <v>2360</v>
      </c>
      <c r="BO307" s="16">
        <f t="shared" si="9"/>
        <v>1652</v>
      </c>
    </row>
    <row r="308" spans="1:67" ht="19.2" x14ac:dyDescent="0.4">
      <c r="A308" s="5" t="s">
        <v>525</v>
      </c>
      <c r="B308" s="5" t="s">
        <v>367</v>
      </c>
      <c r="C308" s="5">
        <v>424589</v>
      </c>
      <c r="D308" s="6"/>
      <c r="E308" s="5" t="s">
        <v>16</v>
      </c>
      <c r="F308" s="5" t="s">
        <v>368</v>
      </c>
      <c r="G308" s="5" t="s">
        <v>457</v>
      </c>
      <c r="H308" s="7" t="s">
        <v>8</v>
      </c>
      <c r="I308" s="7" t="s">
        <v>369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16</v>
      </c>
      <c r="AF308" s="8">
        <v>1660</v>
      </c>
      <c r="AG308" s="7">
        <v>200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4</v>
      </c>
      <c r="AR308" s="7">
        <v>400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10">
        <v>2260</v>
      </c>
      <c r="BN308" s="15">
        <f t="shared" si="8"/>
        <v>2260</v>
      </c>
      <c r="BO308" s="16">
        <f t="shared" si="9"/>
        <v>1582</v>
      </c>
    </row>
    <row r="309" spans="1:67" ht="19.2" x14ac:dyDescent="0.4">
      <c r="A309" s="5" t="s">
        <v>525</v>
      </c>
      <c r="B309" s="5" t="s">
        <v>137</v>
      </c>
      <c r="C309" s="5">
        <v>337887</v>
      </c>
      <c r="D309" s="6"/>
      <c r="E309" s="5" t="s">
        <v>16</v>
      </c>
      <c r="F309" s="5" t="s">
        <v>133</v>
      </c>
      <c r="G309" s="5" t="s">
        <v>34</v>
      </c>
      <c r="H309" s="7" t="s">
        <v>8</v>
      </c>
      <c r="I309" s="7" t="s">
        <v>138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1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12</v>
      </c>
      <c r="AF309" s="7">
        <v>0</v>
      </c>
      <c r="AG309" s="8">
        <v>1200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1</v>
      </c>
      <c r="AR309" s="7">
        <v>100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7</v>
      </c>
      <c r="BJ309" s="7">
        <v>840</v>
      </c>
      <c r="BK309" s="7">
        <v>0</v>
      </c>
      <c r="BL309" s="7">
        <v>42</v>
      </c>
      <c r="BM309" s="10">
        <v>2140</v>
      </c>
      <c r="BN309" s="15">
        <f t="shared" si="8"/>
        <v>2098</v>
      </c>
      <c r="BO309" s="16">
        <f t="shared" si="9"/>
        <v>1468.6</v>
      </c>
    </row>
    <row r="310" spans="1:67" ht="19.2" x14ac:dyDescent="0.4">
      <c r="A310" s="5" t="s">
        <v>525</v>
      </c>
      <c r="B310" s="5" t="s">
        <v>521</v>
      </c>
      <c r="C310" s="5">
        <v>397401</v>
      </c>
      <c r="D310" s="6"/>
      <c r="E310" s="5" t="s">
        <v>16</v>
      </c>
      <c r="F310" s="5" t="s">
        <v>204</v>
      </c>
      <c r="G310" s="5" t="s">
        <v>34</v>
      </c>
      <c r="H310" s="7" t="s">
        <v>308</v>
      </c>
      <c r="I310" s="7" t="s">
        <v>520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1</v>
      </c>
      <c r="AR310" s="8">
        <v>2100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10">
        <v>2100</v>
      </c>
      <c r="BN310" s="15">
        <f t="shared" si="8"/>
        <v>2100</v>
      </c>
      <c r="BO310" s="16">
        <f t="shared" si="9"/>
        <v>1470</v>
      </c>
    </row>
    <row r="311" spans="1:67" ht="19.2" x14ac:dyDescent="0.4">
      <c r="A311" s="5" t="s">
        <v>525</v>
      </c>
      <c r="B311" s="5" t="s">
        <v>410</v>
      </c>
      <c r="C311" s="5">
        <v>407003</v>
      </c>
      <c r="D311" s="6"/>
      <c r="E311" s="5" t="s">
        <v>16</v>
      </c>
      <c r="F311" s="5" t="s">
        <v>353</v>
      </c>
      <c r="G311" s="5" t="s">
        <v>34</v>
      </c>
      <c r="H311" s="7" t="s">
        <v>308</v>
      </c>
      <c r="I311" s="7" t="s">
        <v>411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9</v>
      </c>
      <c r="AF311" s="8">
        <v>1080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5</v>
      </c>
      <c r="AR311" s="7">
        <v>500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3</v>
      </c>
      <c r="BD311" s="7">
        <v>360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21.6</v>
      </c>
      <c r="BM311" s="10">
        <v>1940</v>
      </c>
      <c r="BN311" s="15">
        <f t="shared" si="8"/>
        <v>1918.4</v>
      </c>
      <c r="BO311" s="16">
        <f t="shared" si="9"/>
        <v>1342.8799999999999</v>
      </c>
    </row>
    <row r="312" spans="1:67" ht="19.2" x14ac:dyDescent="0.4">
      <c r="A312" s="5" t="s">
        <v>525</v>
      </c>
      <c r="B312" s="5" t="s">
        <v>196</v>
      </c>
      <c r="C312" s="5">
        <v>371774</v>
      </c>
      <c r="D312" s="6"/>
      <c r="E312" s="5" t="s">
        <v>16</v>
      </c>
      <c r="F312" s="5" t="s">
        <v>197</v>
      </c>
      <c r="G312" s="5" t="s">
        <v>10</v>
      </c>
      <c r="H312" s="7" t="s">
        <v>7</v>
      </c>
      <c r="I312" s="7" t="s">
        <v>198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19</v>
      </c>
      <c r="AF312" s="7">
        <v>0</v>
      </c>
      <c r="AG312" s="8">
        <v>1900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10">
        <v>1900</v>
      </c>
      <c r="BN312" s="15">
        <f t="shared" si="8"/>
        <v>1900</v>
      </c>
      <c r="BO312" s="16">
        <f t="shared" si="9"/>
        <v>1330</v>
      </c>
    </row>
    <row r="313" spans="1:67" ht="19.2" x14ac:dyDescent="0.4">
      <c r="A313" s="5" t="s">
        <v>525</v>
      </c>
      <c r="B313" s="5" t="s">
        <v>430</v>
      </c>
      <c r="C313" s="5">
        <v>472228</v>
      </c>
      <c r="D313" s="6"/>
      <c r="E313" s="5" t="s">
        <v>16</v>
      </c>
      <c r="F313" s="5" t="s">
        <v>431</v>
      </c>
      <c r="G313" s="5" t="s">
        <v>457</v>
      </c>
      <c r="H313" s="7" t="s">
        <v>8</v>
      </c>
      <c r="I313" s="7" t="s">
        <v>432</v>
      </c>
      <c r="J313" s="7">
        <v>0</v>
      </c>
      <c r="K313" s="7">
        <v>50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16</v>
      </c>
      <c r="AF313" s="8">
        <v>1600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10">
        <v>1600</v>
      </c>
      <c r="BN313" s="15">
        <f t="shared" si="8"/>
        <v>1600</v>
      </c>
      <c r="BO313" s="16">
        <f t="shared" si="9"/>
        <v>1120</v>
      </c>
    </row>
    <row r="314" spans="1:67" ht="19.2" x14ac:dyDescent="0.4">
      <c r="A314" s="5" t="s">
        <v>525</v>
      </c>
      <c r="B314" s="5" t="s">
        <v>209</v>
      </c>
      <c r="C314" s="5">
        <v>393598</v>
      </c>
      <c r="D314" s="6"/>
      <c r="E314" s="5" t="s">
        <v>16</v>
      </c>
      <c r="F314" s="5" t="s">
        <v>210</v>
      </c>
      <c r="G314" s="5" t="s">
        <v>34</v>
      </c>
      <c r="H314" s="7" t="s">
        <v>8</v>
      </c>
      <c r="I314" s="7" t="s">
        <v>211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11</v>
      </c>
      <c r="AF314" s="8">
        <v>1320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10">
        <v>1320</v>
      </c>
      <c r="BN314" s="15">
        <f t="shared" ref="BN314:BN377" si="10">BM314-BL314</f>
        <v>1320</v>
      </c>
      <c r="BO314" s="16">
        <f t="shared" ref="BO314:BO377" si="11">BN314*70%</f>
        <v>923.99999999999989</v>
      </c>
    </row>
    <row r="315" spans="1:67" ht="19.2" x14ac:dyDescent="0.4">
      <c r="A315" s="5" t="s">
        <v>525</v>
      </c>
      <c r="B315" s="5" t="s">
        <v>241</v>
      </c>
      <c r="C315" s="5">
        <v>356295</v>
      </c>
      <c r="D315" s="6"/>
      <c r="E315" s="5" t="s">
        <v>16</v>
      </c>
      <c r="F315" s="5" t="s">
        <v>41</v>
      </c>
      <c r="G315" s="5" t="s">
        <v>34</v>
      </c>
      <c r="H315" s="7" t="s">
        <v>8</v>
      </c>
      <c r="I315" s="7" t="s">
        <v>205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1</v>
      </c>
      <c r="AF315" s="7">
        <v>120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11</v>
      </c>
      <c r="AR315" s="8">
        <v>1100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10">
        <v>1220</v>
      </c>
      <c r="BN315" s="15">
        <f t="shared" si="10"/>
        <v>1220</v>
      </c>
      <c r="BO315" s="16">
        <f t="shared" si="11"/>
        <v>854</v>
      </c>
    </row>
    <row r="316" spans="1:67" ht="19.2" x14ac:dyDescent="0.4">
      <c r="A316" s="5" t="s">
        <v>525</v>
      </c>
      <c r="B316" s="5" t="s">
        <v>74</v>
      </c>
      <c r="C316" s="5">
        <v>465250</v>
      </c>
      <c r="D316" s="6"/>
      <c r="E316" s="5" t="s">
        <v>16</v>
      </c>
      <c r="F316" s="5" t="s">
        <v>75</v>
      </c>
      <c r="G316" s="5" t="s">
        <v>457</v>
      </c>
      <c r="H316" s="7" t="s">
        <v>7</v>
      </c>
      <c r="I316" s="7" t="s">
        <v>76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10</v>
      </c>
      <c r="AF316" s="8">
        <v>1200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10">
        <v>1200</v>
      </c>
      <c r="BN316" s="15">
        <f t="shared" si="10"/>
        <v>1200</v>
      </c>
      <c r="BO316" s="16">
        <f t="shared" si="11"/>
        <v>840</v>
      </c>
    </row>
    <row r="317" spans="1:67" ht="19.2" x14ac:dyDescent="0.4">
      <c r="A317" s="5" t="s">
        <v>525</v>
      </c>
      <c r="B317" s="5" t="s">
        <v>522</v>
      </c>
      <c r="C317" s="5">
        <v>416196</v>
      </c>
      <c r="D317" s="6"/>
      <c r="E317" s="5" t="s">
        <v>16</v>
      </c>
      <c r="F317" s="5" t="s">
        <v>52</v>
      </c>
      <c r="G317" s="5" t="s">
        <v>34</v>
      </c>
      <c r="H317" s="7" t="s">
        <v>308</v>
      </c>
      <c r="I317" s="7" t="s">
        <v>155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1</v>
      </c>
      <c r="AF317" s="8">
        <v>1200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10">
        <v>1200</v>
      </c>
      <c r="BN317" s="15">
        <f t="shared" si="10"/>
        <v>1200</v>
      </c>
      <c r="BO317" s="16">
        <f t="shared" si="11"/>
        <v>840</v>
      </c>
    </row>
    <row r="318" spans="1:67" ht="19.2" x14ac:dyDescent="0.4">
      <c r="A318" s="5" t="s">
        <v>525</v>
      </c>
      <c r="B318" s="5" t="s">
        <v>172</v>
      </c>
      <c r="C318" s="5">
        <v>429496</v>
      </c>
      <c r="D318" s="6"/>
      <c r="E318" s="5" t="s">
        <v>16</v>
      </c>
      <c r="F318" s="5" t="s">
        <v>173</v>
      </c>
      <c r="G318" s="5" t="s">
        <v>444</v>
      </c>
      <c r="H318" s="7" t="s">
        <v>7</v>
      </c>
      <c r="I318" s="7" t="s">
        <v>174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12</v>
      </c>
      <c r="AF318" s="7">
        <v>0</v>
      </c>
      <c r="AG318" s="8">
        <v>1200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10">
        <v>1200</v>
      </c>
      <c r="BN318" s="15">
        <f t="shared" si="10"/>
        <v>1200</v>
      </c>
      <c r="BO318" s="16">
        <f t="shared" si="11"/>
        <v>840</v>
      </c>
    </row>
    <row r="319" spans="1:67" ht="19.2" x14ac:dyDescent="0.4">
      <c r="A319" s="5" t="s">
        <v>525</v>
      </c>
      <c r="B319" s="5" t="s">
        <v>351</v>
      </c>
      <c r="C319" s="5">
        <v>429538</v>
      </c>
      <c r="D319" s="6"/>
      <c r="E319" s="5" t="s">
        <v>16</v>
      </c>
      <c r="F319" s="5" t="s">
        <v>173</v>
      </c>
      <c r="G319" s="5" t="s">
        <v>444</v>
      </c>
      <c r="H319" s="7" t="s">
        <v>7</v>
      </c>
      <c r="I319" s="7" t="s">
        <v>234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1</v>
      </c>
      <c r="AF319" s="7">
        <v>0</v>
      </c>
      <c r="AG319" s="8">
        <v>1000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10">
        <v>1000</v>
      </c>
      <c r="BN319" s="15">
        <f t="shared" si="10"/>
        <v>1000</v>
      </c>
      <c r="BO319" s="16">
        <f t="shared" si="11"/>
        <v>700</v>
      </c>
    </row>
    <row r="320" spans="1:67" ht="19.2" x14ac:dyDescent="0.4">
      <c r="A320" s="5" t="s">
        <v>525</v>
      </c>
      <c r="B320" s="5" t="s">
        <v>121</v>
      </c>
      <c r="C320" s="5">
        <v>425414</v>
      </c>
      <c r="D320" s="6"/>
      <c r="E320" s="5" t="s">
        <v>16</v>
      </c>
      <c r="F320" s="5" t="s">
        <v>122</v>
      </c>
      <c r="G320" s="5" t="s">
        <v>10</v>
      </c>
      <c r="H320" s="7" t="s">
        <v>7</v>
      </c>
      <c r="I320" s="7" t="s">
        <v>123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9</v>
      </c>
      <c r="AF320" s="7">
        <v>0</v>
      </c>
      <c r="AG320" s="7">
        <v>900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1</v>
      </c>
      <c r="AR320" s="7">
        <v>100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10">
        <v>1000</v>
      </c>
      <c r="BN320" s="15">
        <f t="shared" si="10"/>
        <v>1000</v>
      </c>
      <c r="BO320" s="16">
        <f t="shared" si="11"/>
        <v>700</v>
      </c>
    </row>
    <row r="321" spans="1:67" ht="19.2" x14ac:dyDescent="0.4">
      <c r="A321" s="5" t="s">
        <v>525</v>
      </c>
      <c r="B321" s="5" t="s">
        <v>414</v>
      </c>
      <c r="C321" s="5">
        <v>428409</v>
      </c>
      <c r="D321" s="6"/>
      <c r="E321" s="5" t="s">
        <v>16</v>
      </c>
      <c r="F321" s="5" t="s">
        <v>41</v>
      </c>
      <c r="G321" s="5" t="s">
        <v>34</v>
      </c>
      <c r="H321" s="7" t="s">
        <v>308</v>
      </c>
      <c r="I321" s="7" t="s">
        <v>213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2</v>
      </c>
      <c r="BJ321" s="7">
        <v>960</v>
      </c>
      <c r="BK321" s="7">
        <v>0</v>
      </c>
      <c r="BL321" s="7">
        <v>48</v>
      </c>
      <c r="BM321" s="11">
        <v>960</v>
      </c>
      <c r="BN321" s="15">
        <f t="shared" si="10"/>
        <v>912</v>
      </c>
      <c r="BO321" s="16">
        <f t="shared" si="11"/>
        <v>638.4</v>
      </c>
    </row>
    <row r="322" spans="1:67" ht="19.2" x14ac:dyDescent="0.4">
      <c r="A322" s="5" t="s">
        <v>525</v>
      </c>
      <c r="B322" s="5" t="s">
        <v>523</v>
      </c>
      <c r="C322" s="5">
        <v>392659</v>
      </c>
      <c r="D322" s="6"/>
      <c r="E322" s="5" t="s">
        <v>16</v>
      </c>
      <c r="F322" s="5" t="s">
        <v>52</v>
      </c>
      <c r="G322" s="5" t="s">
        <v>34</v>
      </c>
      <c r="H322" s="7" t="s">
        <v>308</v>
      </c>
      <c r="I322" s="7" t="s">
        <v>290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3</v>
      </c>
      <c r="AF322" s="7">
        <v>300</v>
      </c>
      <c r="AG322" s="7">
        <v>600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11">
        <v>900</v>
      </c>
      <c r="BN322" s="15">
        <f t="shared" si="10"/>
        <v>900</v>
      </c>
      <c r="BO322" s="16">
        <f t="shared" si="11"/>
        <v>630</v>
      </c>
    </row>
    <row r="323" spans="1:67" ht="19.2" x14ac:dyDescent="0.4">
      <c r="A323" s="5" t="s">
        <v>525</v>
      </c>
      <c r="B323" s="5" t="s">
        <v>453</v>
      </c>
      <c r="C323" s="5">
        <v>381693</v>
      </c>
      <c r="D323" s="6"/>
      <c r="E323" s="5" t="s">
        <v>16</v>
      </c>
      <c r="F323" s="5" t="s">
        <v>133</v>
      </c>
      <c r="G323" s="5" t="s">
        <v>34</v>
      </c>
      <c r="H323" s="7" t="s">
        <v>308</v>
      </c>
      <c r="I323" s="7" t="s">
        <v>134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2</v>
      </c>
      <c r="AF323" s="7">
        <v>680</v>
      </c>
      <c r="AG323" s="7">
        <v>200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11">
        <v>880</v>
      </c>
      <c r="BN323" s="15">
        <f t="shared" si="10"/>
        <v>880</v>
      </c>
      <c r="BO323" s="16">
        <f t="shared" si="11"/>
        <v>616</v>
      </c>
    </row>
    <row r="324" spans="1:67" ht="19.2" x14ac:dyDescent="0.4">
      <c r="A324" s="5" t="s">
        <v>525</v>
      </c>
      <c r="B324" s="5" t="s">
        <v>361</v>
      </c>
      <c r="C324" s="5">
        <v>387687</v>
      </c>
      <c r="D324" s="6"/>
      <c r="E324" s="5" t="s">
        <v>16</v>
      </c>
      <c r="F324" s="5" t="s">
        <v>120</v>
      </c>
      <c r="G324" s="5" t="s">
        <v>34</v>
      </c>
      <c r="H324" s="7" t="s">
        <v>8</v>
      </c>
      <c r="I324" s="7" t="s">
        <v>362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7</v>
      </c>
      <c r="BJ324" s="7">
        <v>840</v>
      </c>
      <c r="BK324" s="7">
        <v>0</v>
      </c>
      <c r="BL324" s="7">
        <v>42</v>
      </c>
      <c r="BM324" s="11">
        <v>840</v>
      </c>
      <c r="BN324" s="15">
        <f t="shared" si="10"/>
        <v>798</v>
      </c>
      <c r="BO324" s="16">
        <f t="shared" si="11"/>
        <v>558.59999999999991</v>
      </c>
    </row>
    <row r="325" spans="1:67" ht="19.2" x14ac:dyDescent="0.4">
      <c r="A325" s="5" t="s">
        <v>525</v>
      </c>
      <c r="B325" s="5" t="s">
        <v>238</v>
      </c>
      <c r="C325" s="5">
        <v>351033</v>
      </c>
      <c r="D325" s="6" t="s">
        <v>239</v>
      </c>
      <c r="E325" s="5" t="s">
        <v>16</v>
      </c>
      <c r="F325" s="5" t="s">
        <v>30</v>
      </c>
      <c r="G325" s="5" t="s">
        <v>10</v>
      </c>
      <c r="H325" s="7" t="s">
        <v>7</v>
      </c>
      <c r="I325" s="7" t="s">
        <v>240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6</v>
      </c>
      <c r="AF325" s="7">
        <v>720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11">
        <v>720</v>
      </c>
      <c r="BN325" s="15">
        <f t="shared" si="10"/>
        <v>720</v>
      </c>
      <c r="BO325" s="16">
        <f t="shared" si="11"/>
        <v>503.99999999999994</v>
      </c>
    </row>
    <row r="326" spans="1:67" ht="19.2" x14ac:dyDescent="0.4">
      <c r="A326" s="5" t="s">
        <v>525</v>
      </c>
      <c r="B326" s="5" t="s">
        <v>524</v>
      </c>
      <c r="C326" s="5">
        <v>444218</v>
      </c>
      <c r="D326" s="6"/>
      <c r="E326" s="5" t="s">
        <v>16</v>
      </c>
      <c r="F326" s="5" t="s">
        <v>130</v>
      </c>
      <c r="G326" s="5" t="s">
        <v>34</v>
      </c>
      <c r="H326" s="7" t="s">
        <v>308</v>
      </c>
      <c r="I326" s="7" t="s">
        <v>403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2</v>
      </c>
      <c r="AF326" s="7">
        <v>480</v>
      </c>
      <c r="AG326" s="7">
        <v>200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11">
        <v>680</v>
      </c>
      <c r="BN326" s="15">
        <f t="shared" si="10"/>
        <v>680</v>
      </c>
      <c r="BO326" s="16">
        <f t="shared" si="11"/>
        <v>475.99999999999994</v>
      </c>
    </row>
    <row r="327" spans="1:67" ht="19.2" x14ac:dyDescent="0.4">
      <c r="A327" s="5" t="s">
        <v>525</v>
      </c>
      <c r="B327" s="5" t="s">
        <v>352</v>
      </c>
      <c r="C327" s="5">
        <v>384107</v>
      </c>
      <c r="D327" s="6"/>
      <c r="E327" s="5" t="s">
        <v>16</v>
      </c>
      <c r="F327" s="5" t="s">
        <v>353</v>
      </c>
      <c r="G327" s="5" t="s">
        <v>34</v>
      </c>
      <c r="H327" s="7" t="s">
        <v>308</v>
      </c>
      <c r="I327" s="7" t="s">
        <v>354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5</v>
      </c>
      <c r="BJ327" s="7">
        <v>600</v>
      </c>
      <c r="BK327" s="7">
        <v>0</v>
      </c>
      <c r="BL327" s="7">
        <v>30</v>
      </c>
      <c r="BM327" s="11">
        <v>600</v>
      </c>
      <c r="BN327" s="15">
        <f t="shared" si="10"/>
        <v>570</v>
      </c>
      <c r="BO327" s="16">
        <f t="shared" si="11"/>
        <v>399</v>
      </c>
    </row>
    <row r="328" spans="1:67" ht="19.2" x14ac:dyDescent="0.4">
      <c r="A328" s="5" t="s">
        <v>525</v>
      </c>
      <c r="B328" s="5" t="s">
        <v>355</v>
      </c>
      <c r="C328" s="5">
        <v>356294</v>
      </c>
      <c r="D328" s="6"/>
      <c r="E328" s="5" t="s">
        <v>16</v>
      </c>
      <c r="F328" s="5" t="s">
        <v>41</v>
      </c>
      <c r="G328" s="5" t="s">
        <v>34</v>
      </c>
      <c r="H328" s="7" t="s">
        <v>8</v>
      </c>
      <c r="I328" s="7" t="s">
        <v>205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5</v>
      </c>
      <c r="AF328" s="7">
        <v>120</v>
      </c>
      <c r="AG328" s="7">
        <v>400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11">
        <v>520</v>
      </c>
      <c r="BN328" s="15">
        <f t="shared" si="10"/>
        <v>520</v>
      </c>
      <c r="BO328" s="16">
        <f t="shared" si="11"/>
        <v>364</v>
      </c>
    </row>
    <row r="329" spans="1:67" ht="19.2" x14ac:dyDescent="0.4">
      <c r="A329" s="5" t="s">
        <v>525</v>
      </c>
      <c r="B329" s="5" t="s">
        <v>178</v>
      </c>
      <c r="C329" s="5">
        <v>316658</v>
      </c>
      <c r="D329" s="6"/>
      <c r="E329" s="5" t="s">
        <v>16</v>
      </c>
      <c r="F329" s="5" t="s">
        <v>66</v>
      </c>
      <c r="G329" s="5" t="s">
        <v>10</v>
      </c>
      <c r="H329" s="7" t="s">
        <v>7</v>
      </c>
      <c r="I329" s="7" t="s">
        <v>179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4</v>
      </c>
      <c r="AF329" s="7">
        <v>480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11">
        <v>480</v>
      </c>
      <c r="BN329" s="15">
        <f t="shared" si="10"/>
        <v>480</v>
      </c>
      <c r="BO329" s="16">
        <f t="shared" si="11"/>
        <v>336</v>
      </c>
    </row>
    <row r="330" spans="1:67" ht="19.2" x14ac:dyDescent="0.4">
      <c r="A330" s="5" t="s">
        <v>525</v>
      </c>
      <c r="B330" s="5" t="s">
        <v>226</v>
      </c>
      <c r="C330" s="5">
        <v>399878</v>
      </c>
      <c r="D330" s="6"/>
      <c r="E330" s="5" t="s">
        <v>16</v>
      </c>
      <c r="F330" s="5" t="s">
        <v>227</v>
      </c>
      <c r="G330" s="5" t="s">
        <v>34</v>
      </c>
      <c r="H330" s="7" t="s">
        <v>8</v>
      </c>
      <c r="I330" s="7" t="s">
        <v>228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2</v>
      </c>
      <c r="AF330" s="7">
        <v>240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2</v>
      </c>
      <c r="AR330" s="7">
        <v>200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11">
        <v>440</v>
      </c>
      <c r="BN330" s="15">
        <f t="shared" si="10"/>
        <v>440</v>
      </c>
      <c r="BO330" s="16">
        <f t="shared" si="11"/>
        <v>308</v>
      </c>
    </row>
    <row r="331" spans="1:67" ht="19.2" x14ac:dyDescent="0.4">
      <c r="A331" s="5" t="s">
        <v>525</v>
      </c>
      <c r="B331" s="5" t="s">
        <v>281</v>
      </c>
      <c r="C331" s="5">
        <v>416378</v>
      </c>
      <c r="D331" s="6"/>
      <c r="E331" s="5" t="s">
        <v>16</v>
      </c>
      <c r="F331" s="5" t="s">
        <v>125</v>
      </c>
      <c r="G331" s="5" t="s">
        <v>34</v>
      </c>
      <c r="H331" s="7" t="s">
        <v>8</v>
      </c>
      <c r="I331" s="7" t="s">
        <v>282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3</v>
      </c>
      <c r="AF331" s="7">
        <v>360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11">
        <v>360</v>
      </c>
      <c r="BN331" s="15">
        <f t="shared" si="10"/>
        <v>360</v>
      </c>
      <c r="BO331" s="16">
        <f t="shared" si="11"/>
        <v>251.99999999999997</v>
      </c>
    </row>
    <row r="332" spans="1:67" ht="19.2" x14ac:dyDescent="0.4">
      <c r="A332" s="5" t="s">
        <v>525</v>
      </c>
      <c r="B332" s="5" t="s">
        <v>441</v>
      </c>
      <c r="C332" s="5">
        <v>360192</v>
      </c>
      <c r="D332" s="6"/>
      <c r="E332" s="5" t="s">
        <v>16</v>
      </c>
      <c r="F332" s="5" t="s">
        <v>400</v>
      </c>
      <c r="G332" s="5" t="s">
        <v>34</v>
      </c>
      <c r="H332" s="7" t="s">
        <v>8</v>
      </c>
      <c r="I332" s="7" t="s">
        <v>442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3</v>
      </c>
      <c r="AF332" s="7">
        <v>360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11">
        <v>360</v>
      </c>
      <c r="BN332" s="15">
        <f t="shared" si="10"/>
        <v>360</v>
      </c>
      <c r="BO332" s="16">
        <f t="shared" si="11"/>
        <v>251.99999999999997</v>
      </c>
    </row>
    <row r="333" spans="1:67" ht="19.2" x14ac:dyDescent="0.4">
      <c r="A333" s="5" t="s">
        <v>525</v>
      </c>
      <c r="B333" s="5" t="s">
        <v>283</v>
      </c>
      <c r="C333" s="5">
        <v>381070</v>
      </c>
      <c r="D333" s="6"/>
      <c r="E333" s="5" t="s">
        <v>16</v>
      </c>
      <c r="F333" s="5" t="s">
        <v>284</v>
      </c>
      <c r="G333" s="5" t="s">
        <v>34</v>
      </c>
      <c r="H333" s="7" t="s">
        <v>8</v>
      </c>
      <c r="I333" s="7" t="s">
        <v>285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3</v>
      </c>
      <c r="AF333" s="7">
        <v>0</v>
      </c>
      <c r="AG333" s="7">
        <v>300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11">
        <v>300</v>
      </c>
      <c r="BN333" s="15">
        <f t="shared" si="10"/>
        <v>300</v>
      </c>
      <c r="BO333" s="16">
        <f t="shared" si="11"/>
        <v>210</v>
      </c>
    </row>
    <row r="334" spans="1:67" ht="19.2" x14ac:dyDescent="0.4">
      <c r="A334" s="5" t="s">
        <v>525</v>
      </c>
      <c r="B334" s="5" t="s">
        <v>480</v>
      </c>
      <c r="C334" s="5">
        <v>350655</v>
      </c>
      <c r="D334" s="6"/>
      <c r="E334" s="5" t="s">
        <v>16</v>
      </c>
      <c r="F334" s="5" t="s">
        <v>269</v>
      </c>
      <c r="G334" s="5" t="s">
        <v>34</v>
      </c>
      <c r="H334" s="7" t="s">
        <v>8</v>
      </c>
      <c r="I334" s="7" t="s">
        <v>481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1</v>
      </c>
      <c r="BJ334" s="7">
        <v>120</v>
      </c>
      <c r="BK334" s="7">
        <v>0</v>
      </c>
      <c r="BL334" s="7">
        <v>6</v>
      </c>
      <c r="BM334" s="11">
        <v>120</v>
      </c>
      <c r="BN334" s="15">
        <f t="shared" si="10"/>
        <v>114</v>
      </c>
      <c r="BO334" s="16">
        <f t="shared" si="11"/>
        <v>79.8</v>
      </c>
    </row>
    <row r="335" spans="1:67" ht="19.2" x14ac:dyDescent="0.4">
      <c r="A335" s="5" t="s">
        <v>525</v>
      </c>
      <c r="B335" s="5" t="s">
        <v>102</v>
      </c>
      <c r="C335" s="5">
        <v>394830</v>
      </c>
      <c r="D335" s="6"/>
      <c r="E335" s="5" t="s">
        <v>16</v>
      </c>
      <c r="F335" s="5" t="s">
        <v>41</v>
      </c>
      <c r="G335" s="5" t="s">
        <v>34</v>
      </c>
      <c r="H335" s="7" t="s">
        <v>8</v>
      </c>
      <c r="I335" s="7" t="s">
        <v>103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1</v>
      </c>
      <c r="BJ335" s="7">
        <v>120</v>
      </c>
      <c r="BK335" s="7">
        <v>0</v>
      </c>
      <c r="BL335" s="7">
        <v>6</v>
      </c>
      <c r="BM335" s="11">
        <v>120</v>
      </c>
      <c r="BN335" s="15">
        <f t="shared" si="10"/>
        <v>114</v>
      </c>
      <c r="BO335" s="16">
        <f t="shared" si="11"/>
        <v>79.8</v>
      </c>
    </row>
    <row r="336" spans="1:67" ht="19.2" x14ac:dyDescent="0.4">
      <c r="A336" s="5" t="s">
        <v>525</v>
      </c>
      <c r="B336" s="5" t="s">
        <v>350</v>
      </c>
      <c r="C336" s="5">
        <v>408191</v>
      </c>
      <c r="D336" s="6"/>
      <c r="E336" s="5" t="s">
        <v>16</v>
      </c>
      <c r="F336" s="5" t="s">
        <v>130</v>
      </c>
      <c r="G336" s="5" t="s">
        <v>34</v>
      </c>
      <c r="H336" s="7" t="s">
        <v>8</v>
      </c>
      <c r="I336" s="7" t="s">
        <v>232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1</v>
      </c>
      <c r="BJ336" s="7">
        <v>120</v>
      </c>
      <c r="BK336" s="7">
        <v>0</v>
      </c>
      <c r="BL336" s="7">
        <v>6</v>
      </c>
      <c r="BM336" s="11">
        <v>120</v>
      </c>
      <c r="BN336" s="15">
        <f t="shared" si="10"/>
        <v>114</v>
      </c>
      <c r="BO336" s="16">
        <f t="shared" si="11"/>
        <v>79.8</v>
      </c>
    </row>
    <row r="337" spans="1:67" ht="19.2" x14ac:dyDescent="0.4">
      <c r="A337" s="5" t="s">
        <v>525</v>
      </c>
      <c r="B337" s="5" t="s">
        <v>304</v>
      </c>
      <c r="C337" s="5">
        <v>377088</v>
      </c>
      <c r="D337" s="6"/>
      <c r="E337" s="5" t="s">
        <v>16</v>
      </c>
      <c r="F337" s="5" t="s">
        <v>305</v>
      </c>
      <c r="G337" s="5" t="s">
        <v>34</v>
      </c>
      <c r="H337" s="7" t="s">
        <v>8</v>
      </c>
      <c r="I337" s="7" t="s">
        <v>306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1</v>
      </c>
      <c r="AR337" s="7">
        <v>100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11">
        <v>100</v>
      </c>
      <c r="BN337" s="15">
        <f t="shared" si="10"/>
        <v>100</v>
      </c>
      <c r="BO337" s="16">
        <f t="shared" si="11"/>
        <v>70</v>
      </c>
    </row>
    <row r="338" spans="1:67" ht="19.2" x14ac:dyDescent="0.4">
      <c r="A338" s="5" t="s">
        <v>525</v>
      </c>
      <c r="B338" s="5" t="s">
        <v>186</v>
      </c>
      <c r="C338" s="5">
        <v>423328</v>
      </c>
      <c r="D338" s="6"/>
      <c r="E338" s="5" t="s">
        <v>16</v>
      </c>
      <c r="F338" s="5" t="s">
        <v>30</v>
      </c>
      <c r="G338" s="5" t="s">
        <v>10</v>
      </c>
      <c r="H338" s="7" t="s">
        <v>7</v>
      </c>
      <c r="I338" s="7" t="s">
        <v>187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1</v>
      </c>
      <c r="AR338" s="7">
        <v>100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11">
        <v>100</v>
      </c>
      <c r="BN338" s="15">
        <f t="shared" si="10"/>
        <v>100</v>
      </c>
      <c r="BO338" s="16">
        <f t="shared" si="11"/>
        <v>70</v>
      </c>
    </row>
    <row r="339" spans="1:67" ht="19.2" x14ac:dyDescent="0.4">
      <c r="A339" s="5" t="s">
        <v>525</v>
      </c>
      <c r="B339" s="5" t="s">
        <v>217</v>
      </c>
      <c r="C339" s="5">
        <v>434877</v>
      </c>
      <c r="D339" s="6"/>
      <c r="E339" s="5" t="s">
        <v>16</v>
      </c>
      <c r="F339" s="5" t="s">
        <v>218</v>
      </c>
      <c r="G339" s="5" t="s">
        <v>10</v>
      </c>
      <c r="H339" s="7" t="s">
        <v>7</v>
      </c>
      <c r="I339" s="7" t="s">
        <v>219</v>
      </c>
      <c r="J339" s="7">
        <v>1</v>
      </c>
      <c r="K339" s="7">
        <v>0</v>
      </c>
      <c r="L339" s="7">
        <v>100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11">
        <v>100</v>
      </c>
      <c r="BN339" s="15">
        <f t="shared" si="10"/>
        <v>100</v>
      </c>
      <c r="BO339" s="16">
        <f t="shared" si="11"/>
        <v>70</v>
      </c>
    </row>
    <row r="340" spans="1:67" ht="19.2" x14ac:dyDescent="0.4">
      <c r="A340" s="5" t="s">
        <v>525</v>
      </c>
      <c r="B340" s="5" t="s">
        <v>212</v>
      </c>
      <c r="C340" s="5">
        <v>415992</v>
      </c>
      <c r="D340" s="6"/>
      <c r="E340" s="5" t="s">
        <v>16</v>
      </c>
      <c r="F340" s="5" t="s">
        <v>41</v>
      </c>
      <c r="G340" s="5" t="s">
        <v>34</v>
      </c>
      <c r="H340" s="7" t="s">
        <v>8</v>
      </c>
      <c r="I340" s="7" t="s">
        <v>213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1</v>
      </c>
      <c r="AR340" s="7">
        <v>100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11">
        <v>100</v>
      </c>
      <c r="BN340" s="15">
        <f t="shared" si="10"/>
        <v>100</v>
      </c>
      <c r="BO340" s="16">
        <f t="shared" si="11"/>
        <v>70</v>
      </c>
    </row>
    <row r="341" spans="1:67" ht="19.2" x14ac:dyDescent="0.4">
      <c r="A341" s="5" t="s">
        <v>525</v>
      </c>
      <c r="B341" s="5" t="s">
        <v>93</v>
      </c>
      <c r="C341" s="5">
        <v>211158</v>
      </c>
      <c r="D341" s="6"/>
      <c r="E341" s="5" t="s">
        <v>16</v>
      </c>
      <c r="F341" s="5" t="s">
        <v>30</v>
      </c>
      <c r="G341" s="5" t="s">
        <v>10</v>
      </c>
      <c r="H341" s="7" t="s">
        <v>7</v>
      </c>
      <c r="I341" s="7" t="s">
        <v>94</v>
      </c>
      <c r="J341" s="7">
        <v>1</v>
      </c>
      <c r="K341" s="7">
        <v>0</v>
      </c>
      <c r="L341" s="7">
        <v>100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11">
        <v>100</v>
      </c>
      <c r="BN341" s="15">
        <f t="shared" si="10"/>
        <v>100</v>
      </c>
      <c r="BO341" s="16">
        <f t="shared" si="11"/>
        <v>70</v>
      </c>
    </row>
    <row r="342" spans="1:67" ht="19.2" x14ac:dyDescent="0.4">
      <c r="A342" s="5" t="s">
        <v>525</v>
      </c>
      <c r="B342" s="5" t="s">
        <v>124</v>
      </c>
      <c r="C342" s="5">
        <v>386704</v>
      </c>
      <c r="D342" s="6"/>
      <c r="E342" s="5" t="s">
        <v>16</v>
      </c>
      <c r="F342" s="5" t="s">
        <v>125</v>
      </c>
      <c r="G342" s="5" t="s">
        <v>34</v>
      </c>
      <c r="H342" s="7" t="s">
        <v>8</v>
      </c>
      <c r="I342" s="7" t="s">
        <v>126</v>
      </c>
      <c r="J342" s="7">
        <v>0</v>
      </c>
      <c r="K342" s="7">
        <v>6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11">
        <v>0</v>
      </c>
      <c r="BN342" s="15">
        <f t="shared" si="10"/>
        <v>0</v>
      </c>
      <c r="BO342" s="16">
        <f t="shared" si="11"/>
        <v>0</v>
      </c>
    </row>
    <row r="343" spans="1:67" x14ac:dyDescent="0.4">
      <c r="A343" s="5" t="s">
        <v>531</v>
      </c>
      <c r="B343" s="5" t="s">
        <v>15</v>
      </c>
      <c r="C343" s="5">
        <v>465248</v>
      </c>
      <c r="D343" s="6"/>
      <c r="E343" s="5" t="s">
        <v>16</v>
      </c>
      <c r="F343" s="5" t="s">
        <v>17</v>
      </c>
      <c r="G343" s="5" t="s">
        <v>457</v>
      </c>
      <c r="H343" s="7" t="s">
        <v>9</v>
      </c>
      <c r="I343" s="7" t="s">
        <v>18</v>
      </c>
      <c r="J343" s="7">
        <v>67</v>
      </c>
      <c r="K343" s="8">
        <v>20101</v>
      </c>
      <c r="L343" s="8">
        <v>6700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8">
        <v>13023</v>
      </c>
      <c r="AF343" s="8">
        <v>1137120</v>
      </c>
      <c r="AG343" s="8">
        <v>165300</v>
      </c>
      <c r="AH343" s="7">
        <v>0</v>
      </c>
      <c r="AI343" s="7">
        <v>0</v>
      </c>
      <c r="AJ343" s="7">
        <v>0</v>
      </c>
      <c r="AK343" s="8">
        <v>13434</v>
      </c>
      <c r="AL343" s="8">
        <v>977428</v>
      </c>
      <c r="AM343" s="8">
        <v>534900</v>
      </c>
      <c r="AN343" s="7">
        <v>0</v>
      </c>
      <c r="AO343" s="7">
        <v>0</v>
      </c>
      <c r="AP343" s="7">
        <v>0</v>
      </c>
      <c r="AQ343" s="8">
        <v>5001</v>
      </c>
      <c r="AR343" s="8">
        <v>485000</v>
      </c>
      <c r="AS343" s="8">
        <v>15100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77</v>
      </c>
      <c r="BD343" s="8">
        <v>9240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9">
        <v>293782.8</v>
      </c>
      <c r="BM343" s="10">
        <v>3330788</v>
      </c>
      <c r="BN343" s="15">
        <f t="shared" si="10"/>
        <v>3037005.2</v>
      </c>
      <c r="BO343" s="16">
        <f t="shared" si="11"/>
        <v>2125903.64</v>
      </c>
    </row>
    <row r="344" spans="1:67" x14ac:dyDescent="0.4">
      <c r="A344" s="5" t="s">
        <v>531</v>
      </c>
      <c r="B344" s="5" t="s">
        <v>421</v>
      </c>
      <c r="C344" s="5">
        <v>472512</v>
      </c>
      <c r="D344" s="6"/>
      <c r="E344" s="5" t="s">
        <v>16</v>
      </c>
      <c r="F344" s="5" t="s">
        <v>39</v>
      </c>
      <c r="G344" s="5" t="s">
        <v>10</v>
      </c>
      <c r="H344" s="7" t="s">
        <v>7</v>
      </c>
      <c r="I344" s="7" t="s">
        <v>456</v>
      </c>
      <c r="J344" s="7">
        <v>6</v>
      </c>
      <c r="K344" s="8">
        <v>9853</v>
      </c>
      <c r="L344" s="7">
        <v>600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410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8">
        <v>12568</v>
      </c>
      <c r="AF344" s="8">
        <v>1170020</v>
      </c>
      <c r="AG344" s="8">
        <v>88700</v>
      </c>
      <c r="AH344" s="7">
        <v>0</v>
      </c>
      <c r="AI344" s="7">
        <v>0</v>
      </c>
      <c r="AJ344" s="7">
        <v>0</v>
      </c>
      <c r="AK344" s="8">
        <v>10701</v>
      </c>
      <c r="AL344" s="8">
        <v>887738</v>
      </c>
      <c r="AM344" s="8">
        <v>334300</v>
      </c>
      <c r="AN344" s="7">
        <v>0</v>
      </c>
      <c r="AO344" s="7">
        <v>0</v>
      </c>
      <c r="AP344" s="7">
        <v>0</v>
      </c>
      <c r="AQ344" s="8">
        <v>4719</v>
      </c>
      <c r="AR344" s="8">
        <v>459800</v>
      </c>
      <c r="AS344" s="8">
        <v>12100</v>
      </c>
      <c r="AT344" s="7">
        <v>0</v>
      </c>
      <c r="AU344" s="7">
        <v>0</v>
      </c>
      <c r="AV344" s="7">
        <v>0</v>
      </c>
      <c r="AW344" s="7">
        <v>19</v>
      </c>
      <c r="AX344" s="8">
        <v>2268</v>
      </c>
      <c r="AY344" s="7">
        <v>0</v>
      </c>
      <c r="AZ344" s="7">
        <v>0</v>
      </c>
      <c r="BA344" s="7">
        <v>0</v>
      </c>
      <c r="BB344" s="7">
        <v>0</v>
      </c>
      <c r="BC344" s="7">
        <v>317</v>
      </c>
      <c r="BD344" s="8">
        <v>38040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9">
        <v>268830.59999999998</v>
      </c>
      <c r="BM344" s="10">
        <v>2993566</v>
      </c>
      <c r="BN344" s="15">
        <f t="shared" si="10"/>
        <v>2724735.4</v>
      </c>
      <c r="BO344" s="16">
        <f t="shared" si="11"/>
        <v>1907314.7799999998</v>
      </c>
    </row>
    <row r="345" spans="1:67" x14ac:dyDescent="0.4">
      <c r="A345" s="5" t="s">
        <v>531</v>
      </c>
      <c r="B345" s="5" t="s">
        <v>19</v>
      </c>
      <c r="C345" s="5">
        <v>463799</v>
      </c>
      <c r="D345" s="6"/>
      <c r="E345" s="5" t="s">
        <v>16</v>
      </c>
      <c r="F345" s="5" t="s">
        <v>20</v>
      </c>
      <c r="G345" s="5" t="s">
        <v>10</v>
      </c>
      <c r="H345" s="7" t="s">
        <v>7</v>
      </c>
      <c r="I345" s="7" t="s">
        <v>21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8">
        <v>1014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8">
        <v>6282</v>
      </c>
      <c r="AF345" s="8">
        <v>615060</v>
      </c>
      <c r="AG345" s="8">
        <v>13300</v>
      </c>
      <c r="AH345" s="7">
        <v>0</v>
      </c>
      <c r="AI345" s="7">
        <v>0</v>
      </c>
      <c r="AJ345" s="7">
        <v>0</v>
      </c>
      <c r="AK345" s="8">
        <v>6575</v>
      </c>
      <c r="AL345" s="8">
        <v>765120</v>
      </c>
      <c r="AM345" s="8">
        <v>19900</v>
      </c>
      <c r="AN345" s="7">
        <v>0</v>
      </c>
      <c r="AO345" s="7">
        <v>0</v>
      </c>
      <c r="AP345" s="7">
        <v>0</v>
      </c>
      <c r="AQ345" s="8">
        <v>5586</v>
      </c>
      <c r="AR345" s="8">
        <v>538100</v>
      </c>
      <c r="AS345" s="8">
        <v>20500</v>
      </c>
      <c r="AT345" s="7">
        <v>0</v>
      </c>
      <c r="AU345" s="7">
        <v>0</v>
      </c>
      <c r="AV345" s="7">
        <v>0</v>
      </c>
      <c r="AW345" s="7">
        <v>323</v>
      </c>
      <c r="AX345" s="8">
        <v>38706</v>
      </c>
      <c r="AY345" s="7">
        <v>0</v>
      </c>
      <c r="AZ345" s="7">
        <v>0</v>
      </c>
      <c r="BA345" s="7">
        <v>0</v>
      </c>
      <c r="BB345" s="7">
        <v>0</v>
      </c>
      <c r="BC345" s="7">
        <v>99</v>
      </c>
      <c r="BD345" s="8">
        <v>11880</v>
      </c>
      <c r="BE345" s="7">
        <v>0</v>
      </c>
      <c r="BF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9">
        <v>234119.4</v>
      </c>
      <c r="BM345" s="10">
        <v>2022566</v>
      </c>
      <c r="BN345" s="15">
        <f t="shared" si="10"/>
        <v>1788446.6</v>
      </c>
      <c r="BO345" s="16">
        <f t="shared" si="11"/>
        <v>1251912.6199999999</v>
      </c>
    </row>
    <row r="346" spans="1:67" x14ac:dyDescent="0.4">
      <c r="A346" s="5" t="s">
        <v>531</v>
      </c>
      <c r="B346" s="5" t="s">
        <v>132</v>
      </c>
      <c r="C346" s="5">
        <v>359912</v>
      </c>
      <c r="D346" s="6"/>
      <c r="E346" s="5" t="s">
        <v>16</v>
      </c>
      <c r="F346" s="5" t="s">
        <v>133</v>
      </c>
      <c r="G346" s="5" t="s">
        <v>34</v>
      </c>
      <c r="H346" s="7" t="s">
        <v>8</v>
      </c>
      <c r="I346" s="7" t="s">
        <v>422</v>
      </c>
      <c r="J346" s="7">
        <v>0</v>
      </c>
      <c r="K346" s="8">
        <v>38089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11</v>
      </c>
      <c r="T346" s="7">
        <v>476</v>
      </c>
      <c r="U346" s="7">
        <v>500</v>
      </c>
      <c r="V346" s="7">
        <v>0</v>
      </c>
      <c r="W346" s="7">
        <v>0</v>
      </c>
      <c r="X346" s="7">
        <v>654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8">
        <v>3648</v>
      </c>
      <c r="AF346" s="8">
        <v>327380</v>
      </c>
      <c r="AG346" s="8">
        <v>38300</v>
      </c>
      <c r="AH346" s="7">
        <v>0</v>
      </c>
      <c r="AI346" s="7">
        <v>0</v>
      </c>
      <c r="AJ346" s="7">
        <v>0</v>
      </c>
      <c r="AK346" s="8">
        <v>5577</v>
      </c>
      <c r="AL346" s="8">
        <v>427889</v>
      </c>
      <c r="AM346" s="8">
        <v>205000</v>
      </c>
      <c r="AN346" s="7">
        <v>0</v>
      </c>
      <c r="AO346" s="7">
        <v>0</v>
      </c>
      <c r="AP346" s="7">
        <v>0</v>
      </c>
      <c r="AQ346" s="7">
        <v>834</v>
      </c>
      <c r="AR346" s="8">
        <v>81700</v>
      </c>
      <c r="AS346" s="8">
        <v>1700</v>
      </c>
      <c r="AT346" s="7">
        <v>0</v>
      </c>
      <c r="AU346" s="7">
        <v>0</v>
      </c>
      <c r="AV346" s="7">
        <v>0</v>
      </c>
      <c r="AW346" s="7">
        <v>3</v>
      </c>
      <c r="AX346" s="7">
        <v>360</v>
      </c>
      <c r="AY346" s="7">
        <v>0</v>
      </c>
      <c r="AZ346" s="7">
        <v>0</v>
      </c>
      <c r="BA346" s="7">
        <v>0</v>
      </c>
      <c r="BB346" s="7">
        <v>0</v>
      </c>
      <c r="BC346" s="7">
        <v>21</v>
      </c>
      <c r="BD346" s="8">
        <v>2520</v>
      </c>
      <c r="BE346" s="7">
        <v>0</v>
      </c>
      <c r="BF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9">
        <v>128750.1</v>
      </c>
      <c r="BM346" s="10">
        <v>1086003</v>
      </c>
      <c r="BN346" s="15">
        <f t="shared" si="10"/>
        <v>957252.9</v>
      </c>
      <c r="BO346" s="16">
        <f t="shared" si="11"/>
        <v>670077.03</v>
      </c>
    </row>
    <row r="347" spans="1:67" x14ac:dyDescent="0.4">
      <c r="A347" s="5" t="s">
        <v>531</v>
      </c>
      <c r="B347" s="5" t="s">
        <v>36</v>
      </c>
      <c r="C347" s="5">
        <v>178856</v>
      </c>
      <c r="D347" s="6"/>
      <c r="E347" s="5" t="s">
        <v>16</v>
      </c>
      <c r="F347" s="5" t="s">
        <v>30</v>
      </c>
      <c r="G347" s="5" t="s">
        <v>10</v>
      </c>
      <c r="H347" s="7" t="s">
        <v>9</v>
      </c>
      <c r="I347" s="7" t="s">
        <v>37</v>
      </c>
      <c r="J347" s="7">
        <v>0</v>
      </c>
      <c r="K347" s="7">
        <v>5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11</v>
      </c>
      <c r="T347" s="7">
        <v>683</v>
      </c>
      <c r="U347" s="7">
        <v>0</v>
      </c>
      <c r="V347" s="8">
        <v>1100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8">
        <v>2316</v>
      </c>
      <c r="AF347" s="8">
        <v>207300</v>
      </c>
      <c r="AG347" s="8">
        <v>24300</v>
      </c>
      <c r="AH347" s="7">
        <v>0</v>
      </c>
      <c r="AI347" s="7">
        <v>0</v>
      </c>
      <c r="AJ347" s="7">
        <v>0</v>
      </c>
      <c r="AK347" s="7">
        <v>963</v>
      </c>
      <c r="AL347" s="8">
        <v>58788</v>
      </c>
      <c r="AM347" s="8">
        <v>46800</v>
      </c>
      <c r="AN347" s="7">
        <v>0</v>
      </c>
      <c r="AO347" s="7">
        <v>0</v>
      </c>
      <c r="AP347" s="7">
        <v>0</v>
      </c>
      <c r="AQ347" s="8">
        <v>1156</v>
      </c>
      <c r="AR347" s="8">
        <v>112800</v>
      </c>
      <c r="AS347" s="8">
        <v>2800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9">
        <v>17636.400000000001</v>
      </c>
      <c r="BM347" s="10">
        <v>453888</v>
      </c>
      <c r="BN347" s="15">
        <f t="shared" si="10"/>
        <v>436251.6</v>
      </c>
      <c r="BO347" s="16">
        <f t="shared" si="11"/>
        <v>305376.11999999994</v>
      </c>
    </row>
    <row r="348" spans="1:67" x14ac:dyDescent="0.4">
      <c r="A348" s="5" t="s">
        <v>531</v>
      </c>
      <c r="B348" s="5" t="s">
        <v>65</v>
      </c>
      <c r="C348" s="5">
        <v>387417</v>
      </c>
      <c r="D348" s="6"/>
      <c r="E348" s="5" t="s">
        <v>16</v>
      </c>
      <c r="F348" s="5" t="s">
        <v>66</v>
      </c>
      <c r="G348" s="5" t="s">
        <v>10</v>
      </c>
      <c r="H348" s="7" t="s">
        <v>7</v>
      </c>
      <c r="I348" s="7" t="s">
        <v>67</v>
      </c>
      <c r="J348" s="7">
        <v>0</v>
      </c>
      <c r="K348" s="7">
        <v>779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148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612</v>
      </c>
      <c r="AF348" s="8">
        <v>59700</v>
      </c>
      <c r="AG348" s="8">
        <v>1500</v>
      </c>
      <c r="AH348" s="7">
        <v>0</v>
      </c>
      <c r="AI348" s="7">
        <v>0</v>
      </c>
      <c r="AJ348" s="7">
        <v>0</v>
      </c>
      <c r="AK348" s="8">
        <v>1424</v>
      </c>
      <c r="AL348" s="8">
        <v>153122</v>
      </c>
      <c r="AM348" s="8">
        <v>15700</v>
      </c>
      <c r="AN348" s="7">
        <v>0</v>
      </c>
      <c r="AO348" s="7">
        <v>0</v>
      </c>
      <c r="AP348" s="7">
        <v>0</v>
      </c>
      <c r="AQ348" s="8">
        <v>1548</v>
      </c>
      <c r="AR348" s="8">
        <v>152800</v>
      </c>
      <c r="AS348" s="8">
        <v>2000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9">
        <v>45936.6</v>
      </c>
      <c r="BM348" s="10">
        <v>384822</v>
      </c>
      <c r="BN348" s="15">
        <f t="shared" si="10"/>
        <v>338885.4</v>
      </c>
      <c r="BO348" s="16">
        <f t="shared" si="11"/>
        <v>237219.78</v>
      </c>
    </row>
    <row r="349" spans="1:67" ht="19.2" x14ac:dyDescent="0.4">
      <c r="A349" s="5" t="s">
        <v>531</v>
      </c>
      <c r="B349" s="5" t="s">
        <v>29</v>
      </c>
      <c r="C349" s="5">
        <v>369220</v>
      </c>
      <c r="D349" s="6"/>
      <c r="E349" s="5" t="s">
        <v>16</v>
      </c>
      <c r="F349" s="5" t="s">
        <v>30</v>
      </c>
      <c r="G349" s="5" t="s">
        <v>10</v>
      </c>
      <c r="H349" s="7" t="s">
        <v>7</v>
      </c>
      <c r="I349" s="7" t="s">
        <v>31</v>
      </c>
      <c r="J349" s="7">
        <v>0</v>
      </c>
      <c r="K349" s="7">
        <v>13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127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8">
        <v>1351</v>
      </c>
      <c r="AF349" s="8">
        <v>116500</v>
      </c>
      <c r="AG349" s="8">
        <v>18600</v>
      </c>
      <c r="AH349" s="7">
        <v>0</v>
      </c>
      <c r="AI349" s="7">
        <v>0</v>
      </c>
      <c r="AJ349" s="7">
        <v>0</v>
      </c>
      <c r="AK349" s="7">
        <v>740</v>
      </c>
      <c r="AL349" s="8">
        <v>53514</v>
      </c>
      <c r="AM349" s="8">
        <v>29300</v>
      </c>
      <c r="AN349" s="7">
        <v>0</v>
      </c>
      <c r="AO349" s="7">
        <v>0</v>
      </c>
      <c r="AP349" s="7">
        <v>0</v>
      </c>
      <c r="AQ349" s="8">
        <v>1635</v>
      </c>
      <c r="AR349" s="8">
        <v>160900</v>
      </c>
      <c r="AS349" s="8">
        <v>2600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9">
        <v>16054.2</v>
      </c>
      <c r="BM349" s="10">
        <v>381414</v>
      </c>
      <c r="BN349" s="15">
        <f t="shared" si="10"/>
        <v>365359.8</v>
      </c>
      <c r="BO349" s="16">
        <f t="shared" si="11"/>
        <v>255751.86</v>
      </c>
    </row>
    <row r="350" spans="1:67" ht="19.2" x14ac:dyDescent="0.4">
      <c r="A350" s="5" t="s">
        <v>531</v>
      </c>
      <c r="B350" s="5" t="s">
        <v>38</v>
      </c>
      <c r="C350" s="5">
        <v>454534</v>
      </c>
      <c r="D350" s="6"/>
      <c r="E350" s="5" t="s">
        <v>16</v>
      </c>
      <c r="F350" s="5" t="s">
        <v>39</v>
      </c>
      <c r="G350" s="5" t="s">
        <v>10</v>
      </c>
      <c r="H350" s="7" t="s">
        <v>7</v>
      </c>
      <c r="I350" s="7" t="s">
        <v>458</v>
      </c>
      <c r="J350" s="7">
        <v>0</v>
      </c>
      <c r="K350" s="8">
        <v>3310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51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736</v>
      </c>
      <c r="AF350" s="8">
        <v>58000</v>
      </c>
      <c r="AG350" s="8">
        <v>15600</v>
      </c>
      <c r="AH350" s="7">
        <v>0</v>
      </c>
      <c r="AI350" s="7">
        <v>0</v>
      </c>
      <c r="AJ350" s="7">
        <v>0</v>
      </c>
      <c r="AK350" s="8">
        <v>1394</v>
      </c>
      <c r="AL350" s="8">
        <v>124718</v>
      </c>
      <c r="AM350" s="8">
        <v>35500</v>
      </c>
      <c r="AN350" s="7">
        <v>0</v>
      </c>
      <c r="AO350" s="7">
        <v>0</v>
      </c>
      <c r="AP350" s="7">
        <v>0</v>
      </c>
      <c r="AQ350" s="8">
        <v>1005</v>
      </c>
      <c r="AR350" s="8">
        <v>99300</v>
      </c>
      <c r="AS350" s="8">
        <v>1200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26</v>
      </c>
      <c r="BD350" s="8">
        <v>3120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9">
        <v>37602.6</v>
      </c>
      <c r="BM350" s="10">
        <v>337438</v>
      </c>
      <c r="BN350" s="15">
        <f t="shared" si="10"/>
        <v>299835.40000000002</v>
      </c>
      <c r="BO350" s="16">
        <f t="shared" si="11"/>
        <v>209884.78</v>
      </c>
    </row>
    <row r="351" spans="1:67" x14ac:dyDescent="0.4">
      <c r="A351" s="5" t="s">
        <v>531</v>
      </c>
      <c r="B351" s="5" t="s">
        <v>28</v>
      </c>
      <c r="C351" s="5">
        <v>414278</v>
      </c>
      <c r="D351" s="6"/>
      <c r="E351" s="5" t="s">
        <v>16</v>
      </c>
      <c r="F351" s="5" t="s">
        <v>11</v>
      </c>
      <c r="G351" s="5" t="s">
        <v>10</v>
      </c>
      <c r="H351" s="7" t="s">
        <v>8</v>
      </c>
      <c r="I351" s="7" t="s">
        <v>461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35</v>
      </c>
      <c r="AF351" s="8">
        <v>98700</v>
      </c>
      <c r="AG351" s="7">
        <v>0</v>
      </c>
      <c r="AH351" s="7">
        <v>0</v>
      </c>
      <c r="AI351" s="7">
        <v>0</v>
      </c>
      <c r="AJ351" s="7">
        <v>0</v>
      </c>
      <c r="AK351" s="7">
        <v>30</v>
      </c>
      <c r="AL351" s="8">
        <v>93960</v>
      </c>
      <c r="AM351" s="8">
        <v>2200</v>
      </c>
      <c r="AN351" s="7">
        <v>0</v>
      </c>
      <c r="AO351" s="7">
        <v>0</v>
      </c>
      <c r="AP351" s="7">
        <v>0</v>
      </c>
      <c r="AQ351" s="7">
        <v>32</v>
      </c>
      <c r="AR351" s="8">
        <v>102400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1</v>
      </c>
      <c r="BD351" s="8">
        <v>3840</v>
      </c>
      <c r="BE351" s="7">
        <v>0</v>
      </c>
      <c r="BF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9">
        <v>28418.400000000001</v>
      </c>
      <c r="BM351" s="10">
        <v>301100</v>
      </c>
      <c r="BN351" s="15">
        <f t="shared" si="10"/>
        <v>272681.59999999998</v>
      </c>
      <c r="BO351" s="16">
        <f t="shared" si="11"/>
        <v>190877.11999999997</v>
      </c>
    </row>
    <row r="352" spans="1:67" x14ac:dyDescent="0.4">
      <c r="A352" s="5" t="s">
        <v>531</v>
      </c>
      <c r="B352" s="5" t="s">
        <v>462</v>
      </c>
      <c r="C352" s="5">
        <v>476783</v>
      </c>
      <c r="D352" s="6"/>
      <c r="E352" s="5" t="s">
        <v>16</v>
      </c>
      <c r="F352" s="5" t="s">
        <v>463</v>
      </c>
      <c r="G352" s="5" t="s">
        <v>34</v>
      </c>
      <c r="H352" s="7" t="s">
        <v>8</v>
      </c>
      <c r="I352" s="7" t="s">
        <v>464</v>
      </c>
      <c r="J352" s="7">
        <v>0</v>
      </c>
      <c r="K352" s="8">
        <v>1561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8">
        <v>1060</v>
      </c>
      <c r="AF352" s="8">
        <v>105900</v>
      </c>
      <c r="AG352" s="7">
        <v>100</v>
      </c>
      <c r="AH352" s="7">
        <v>0</v>
      </c>
      <c r="AI352" s="7">
        <v>0</v>
      </c>
      <c r="AJ352" s="7">
        <v>0</v>
      </c>
      <c r="AK352" s="8">
        <v>1381</v>
      </c>
      <c r="AL352" s="8">
        <v>86519</v>
      </c>
      <c r="AM352" s="8">
        <v>66000</v>
      </c>
      <c r="AN352" s="7">
        <v>0</v>
      </c>
      <c r="AO352" s="7">
        <v>0</v>
      </c>
      <c r="AP352" s="7">
        <v>0</v>
      </c>
      <c r="AQ352" s="7">
        <v>198</v>
      </c>
      <c r="AR352" s="8">
        <v>19800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7">
        <v>0</v>
      </c>
      <c r="BJ352" s="7">
        <v>0</v>
      </c>
      <c r="BK352" s="7">
        <v>0</v>
      </c>
      <c r="BL352" s="9">
        <v>25955.7</v>
      </c>
      <c r="BM352" s="10">
        <v>278319</v>
      </c>
      <c r="BN352" s="15">
        <f t="shared" si="10"/>
        <v>252363.3</v>
      </c>
      <c r="BO352" s="16">
        <f t="shared" si="11"/>
        <v>176654.30999999997</v>
      </c>
    </row>
    <row r="353" spans="1:67" x14ac:dyDescent="0.4">
      <c r="A353" s="5" t="s">
        <v>531</v>
      </c>
      <c r="B353" s="5" t="s">
        <v>459</v>
      </c>
      <c r="C353" s="5">
        <v>476035</v>
      </c>
      <c r="D353" s="6"/>
      <c r="E353" s="5" t="s">
        <v>16</v>
      </c>
      <c r="F353" s="5" t="s">
        <v>460</v>
      </c>
      <c r="G353" s="5" t="s">
        <v>457</v>
      </c>
      <c r="H353" s="7" t="s">
        <v>9</v>
      </c>
      <c r="I353" s="7" t="s">
        <v>461</v>
      </c>
      <c r="J353" s="7">
        <v>0</v>
      </c>
      <c r="K353" s="8">
        <v>2476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8">
        <v>1379</v>
      </c>
      <c r="AF353" s="8">
        <v>123720</v>
      </c>
      <c r="AG353" s="8">
        <v>14200</v>
      </c>
      <c r="AH353" s="7">
        <v>0</v>
      </c>
      <c r="AI353" s="7">
        <v>0</v>
      </c>
      <c r="AJ353" s="7">
        <v>0</v>
      </c>
      <c r="AK353" s="7">
        <v>699</v>
      </c>
      <c r="AL353" s="8">
        <v>48600</v>
      </c>
      <c r="AM353" s="8">
        <v>29400</v>
      </c>
      <c r="AN353" s="7">
        <v>0</v>
      </c>
      <c r="AO353" s="7">
        <v>0</v>
      </c>
      <c r="AP353" s="7">
        <v>0</v>
      </c>
      <c r="AQ353" s="7">
        <v>477</v>
      </c>
      <c r="AR353" s="8">
        <v>46800</v>
      </c>
      <c r="AS353" s="7">
        <v>900</v>
      </c>
      <c r="AT353" s="7">
        <v>0</v>
      </c>
      <c r="AU353" s="7">
        <v>0</v>
      </c>
      <c r="AV353" s="7">
        <v>0</v>
      </c>
      <c r="AW353" s="7">
        <v>19</v>
      </c>
      <c r="AX353" s="8">
        <v>2280</v>
      </c>
      <c r="AY353" s="7">
        <v>0</v>
      </c>
      <c r="AZ353" s="7">
        <v>0</v>
      </c>
      <c r="BA353" s="7">
        <v>0</v>
      </c>
      <c r="BB353" s="7">
        <v>0</v>
      </c>
      <c r="BC353" s="7">
        <v>9</v>
      </c>
      <c r="BD353" s="8">
        <v>1080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9">
        <v>14872.8</v>
      </c>
      <c r="BM353" s="10">
        <v>266980</v>
      </c>
      <c r="BN353" s="15">
        <f t="shared" si="10"/>
        <v>252107.2</v>
      </c>
      <c r="BO353" s="16">
        <f t="shared" si="11"/>
        <v>176475.04</v>
      </c>
    </row>
    <row r="354" spans="1:67" x14ac:dyDescent="0.4">
      <c r="A354" s="5" t="s">
        <v>531</v>
      </c>
      <c r="B354" s="5" t="s">
        <v>44</v>
      </c>
      <c r="C354" s="5">
        <v>324335</v>
      </c>
      <c r="D354" s="6"/>
      <c r="E354" s="5" t="s">
        <v>16</v>
      </c>
      <c r="F354" s="5" t="s">
        <v>30</v>
      </c>
      <c r="G354" s="5" t="s">
        <v>10</v>
      </c>
      <c r="H354" s="7" t="s">
        <v>9</v>
      </c>
      <c r="I354" s="7" t="s">
        <v>45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21</v>
      </c>
      <c r="AF354" s="8">
        <v>63100</v>
      </c>
      <c r="AG354" s="8">
        <v>3700</v>
      </c>
      <c r="AH354" s="7">
        <v>0</v>
      </c>
      <c r="AI354" s="7">
        <v>0</v>
      </c>
      <c r="AJ354" s="7">
        <v>0</v>
      </c>
      <c r="AK354" s="7">
        <v>34</v>
      </c>
      <c r="AL354" s="8">
        <v>116490</v>
      </c>
      <c r="AM354" s="8">
        <v>6800</v>
      </c>
      <c r="AN354" s="7">
        <v>0</v>
      </c>
      <c r="AO354" s="7">
        <v>0</v>
      </c>
      <c r="AP354" s="7">
        <v>0</v>
      </c>
      <c r="AQ354" s="7">
        <v>24</v>
      </c>
      <c r="AR354" s="8">
        <v>76800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9">
        <v>34947</v>
      </c>
      <c r="BM354" s="10">
        <v>266890</v>
      </c>
      <c r="BN354" s="15">
        <f t="shared" si="10"/>
        <v>231943</v>
      </c>
      <c r="BO354" s="16">
        <f t="shared" si="11"/>
        <v>162360.09999999998</v>
      </c>
    </row>
    <row r="355" spans="1:67" x14ac:dyDescent="0.4">
      <c r="A355" s="5" t="s">
        <v>531</v>
      </c>
      <c r="B355" s="5" t="s">
        <v>42</v>
      </c>
      <c r="C355" s="5">
        <v>321812</v>
      </c>
      <c r="D355" s="6"/>
      <c r="E355" s="5" t="s">
        <v>16</v>
      </c>
      <c r="F355" s="5" t="s">
        <v>30</v>
      </c>
      <c r="G355" s="5" t="s">
        <v>10</v>
      </c>
      <c r="H355" s="7" t="s">
        <v>7</v>
      </c>
      <c r="I355" s="7" t="s">
        <v>43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55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420</v>
      </c>
      <c r="AF355" s="8">
        <v>33900</v>
      </c>
      <c r="AG355" s="8">
        <v>8100</v>
      </c>
      <c r="AH355" s="7">
        <v>0</v>
      </c>
      <c r="AI355" s="7">
        <v>0</v>
      </c>
      <c r="AJ355" s="7">
        <v>0</v>
      </c>
      <c r="AK355" s="7">
        <v>318</v>
      </c>
      <c r="AL355" s="8">
        <v>1560</v>
      </c>
      <c r="AM355" s="8">
        <v>30500</v>
      </c>
      <c r="AN355" s="7">
        <v>0</v>
      </c>
      <c r="AO355" s="7">
        <v>0</v>
      </c>
      <c r="AP355" s="7">
        <v>0</v>
      </c>
      <c r="AQ355" s="7">
        <v>422</v>
      </c>
      <c r="AR355" s="8">
        <v>41800</v>
      </c>
      <c r="AS355" s="7">
        <v>400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468</v>
      </c>
      <c r="BM355" s="10">
        <v>116260</v>
      </c>
      <c r="BN355" s="15">
        <f t="shared" si="10"/>
        <v>115792</v>
      </c>
      <c r="BO355" s="16">
        <f t="shared" si="11"/>
        <v>81054.399999999994</v>
      </c>
    </row>
    <row r="356" spans="1:67" x14ac:dyDescent="0.4">
      <c r="A356" s="5" t="s">
        <v>531</v>
      </c>
      <c r="B356" s="5" t="s">
        <v>46</v>
      </c>
      <c r="C356" s="5">
        <v>412919</v>
      </c>
      <c r="D356" s="6"/>
      <c r="E356" s="5" t="s">
        <v>16</v>
      </c>
      <c r="F356" s="5" t="s">
        <v>47</v>
      </c>
      <c r="G356" s="5" t="s">
        <v>34</v>
      </c>
      <c r="H356" s="7" t="s">
        <v>8</v>
      </c>
      <c r="I356" s="7" t="s">
        <v>48</v>
      </c>
      <c r="J356" s="7">
        <v>0</v>
      </c>
      <c r="K356" s="7">
        <v>6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66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410</v>
      </c>
      <c r="AF356" s="8">
        <v>37500</v>
      </c>
      <c r="AG356" s="8">
        <v>3500</v>
      </c>
      <c r="AH356" s="7">
        <v>0</v>
      </c>
      <c r="AI356" s="7">
        <v>0</v>
      </c>
      <c r="AJ356" s="7">
        <v>0</v>
      </c>
      <c r="AK356" s="7">
        <v>340</v>
      </c>
      <c r="AL356" s="8">
        <v>33960</v>
      </c>
      <c r="AM356" s="8">
        <v>5700</v>
      </c>
      <c r="AN356" s="7">
        <v>0</v>
      </c>
      <c r="AO356" s="7">
        <v>0</v>
      </c>
      <c r="AP356" s="7">
        <v>0</v>
      </c>
      <c r="AQ356" s="7">
        <v>326</v>
      </c>
      <c r="AR356" s="8">
        <v>29900</v>
      </c>
      <c r="AS356" s="8">
        <v>2700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9">
        <v>10188</v>
      </c>
      <c r="BM356" s="10">
        <v>113260</v>
      </c>
      <c r="BN356" s="15">
        <f t="shared" si="10"/>
        <v>103072</v>
      </c>
      <c r="BO356" s="16">
        <f t="shared" si="11"/>
        <v>72150.399999999994</v>
      </c>
    </row>
    <row r="357" spans="1:67" x14ac:dyDescent="0.4">
      <c r="A357" s="5" t="s">
        <v>531</v>
      </c>
      <c r="B357" s="5" t="s">
        <v>25</v>
      </c>
      <c r="C357" s="5">
        <v>449889</v>
      </c>
      <c r="D357" s="6"/>
      <c r="E357" s="5" t="s">
        <v>16</v>
      </c>
      <c r="F357" s="5" t="s">
        <v>26</v>
      </c>
      <c r="G357" s="5" t="s">
        <v>10</v>
      </c>
      <c r="H357" s="7" t="s">
        <v>7</v>
      </c>
      <c r="I357" s="7" t="s">
        <v>27</v>
      </c>
      <c r="J357" s="7">
        <v>1</v>
      </c>
      <c r="K357" s="8">
        <v>1030</v>
      </c>
      <c r="L357" s="7">
        <v>100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8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223</v>
      </c>
      <c r="AF357" s="8">
        <v>21300</v>
      </c>
      <c r="AG357" s="8">
        <v>1000</v>
      </c>
      <c r="AH357" s="7">
        <v>0</v>
      </c>
      <c r="AI357" s="7">
        <v>0</v>
      </c>
      <c r="AJ357" s="7">
        <v>0</v>
      </c>
      <c r="AK357" s="7">
        <v>517</v>
      </c>
      <c r="AL357" s="8">
        <v>48943</v>
      </c>
      <c r="AM357" s="8">
        <v>10900</v>
      </c>
      <c r="AN357" s="7">
        <v>0</v>
      </c>
      <c r="AO357" s="7">
        <v>0</v>
      </c>
      <c r="AP357" s="7">
        <v>0</v>
      </c>
      <c r="AQ357" s="7">
        <v>222</v>
      </c>
      <c r="AR357" s="8">
        <v>21300</v>
      </c>
      <c r="AS357" s="7">
        <v>900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9">
        <v>14682.9</v>
      </c>
      <c r="BM357" s="10">
        <v>104443</v>
      </c>
      <c r="BN357" s="15">
        <f t="shared" si="10"/>
        <v>89760.1</v>
      </c>
      <c r="BO357" s="16">
        <f t="shared" si="11"/>
        <v>62832.07</v>
      </c>
    </row>
    <row r="358" spans="1:67" x14ac:dyDescent="0.4">
      <c r="A358" s="5" t="s">
        <v>531</v>
      </c>
      <c r="B358" s="5" t="s">
        <v>95</v>
      </c>
      <c r="C358" s="5">
        <v>395179</v>
      </c>
      <c r="D358" s="6"/>
      <c r="E358" s="5" t="s">
        <v>16</v>
      </c>
      <c r="F358" s="5" t="s">
        <v>96</v>
      </c>
      <c r="G358" s="5" t="s">
        <v>10</v>
      </c>
      <c r="H358" s="7" t="s">
        <v>7</v>
      </c>
      <c r="I358" s="7" t="s">
        <v>97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12</v>
      </c>
      <c r="AF358" s="8">
        <v>37900</v>
      </c>
      <c r="AG358" s="7">
        <v>500</v>
      </c>
      <c r="AH358" s="7">
        <v>0</v>
      </c>
      <c r="AI358" s="7">
        <v>0</v>
      </c>
      <c r="AJ358" s="7">
        <v>0</v>
      </c>
      <c r="AK358" s="7">
        <v>13</v>
      </c>
      <c r="AL358" s="8">
        <v>49920</v>
      </c>
      <c r="AM358" s="7">
        <v>0</v>
      </c>
      <c r="AN358" s="7">
        <v>0</v>
      </c>
      <c r="AO358" s="7">
        <v>0</v>
      </c>
      <c r="AP358" s="7">
        <v>0</v>
      </c>
      <c r="AQ358" s="7">
        <v>1</v>
      </c>
      <c r="AR358" s="8">
        <v>3200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9">
        <v>14976</v>
      </c>
      <c r="BM358" s="10">
        <v>91520</v>
      </c>
      <c r="BN358" s="15">
        <f t="shared" si="10"/>
        <v>76544</v>
      </c>
      <c r="BO358" s="16">
        <f t="shared" si="11"/>
        <v>53580.799999999996</v>
      </c>
    </row>
    <row r="359" spans="1:67" x14ac:dyDescent="0.4">
      <c r="A359" s="5" t="s">
        <v>531</v>
      </c>
      <c r="B359" s="5" t="s">
        <v>112</v>
      </c>
      <c r="C359" s="5">
        <v>422368</v>
      </c>
      <c r="D359" s="6"/>
      <c r="E359" s="5" t="s">
        <v>16</v>
      </c>
      <c r="F359" s="5" t="s">
        <v>113</v>
      </c>
      <c r="G359" s="5" t="s">
        <v>10</v>
      </c>
      <c r="H359" s="7" t="s">
        <v>7</v>
      </c>
      <c r="I359" s="7" t="s">
        <v>114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9</v>
      </c>
      <c r="AF359" s="8">
        <v>28800</v>
      </c>
      <c r="AG359" s="7">
        <v>0</v>
      </c>
      <c r="AH359" s="7">
        <v>0</v>
      </c>
      <c r="AI359" s="7">
        <v>0</v>
      </c>
      <c r="AJ359" s="7">
        <v>0</v>
      </c>
      <c r="AK359" s="7">
        <v>15</v>
      </c>
      <c r="AL359" s="8">
        <v>60480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9">
        <v>18144</v>
      </c>
      <c r="BM359" s="10">
        <v>89280</v>
      </c>
      <c r="BN359" s="15">
        <f t="shared" si="10"/>
        <v>71136</v>
      </c>
      <c r="BO359" s="16">
        <f t="shared" si="11"/>
        <v>49795.199999999997</v>
      </c>
    </row>
    <row r="360" spans="1:67" x14ac:dyDescent="0.4">
      <c r="A360" s="5" t="s">
        <v>531</v>
      </c>
      <c r="B360" s="5" t="s">
        <v>22</v>
      </c>
      <c r="C360" s="5">
        <v>445688</v>
      </c>
      <c r="D360" s="6"/>
      <c r="E360" s="5" t="s">
        <v>16</v>
      </c>
      <c r="F360" s="5" t="s">
        <v>23</v>
      </c>
      <c r="G360" s="5" t="s">
        <v>10</v>
      </c>
      <c r="H360" s="7" t="s">
        <v>7</v>
      </c>
      <c r="I360" s="7" t="s">
        <v>24</v>
      </c>
      <c r="J360" s="7">
        <v>0</v>
      </c>
      <c r="K360" s="7">
        <v>122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519</v>
      </c>
      <c r="AF360" s="8">
        <v>51900</v>
      </c>
      <c r="AG360" s="7">
        <v>0</v>
      </c>
      <c r="AH360" s="7">
        <v>0</v>
      </c>
      <c r="AI360" s="7">
        <v>0</v>
      </c>
      <c r="AJ360" s="7">
        <v>0</v>
      </c>
      <c r="AK360" s="7">
        <v>194</v>
      </c>
      <c r="AL360" s="8">
        <v>23280</v>
      </c>
      <c r="AM360" s="7">
        <v>0</v>
      </c>
      <c r="AN360" s="7">
        <v>0</v>
      </c>
      <c r="AO360" s="7">
        <v>0</v>
      </c>
      <c r="AP360" s="7">
        <v>0</v>
      </c>
      <c r="AQ360" s="7">
        <v>140</v>
      </c>
      <c r="AR360" s="8">
        <v>14000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9">
        <v>6984</v>
      </c>
      <c r="BM360" s="10">
        <v>89180</v>
      </c>
      <c r="BN360" s="15">
        <f t="shared" si="10"/>
        <v>82196</v>
      </c>
      <c r="BO360" s="16">
        <f t="shared" si="11"/>
        <v>57537.2</v>
      </c>
    </row>
    <row r="361" spans="1:67" x14ac:dyDescent="0.4">
      <c r="A361" s="5" t="s">
        <v>531</v>
      </c>
      <c r="B361" s="5" t="s">
        <v>438</v>
      </c>
      <c r="C361" s="5">
        <v>373610</v>
      </c>
      <c r="D361" s="6"/>
      <c r="E361" s="5" t="s">
        <v>16</v>
      </c>
      <c r="F361" s="5" t="s">
        <v>439</v>
      </c>
      <c r="G361" s="5" t="s">
        <v>10</v>
      </c>
      <c r="H361" s="7" t="s">
        <v>7</v>
      </c>
      <c r="I361" s="7" t="s">
        <v>440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15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270</v>
      </c>
      <c r="AF361" s="8">
        <v>24800</v>
      </c>
      <c r="AG361" s="8">
        <v>2200</v>
      </c>
      <c r="AH361" s="7">
        <v>0</v>
      </c>
      <c r="AI361" s="7">
        <v>0</v>
      </c>
      <c r="AJ361" s="7">
        <v>0</v>
      </c>
      <c r="AK361" s="7">
        <v>99</v>
      </c>
      <c r="AL361" s="8">
        <v>11880</v>
      </c>
      <c r="AM361" s="7">
        <v>0</v>
      </c>
      <c r="AN361" s="7">
        <v>0</v>
      </c>
      <c r="AO361" s="7">
        <v>0</v>
      </c>
      <c r="AP361" s="7">
        <v>0</v>
      </c>
      <c r="AQ361" s="7">
        <v>351</v>
      </c>
      <c r="AR361" s="8">
        <v>33000</v>
      </c>
      <c r="AS361" s="8">
        <v>2100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9">
        <v>3564</v>
      </c>
      <c r="BM361" s="10">
        <v>73980</v>
      </c>
      <c r="BN361" s="15">
        <f t="shared" si="10"/>
        <v>70416</v>
      </c>
      <c r="BO361" s="16">
        <f t="shared" si="11"/>
        <v>49291.199999999997</v>
      </c>
    </row>
    <row r="362" spans="1:67" x14ac:dyDescent="0.4">
      <c r="A362" s="5" t="s">
        <v>531</v>
      </c>
      <c r="B362" s="5" t="s">
        <v>127</v>
      </c>
      <c r="C362" s="5">
        <v>290890</v>
      </c>
      <c r="D362" s="6"/>
      <c r="E362" s="5" t="s">
        <v>16</v>
      </c>
      <c r="F362" s="5" t="s">
        <v>30</v>
      </c>
      <c r="G362" s="5" t="s">
        <v>10</v>
      </c>
      <c r="H362" s="7" t="s">
        <v>7</v>
      </c>
      <c r="I362" s="7" t="s">
        <v>128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11</v>
      </c>
      <c r="AC362" s="8">
        <v>9900</v>
      </c>
      <c r="AD362" s="7">
        <v>0</v>
      </c>
      <c r="AE362" s="7">
        <v>0</v>
      </c>
      <c r="AF362" s="7">
        <v>0</v>
      </c>
      <c r="AG362" s="7">
        <v>0</v>
      </c>
      <c r="AH362" s="7">
        <v>19</v>
      </c>
      <c r="AI362" s="8">
        <v>20520</v>
      </c>
      <c r="AJ362" s="7">
        <v>0</v>
      </c>
      <c r="AK362" s="7">
        <v>11</v>
      </c>
      <c r="AL362" s="8">
        <v>42240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9">
        <v>18828</v>
      </c>
      <c r="BM362" s="10">
        <v>72660</v>
      </c>
      <c r="BN362" s="15">
        <f t="shared" si="10"/>
        <v>53832</v>
      </c>
      <c r="BO362" s="16">
        <f t="shared" si="11"/>
        <v>37682.399999999994</v>
      </c>
    </row>
    <row r="363" spans="1:67" x14ac:dyDescent="0.4">
      <c r="A363" s="5" t="s">
        <v>531</v>
      </c>
      <c r="B363" s="5" t="s">
        <v>62</v>
      </c>
      <c r="C363" s="5">
        <v>386960</v>
      </c>
      <c r="D363" s="6"/>
      <c r="E363" s="5" t="s">
        <v>16</v>
      </c>
      <c r="F363" s="5" t="s">
        <v>63</v>
      </c>
      <c r="G363" s="5" t="s">
        <v>10</v>
      </c>
      <c r="H363" s="7" t="s">
        <v>7</v>
      </c>
      <c r="I363" s="7" t="s">
        <v>64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24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507</v>
      </c>
      <c r="AL363" s="8">
        <v>59365</v>
      </c>
      <c r="AM363" s="8">
        <v>2900</v>
      </c>
      <c r="AN363" s="7">
        <v>0</v>
      </c>
      <c r="AO363" s="7">
        <v>0</v>
      </c>
      <c r="AP363" s="7">
        <v>0</v>
      </c>
      <c r="AQ363" s="7">
        <v>39</v>
      </c>
      <c r="AR363" s="8">
        <v>3900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9">
        <v>17809.5</v>
      </c>
      <c r="BM363" s="10">
        <v>66165</v>
      </c>
      <c r="BN363" s="15">
        <f t="shared" si="10"/>
        <v>48355.5</v>
      </c>
      <c r="BO363" s="16">
        <f t="shared" si="11"/>
        <v>33848.85</v>
      </c>
    </row>
    <row r="364" spans="1:67" x14ac:dyDescent="0.4">
      <c r="A364" s="5" t="s">
        <v>531</v>
      </c>
      <c r="B364" s="5" t="s">
        <v>91</v>
      </c>
      <c r="C364" s="5">
        <v>462353</v>
      </c>
      <c r="D364" s="6"/>
      <c r="E364" s="5" t="s">
        <v>16</v>
      </c>
      <c r="F364" s="5" t="s">
        <v>39</v>
      </c>
      <c r="G364" s="5" t="s">
        <v>10</v>
      </c>
      <c r="H364" s="7" t="s">
        <v>7</v>
      </c>
      <c r="I364" s="7" t="s">
        <v>92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10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164</v>
      </c>
      <c r="AF364" s="8">
        <v>16400</v>
      </c>
      <c r="AG364" s="7">
        <v>0</v>
      </c>
      <c r="AH364" s="7">
        <v>0</v>
      </c>
      <c r="AI364" s="7">
        <v>0</v>
      </c>
      <c r="AJ364" s="7">
        <v>0</v>
      </c>
      <c r="AK364" s="7">
        <v>170</v>
      </c>
      <c r="AL364" s="8">
        <v>13200</v>
      </c>
      <c r="AM364" s="8">
        <v>6000</v>
      </c>
      <c r="AN364" s="7">
        <v>0</v>
      </c>
      <c r="AO364" s="7">
        <v>0</v>
      </c>
      <c r="AP364" s="7">
        <v>0</v>
      </c>
      <c r="AQ364" s="7">
        <v>230</v>
      </c>
      <c r="AR364" s="8">
        <v>21700</v>
      </c>
      <c r="AS364" s="8">
        <v>1300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9">
        <v>3960</v>
      </c>
      <c r="BM364" s="10">
        <v>58600</v>
      </c>
      <c r="BN364" s="15">
        <f t="shared" si="10"/>
        <v>54640</v>
      </c>
      <c r="BO364" s="16">
        <f t="shared" si="11"/>
        <v>38248</v>
      </c>
    </row>
    <row r="365" spans="1:67" x14ac:dyDescent="0.4">
      <c r="A365" s="5" t="s">
        <v>531</v>
      </c>
      <c r="B365" s="5" t="s">
        <v>32</v>
      </c>
      <c r="C365" s="5">
        <v>395270</v>
      </c>
      <c r="D365" s="6"/>
      <c r="E365" s="5" t="s">
        <v>16</v>
      </c>
      <c r="F365" s="5" t="s">
        <v>33</v>
      </c>
      <c r="G365" s="5" t="s">
        <v>34</v>
      </c>
      <c r="H365" s="7" t="s">
        <v>8</v>
      </c>
      <c r="I365" s="7" t="s">
        <v>35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228</v>
      </c>
      <c r="AF365" s="8">
        <v>22200</v>
      </c>
      <c r="AG365" s="7">
        <v>600</v>
      </c>
      <c r="AH365" s="7">
        <v>0</v>
      </c>
      <c r="AI365" s="7">
        <v>0</v>
      </c>
      <c r="AJ365" s="7">
        <v>0</v>
      </c>
      <c r="AK365" s="7">
        <v>197</v>
      </c>
      <c r="AL365" s="8">
        <v>17040</v>
      </c>
      <c r="AM365" s="8">
        <v>5500</v>
      </c>
      <c r="AN365" s="7">
        <v>0</v>
      </c>
      <c r="AO365" s="7">
        <v>0</v>
      </c>
      <c r="AP365" s="7">
        <v>0</v>
      </c>
      <c r="AQ365" s="7">
        <v>47</v>
      </c>
      <c r="AR365" s="8">
        <v>4700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9">
        <v>5112</v>
      </c>
      <c r="BM365" s="10">
        <v>50040</v>
      </c>
      <c r="BN365" s="15">
        <f t="shared" si="10"/>
        <v>44928</v>
      </c>
      <c r="BO365" s="16">
        <f t="shared" si="11"/>
        <v>31449.599999999999</v>
      </c>
    </row>
    <row r="366" spans="1:67" x14ac:dyDescent="0.4">
      <c r="A366" s="5" t="s">
        <v>531</v>
      </c>
      <c r="B366" s="5" t="s">
        <v>71</v>
      </c>
      <c r="C366" s="5">
        <v>219203</v>
      </c>
      <c r="D366" s="6"/>
      <c r="E366" s="5" t="s">
        <v>16</v>
      </c>
      <c r="F366" s="5" t="s">
        <v>72</v>
      </c>
      <c r="G366" s="5" t="s">
        <v>10</v>
      </c>
      <c r="H366" s="7" t="s">
        <v>7</v>
      </c>
      <c r="I366" s="7" t="s">
        <v>73</v>
      </c>
      <c r="J366" s="7">
        <v>0</v>
      </c>
      <c r="K366" s="7">
        <v>5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127</v>
      </c>
      <c r="AC366" s="8">
        <v>12200</v>
      </c>
      <c r="AD366" s="7">
        <v>500</v>
      </c>
      <c r="AE366" s="7">
        <v>36</v>
      </c>
      <c r="AF366" s="8">
        <v>10700</v>
      </c>
      <c r="AG366" s="7">
        <v>0</v>
      </c>
      <c r="AH366" s="7">
        <v>89</v>
      </c>
      <c r="AI366" s="8">
        <v>9960</v>
      </c>
      <c r="AJ366" s="7">
        <v>600</v>
      </c>
      <c r="AK366" s="7">
        <v>45</v>
      </c>
      <c r="AL366" s="7">
        <v>0</v>
      </c>
      <c r="AM366" s="8">
        <v>13300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1</v>
      </c>
      <c r="BA366" s="7">
        <v>120</v>
      </c>
      <c r="BB366" s="7">
        <v>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9">
        <v>2995.2</v>
      </c>
      <c r="BM366" s="10">
        <v>47380</v>
      </c>
      <c r="BN366" s="15">
        <f t="shared" si="10"/>
        <v>44384.800000000003</v>
      </c>
      <c r="BO366" s="16">
        <f t="shared" si="11"/>
        <v>31069.360000000001</v>
      </c>
    </row>
    <row r="367" spans="1:67" ht="19.2" x14ac:dyDescent="0.4">
      <c r="A367" s="5" t="s">
        <v>531</v>
      </c>
      <c r="B367" s="5" t="s">
        <v>231</v>
      </c>
      <c r="C367" s="5">
        <v>408593</v>
      </c>
      <c r="D367" s="6"/>
      <c r="E367" s="5" t="s">
        <v>16</v>
      </c>
      <c r="F367" s="5" t="s">
        <v>78</v>
      </c>
      <c r="G367" s="5" t="s">
        <v>10</v>
      </c>
      <c r="H367" s="7" t="s">
        <v>7</v>
      </c>
      <c r="I367" s="7" t="s">
        <v>232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7</v>
      </c>
      <c r="AF367" s="8">
        <v>22400</v>
      </c>
      <c r="AG367" s="7">
        <v>0</v>
      </c>
      <c r="AH367" s="7">
        <v>0</v>
      </c>
      <c r="AI367" s="7">
        <v>0</v>
      </c>
      <c r="AJ367" s="7">
        <v>0</v>
      </c>
      <c r="AK367" s="7">
        <v>6</v>
      </c>
      <c r="AL367" s="8">
        <v>24960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9">
        <v>7488</v>
      </c>
      <c r="BM367" s="10">
        <v>47360</v>
      </c>
      <c r="BN367" s="15">
        <f t="shared" si="10"/>
        <v>39872</v>
      </c>
      <c r="BO367" s="16">
        <f t="shared" si="11"/>
        <v>27910.399999999998</v>
      </c>
    </row>
    <row r="368" spans="1:67" x14ac:dyDescent="0.4">
      <c r="A368" s="5" t="s">
        <v>531</v>
      </c>
      <c r="B368" s="5" t="s">
        <v>151</v>
      </c>
      <c r="C368" s="5">
        <v>350894</v>
      </c>
      <c r="D368" s="6"/>
      <c r="E368" s="5" t="s">
        <v>16</v>
      </c>
      <c r="F368" s="5" t="s">
        <v>152</v>
      </c>
      <c r="G368" s="5" t="s">
        <v>34</v>
      </c>
      <c r="H368" s="7" t="s">
        <v>8</v>
      </c>
      <c r="I368" s="7" t="s">
        <v>153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13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55</v>
      </c>
      <c r="AF368" s="8">
        <v>3900</v>
      </c>
      <c r="AG368" s="8">
        <v>1600</v>
      </c>
      <c r="AH368" s="7">
        <v>0</v>
      </c>
      <c r="AI368" s="7">
        <v>0</v>
      </c>
      <c r="AJ368" s="7">
        <v>0</v>
      </c>
      <c r="AK368" s="7">
        <v>307</v>
      </c>
      <c r="AL368" s="8">
        <v>34080</v>
      </c>
      <c r="AM368" s="8">
        <v>2300</v>
      </c>
      <c r="AN368" s="7">
        <v>0</v>
      </c>
      <c r="AO368" s="7">
        <v>0</v>
      </c>
      <c r="AP368" s="7">
        <v>0</v>
      </c>
      <c r="AQ368" s="7">
        <v>4</v>
      </c>
      <c r="AR368" s="7">
        <v>400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9">
        <v>10224</v>
      </c>
      <c r="BM368" s="10">
        <v>42280</v>
      </c>
      <c r="BN368" s="15">
        <f t="shared" si="10"/>
        <v>32056</v>
      </c>
      <c r="BO368" s="16">
        <f t="shared" si="11"/>
        <v>22439.199999999997</v>
      </c>
    </row>
    <row r="369" spans="1:67" x14ac:dyDescent="0.4">
      <c r="A369" s="5" t="s">
        <v>531</v>
      </c>
      <c r="B369" s="5" t="s">
        <v>60</v>
      </c>
      <c r="C369" s="5">
        <v>245889</v>
      </c>
      <c r="D369" s="6"/>
      <c r="E369" s="5" t="s">
        <v>16</v>
      </c>
      <c r="F369" s="5" t="s">
        <v>30</v>
      </c>
      <c r="G369" s="5" t="s">
        <v>10</v>
      </c>
      <c r="H369" s="7" t="s">
        <v>7</v>
      </c>
      <c r="I369" s="7" t="s">
        <v>61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22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406</v>
      </c>
      <c r="AF369" s="8">
        <v>40600</v>
      </c>
      <c r="AG369" s="7">
        <v>0</v>
      </c>
      <c r="AH369" s="7">
        <v>0</v>
      </c>
      <c r="AI369" s="7">
        <v>0</v>
      </c>
      <c r="AJ369" s="7">
        <v>0</v>
      </c>
      <c r="AK369" s="7">
        <v>14</v>
      </c>
      <c r="AL369" s="7">
        <v>0</v>
      </c>
      <c r="AM369" s="8">
        <v>1400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10">
        <v>42000</v>
      </c>
      <c r="BN369" s="15">
        <f t="shared" si="10"/>
        <v>42000</v>
      </c>
      <c r="BO369" s="16">
        <f t="shared" si="11"/>
        <v>29399.999999999996</v>
      </c>
    </row>
    <row r="370" spans="1:67" x14ac:dyDescent="0.4">
      <c r="A370" s="5" t="s">
        <v>531</v>
      </c>
      <c r="B370" s="5" t="s">
        <v>83</v>
      </c>
      <c r="C370" s="5">
        <v>370935</v>
      </c>
      <c r="D370" s="6"/>
      <c r="E370" s="5" t="s">
        <v>16</v>
      </c>
      <c r="F370" s="5" t="s">
        <v>30</v>
      </c>
      <c r="G370" s="5" t="s">
        <v>10</v>
      </c>
      <c r="H370" s="7" t="s">
        <v>7</v>
      </c>
      <c r="I370" s="7" t="s">
        <v>84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4</v>
      </c>
      <c r="AF370" s="8">
        <v>11700</v>
      </c>
      <c r="AG370" s="7">
        <v>500</v>
      </c>
      <c r="AH370" s="7">
        <v>0</v>
      </c>
      <c r="AI370" s="7">
        <v>0</v>
      </c>
      <c r="AJ370" s="7">
        <v>0</v>
      </c>
      <c r="AK370" s="7">
        <v>1</v>
      </c>
      <c r="AL370" s="7">
        <v>0</v>
      </c>
      <c r="AM370" s="8">
        <v>3200</v>
      </c>
      <c r="AN370" s="7">
        <v>0</v>
      </c>
      <c r="AO370" s="7">
        <v>0</v>
      </c>
      <c r="AP370" s="7">
        <v>0</v>
      </c>
      <c r="AQ370" s="7">
        <v>9</v>
      </c>
      <c r="AR370" s="8">
        <v>26000</v>
      </c>
      <c r="AS370" s="7">
        <v>200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10">
        <v>41600</v>
      </c>
      <c r="BN370" s="15">
        <f t="shared" si="10"/>
        <v>41600</v>
      </c>
      <c r="BO370" s="16">
        <f t="shared" si="11"/>
        <v>29119.999999999996</v>
      </c>
    </row>
    <row r="371" spans="1:67" ht="19.2" x14ac:dyDescent="0.4">
      <c r="A371" s="5" t="s">
        <v>531</v>
      </c>
      <c r="B371" s="5" t="s">
        <v>49</v>
      </c>
      <c r="C371" s="5">
        <v>459997</v>
      </c>
      <c r="D371" s="6"/>
      <c r="E371" s="5" t="s">
        <v>16</v>
      </c>
      <c r="F371" s="5" t="s">
        <v>50</v>
      </c>
      <c r="G371" s="5" t="s">
        <v>10</v>
      </c>
      <c r="H371" s="7" t="s">
        <v>7</v>
      </c>
      <c r="I371" s="7" t="s">
        <v>456</v>
      </c>
      <c r="J371" s="7">
        <v>0</v>
      </c>
      <c r="K371" s="8">
        <v>2021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191</v>
      </c>
      <c r="AF371" s="8">
        <v>19100</v>
      </c>
      <c r="AG371" s="7">
        <v>0</v>
      </c>
      <c r="AH371" s="7">
        <v>0</v>
      </c>
      <c r="AI371" s="7">
        <v>0</v>
      </c>
      <c r="AJ371" s="7">
        <v>0</v>
      </c>
      <c r="AK371" s="7">
        <v>149</v>
      </c>
      <c r="AL371" s="8">
        <v>12687</v>
      </c>
      <c r="AM371" s="8">
        <v>4400</v>
      </c>
      <c r="AN371" s="7">
        <v>0</v>
      </c>
      <c r="AO371" s="7">
        <v>0</v>
      </c>
      <c r="AP371" s="7">
        <v>0</v>
      </c>
      <c r="AQ371" s="7">
        <v>48</v>
      </c>
      <c r="AR371" s="8">
        <v>4800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F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9">
        <v>3806.1</v>
      </c>
      <c r="BM371" s="10">
        <v>40987</v>
      </c>
      <c r="BN371" s="15">
        <f t="shared" si="10"/>
        <v>37180.9</v>
      </c>
      <c r="BO371" s="16">
        <f t="shared" si="11"/>
        <v>26026.63</v>
      </c>
    </row>
    <row r="372" spans="1:67" x14ac:dyDescent="0.4">
      <c r="A372" s="5" t="s">
        <v>531</v>
      </c>
      <c r="B372" s="5" t="s">
        <v>51</v>
      </c>
      <c r="C372" s="5">
        <v>369720</v>
      </c>
      <c r="D372" s="6"/>
      <c r="E372" s="5" t="s">
        <v>16</v>
      </c>
      <c r="F372" s="5" t="s">
        <v>52</v>
      </c>
      <c r="G372" s="5" t="s">
        <v>34</v>
      </c>
      <c r="H372" s="7" t="s">
        <v>8</v>
      </c>
      <c r="I372" s="7" t="s">
        <v>53</v>
      </c>
      <c r="J372" s="7">
        <v>0</v>
      </c>
      <c r="K372" s="7">
        <v>3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15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73</v>
      </c>
      <c r="AF372" s="8">
        <v>7300</v>
      </c>
      <c r="AG372" s="7">
        <v>0</v>
      </c>
      <c r="AH372" s="7">
        <v>0</v>
      </c>
      <c r="AI372" s="7">
        <v>0</v>
      </c>
      <c r="AJ372" s="7">
        <v>0</v>
      </c>
      <c r="AK372" s="7">
        <v>264</v>
      </c>
      <c r="AL372" s="8">
        <v>28200</v>
      </c>
      <c r="AM372" s="8">
        <v>2900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9">
        <v>8460</v>
      </c>
      <c r="BM372" s="10">
        <v>38400</v>
      </c>
      <c r="BN372" s="15">
        <f t="shared" si="10"/>
        <v>29940</v>
      </c>
      <c r="BO372" s="16">
        <f t="shared" si="11"/>
        <v>20958</v>
      </c>
    </row>
    <row r="373" spans="1:67" x14ac:dyDescent="0.4">
      <c r="A373" s="5" t="s">
        <v>531</v>
      </c>
      <c r="B373" s="5" t="s">
        <v>40</v>
      </c>
      <c r="C373" s="5">
        <v>457807</v>
      </c>
      <c r="D373" s="6"/>
      <c r="E373" s="5" t="s">
        <v>16</v>
      </c>
      <c r="F373" s="5" t="s">
        <v>41</v>
      </c>
      <c r="G373" s="5" t="s">
        <v>34</v>
      </c>
      <c r="H373" s="7" t="s">
        <v>8</v>
      </c>
      <c r="I373" s="7" t="s">
        <v>456</v>
      </c>
      <c r="J373" s="7">
        <v>37</v>
      </c>
      <c r="K373" s="7">
        <v>190</v>
      </c>
      <c r="L373" s="8">
        <v>3700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12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59</v>
      </c>
      <c r="AF373" s="8">
        <v>5900</v>
      </c>
      <c r="AG373" s="7">
        <v>0</v>
      </c>
      <c r="AH373" s="7">
        <v>0</v>
      </c>
      <c r="AI373" s="7">
        <v>0</v>
      </c>
      <c r="AJ373" s="7">
        <v>0</v>
      </c>
      <c r="AK373" s="7">
        <v>169</v>
      </c>
      <c r="AL373" s="8">
        <v>11160</v>
      </c>
      <c r="AM373" s="8">
        <v>7600</v>
      </c>
      <c r="AN373" s="7">
        <v>0</v>
      </c>
      <c r="AO373" s="7">
        <v>0</v>
      </c>
      <c r="AP373" s="7">
        <v>0</v>
      </c>
      <c r="AQ373" s="7">
        <v>40</v>
      </c>
      <c r="AR373" s="8">
        <v>3800</v>
      </c>
      <c r="AS373" s="7">
        <v>200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9">
        <v>3348</v>
      </c>
      <c r="BM373" s="10">
        <v>32360</v>
      </c>
      <c r="BN373" s="15">
        <f t="shared" si="10"/>
        <v>29012</v>
      </c>
      <c r="BO373" s="16">
        <f t="shared" si="11"/>
        <v>20308.399999999998</v>
      </c>
    </row>
    <row r="374" spans="1:67" x14ac:dyDescent="0.4">
      <c r="A374" s="5" t="s">
        <v>531</v>
      </c>
      <c r="B374" s="5" t="s">
        <v>339</v>
      </c>
      <c r="C374" s="5">
        <v>278898</v>
      </c>
      <c r="D374" s="6"/>
      <c r="E374" s="5" t="s">
        <v>16</v>
      </c>
      <c r="F374" s="5" t="s">
        <v>340</v>
      </c>
      <c r="G374" s="5" t="s">
        <v>10</v>
      </c>
      <c r="H374" s="7" t="s">
        <v>7</v>
      </c>
      <c r="I374" s="7" t="s">
        <v>341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7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147</v>
      </c>
      <c r="AF374" s="8">
        <v>14300</v>
      </c>
      <c r="AG374" s="7">
        <v>400</v>
      </c>
      <c r="AH374" s="7">
        <v>0</v>
      </c>
      <c r="AI374" s="7">
        <v>0</v>
      </c>
      <c r="AJ374" s="7">
        <v>0</v>
      </c>
      <c r="AK374" s="7">
        <v>105</v>
      </c>
      <c r="AL374" s="8">
        <v>9480</v>
      </c>
      <c r="AM374" s="8">
        <v>2600</v>
      </c>
      <c r="AN374" s="7">
        <v>0</v>
      </c>
      <c r="AO374" s="7">
        <v>0</v>
      </c>
      <c r="AP374" s="7">
        <v>0</v>
      </c>
      <c r="AQ374" s="7">
        <v>50</v>
      </c>
      <c r="AR374" s="8">
        <v>5000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F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9">
        <v>2844</v>
      </c>
      <c r="BM374" s="10">
        <v>31780</v>
      </c>
      <c r="BN374" s="15">
        <f t="shared" si="10"/>
        <v>28936</v>
      </c>
      <c r="BO374" s="16">
        <f t="shared" si="11"/>
        <v>20255.199999999997</v>
      </c>
    </row>
    <row r="375" spans="1:67" x14ac:dyDescent="0.4">
      <c r="A375" s="5" t="s">
        <v>531</v>
      </c>
      <c r="B375" s="5" t="s">
        <v>426</v>
      </c>
      <c r="C375" s="5">
        <v>471701</v>
      </c>
      <c r="D375" s="6"/>
      <c r="E375" s="5" t="s">
        <v>16</v>
      </c>
      <c r="F375" s="5" t="s">
        <v>427</v>
      </c>
      <c r="G375" s="5" t="s">
        <v>444</v>
      </c>
      <c r="H375" s="7" t="s">
        <v>9</v>
      </c>
      <c r="I375" s="7" t="s">
        <v>428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11</v>
      </c>
      <c r="AF375" s="7">
        <v>100</v>
      </c>
      <c r="AG375" s="8">
        <v>1000</v>
      </c>
      <c r="AH375" s="7">
        <v>0</v>
      </c>
      <c r="AI375" s="7">
        <v>0</v>
      </c>
      <c r="AJ375" s="7">
        <v>0</v>
      </c>
      <c r="AK375" s="7">
        <v>257</v>
      </c>
      <c r="AL375" s="8">
        <v>29160</v>
      </c>
      <c r="AM375" s="8">
        <v>1400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9">
        <v>8748</v>
      </c>
      <c r="BM375" s="10">
        <v>31660</v>
      </c>
      <c r="BN375" s="15">
        <f t="shared" si="10"/>
        <v>22912</v>
      </c>
      <c r="BO375" s="16">
        <f t="shared" si="11"/>
        <v>16038.4</v>
      </c>
    </row>
    <row r="376" spans="1:67" x14ac:dyDescent="0.4">
      <c r="A376" s="5" t="s">
        <v>531</v>
      </c>
      <c r="B376" s="5" t="s">
        <v>107</v>
      </c>
      <c r="C376" s="5">
        <v>428379</v>
      </c>
      <c r="D376" s="6"/>
      <c r="E376" s="5" t="s">
        <v>16</v>
      </c>
      <c r="F376" s="5" t="s">
        <v>108</v>
      </c>
      <c r="G376" s="5" t="s">
        <v>457</v>
      </c>
      <c r="H376" s="7" t="s">
        <v>8</v>
      </c>
      <c r="I376" s="7" t="s">
        <v>109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3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24</v>
      </c>
      <c r="AF376" s="7">
        <v>900</v>
      </c>
      <c r="AG376" s="8">
        <v>1500</v>
      </c>
      <c r="AH376" s="7">
        <v>0</v>
      </c>
      <c r="AI376" s="7">
        <v>0</v>
      </c>
      <c r="AJ376" s="7">
        <v>0</v>
      </c>
      <c r="AK376" s="7">
        <v>200</v>
      </c>
      <c r="AL376" s="8">
        <v>16800</v>
      </c>
      <c r="AM376" s="8">
        <v>6000</v>
      </c>
      <c r="AN376" s="7">
        <v>0</v>
      </c>
      <c r="AO376" s="7">
        <v>0</v>
      </c>
      <c r="AP376" s="7">
        <v>0</v>
      </c>
      <c r="AQ376" s="7">
        <v>48</v>
      </c>
      <c r="AR376" s="8">
        <v>4800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9">
        <v>5040</v>
      </c>
      <c r="BM376" s="10">
        <v>30000</v>
      </c>
      <c r="BN376" s="15">
        <f t="shared" si="10"/>
        <v>24960</v>
      </c>
      <c r="BO376" s="16">
        <f t="shared" si="11"/>
        <v>17472</v>
      </c>
    </row>
    <row r="377" spans="1:67" ht="19.2" x14ac:dyDescent="0.4">
      <c r="A377" s="5" t="s">
        <v>531</v>
      </c>
      <c r="B377" s="5" t="s">
        <v>129</v>
      </c>
      <c r="C377" s="5">
        <v>383229</v>
      </c>
      <c r="D377" s="6"/>
      <c r="E377" s="5" t="s">
        <v>16</v>
      </c>
      <c r="F377" s="5" t="s">
        <v>130</v>
      </c>
      <c r="G377" s="5" t="s">
        <v>34</v>
      </c>
      <c r="H377" s="7" t="s">
        <v>8</v>
      </c>
      <c r="I377" s="7" t="s">
        <v>131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4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97</v>
      </c>
      <c r="AF377" s="8">
        <v>7600</v>
      </c>
      <c r="AG377" s="8">
        <v>2100</v>
      </c>
      <c r="AH377" s="7">
        <v>0</v>
      </c>
      <c r="AI377" s="7">
        <v>0</v>
      </c>
      <c r="AJ377" s="7">
        <v>0</v>
      </c>
      <c r="AK377" s="7">
        <v>168</v>
      </c>
      <c r="AL377" s="8">
        <v>10320</v>
      </c>
      <c r="AM377" s="8">
        <v>8200</v>
      </c>
      <c r="AN377" s="7">
        <v>0</v>
      </c>
      <c r="AO377" s="7">
        <v>0</v>
      </c>
      <c r="AP377" s="7">
        <v>0</v>
      </c>
      <c r="AQ377" s="7">
        <v>17</v>
      </c>
      <c r="AR377" s="8">
        <v>1500</v>
      </c>
      <c r="AS377" s="7">
        <v>200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9">
        <v>3096</v>
      </c>
      <c r="BM377" s="10">
        <v>29920</v>
      </c>
      <c r="BN377" s="15">
        <f t="shared" si="10"/>
        <v>26824</v>
      </c>
      <c r="BO377" s="16">
        <f t="shared" si="11"/>
        <v>18776.8</v>
      </c>
    </row>
    <row r="378" spans="1:67" x14ac:dyDescent="0.4">
      <c r="A378" s="5" t="s">
        <v>531</v>
      </c>
      <c r="B378" s="5" t="s">
        <v>293</v>
      </c>
      <c r="C378" s="5">
        <v>391329</v>
      </c>
      <c r="D378" s="6"/>
      <c r="E378" s="5" t="s">
        <v>16</v>
      </c>
      <c r="F378" s="5" t="s">
        <v>66</v>
      </c>
      <c r="G378" s="5" t="s">
        <v>10</v>
      </c>
      <c r="H378" s="7" t="s">
        <v>7</v>
      </c>
      <c r="I378" s="7" t="s">
        <v>294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9</v>
      </c>
      <c r="AF378" s="8">
        <v>28800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10">
        <v>28800</v>
      </c>
      <c r="BN378" s="15">
        <f t="shared" ref="BN378:BN441" si="12">BM378-BL378</f>
        <v>28800</v>
      </c>
      <c r="BO378" s="16">
        <f t="shared" ref="BO378:BO441" si="13">BN378*70%</f>
        <v>20160</v>
      </c>
    </row>
    <row r="379" spans="1:67" x14ac:dyDescent="0.4">
      <c r="A379" s="5" t="s">
        <v>531</v>
      </c>
      <c r="B379" s="5" t="s">
        <v>178</v>
      </c>
      <c r="C379" s="5">
        <v>316658</v>
      </c>
      <c r="D379" s="6"/>
      <c r="E379" s="5" t="s">
        <v>16</v>
      </c>
      <c r="F379" s="5" t="s">
        <v>66</v>
      </c>
      <c r="G379" s="5" t="s">
        <v>10</v>
      </c>
      <c r="H379" s="7" t="s">
        <v>7</v>
      </c>
      <c r="I379" s="7" t="s">
        <v>179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12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47</v>
      </c>
      <c r="AF379" s="8">
        <v>4700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232</v>
      </c>
      <c r="AR379" s="8">
        <v>22500</v>
      </c>
      <c r="AS379" s="7">
        <v>700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10">
        <v>27900</v>
      </c>
      <c r="BN379" s="15">
        <f t="shared" si="12"/>
        <v>27900</v>
      </c>
      <c r="BO379" s="16">
        <f t="shared" si="13"/>
        <v>19530</v>
      </c>
    </row>
    <row r="380" spans="1:67" x14ac:dyDescent="0.4">
      <c r="A380" s="5" t="s">
        <v>531</v>
      </c>
      <c r="B380" s="5" t="s">
        <v>74</v>
      </c>
      <c r="C380" s="5">
        <v>465250</v>
      </c>
      <c r="D380" s="6"/>
      <c r="E380" s="5" t="s">
        <v>16</v>
      </c>
      <c r="F380" s="5" t="s">
        <v>75</v>
      </c>
      <c r="G380" s="5" t="s">
        <v>457</v>
      </c>
      <c r="H380" s="7" t="s">
        <v>7</v>
      </c>
      <c r="I380" s="7" t="s">
        <v>76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196</v>
      </c>
      <c r="AF380" s="8">
        <v>19600</v>
      </c>
      <c r="AG380" s="7">
        <v>0</v>
      </c>
      <c r="AH380" s="7">
        <v>0</v>
      </c>
      <c r="AI380" s="7">
        <v>0</v>
      </c>
      <c r="AJ380" s="7">
        <v>0</v>
      </c>
      <c r="AK380" s="7">
        <v>61</v>
      </c>
      <c r="AL380" s="8">
        <v>1364</v>
      </c>
      <c r="AM380" s="8">
        <v>5000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409.2</v>
      </c>
      <c r="BM380" s="10">
        <v>25964</v>
      </c>
      <c r="BN380" s="15">
        <f t="shared" si="12"/>
        <v>25554.799999999999</v>
      </c>
      <c r="BO380" s="16">
        <f t="shared" si="13"/>
        <v>17888.359999999997</v>
      </c>
    </row>
    <row r="381" spans="1:67" x14ac:dyDescent="0.4">
      <c r="A381" s="5" t="s">
        <v>531</v>
      </c>
      <c r="B381" s="5" t="s">
        <v>68</v>
      </c>
      <c r="C381" s="5">
        <v>442274</v>
      </c>
      <c r="D381" s="6"/>
      <c r="E381" s="5" t="s">
        <v>16</v>
      </c>
      <c r="F381" s="5" t="s">
        <v>69</v>
      </c>
      <c r="G381" s="5" t="s">
        <v>10</v>
      </c>
      <c r="H381" s="7" t="s">
        <v>7</v>
      </c>
      <c r="I381" s="7" t="s">
        <v>70</v>
      </c>
      <c r="J381" s="7">
        <v>0</v>
      </c>
      <c r="K381" s="7">
        <v>19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37</v>
      </c>
      <c r="AF381" s="8">
        <v>3700</v>
      </c>
      <c r="AG381" s="7">
        <v>0</v>
      </c>
      <c r="AH381" s="7">
        <v>0</v>
      </c>
      <c r="AI381" s="7">
        <v>0</v>
      </c>
      <c r="AJ381" s="7">
        <v>0</v>
      </c>
      <c r="AK381" s="7">
        <v>176</v>
      </c>
      <c r="AL381" s="8">
        <v>20520</v>
      </c>
      <c r="AM381" s="7">
        <v>500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9">
        <v>6156</v>
      </c>
      <c r="BM381" s="10">
        <v>24720</v>
      </c>
      <c r="BN381" s="15">
        <f t="shared" si="12"/>
        <v>18564</v>
      </c>
      <c r="BO381" s="16">
        <f t="shared" si="13"/>
        <v>12994.8</v>
      </c>
    </row>
    <row r="382" spans="1:67" x14ac:dyDescent="0.4">
      <c r="A382" s="5" t="s">
        <v>531</v>
      </c>
      <c r="B382" s="5" t="s">
        <v>88</v>
      </c>
      <c r="C382" s="5">
        <v>364724</v>
      </c>
      <c r="D382" s="6"/>
      <c r="E382" s="5" t="s">
        <v>16</v>
      </c>
      <c r="F382" s="5" t="s">
        <v>89</v>
      </c>
      <c r="G382" s="5" t="s">
        <v>10</v>
      </c>
      <c r="H382" s="7" t="s">
        <v>7</v>
      </c>
      <c r="I382" s="7" t="s">
        <v>90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3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156</v>
      </c>
      <c r="AF382" s="8">
        <v>15300</v>
      </c>
      <c r="AG382" s="7">
        <v>300</v>
      </c>
      <c r="AH382" s="7">
        <v>0</v>
      </c>
      <c r="AI382" s="7">
        <v>0</v>
      </c>
      <c r="AJ382" s="7">
        <v>0</v>
      </c>
      <c r="AK382" s="7">
        <v>55</v>
      </c>
      <c r="AL382" s="8">
        <v>2640</v>
      </c>
      <c r="AM382" s="8">
        <v>3300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7">
        <v>0</v>
      </c>
      <c r="BH382" s="7">
        <v>0</v>
      </c>
      <c r="BI382" s="7">
        <v>0</v>
      </c>
      <c r="BJ382" s="7">
        <v>0</v>
      </c>
      <c r="BK382" s="7">
        <v>0</v>
      </c>
      <c r="BL382" s="7">
        <v>792</v>
      </c>
      <c r="BM382" s="10">
        <v>21540</v>
      </c>
      <c r="BN382" s="15">
        <f t="shared" si="12"/>
        <v>20748</v>
      </c>
      <c r="BO382" s="16">
        <f t="shared" si="13"/>
        <v>14523.599999999999</v>
      </c>
    </row>
    <row r="383" spans="1:67" ht="19.2" x14ac:dyDescent="0.4">
      <c r="A383" s="5" t="s">
        <v>531</v>
      </c>
      <c r="B383" s="5" t="s">
        <v>429</v>
      </c>
      <c r="C383" s="5">
        <v>470379</v>
      </c>
      <c r="D383" s="6"/>
      <c r="E383" s="5" t="s">
        <v>16</v>
      </c>
      <c r="F383" s="5" t="s">
        <v>75</v>
      </c>
      <c r="G383" s="5" t="s">
        <v>457</v>
      </c>
      <c r="H383" s="7" t="s">
        <v>7</v>
      </c>
      <c r="I383" s="7" t="s">
        <v>18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6</v>
      </c>
      <c r="AF383" s="8">
        <v>16300</v>
      </c>
      <c r="AG383" s="8">
        <v>4700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10">
        <v>21000</v>
      </c>
      <c r="BN383" s="15">
        <f t="shared" si="12"/>
        <v>21000</v>
      </c>
      <c r="BO383" s="16">
        <f t="shared" si="13"/>
        <v>14699.999999999998</v>
      </c>
    </row>
    <row r="384" spans="1:67" x14ac:dyDescent="0.4">
      <c r="A384" s="5" t="s">
        <v>531</v>
      </c>
      <c r="B384" s="5" t="s">
        <v>423</v>
      </c>
      <c r="C384" s="5">
        <v>471707</v>
      </c>
      <c r="D384" s="6"/>
      <c r="E384" s="5" t="s">
        <v>16</v>
      </c>
      <c r="F384" s="5" t="s">
        <v>424</v>
      </c>
      <c r="G384" s="5" t="s">
        <v>10</v>
      </c>
      <c r="H384" s="7" t="s">
        <v>7</v>
      </c>
      <c r="I384" s="7" t="s">
        <v>425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4</v>
      </c>
      <c r="AF384" s="7">
        <v>400</v>
      </c>
      <c r="AG384" s="7">
        <v>0</v>
      </c>
      <c r="AH384" s="7">
        <v>0</v>
      </c>
      <c r="AI384" s="7">
        <v>0</v>
      </c>
      <c r="AJ384" s="7">
        <v>0</v>
      </c>
      <c r="AK384" s="7">
        <v>53</v>
      </c>
      <c r="AL384" s="8">
        <v>5400</v>
      </c>
      <c r="AM384" s="7">
        <v>800</v>
      </c>
      <c r="AN384" s="7">
        <v>0</v>
      </c>
      <c r="AO384" s="7">
        <v>0</v>
      </c>
      <c r="AP384" s="7">
        <v>0</v>
      </c>
      <c r="AQ384" s="7">
        <v>144</v>
      </c>
      <c r="AR384" s="8">
        <v>14400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7">
        <v>0</v>
      </c>
      <c r="BI384" s="7">
        <v>0</v>
      </c>
      <c r="BJ384" s="7">
        <v>0</v>
      </c>
      <c r="BK384" s="7">
        <v>0</v>
      </c>
      <c r="BL384" s="9">
        <v>1620</v>
      </c>
      <c r="BM384" s="10">
        <v>21000</v>
      </c>
      <c r="BN384" s="15">
        <f t="shared" si="12"/>
        <v>19380</v>
      </c>
      <c r="BO384" s="16">
        <f t="shared" si="13"/>
        <v>13566</v>
      </c>
    </row>
    <row r="385" spans="1:67" x14ac:dyDescent="0.4">
      <c r="A385" s="5" t="s">
        <v>531</v>
      </c>
      <c r="B385" s="5" t="s">
        <v>54</v>
      </c>
      <c r="C385" s="5">
        <v>463946</v>
      </c>
      <c r="D385" s="6"/>
      <c r="E385" s="5" t="s">
        <v>16</v>
      </c>
      <c r="F385" s="5" t="s">
        <v>55</v>
      </c>
      <c r="G385" s="5" t="s">
        <v>10</v>
      </c>
      <c r="H385" s="7" t="s">
        <v>7</v>
      </c>
      <c r="I385" s="7" t="s">
        <v>56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198</v>
      </c>
      <c r="AF385" s="8">
        <v>19800</v>
      </c>
      <c r="AG385" s="7">
        <v>0</v>
      </c>
      <c r="AH385" s="7">
        <v>0</v>
      </c>
      <c r="AI385" s="7">
        <v>0</v>
      </c>
      <c r="AJ385" s="7">
        <v>0</v>
      </c>
      <c r="AK385" s="7">
        <v>1</v>
      </c>
      <c r="AL385" s="7">
        <v>120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36</v>
      </c>
      <c r="BM385" s="10">
        <v>19920</v>
      </c>
      <c r="BN385" s="15">
        <f t="shared" si="12"/>
        <v>19884</v>
      </c>
      <c r="BO385" s="16">
        <f t="shared" si="13"/>
        <v>13918.8</v>
      </c>
    </row>
    <row r="386" spans="1:67" ht="19.2" x14ac:dyDescent="0.4">
      <c r="A386" s="5" t="s">
        <v>531</v>
      </c>
      <c r="B386" s="5" t="s">
        <v>465</v>
      </c>
      <c r="C386" s="5">
        <v>476003</v>
      </c>
      <c r="D386" s="6"/>
      <c r="E386" s="5" t="s">
        <v>16</v>
      </c>
      <c r="F386" s="5" t="s">
        <v>30</v>
      </c>
      <c r="G386" s="5" t="s">
        <v>10</v>
      </c>
      <c r="H386" s="7" t="s">
        <v>8</v>
      </c>
      <c r="I386" s="7" t="s">
        <v>461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6</v>
      </c>
      <c r="AF386" s="8">
        <v>19000</v>
      </c>
      <c r="AG386" s="7">
        <v>0</v>
      </c>
      <c r="AH386" s="7">
        <v>0</v>
      </c>
      <c r="AI386" s="7">
        <v>0</v>
      </c>
      <c r="AJ386" s="7">
        <v>0</v>
      </c>
      <c r="AK386" s="7">
        <v>1</v>
      </c>
      <c r="AL386" s="7">
        <v>0</v>
      </c>
      <c r="AM386" s="7">
        <v>200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  <c r="BK386" s="7">
        <v>0</v>
      </c>
      <c r="BL386" s="7">
        <v>0</v>
      </c>
      <c r="BM386" s="10">
        <v>19200</v>
      </c>
      <c r="BN386" s="15">
        <f t="shared" si="12"/>
        <v>19200</v>
      </c>
      <c r="BO386" s="16">
        <f t="shared" si="13"/>
        <v>13440</v>
      </c>
    </row>
    <row r="387" spans="1:67" x14ac:dyDescent="0.4">
      <c r="A387" s="5" t="s">
        <v>531</v>
      </c>
      <c r="B387" s="5" t="s">
        <v>159</v>
      </c>
      <c r="C387" s="5">
        <v>376361</v>
      </c>
      <c r="D387" s="6"/>
      <c r="E387" s="5" t="s">
        <v>16</v>
      </c>
      <c r="F387" s="5" t="s">
        <v>47</v>
      </c>
      <c r="G387" s="5" t="s">
        <v>34</v>
      </c>
      <c r="H387" s="7" t="s">
        <v>8</v>
      </c>
      <c r="I387" s="7" t="s">
        <v>160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14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62</v>
      </c>
      <c r="AF387" s="8">
        <v>6200</v>
      </c>
      <c r="AG387" s="7">
        <v>0</v>
      </c>
      <c r="AH387" s="7">
        <v>0</v>
      </c>
      <c r="AI387" s="7">
        <v>0</v>
      </c>
      <c r="AJ387" s="7">
        <v>0</v>
      </c>
      <c r="AK387" s="7">
        <v>44</v>
      </c>
      <c r="AL387" s="8">
        <v>4680</v>
      </c>
      <c r="AM387" s="7">
        <v>500</v>
      </c>
      <c r="AN387" s="7">
        <v>0</v>
      </c>
      <c r="AO387" s="7">
        <v>0</v>
      </c>
      <c r="AP387" s="7">
        <v>0</v>
      </c>
      <c r="AQ387" s="7">
        <v>73</v>
      </c>
      <c r="AR387" s="8">
        <v>7300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7">
        <v>0</v>
      </c>
      <c r="BF387" s="7">
        <v>0</v>
      </c>
      <c r="BG387" s="7">
        <v>0</v>
      </c>
      <c r="BH387" s="7">
        <v>0</v>
      </c>
      <c r="BI387" s="7">
        <v>0</v>
      </c>
      <c r="BJ387" s="7">
        <v>0</v>
      </c>
      <c r="BK387" s="7">
        <v>0</v>
      </c>
      <c r="BL387" s="9">
        <v>1404</v>
      </c>
      <c r="BM387" s="10">
        <v>18680</v>
      </c>
      <c r="BN387" s="15">
        <f t="shared" si="12"/>
        <v>17276</v>
      </c>
      <c r="BO387" s="16">
        <f t="shared" si="13"/>
        <v>12093.199999999999</v>
      </c>
    </row>
    <row r="388" spans="1:67" x14ac:dyDescent="0.4">
      <c r="A388" s="5" t="s">
        <v>531</v>
      </c>
      <c r="B388" s="5" t="s">
        <v>289</v>
      </c>
      <c r="C388" s="5">
        <v>392673</v>
      </c>
      <c r="D388" s="6"/>
      <c r="E388" s="5" t="s">
        <v>16</v>
      </c>
      <c r="F388" s="5" t="s">
        <v>105</v>
      </c>
      <c r="G388" s="5" t="s">
        <v>34</v>
      </c>
      <c r="H388" s="7" t="s">
        <v>8</v>
      </c>
      <c r="I388" s="7" t="s">
        <v>290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4</v>
      </c>
      <c r="AL388" s="8">
        <v>15360</v>
      </c>
      <c r="AM388" s="7">
        <v>0</v>
      </c>
      <c r="AN388" s="7">
        <v>0</v>
      </c>
      <c r="AO388" s="7">
        <v>0</v>
      </c>
      <c r="AP388" s="7">
        <v>0</v>
      </c>
      <c r="AQ388" s="7">
        <v>1</v>
      </c>
      <c r="AR388" s="8">
        <v>3200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0</v>
      </c>
      <c r="BF388" s="7">
        <v>0</v>
      </c>
      <c r="BG388" s="7">
        <v>0</v>
      </c>
      <c r="BH388" s="7">
        <v>0</v>
      </c>
      <c r="BI388" s="7">
        <v>0</v>
      </c>
      <c r="BJ388" s="7">
        <v>0</v>
      </c>
      <c r="BK388" s="7">
        <v>0</v>
      </c>
      <c r="BL388" s="9">
        <v>4608</v>
      </c>
      <c r="BM388" s="10">
        <v>18560</v>
      </c>
      <c r="BN388" s="15">
        <f t="shared" si="12"/>
        <v>13952</v>
      </c>
      <c r="BO388" s="16">
        <f t="shared" si="13"/>
        <v>9766.4</v>
      </c>
    </row>
    <row r="389" spans="1:67" x14ac:dyDescent="0.4">
      <c r="A389" s="5" t="s">
        <v>531</v>
      </c>
      <c r="B389" s="5" t="s">
        <v>77</v>
      </c>
      <c r="C389" s="5">
        <v>387942</v>
      </c>
      <c r="D389" s="6"/>
      <c r="E389" s="5" t="s">
        <v>16</v>
      </c>
      <c r="F389" s="5" t="s">
        <v>78</v>
      </c>
      <c r="G389" s="5" t="s">
        <v>10</v>
      </c>
      <c r="H389" s="7" t="s">
        <v>7</v>
      </c>
      <c r="I389" s="7" t="s">
        <v>79</v>
      </c>
      <c r="J389" s="7">
        <v>0</v>
      </c>
      <c r="K389" s="7">
        <v>15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110</v>
      </c>
      <c r="AF389" s="8">
        <v>9900</v>
      </c>
      <c r="AG389" s="8">
        <v>1100</v>
      </c>
      <c r="AH389" s="7">
        <v>0</v>
      </c>
      <c r="AI389" s="7">
        <v>0</v>
      </c>
      <c r="AJ389" s="7">
        <v>0</v>
      </c>
      <c r="AK389" s="7">
        <v>52</v>
      </c>
      <c r="AL389" s="7">
        <v>240</v>
      </c>
      <c r="AM389" s="8">
        <v>5000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0</v>
      </c>
      <c r="BH389" s="7">
        <v>0</v>
      </c>
      <c r="BI389" s="7">
        <v>0</v>
      </c>
      <c r="BJ389" s="7">
        <v>0</v>
      </c>
      <c r="BK389" s="7">
        <v>0</v>
      </c>
      <c r="BL389" s="7">
        <v>72</v>
      </c>
      <c r="BM389" s="10">
        <v>16240</v>
      </c>
      <c r="BN389" s="15">
        <f t="shared" si="12"/>
        <v>16168</v>
      </c>
      <c r="BO389" s="16">
        <f t="shared" si="13"/>
        <v>11317.599999999999</v>
      </c>
    </row>
    <row r="390" spans="1:67" x14ac:dyDescent="0.4">
      <c r="A390" s="5" t="s">
        <v>531</v>
      </c>
      <c r="B390" s="5" t="s">
        <v>471</v>
      </c>
      <c r="C390" s="5">
        <v>475991</v>
      </c>
      <c r="D390" s="6"/>
      <c r="E390" s="5" t="s">
        <v>16</v>
      </c>
      <c r="F390" s="5" t="s">
        <v>424</v>
      </c>
      <c r="G390" s="5" t="s">
        <v>10</v>
      </c>
      <c r="H390" s="7" t="s">
        <v>7</v>
      </c>
      <c r="I390" s="7" t="s">
        <v>461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4</v>
      </c>
      <c r="AF390" s="8">
        <v>12800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1</v>
      </c>
      <c r="AR390" s="8">
        <v>3200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0</v>
      </c>
      <c r="BH390" s="7">
        <v>0</v>
      </c>
      <c r="BI390" s="7">
        <v>0</v>
      </c>
      <c r="BJ390" s="7">
        <v>0</v>
      </c>
      <c r="BK390" s="7">
        <v>0</v>
      </c>
      <c r="BL390" s="7">
        <v>0</v>
      </c>
      <c r="BM390" s="10">
        <v>16000</v>
      </c>
      <c r="BN390" s="15">
        <f t="shared" si="12"/>
        <v>16000</v>
      </c>
      <c r="BO390" s="16">
        <f t="shared" si="13"/>
        <v>11200</v>
      </c>
    </row>
    <row r="391" spans="1:67" x14ac:dyDescent="0.4">
      <c r="A391" s="5" t="s">
        <v>531</v>
      </c>
      <c r="B391" s="5" t="s">
        <v>336</v>
      </c>
      <c r="C391" s="5">
        <v>406872</v>
      </c>
      <c r="D391" s="6"/>
      <c r="E391" s="5" t="s">
        <v>16</v>
      </c>
      <c r="F391" s="5" t="s">
        <v>337</v>
      </c>
      <c r="G391" s="5" t="s">
        <v>457</v>
      </c>
      <c r="H391" s="7" t="s">
        <v>9</v>
      </c>
      <c r="I391" s="7" t="s">
        <v>338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13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118</v>
      </c>
      <c r="AL391" s="8">
        <v>15931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7">
        <v>0</v>
      </c>
      <c r="BJ391" s="7">
        <v>0</v>
      </c>
      <c r="BK391" s="7">
        <v>0</v>
      </c>
      <c r="BL391" s="9">
        <v>4779.3</v>
      </c>
      <c r="BM391" s="10">
        <v>15931</v>
      </c>
      <c r="BN391" s="15">
        <f t="shared" si="12"/>
        <v>11151.7</v>
      </c>
      <c r="BO391" s="16">
        <f t="shared" si="13"/>
        <v>7806.19</v>
      </c>
    </row>
    <row r="392" spans="1:67" x14ac:dyDescent="0.4">
      <c r="A392" s="5" t="s">
        <v>531</v>
      </c>
      <c r="B392" s="5" t="s">
        <v>263</v>
      </c>
      <c r="C392" s="5">
        <v>395192</v>
      </c>
      <c r="D392" s="6"/>
      <c r="E392" s="5" t="s">
        <v>16</v>
      </c>
      <c r="F392" s="5" t="s">
        <v>130</v>
      </c>
      <c r="G392" s="5" t="s">
        <v>34</v>
      </c>
      <c r="H392" s="7" t="s">
        <v>8</v>
      </c>
      <c r="I392" s="7" t="s">
        <v>264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6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89</v>
      </c>
      <c r="AF392" s="8">
        <v>8900</v>
      </c>
      <c r="AG392" s="7">
        <v>0</v>
      </c>
      <c r="AH392" s="7">
        <v>0</v>
      </c>
      <c r="AI392" s="7">
        <v>0</v>
      </c>
      <c r="AJ392" s="7">
        <v>0</v>
      </c>
      <c r="AK392" s="7">
        <v>68</v>
      </c>
      <c r="AL392" s="7">
        <v>0</v>
      </c>
      <c r="AM392" s="8">
        <v>6800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7">
        <v>0</v>
      </c>
      <c r="BE392" s="7">
        <v>0</v>
      </c>
      <c r="BF392" s="7">
        <v>0</v>
      </c>
      <c r="BG392" s="7">
        <v>0</v>
      </c>
      <c r="BH392" s="7">
        <v>0</v>
      </c>
      <c r="BI392" s="7">
        <v>0</v>
      </c>
      <c r="BJ392" s="7">
        <v>0</v>
      </c>
      <c r="BK392" s="7">
        <v>0</v>
      </c>
      <c r="BL392" s="7">
        <v>0</v>
      </c>
      <c r="BM392" s="10">
        <v>15700</v>
      </c>
      <c r="BN392" s="15">
        <f t="shared" si="12"/>
        <v>15700</v>
      </c>
      <c r="BO392" s="16">
        <f t="shared" si="13"/>
        <v>10990</v>
      </c>
    </row>
    <row r="393" spans="1:67" ht="19.2" x14ac:dyDescent="0.4">
      <c r="A393" s="5" t="s">
        <v>531</v>
      </c>
      <c r="B393" s="5" t="s">
        <v>374</v>
      </c>
      <c r="C393" s="5">
        <v>458432</v>
      </c>
      <c r="D393" s="6"/>
      <c r="E393" s="5" t="s">
        <v>16</v>
      </c>
      <c r="F393" s="5" t="s">
        <v>130</v>
      </c>
      <c r="G393" s="5" t="s">
        <v>34</v>
      </c>
      <c r="H393" s="7" t="s">
        <v>308</v>
      </c>
      <c r="I393" s="7" t="s">
        <v>375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4</v>
      </c>
      <c r="AF393" s="8">
        <v>7100</v>
      </c>
      <c r="AG393" s="8">
        <v>4700</v>
      </c>
      <c r="AH393" s="7">
        <v>0</v>
      </c>
      <c r="AI393" s="7">
        <v>0</v>
      </c>
      <c r="AJ393" s="7">
        <v>0</v>
      </c>
      <c r="AK393" s="7">
        <v>1</v>
      </c>
      <c r="AL393" s="7">
        <v>0</v>
      </c>
      <c r="AM393" s="7">
        <v>200</v>
      </c>
      <c r="AN393" s="7">
        <v>0</v>
      </c>
      <c r="AO393" s="7">
        <v>0</v>
      </c>
      <c r="AP393" s="7">
        <v>0</v>
      </c>
      <c r="AQ393" s="7">
        <v>1</v>
      </c>
      <c r="AR393" s="8">
        <v>3000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0</v>
      </c>
      <c r="BF393" s="7">
        <v>0</v>
      </c>
      <c r="BG393" s="7">
        <v>0</v>
      </c>
      <c r="BH393" s="7">
        <v>0</v>
      </c>
      <c r="BI393" s="7">
        <v>0</v>
      </c>
      <c r="BJ393" s="7">
        <v>0</v>
      </c>
      <c r="BK393" s="7">
        <v>0</v>
      </c>
      <c r="BL393" s="7">
        <v>0</v>
      </c>
      <c r="BM393" s="10">
        <v>15000</v>
      </c>
      <c r="BN393" s="15">
        <f t="shared" si="12"/>
        <v>15000</v>
      </c>
      <c r="BO393" s="16">
        <f t="shared" si="13"/>
        <v>10500</v>
      </c>
    </row>
    <row r="394" spans="1:67" x14ac:dyDescent="0.4">
      <c r="A394" s="5" t="s">
        <v>531</v>
      </c>
      <c r="B394" s="5" t="s">
        <v>144</v>
      </c>
      <c r="C394" s="5">
        <v>328404</v>
      </c>
      <c r="D394" s="6"/>
      <c r="E394" s="5" t="s">
        <v>16</v>
      </c>
      <c r="F394" s="5" t="s">
        <v>33</v>
      </c>
      <c r="G394" s="5" t="s">
        <v>34</v>
      </c>
      <c r="H394" s="7" t="s">
        <v>8</v>
      </c>
      <c r="I394" s="7" t="s">
        <v>145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5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57</v>
      </c>
      <c r="AF394" s="8">
        <v>5700</v>
      </c>
      <c r="AG394" s="7">
        <v>0</v>
      </c>
      <c r="AH394" s="7">
        <v>0</v>
      </c>
      <c r="AI394" s="7">
        <v>0</v>
      </c>
      <c r="AJ394" s="7">
        <v>0</v>
      </c>
      <c r="AK394" s="7">
        <v>76</v>
      </c>
      <c r="AL394" s="8">
        <v>1680</v>
      </c>
      <c r="AM394" s="8">
        <v>6200</v>
      </c>
      <c r="AN394" s="7">
        <v>0</v>
      </c>
      <c r="AO394" s="7">
        <v>0</v>
      </c>
      <c r="AP394" s="7">
        <v>0</v>
      </c>
      <c r="AQ394" s="7">
        <v>3</v>
      </c>
      <c r="AR394" s="7">
        <v>300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0</v>
      </c>
      <c r="BI394" s="7">
        <v>0</v>
      </c>
      <c r="BJ394" s="7">
        <v>0</v>
      </c>
      <c r="BK394" s="7">
        <v>0</v>
      </c>
      <c r="BL394" s="7">
        <v>504</v>
      </c>
      <c r="BM394" s="10">
        <v>13880</v>
      </c>
      <c r="BN394" s="15">
        <f t="shared" si="12"/>
        <v>13376</v>
      </c>
      <c r="BO394" s="16">
        <f t="shared" si="13"/>
        <v>9363.1999999999989</v>
      </c>
    </row>
    <row r="395" spans="1:67" x14ac:dyDescent="0.4">
      <c r="A395" s="5" t="s">
        <v>531</v>
      </c>
      <c r="B395" s="5" t="s">
        <v>258</v>
      </c>
      <c r="C395" s="5">
        <v>297776</v>
      </c>
      <c r="D395" s="6"/>
      <c r="E395" s="5" t="s">
        <v>16</v>
      </c>
      <c r="F395" s="5" t="s">
        <v>259</v>
      </c>
      <c r="G395" s="5" t="s">
        <v>457</v>
      </c>
      <c r="H395" s="7" t="s">
        <v>9</v>
      </c>
      <c r="I395" s="7" t="s">
        <v>260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136</v>
      </c>
      <c r="AR395" s="8">
        <v>11600</v>
      </c>
      <c r="AS395" s="8">
        <v>2000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7">
        <v>0</v>
      </c>
      <c r="BI395" s="7">
        <v>0</v>
      </c>
      <c r="BJ395" s="7">
        <v>0</v>
      </c>
      <c r="BK395" s="7">
        <v>0</v>
      </c>
      <c r="BL395" s="7">
        <v>0</v>
      </c>
      <c r="BM395" s="10">
        <v>13600</v>
      </c>
      <c r="BN395" s="15">
        <f t="shared" si="12"/>
        <v>13600</v>
      </c>
      <c r="BO395" s="16">
        <f t="shared" si="13"/>
        <v>9520</v>
      </c>
    </row>
    <row r="396" spans="1:67" x14ac:dyDescent="0.4">
      <c r="A396" s="5" t="s">
        <v>531</v>
      </c>
      <c r="B396" s="5" t="s">
        <v>119</v>
      </c>
      <c r="C396" s="5">
        <v>390809</v>
      </c>
      <c r="D396" s="6"/>
      <c r="E396" s="5" t="s">
        <v>16</v>
      </c>
      <c r="F396" s="5" t="s">
        <v>120</v>
      </c>
      <c r="G396" s="5" t="s">
        <v>34</v>
      </c>
      <c r="H396" s="7" t="s">
        <v>8</v>
      </c>
      <c r="I396" s="7" t="s">
        <v>35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71</v>
      </c>
      <c r="AF396" s="8">
        <v>7100</v>
      </c>
      <c r="AG396" s="7">
        <v>0</v>
      </c>
      <c r="AH396" s="7">
        <v>0</v>
      </c>
      <c r="AI396" s="7">
        <v>0</v>
      </c>
      <c r="AJ396" s="7">
        <v>0</v>
      </c>
      <c r="AK396" s="7">
        <v>12</v>
      </c>
      <c r="AL396" s="7">
        <v>480</v>
      </c>
      <c r="AM396" s="7">
        <v>800</v>
      </c>
      <c r="AN396" s="7">
        <v>0</v>
      </c>
      <c r="AO396" s="7">
        <v>0</v>
      </c>
      <c r="AP396" s="7">
        <v>0</v>
      </c>
      <c r="AQ396" s="7">
        <v>49</v>
      </c>
      <c r="AR396" s="8">
        <v>4800</v>
      </c>
      <c r="AS396" s="7">
        <v>100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7">
        <v>144</v>
      </c>
      <c r="BM396" s="10">
        <v>13280</v>
      </c>
      <c r="BN396" s="15">
        <f t="shared" si="12"/>
        <v>13136</v>
      </c>
      <c r="BO396" s="16">
        <f t="shared" si="13"/>
        <v>9195.1999999999989</v>
      </c>
    </row>
    <row r="397" spans="1:67" x14ac:dyDescent="0.4">
      <c r="A397" s="5" t="s">
        <v>531</v>
      </c>
      <c r="B397" s="5" t="s">
        <v>194</v>
      </c>
      <c r="C397" s="5">
        <v>445861</v>
      </c>
      <c r="D397" s="6"/>
      <c r="E397" s="5" t="s">
        <v>16</v>
      </c>
      <c r="F397" s="5" t="s">
        <v>47</v>
      </c>
      <c r="G397" s="5" t="s">
        <v>34</v>
      </c>
      <c r="H397" s="7" t="s">
        <v>8</v>
      </c>
      <c r="I397" s="7" t="s">
        <v>195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1</v>
      </c>
      <c r="AF397" s="8">
        <v>2800</v>
      </c>
      <c r="AG397" s="7">
        <v>0</v>
      </c>
      <c r="AH397" s="7">
        <v>0</v>
      </c>
      <c r="AI397" s="7">
        <v>0</v>
      </c>
      <c r="AJ397" s="7">
        <v>0</v>
      </c>
      <c r="AK397" s="7">
        <v>3</v>
      </c>
      <c r="AL397" s="8">
        <v>10080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s="7">
        <v>0</v>
      </c>
      <c r="BK397" s="7">
        <v>0</v>
      </c>
      <c r="BL397" s="9">
        <v>3024</v>
      </c>
      <c r="BM397" s="10">
        <v>12880</v>
      </c>
      <c r="BN397" s="15">
        <f t="shared" si="12"/>
        <v>9856</v>
      </c>
      <c r="BO397" s="16">
        <f t="shared" si="13"/>
        <v>6899.2</v>
      </c>
    </row>
    <row r="398" spans="1:67" x14ac:dyDescent="0.4">
      <c r="A398" s="5" t="s">
        <v>531</v>
      </c>
      <c r="B398" s="5" t="s">
        <v>283</v>
      </c>
      <c r="C398" s="5">
        <v>381070</v>
      </c>
      <c r="D398" s="6"/>
      <c r="E398" s="5" t="s">
        <v>16</v>
      </c>
      <c r="F398" s="5" t="s">
        <v>284</v>
      </c>
      <c r="G398" s="5" t="s">
        <v>34</v>
      </c>
      <c r="H398" s="7" t="s">
        <v>8</v>
      </c>
      <c r="I398" s="7" t="s">
        <v>285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113</v>
      </c>
      <c r="AF398" s="8">
        <v>11300</v>
      </c>
      <c r="AG398" s="7">
        <v>0</v>
      </c>
      <c r="AH398" s="7">
        <v>0</v>
      </c>
      <c r="AI398" s="7">
        <v>0</v>
      </c>
      <c r="AJ398" s="7">
        <v>0</v>
      </c>
      <c r="AK398" s="7">
        <v>12</v>
      </c>
      <c r="AL398" s="8">
        <v>1440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0</v>
      </c>
      <c r="BF398" s="7">
        <v>0</v>
      </c>
      <c r="BG398" s="7">
        <v>0</v>
      </c>
      <c r="BH398" s="7">
        <v>0</v>
      </c>
      <c r="BI398" s="7">
        <v>0</v>
      </c>
      <c r="BJ398" s="7">
        <v>0</v>
      </c>
      <c r="BK398" s="7">
        <v>0</v>
      </c>
      <c r="BL398" s="7">
        <v>432</v>
      </c>
      <c r="BM398" s="10">
        <v>12740</v>
      </c>
      <c r="BN398" s="15">
        <f t="shared" si="12"/>
        <v>12308</v>
      </c>
      <c r="BO398" s="16">
        <f t="shared" si="13"/>
        <v>8615.5999999999985</v>
      </c>
    </row>
    <row r="399" spans="1:67" x14ac:dyDescent="0.4">
      <c r="A399" s="5" t="s">
        <v>531</v>
      </c>
      <c r="B399" s="5" t="s">
        <v>156</v>
      </c>
      <c r="C399" s="5">
        <v>433508</v>
      </c>
      <c r="D399" s="6"/>
      <c r="E399" s="5" t="s">
        <v>16</v>
      </c>
      <c r="F399" s="5" t="s">
        <v>157</v>
      </c>
      <c r="G399" s="5" t="s">
        <v>10</v>
      </c>
      <c r="H399" s="7" t="s">
        <v>7</v>
      </c>
      <c r="I399" s="7" t="s">
        <v>158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126</v>
      </c>
      <c r="AF399" s="8">
        <v>12600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0</v>
      </c>
      <c r="BI399" s="7">
        <v>0</v>
      </c>
      <c r="BJ399" s="7">
        <v>0</v>
      </c>
      <c r="BK399" s="7">
        <v>0</v>
      </c>
      <c r="BL399" s="7">
        <v>0</v>
      </c>
      <c r="BM399" s="10">
        <v>12600</v>
      </c>
      <c r="BN399" s="15">
        <f t="shared" si="12"/>
        <v>12600</v>
      </c>
      <c r="BO399" s="16">
        <f t="shared" si="13"/>
        <v>8820</v>
      </c>
    </row>
    <row r="400" spans="1:67" x14ac:dyDescent="0.4">
      <c r="A400" s="5" t="s">
        <v>531</v>
      </c>
      <c r="B400" s="5" t="s">
        <v>115</v>
      </c>
      <c r="C400" s="5">
        <v>415710</v>
      </c>
      <c r="D400" s="6"/>
      <c r="E400" s="5" t="s">
        <v>16</v>
      </c>
      <c r="F400" s="5" t="s">
        <v>52</v>
      </c>
      <c r="G400" s="5" t="s">
        <v>34</v>
      </c>
      <c r="H400" s="7" t="s">
        <v>8</v>
      </c>
      <c r="I400" s="7" t="s">
        <v>116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31</v>
      </c>
      <c r="AF400" s="8">
        <v>3000</v>
      </c>
      <c r="AG400" s="7">
        <v>100</v>
      </c>
      <c r="AH400" s="7">
        <v>0</v>
      </c>
      <c r="AI400" s="7">
        <v>0</v>
      </c>
      <c r="AJ400" s="7">
        <v>0</v>
      </c>
      <c r="AK400" s="7">
        <v>62</v>
      </c>
      <c r="AL400" s="8">
        <v>7200</v>
      </c>
      <c r="AM400" s="7">
        <v>200</v>
      </c>
      <c r="AN400" s="7">
        <v>0</v>
      </c>
      <c r="AO400" s="7">
        <v>0</v>
      </c>
      <c r="AP400" s="7">
        <v>0</v>
      </c>
      <c r="AQ400" s="7">
        <v>15</v>
      </c>
      <c r="AR400" s="8">
        <v>1500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7">
        <v>0</v>
      </c>
      <c r="BI400" s="7">
        <v>0</v>
      </c>
      <c r="BJ400" s="7">
        <v>0</v>
      </c>
      <c r="BK400" s="7">
        <v>0</v>
      </c>
      <c r="BL400" s="9">
        <v>2160</v>
      </c>
      <c r="BM400" s="10">
        <v>12000</v>
      </c>
      <c r="BN400" s="15">
        <f t="shared" si="12"/>
        <v>9840</v>
      </c>
      <c r="BO400" s="16">
        <f t="shared" si="13"/>
        <v>6888</v>
      </c>
    </row>
    <row r="401" spans="1:67" x14ac:dyDescent="0.4">
      <c r="A401" s="5" t="s">
        <v>531</v>
      </c>
      <c r="B401" s="5" t="s">
        <v>253</v>
      </c>
      <c r="C401" s="5">
        <v>400251</v>
      </c>
      <c r="D401" s="6"/>
      <c r="E401" s="5" t="s">
        <v>16</v>
      </c>
      <c r="F401" s="5" t="s">
        <v>41</v>
      </c>
      <c r="G401" s="5" t="s">
        <v>34</v>
      </c>
      <c r="H401" s="7" t="s">
        <v>8</v>
      </c>
      <c r="I401" s="7" t="s">
        <v>254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8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62</v>
      </c>
      <c r="AF401" s="8">
        <v>6200</v>
      </c>
      <c r="AG401" s="7">
        <v>0</v>
      </c>
      <c r="AH401" s="7">
        <v>0</v>
      </c>
      <c r="AI401" s="7">
        <v>0</v>
      </c>
      <c r="AJ401" s="7">
        <v>0</v>
      </c>
      <c r="AK401" s="7">
        <v>55</v>
      </c>
      <c r="AL401" s="7">
        <v>0</v>
      </c>
      <c r="AM401" s="8">
        <v>5500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</v>
      </c>
      <c r="BH401" s="7">
        <v>0</v>
      </c>
      <c r="BI401" s="7">
        <v>0</v>
      </c>
      <c r="BJ401" s="7">
        <v>0</v>
      </c>
      <c r="BK401" s="7">
        <v>0</v>
      </c>
      <c r="BL401" s="7">
        <v>0</v>
      </c>
      <c r="BM401" s="10">
        <v>11700</v>
      </c>
      <c r="BN401" s="15">
        <f t="shared" si="12"/>
        <v>11700</v>
      </c>
      <c r="BO401" s="16">
        <f t="shared" si="13"/>
        <v>8189.9999999999991</v>
      </c>
    </row>
    <row r="402" spans="1:67" ht="19.2" x14ac:dyDescent="0.4">
      <c r="A402" s="5" t="s">
        <v>531</v>
      </c>
      <c r="B402" s="5" t="s">
        <v>191</v>
      </c>
      <c r="C402" s="5">
        <v>467503</v>
      </c>
      <c r="D402" s="6"/>
      <c r="E402" s="5" t="s">
        <v>16</v>
      </c>
      <c r="F402" s="5" t="s">
        <v>165</v>
      </c>
      <c r="G402" s="5" t="s">
        <v>34</v>
      </c>
      <c r="H402" s="7" t="s">
        <v>8</v>
      </c>
      <c r="I402" s="7" t="s">
        <v>27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2</v>
      </c>
      <c r="AL402" s="8">
        <v>7680</v>
      </c>
      <c r="AM402" s="7">
        <v>0</v>
      </c>
      <c r="AN402" s="7">
        <v>0</v>
      </c>
      <c r="AO402" s="7">
        <v>0</v>
      </c>
      <c r="AP402" s="7">
        <v>0</v>
      </c>
      <c r="AQ402" s="7">
        <v>1</v>
      </c>
      <c r="AR402" s="8">
        <v>3200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7">
        <v>0</v>
      </c>
      <c r="BE402" s="7">
        <v>0</v>
      </c>
      <c r="BF402" s="7">
        <v>0</v>
      </c>
      <c r="BG402" s="7">
        <v>0</v>
      </c>
      <c r="BH402" s="7">
        <v>0</v>
      </c>
      <c r="BI402" s="7">
        <v>0</v>
      </c>
      <c r="BJ402" s="7">
        <v>0</v>
      </c>
      <c r="BK402" s="7">
        <v>0</v>
      </c>
      <c r="BL402" s="9">
        <v>2304</v>
      </c>
      <c r="BM402" s="10">
        <v>10880</v>
      </c>
      <c r="BN402" s="15">
        <f t="shared" si="12"/>
        <v>8576</v>
      </c>
      <c r="BO402" s="16">
        <f t="shared" si="13"/>
        <v>6003.2</v>
      </c>
    </row>
    <row r="403" spans="1:67" x14ac:dyDescent="0.4">
      <c r="A403" s="5" t="s">
        <v>531</v>
      </c>
      <c r="B403" s="5" t="s">
        <v>80</v>
      </c>
      <c r="C403" s="5">
        <v>429621</v>
      </c>
      <c r="D403" s="6"/>
      <c r="E403" s="5" t="s">
        <v>16</v>
      </c>
      <c r="F403" s="5" t="s">
        <v>81</v>
      </c>
      <c r="G403" s="5" t="s">
        <v>457</v>
      </c>
      <c r="H403" s="7" t="s">
        <v>8</v>
      </c>
      <c r="I403" s="7" t="s">
        <v>82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1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104</v>
      </c>
      <c r="AF403" s="8">
        <v>10400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0</v>
      </c>
      <c r="BE403" s="7">
        <v>0</v>
      </c>
      <c r="BF403" s="7">
        <v>0</v>
      </c>
      <c r="BG403" s="7">
        <v>0</v>
      </c>
      <c r="BH403" s="7">
        <v>0</v>
      </c>
      <c r="BI403" s="7">
        <v>0</v>
      </c>
      <c r="BJ403" s="7">
        <v>0</v>
      </c>
      <c r="BK403" s="7">
        <v>0</v>
      </c>
      <c r="BL403" s="7">
        <v>0</v>
      </c>
      <c r="BM403" s="10">
        <v>10400</v>
      </c>
      <c r="BN403" s="15">
        <f t="shared" si="12"/>
        <v>10400</v>
      </c>
      <c r="BO403" s="16">
        <f t="shared" si="13"/>
        <v>7279.9999999999991</v>
      </c>
    </row>
    <row r="404" spans="1:67" ht="19.2" x14ac:dyDescent="0.4">
      <c r="A404" s="5" t="s">
        <v>531</v>
      </c>
      <c r="B404" s="5" t="s">
        <v>110</v>
      </c>
      <c r="C404" s="5">
        <v>425289</v>
      </c>
      <c r="D404" s="6"/>
      <c r="E404" s="5" t="s">
        <v>16</v>
      </c>
      <c r="F404" s="5" t="s">
        <v>96</v>
      </c>
      <c r="G404" s="5" t="s">
        <v>10</v>
      </c>
      <c r="H404" s="7" t="s">
        <v>7</v>
      </c>
      <c r="I404" s="7" t="s">
        <v>111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9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92</v>
      </c>
      <c r="AF404" s="8">
        <v>9200</v>
      </c>
      <c r="AG404" s="7">
        <v>0</v>
      </c>
      <c r="AH404" s="7">
        <v>0</v>
      </c>
      <c r="AI404" s="7">
        <v>0</v>
      </c>
      <c r="AJ404" s="7">
        <v>0</v>
      </c>
      <c r="AK404" s="7">
        <v>1</v>
      </c>
      <c r="AL404" s="7">
        <v>120</v>
      </c>
      <c r="AM404" s="7">
        <v>0</v>
      </c>
      <c r="AN404" s="7">
        <v>0</v>
      </c>
      <c r="AO404" s="7">
        <v>0</v>
      </c>
      <c r="AP404" s="7">
        <v>0</v>
      </c>
      <c r="AQ404" s="7">
        <v>6</v>
      </c>
      <c r="AR404" s="7">
        <v>600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36</v>
      </c>
      <c r="BM404" s="10">
        <v>9920</v>
      </c>
      <c r="BN404" s="15">
        <f t="shared" si="12"/>
        <v>9884</v>
      </c>
      <c r="BO404" s="16">
        <f t="shared" si="13"/>
        <v>6918.7999999999993</v>
      </c>
    </row>
    <row r="405" spans="1:67" x14ac:dyDescent="0.4">
      <c r="A405" s="5" t="s">
        <v>531</v>
      </c>
      <c r="B405" s="5" t="s">
        <v>212</v>
      </c>
      <c r="C405" s="5">
        <v>415992</v>
      </c>
      <c r="D405" s="6"/>
      <c r="E405" s="5" t="s">
        <v>16</v>
      </c>
      <c r="F405" s="5" t="s">
        <v>41</v>
      </c>
      <c r="G405" s="5" t="s">
        <v>34</v>
      </c>
      <c r="H405" s="7" t="s">
        <v>8</v>
      </c>
      <c r="I405" s="7" t="s">
        <v>213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5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98</v>
      </c>
      <c r="AF405" s="8">
        <v>5100</v>
      </c>
      <c r="AG405" s="8">
        <v>4700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0</v>
      </c>
      <c r="BM405" s="10">
        <v>9800</v>
      </c>
      <c r="BN405" s="15">
        <f t="shared" si="12"/>
        <v>9800</v>
      </c>
      <c r="BO405" s="16">
        <f t="shared" si="13"/>
        <v>6860</v>
      </c>
    </row>
    <row r="406" spans="1:67" ht="19.2" x14ac:dyDescent="0.4">
      <c r="A406" s="5" t="s">
        <v>531</v>
      </c>
      <c r="B406" s="5" t="s">
        <v>385</v>
      </c>
      <c r="C406" s="5">
        <v>383234</v>
      </c>
      <c r="D406" s="6"/>
      <c r="E406" s="5" t="s">
        <v>16</v>
      </c>
      <c r="F406" s="5" t="s">
        <v>130</v>
      </c>
      <c r="G406" s="5" t="s">
        <v>34</v>
      </c>
      <c r="H406" s="7" t="s">
        <v>308</v>
      </c>
      <c r="I406" s="7" t="s">
        <v>131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3</v>
      </c>
      <c r="AF406" s="8">
        <v>9500</v>
      </c>
      <c r="AG406" s="7">
        <v>0</v>
      </c>
      <c r="AH406" s="7">
        <v>0</v>
      </c>
      <c r="AI406" s="7">
        <v>0</v>
      </c>
      <c r="AJ406" s="7">
        <v>0</v>
      </c>
      <c r="AK406" s="7">
        <v>1</v>
      </c>
      <c r="AL406" s="7">
        <v>0</v>
      </c>
      <c r="AM406" s="7">
        <v>100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0</v>
      </c>
      <c r="BI406" s="7">
        <v>0</v>
      </c>
      <c r="BJ406" s="7">
        <v>0</v>
      </c>
      <c r="BK406" s="7">
        <v>0</v>
      </c>
      <c r="BL406" s="7">
        <v>0</v>
      </c>
      <c r="BM406" s="10">
        <v>9600</v>
      </c>
      <c r="BN406" s="15">
        <f t="shared" si="12"/>
        <v>9600</v>
      </c>
      <c r="BO406" s="16">
        <f t="shared" si="13"/>
        <v>6720</v>
      </c>
    </row>
    <row r="407" spans="1:67" ht="19.2" x14ac:dyDescent="0.4">
      <c r="A407" s="5" t="s">
        <v>531</v>
      </c>
      <c r="B407" s="5" t="s">
        <v>164</v>
      </c>
      <c r="C407" s="5">
        <v>467470</v>
      </c>
      <c r="D407" s="6"/>
      <c r="E407" s="5" t="s">
        <v>16</v>
      </c>
      <c r="F407" s="5" t="s">
        <v>165</v>
      </c>
      <c r="G407" s="5" t="s">
        <v>34</v>
      </c>
      <c r="H407" s="7" t="s">
        <v>8</v>
      </c>
      <c r="I407" s="7" t="s">
        <v>166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2</v>
      </c>
      <c r="AF407" s="8">
        <v>6000</v>
      </c>
      <c r="AG407" s="7">
        <v>0</v>
      </c>
      <c r="AH407" s="7">
        <v>0</v>
      </c>
      <c r="AI407" s="7">
        <v>0</v>
      </c>
      <c r="AJ407" s="7">
        <v>0</v>
      </c>
      <c r="AK407" s="7">
        <v>1</v>
      </c>
      <c r="AL407" s="8">
        <v>3600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  <c r="BK407" s="7">
        <v>0</v>
      </c>
      <c r="BL407" s="9">
        <v>1080</v>
      </c>
      <c r="BM407" s="10">
        <v>9600</v>
      </c>
      <c r="BN407" s="15">
        <f t="shared" si="12"/>
        <v>8520</v>
      </c>
      <c r="BO407" s="16">
        <f t="shared" si="13"/>
        <v>5964</v>
      </c>
    </row>
    <row r="408" spans="1:67" x14ac:dyDescent="0.4">
      <c r="A408" s="5" t="s">
        <v>531</v>
      </c>
      <c r="B408" s="5" t="s">
        <v>238</v>
      </c>
      <c r="C408" s="5">
        <v>351033</v>
      </c>
      <c r="D408" s="6" t="s">
        <v>239</v>
      </c>
      <c r="E408" s="5" t="s">
        <v>16</v>
      </c>
      <c r="F408" s="5" t="s">
        <v>30</v>
      </c>
      <c r="G408" s="5" t="s">
        <v>10</v>
      </c>
      <c r="H408" s="7" t="s">
        <v>7</v>
      </c>
      <c r="I408" s="7" t="s">
        <v>240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75</v>
      </c>
      <c r="AL408" s="8">
        <v>9000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4</v>
      </c>
      <c r="BD408" s="7">
        <v>480</v>
      </c>
      <c r="BE408" s="7">
        <v>0</v>
      </c>
      <c r="BF408" s="7">
        <v>0</v>
      </c>
      <c r="BG408" s="7">
        <v>0</v>
      </c>
      <c r="BH408" s="7">
        <v>0</v>
      </c>
      <c r="BI408" s="7">
        <v>0</v>
      </c>
      <c r="BJ408" s="7">
        <v>0</v>
      </c>
      <c r="BK408" s="7">
        <v>0</v>
      </c>
      <c r="BL408" s="9">
        <v>2728.8</v>
      </c>
      <c r="BM408" s="10">
        <v>9480</v>
      </c>
      <c r="BN408" s="15">
        <f t="shared" si="12"/>
        <v>6751.2</v>
      </c>
      <c r="BO408" s="16">
        <f t="shared" si="13"/>
        <v>4725.8399999999992</v>
      </c>
    </row>
    <row r="409" spans="1:67" x14ac:dyDescent="0.4">
      <c r="A409" s="5" t="s">
        <v>531</v>
      </c>
      <c r="B409" s="5" t="s">
        <v>85</v>
      </c>
      <c r="C409" s="5">
        <v>422032</v>
      </c>
      <c r="D409" s="6"/>
      <c r="E409" s="5" t="s">
        <v>16</v>
      </c>
      <c r="F409" s="5" t="s">
        <v>86</v>
      </c>
      <c r="G409" s="5" t="s">
        <v>10</v>
      </c>
      <c r="H409" s="7" t="s">
        <v>9</v>
      </c>
      <c r="I409" s="7" t="s">
        <v>87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79</v>
      </c>
      <c r="AL409" s="8">
        <v>9480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9">
        <v>2844</v>
      </c>
      <c r="BM409" s="10">
        <v>9480</v>
      </c>
      <c r="BN409" s="15">
        <f t="shared" si="12"/>
        <v>6636</v>
      </c>
      <c r="BO409" s="16">
        <f t="shared" si="13"/>
        <v>4645.2</v>
      </c>
    </row>
    <row r="410" spans="1:67" x14ac:dyDescent="0.4">
      <c r="A410" s="5" t="s">
        <v>531</v>
      </c>
      <c r="B410" s="5" t="s">
        <v>196</v>
      </c>
      <c r="C410" s="5">
        <v>371774</v>
      </c>
      <c r="D410" s="6"/>
      <c r="E410" s="5" t="s">
        <v>16</v>
      </c>
      <c r="F410" s="5" t="s">
        <v>197</v>
      </c>
      <c r="G410" s="5" t="s">
        <v>10</v>
      </c>
      <c r="H410" s="7" t="s">
        <v>7</v>
      </c>
      <c r="I410" s="7" t="s">
        <v>198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4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47</v>
      </c>
      <c r="AF410" s="8">
        <v>4700</v>
      </c>
      <c r="AG410" s="7">
        <v>0</v>
      </c>
      <c r="AH410" s="7">
        <v>0</v>
      </c>
      <c r="AI410" s="7">
        <v>0</v>
      </c>
      <c r="AJ410" s="7">
        <v>0</v>
      </c>
      <c r="AK410" s="7">
        <v>2</v>
      </c>
      <c r="AL410" s="7">
        <v>0</v>
      </c>
      <c r="AM410" s="7">
        <v>200</v>
      </c>
      <c r="AN410" s="7">
        <v>0</v>
      </c>
      <c r="AO410" s="7">
        <v>0</v>
      </c>
      <c r="AP410" s="7">
        <v>0</v>
      </c>
      <c r="AQ410" s="7">
        <v>45</v>
      </c>
      <c r="AR410" s="8">
        <v>4500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0</v>
      </c>
      <c r="BM410" s="10">
        <v>9400</v>
      </c>
      <c r="BN410" s="15">
        <f t="shared" si="12"/>
        <v>9400</v>
      </c>
      <c r="BO410" s="16">
        <f t="shared" si="13"/>
        <v>6580</v>
      </c>
    </row>
    <row r="411" spans="1:67" x14ac:dyDescent="0.4">
      <c r="A411" s="5" t="s">
        <v>531</v>
      </c>
      <c r="B411" s="5" t="s">
        <v>226</v>
      </c>
      <c r="C411" s="5">
        <v>399878</v>
      </c>
      <c r="D411" s="6"/>
      <c r="E411" s="5" t="s">
        <v>16</v>
      </c>
      <c r="F411" s="5" t="s">
        <v>227</v>
      </c>
      <c r="G411" s="5" t="s">
        <v>34</v>
      </c>
      <c r="H411" s="7" t="s">
        <v>8</v>
      </c>
      <c r="I411" s="7" t="s">
        <v>228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2</v>
      </c>
      <c r="AF411" s="7">
        <v>240</v>
      </c>
      <c r="AG411" s="7">
        <v>0</v>
      </c>
      <c r="AH411" s="7">
        <v>0</v>
      </c>
      <c r="AI411" s="7">
        <v>0</v>
      </c>
      <c r="AJ411" s="7">
        <v>0</v>
      </c>
      <c r="AK411" s="7">
        <v>76</v>
      </c>
      <c r="AL411" s="8">
        <v>8520</v>
      </c>
      <c r="AM411" s="7">
        <v>500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9">
        <v>2556</v>
      </c>
      <c r="BM411" s="10">
        <v>9260</v>
      </c>
      <c r="BN411" s="15">
        <f t="shared" si="12"/>
        <v>6704</v>
      </c>
      <c r="BO411" s="16">
        <f t="shared" si="13"/>
        <v>4692.7999999999993</v>
      </c>
    </row>
    <row r="412" spans="1:67" x14ac:dyDescent="0.4">
      <c r="A412" s="5" t="s">
        <v>531</v>
      </c>
      <c r="B412" s="5" t="s">
        <v>318</v>
      </c>
      <c r="C412" s="5">
        <v>431330</v>
      </c>
      <c r="D412" s="6"/>
      <c r="E412" s="5" t="s">
        <v>16</v>
      </c>
      <c r="F412" s="5" t="s">
        <v>269</v>
      </c>
      <c r="G412" s="5" t="s">
        <v>34</v>
      </c>
      <c r="H412" s="7" t="s">
        <v>8</v>
      </c>
      <c r="I412" s="7" t="s">
        <v>319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6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7</v>
      </c>
      <c r="AF412" s="7">
        <v>700</v>
      </c>
      <c r="AG412" s="7">
        <v>0</v>
      </c>
      <c r="AH412" s="7">
        <v>0</v>
      </c>
      <c r="AI412" s="7">
        <v>0</v>
      </c>
      <c r="AJ412" s="7">
        <v>0</v>
      </c>
      <c r="AK412" s="7">
        <v>63</v>
      </c>
      <c r="AL412" s="8">
        <v>6480</v>
      </c>
      <c r="AM412" s="7">
        <v>900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>
        <v>0</v>
      </c>
      <c r="AV412" s="7">
        <v>0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s="7">
        <v>0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  <c r="BJ412" s="7">
        <v>0</v>
      </c>
      <c r="BK412" s="7">
        <v>0</v>
      </c>
      <c r="BL412" s="9">
        <v>1944</v>
      </c>
      <c r="BM412" s="10">
        <v>8080</v>
      </c>
      <c r="BN412" s="15">
        <f t="shared" si="12"/>
        <v>6136</v>
      </c>
      <c r="BO412" s="16">
        <f t="shared" si="13"/>
        <v>4295.2</v>
      </c>
    </row>
    <row r="413" spans="1:67" x14ac:dyDescent="0.4">
      <c r="A413" s="5" t="s">
        <v>531</v>
      </c>
      <c r="B413" s="5" t="s">
        <v>245</v>
      </c>
      <c r="C413" s="5">
        <v>341374</v>
      </c>
      <c r="D413" s="6"/>
      <c r="E413" s="5" t="s">
        <v>16</v>
      </c>
      <c r="F413" s="5" t="s">
        <v>130</v>
      </c>
      <c r="G413" s="5" t="s">
        <v>34</v>
      </c>
      <c r="H413" s="7" t="s">
        <v>8</v>
      </c>
      <c r="I413" s="7" t="s">
        <v>246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6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55</v>
      </c>
      <c r="AF413" s="8">
        <v>5500</v>
      </c>
      <c r="AG413" s="7">
        <v>0</v>
      </c>
      <c r="AH413" s="7">
        <v>0</v>
      </c>
      <c r="AI413" s="7">
        <v>0</v>
      </c>
      <c r="AJ413" s="7">
        <v>0</v>
      </c>
      <c r="AK413" s="7">
        <v>25</v>
      </c>
      <c r="AL413" s="7">
        <v>0</v>
      </c>
      <c r="AM413" s="8">
        <v>2500</v>
      </c>
      <c r="AN413" s="7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0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s="7">
        <v>0</v>
      </c>
      <c r="BC413" s="7">
        <v>0</v>
      </c>
      <c r="BD413" s="7">
        <v>0</v>
      </c>
      <c r="BE413" s="7">
        <v>0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7">
        <v>0</v>
      </c>
      <c r="BM413" s="10">
        <v>8000</v>
      </c>
      <c r="BN413" s="15">
        <f t="shared" si="12"/>
        <v>8000</v>
      </c>
      <c r="BO413" s="16">
        <f t="shared" si="13"/>
        <v>5600</v>
      </c>
    </row>
    <row r="414" spans="1:67" x14ac:dyDescent="0.4">
      <c r="A414" s="5" t="s">
        <v>531</v>
      </c>
      <c r="B414" s="5" t="s">
        <v>209</v>
      </c>
      <c r="C414" s="5">
        <v>393598</v>
      </c>
      <c r="D414" s="6"/>
      <c r="E414" s="5" t="s">
        <v>16</v>
      </c>
      <c r="F414" s="5" t="s">
        <v>210</v>
      </c>
      <c r="G414" s="5" t="s">
        <v>34</v>
      </c>
      <c r="H414" s="7" t="s">
        <v>8</v>
      </c>
      <c r="I414" s="7" t="s">
        <v>211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67</v>
      </c>
      <c r="AF414" s="8">
        <v>6700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11</v>
      </c>
      <c r="AR414" s="8">
        <v>1100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0</v>
      </c>
      <c r="BH414" s="7">
        <v>0</v>
      </c>
      <c r="BI414" s="7">
        <v>0</v>
      </c>
      <c r="BJ414" s="7">
        <v>0</v>
      </c>
      <c r="BK414" s="7">
        <v>0</v>
      </c>
      <c r="BL414" s="7">
        <v>0</v>
      </c>
      <c r="BM414" s="10">
        <v>7800</v>
      </c>
      <c r="BN414" s="15">
        <f t="shared" si="12"/>
        <v>7800</v>
      </c>
      <c r="BO414" s="16">
        <f t="shared" si="13"/>
        <v>5460</v>
      </c>
    </row>
    <row r="415" spans="1:67" x14ac:dyDescent="0.4">
      <c r="A415" s="5" t="s">
        <v>531</v>
      </c>
      <c r="B415" s="5" t="s">
        <v>172</v>
      </c>
      <c r="C415" s="5">
        <v>429496</v>
      </c>
      <c r="D415" s="6"/>
      <c r="E415" s="5" t="s">
        <v>16</v>
      </c>
      <c r="F415" s="5" t="s">
        <v>173</v>
      </c>
      <c r="G415" s="5" t="s">
        <v>444</v>
      </c>
      <c r="H415" s="7" t="s">
        <v>7</v>
      </c>
      <c r="I415" s="7" t="s">
        <v>174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6</v>
      </c>
      <c r="AF415" s="7">
        <v>200</v>
      </c>
      <c r="AG415" s="7">
        <v>400</v>
      </c>
      <c r="AH415" s="7">
        <v>0</v>
      </c>
      <c r="AI415" s="7">
        <v>0</v>
      </c>
      <c r="AJ415" s="7">
        <v>0</v>
      </c>
      <c r="AK415" s="7">
        <v>70</v>
      </c>
      <c r="AL415" s="7">
        <v>480</v>
      </c>
      <c r="AM415" s="8">
        <v>6600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s="7">
        <v>0</v>
      </c>
      <c r="BC415" s="7">
        <v>0</v>
      </c>
      <c r="BD415" s="7">
        <v>0</v>
      </c>
      <c r="BE415" s="7">
        <v>0</v>
      </c>
      <c r="BF415" s="7">
        <v>0</v>
      </c>
      <c r="BG415" s="7">
        <v>0</v>
      </c>
      <c r="BH415" s="7">
        <v>0</v>
      </c>
      <c r="BI415" s="7">
        <v>0</v>
      </c>
      <c r="BJ415" s="7">
        <v>0</v>
      </c>
      <c r="BK415" s="7">
        <v>0</v>
      </c>
      <c r="BL415" s="7">
        <v>144</v>
      </c>
      <c r="BM415" s="10">
        <v>7680</v>
      </c>
      <c r="BN415" s="15">
        <f t="shared" si="12"/>
        <v>7536</v>
      </c>
      <c r="BO415" s="16">
        <f t="shared" si="13"/>
        <v>5275.2</v>
      </c>
    </row>
    <row r="416" spans="1:67" x14ac:dyDescent="0.4">
      <c r="A416" s="5" t="s">
        <v>531</v>
      </c>
      <c r="B416" s="5" t="s">
        <v>161</v>
      </c>
      <c r="C416" s="5">
        <v>423577</v>
      </c>
      <c r="D416" s="6"/>
      <c r="E416" s="5" t="s">
        <v>16</v>
      </c>
      <c r="F416" s="5" t="s">
        <v>162</v>
      </c>
      <c r="G416" s="5" t="s">
        <v>34</v>
      </c>
      <c r="H416" s="7" t="s">
        <v>8</v>
      </c>
      <c r="I416" s="7" t="s">
        <v>163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3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65</v>
      </c>
      <c r="AL416" s="8">
        <v>5520</v>
      </c>
      <c r="AM416" s="8">
        <v>1900</v>
      </c>
      <c r="AN416" s="7">
        <v>0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  <c r="AX416" s="7">
        <v>0</v>
      </c>
      <c r="AY416" s="7">
        <v>0</v>
      </c>
      <c r="AZ416" s="7">
        <v>0</v>
      </c>
      <c r="BA416" s="7">
        <v>0</v>
      </c>
      <c r="BB416" s="7">
        <v>0</v>
      </c>
      <c r="BC416" s="7">
        <v>0</v>
      </c>
      <c r="BD416" s="7">
        <v>0</v>
      </c>
      <c r="BE416" s="7">
        <v>0</v>
      </c>
      <c r="BF416" s="7">
        <v>0</v>
      </c>
      <c r="BG416" s="7">
        <v>0</v>
      </c>
      <c r="BH416" s="7">
        <v>0</v>
      </c>
      <c r="BI416" s="7">
        <v>0</v>
      </c>
      <c r="BJ416" s="7">
        <v>0</v>
      </c>
      <c r="BK416" s="7">
        <v>0</v>
      </c>
      <c r="BL416" s="9">
        <v>1656</v>
      </c>
      <c r="BM416" s="10">
        <v>7420</v>
      </c>
      <c r="BN416" s="15">
        <f t="shared" si="12"/>
        <v>5764</v>
      </c>
      <c r="BO416" s="16">
        <f t="shared" si="13"/>
        <v>4034.7999999999997</v>
      </c>
    </row>
    <row r="417" spans="1:67" x14ac:dyDescent="0.4">
      <c r="A417" s="5" t="s">
        <v>531</v>
      </c>
      <c r="B417" s="5" t="s">
        <v>98</v>
      </c>
      <c r="C417" s="5">
        <v>388999</v>
      </c>
      <c r="D417" s="6"/>
      <c r="E417" s="5" t="s">
        <v>16</v>
      </c>
      <c r="F417" s="5" t="s">
        <v>66</v>
      </c>
      <c r="G417" s="5" t="s">
        <v>10</v>
      </c>
      <c r="H417" s="7" t="s">
        <v>7</v>
      </c>
      <c r="I417" s="7" t="s">
        <v>99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2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6</v>
      </c>
      <c r="AF417" s="7">
        <v>600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  <c r="AQ417" s="7">
        <v>58</v>
      </c>
      <c r="AR417" s="8">
        <v>5800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7">
        <v>0</v>
      </c>
      <c r="AZ417" s="7">
        <v>0</v>
      </c>
      <c r="BA417" s="7">
        <v>0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0</v>
      </c>
      <c r="BH417" s="7">
        <v>0</v>
      </c>
      <c r="BI417" s="7">
        <v>0</v>
      </c>
      <c r="BJ417" s="7">
        <v>0</v>
      </c>
      <c r="BK417" s="7">
        <v>0</v>
      </c>
      <c r="BL417" s="7">
        <v>0</v>
      </c>
      <c r="BM417" s="10">
        <v>6400</v>
      </c>
      <c r="BN417" s="15">
        <f t="shared" si="12"/>
        <v>6400</v>
      </c>
      <c r="BO417" s="16">
        <f t="shared" si="13"/>
        <v>4480</v>
      </c>
    </row>
    <row r="418" spans="1:67" x14ac:dyDescent="0.4">
      <c r="A418" s="5" t="s">
        <v>531</v>
      </c>
      <c r="B418" s="5" t="s">
        <v>526</v>
      </c>
      <c r="C418" s="5">
        <v>304651</v>
      </c>
      <c r="D418" s="6"/>
      <c r="E418" s="5" t="s">
        <v>16</v>
      </c>
      <c r="F418" s="5" t="s">
        <v>66</v>
      </c>
      <c r="G418" s="5" t="s">
        <v>10</v>
      </c>
      <c r="H418" s="7" t="s">
        <v>7</v>
      </c>
      <c r="I418" s="7" t="s">
        <v>527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7</v>
      </c>
      <c r="AC418" s="8">
        <v>6300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7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0</v>
      </c>
      <c r="AZ418" s="7">
        <v>0</v>
      </c>
      <c r="BA418" s="7">
        <v>0</v>
      </c>
      <c r="BB418" s="7">
        <v>0</v>
      </c>
      <c r="BC418" s="7">
        <v>0</v>
      </c>
      <c r="BD418" s="7">
        <v>0</v>
      </c>
      <c r="BE418" s="7">
        <v>0</v>
      </c>
      <c r="BF418" s="7">
        <v>0</v>
      </c>
      <c r="BG418" s="7">
        <v>0</v>
      </c>
      <c r="BH418" s="7">
        <v>0</v>
      </c>
      <c r="BI418" s="7">
        <v>0</v>
      </c>
      <c r="BJ418" s="7">
        <v>0</v>
      </c>
      <c r="BK418" s="7">
        <v>0</v>
      </c>
      <c r="BL418" s="7">
        <v>0</v>
      </c>
      <c r="BM418" s="10">
        <v>6300</v>
      </c>
      <c r="BN418" s="15">
        <f t="shared" si="12"/>
        <v>6300</v>
      </c>
      <c r="BO418" s="16">
        <f t="shared" si="13"/>
        <v>4410</v>
      </c>
    </row>
    <row r="419" spans="1:67" x14ac:dyDescent="0.4">
      <c r="A419" s="5" t="s">
        <v>531</v>
      </c>
      <c r="B419" s="5" t="s">
        <v>413</v>
      </c>
      <c r="C419" s="5">
        <v>392578</v>
      </c>
      <c r="D419" s="6"/>
      <c r="E419" s="5" t="s">
        <v>16</v>
      </c>
      <c r="F419" s="5" t="s">
        <v>269</v>
      </c>
      <c r="G419" s="5" t="s">
        <v>34</v>
      </c>
      <c r="H419" s="7" t="s">
        <v>308</v>
      </c>
      <c r="I419" s="7" t="s">
        <v>389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4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62</v>
      </c>
      <c r="AL419" s="7">
        <v>0</v>
      </c>
      <c r="AM419" s="8">
        <v>6200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0</v>
      </c>
      <c r="AZ419" s="7">
        <v>0</v>
      </c>
      <c r="BA419" s="7">
        <v>0</v>
      </c>
      <c r="BB419" s="7">
        <v>0</v>
      </c>
      <c r="BC419" s="7">
        <v>0</v>
      </c>
      <c r="BD419" s="7">
        <v>0</v>
      </c>
      <c r="BE419" s="7">
        <v>0</v>
      </c>
      <c r="BF419" s="7">
        <v>0</v>
      </c>
      <c r="BG419" s="7">
        <v>0</v>
      </c>
      <c r="BH419" s="7">
        <v>0</v>
      </c>
      <c r="BI419" s="7">
        <v>0</v>
      </c>
      <c r="BJ419" s="7">
        <v>0</v>
      </c>
      <c r="BK419" s="7">
        <v>0</v>
      </c>
      <c r="BL419" s="7">
        <v>0</v>
      </c>
      <c r="BM419" s="10">
        <v>6200</v>
      </c>
      <c r="BN419" s="15">
        <f t="shared" si="12"/>
        <v>6200</v>
      </c>
      <c r="BO419" s="16">
        <f t="shared" si="13"/>
        <v>4340</v>
      </c>
    </row>
    <row r="420" spans="1:67" x14ac:dyDescent="0.4">
      <c r="A420" s="5" t="s">
        <v>531</v>
      </c>
      <c r="B420" s="5" t="s">
        <v>355</v>
      </c>
      <c r="C420" s="5">
        <v>356294</v>
      </c>
      <c r="D420" s="6"/>
      <c r="E420" s="5" t="s">
        <v>16</v>
      </c>
      <c r="F420" s="5" t="s">
        <v>41</v>
      </c>
      <c r="G420" s="5" t="s">
        <v>34</v>
      </c>
      <c r="H420" s="7" t="s">
        <v>8</v>
      </c>
      <c r="I420" s="7" t="s">
        <v>205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6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60</v>
      </c>
      <c r="AF420" s="8">
        <v>1100</v>
      </c>
      <c r="AG420" s="8">
        <v>4900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7">
        <v>0</v>
      </c>
      <c r="BI420" s="7">
        <v>0</v>
      </c>
      <c r="BJ420" s="7">
        <v>0</v>
      </c>
      <c r="BK420" s="7">
        <v>0</v>
      </c>
      <c r="BL420" s="7">
        <v>0</v>
      </c>
      <c r="BM420" s="10">
        <v>6000</v>
      </c>
      <c r="BN420" s="15">
        <f t="shared" si="12"/>
        <v>6000</v>
      </c>
      <c r="BO420" s="16">
        <f t="shared" si="13"/>
        <v>4200</v>
      </c>
    </row>
    <row r="421" spans="1:67" x14ac:dyDescent="0.4">
      <c r="A421" s="5" t="s">
        <v>531</v>
      </c>
      <c r="B421" s="5" t="s">
        <v>233</v>
      </c>
      <c r="C421" s="5">
        <v>429534</v>
      </c>
      <c r="D421" s="6"/>
      <c r="E421" s="5" t="s">
        <v>16</v>
      </c>
      <c r="F421" s="5" t="s">
        <v>173</v>
      </c>
      <c r="G421" s="5" t="s">
        <v>444</v>
      </c>
      <c r="H421" s="7" t="s">
        <v>7</v>
      </c>
      <c r="I421" s="7" t="s">
        <v>234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2</v>
      </c>
      <c r="AF421" s="8">
        <v>5100</v>
      </c>
      <c r="AG421" s="7">
        <v>0</v>
      </c>
      <c r="AH421" s="7">
        <v>0</v>
      </c>
      <c r="AI421" s="7">
        <v>0</v>
      </c>
      <c r="AJ421" s="7">
        <v>0</v>
      </c>
      <c r="AK421" s="7">
        <v>1</v>
      </c>
      <c r="AL421" s="7">
        <v>600</v>
      </c>
      <c r="AM421" s="7">
        <v>0</v>
      </c>
      <c r="AN421" s="7">
        <v>0</v>
      </c>
      <c r="AO421" s="7">
        <v>0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X421" s="7">
        <v>0</v>
      </c>
      <c r="AY421" s="7">
        <v>0</v>
      </c>
      <c r="AZ421" s="7">
        <v>0</v>
      </c>
      <c r="BA421" s="7">
        <v>0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0</v>
      </c>
      <c r="BH421" s="7">
        <v>0</v>
      </c>
      <c r="BI421" s="7">
        <v>0</v>
      </c>
      <c r="BJ421" s="7">
        <v>0</v>
      </c>
      <c r="BK421" s="7">
        <v>0</v>
      </c>
      <c r="BL421" s="7">
        <v>180</v>
      </c>
      <c r="BM421" s="10">
        <v>5700</v>
      </c>
      <c r="BN421" s="15">
        <f t="shared" si="12"/>
        <v>5520</v>
      </c>
      <c r="BO421" s="16">
        <f t="shared" si="13"/>
        <v>3863.9999999999995</v>
      </c>
    </row>
    <row r="422" spans="1:67" x14ac:dyDescent="0.4">
      <c r="A422" s="5" t="s">
        <v>531</v>
      </c>
      <c r="B422" s="5" t="s">
        <v>242</v>
      </c>
      <c r="C422" s="5">
        <v>305522</v>
      </c>
      <c r="D422" s="6"/>
      <c r="E422" s="5" t="s">
        <v>16</v>
      </c>
      <c r="F422" s="5" t="s">
        <v>41</v>
      </c>
      <c r="G422" s="5" t="s">
        <v>34</v>
      </c>
      <c r="H422" s="7" t="s">
        <v>8</v>
      </c>
      <c r="I422" s="7" t="s">
        <v>243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53</v>
      </c>
      <c r="AL422" s="7">
        <v>0</v>
      </c>
      <c r="AM422" s="8">
        <v>5300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7">
        <v>0</v>
      </c>
      <c r="AZ422" s="7">
        <v>0</v>
      </c>
      <c r="BA422" s="7">
        <v>0</v>
      </c>
      <c r="BB422" s="7">
        <v>0</v>
      </c>
      <c r="BC422" s="7">
        <v>0</v>
      </c>
      <c r="BD422" s="7">
        <v>0</v>
      </c>
      <c r="BE422" s="7">
        <v>0</v>
      </c>
      <c r="BF422" s="7">
        <v>0</v>
      </c>
      <c r="BG422" s="7">
        <v>0</v>
      </c>
      <c r="BH422" s="7">
        <v>0</v>
      </c>
      <c r="BI422" s="7">
        <v>0</v>
      </c>
      <c r="BJ422" s="7">
        <v>0</v>
      </c>
      <c r="BK422" s="7">
        <v>0</v>
      </c>
      <c r="BL422" s="7">
        <v>0</v>
      </c>
      <c r="BM422" s="10">
        <v>5300</v>
      </c>
      <c r="BN422" s="15">
        <f t="shared" si="12"/>
        <v>5300</v>
      </c>
      <c r="BO422" s="16">
        <f t="shared" si="13"/>
        <v>3709.9999999999995</v>
      </c>
    </row>
    <row r="423" spans="1:67" x14ac:dyDescent="0.4">
      <c r="A423" s="5" t="s">
        <v>531</v>
      </c>
      <c r="B423" s="5" t="s">
        <v>188</v>
      </c>
      <c r="C423" s="5">
        <v>325640</v>
      </c>
      <c r="D423" s="6"/>
      <c r="E423" s="5" t="s">
        <v>16</v>
      </c>
      <c r="F423" s="5" t="s">
        <v>189</v>
      </c>
      <c r="G423" s="5" t="s">
        <v>10</v>
      </c>
      <c r="H423" s="7" t="s">
        <v>7</v>
      </c>
      <c r="I423" s="7" t="s">
        <v>190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31</v>
      </c>
      <c r="AF423" s="7">
        <v>0</v>
      </c>
      <c r="AG423" s="8">
        <v>3100</v>
      </c>
      <c r="AH423" s="7">
        <v>0</v>
      </c>
      <c r="AI423" s="7">
        <v>0</v>
      </c>
      <c r="AJ423" s="7">
        <v>0</v>
      </c>
      <c r="AK423" s="7">
        <v>1</v>
      </c>
      <c r="AL423" s="7">
        <v>0</v>
      </c>
      <c r="AM423" s="7">
        <v>100</v>
      </c>
      <c r="AN423" s="7">
        <v>0</v>
      </c>
      <c r="AO423" s="7">
        <v>0</v>
      </c>
      <c r="AP423" s="7">
        <v>0</v>
      </c>
      <c r="AQ423" s="7">
        <v>21</v>
      </c>
      <c r="AR423" s="8">
        <v>2100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0</v>
      </c>
      <c r="BH423" s="7">
        <v>0</v>
      </c>
      <c r="BI423" s="7">
        <v>0</v>
      </c>
      <c r="BJ423" s="7">
        <v>0</v>
      </c>
      <c r="BK423" s="7">
        <v>0</v>
      </c>
      <c r="BL423" s="7">
        <v>0</v>
      </c>
      <c r="BM423" s="10">
        <v>5300</v>
      </c>
      <c r="BN423" s="15">
        <f t="shared" si="12"/>
        <v>5300</v>
      </c>
      <c r="BO423" s="16">
        <f t="shared" si="13"/>
        <v>3709.9999999999995</v>
      </c>
    </row>
    <row r="424" spans="1:67" x14ac:dyDescent="0.4">
      <c r="A424" s="5" t="s">
        <v>531</v>
      </c>
      <c r="B424" s="5" t="s">
        <v>298</v>
      </c>
      <c r="C424" s="5">
        <v>445862</v>
      </c>
      <c r="D424" s="6"/>
      <c r="E424" s="5" t="s">
        <v>16</v>
      </c>
      <c r="F424" s="5" t="s">
        <v>47</v>
      </c>
      <c r="G424" s="5" t="s">
        <v>34</v>
      </c>
      <c r="H424" s="7" t="s">
        <v>8</v>
      </c>
      <c r="I424" s="7" t="s">
        <v>195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2</v>
      </c>
      <c r="AL424" s="8">
        <v>2640</v>
      </c>
      <c r="AM424" s="8">
        <v>2200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  <c r="AX424" s="7">
        <v>0</v>
      </c>
      <c r="AY424" s="7">
        <v>0</v>
      </c>
      <c r="AZ424" s="7">
        <v>0</v>
      </c>
      <c r="BA424" s="7">
        <v>0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0</v>
      </c>
      <c r="BH424" s="7">
        <v>0</v>
      </c>
      <c r="BI424" s="7">
        <v>0</v>
      </c>
      <c r="BJ424" s="7">
        <v>0</v>
      </c>
      <c r="BK424" s="7">
        <v>0</v>
      </c>
      <c r="BL424" s="7">
        <v>792</v>
      </c>
      <c r="BM424" s="10">
        <v>4840</v>
      </c>
      <c r="BN424" s="15">
        <f t="shared" si="12"/>
        <v>4048</v>
      </c>
      <c r="BO424" s="16">
        <f t="shared" si="13"/>
        <v>2833.6</v>
      </c>
    </row>
    <row r="425" spans="1:67" x14ac:dyDescent="0.4">
      <c r="A425" s="5" t="s">
        <v>531</v>
      </c>
      <c r="B425" s="5" t="s">
        <v>295</v>
      </c>
      <c r="C425" s="5">
        <v>355320</v>
      </c>
      <c r="D425" s="6"/>
      <c r="E425" s="5" t="s">
        <v>16</v>
      </c>
      <c r="F425" s="5" t="s">
        <v>296</v>
      </c>
      <c r="G425" s="5" t="s">
        <v>34</v>
      </c>
      <c r="H425" s="7" t="s">
        <v>8</v>
      </c>
      <c r="I425" s="7" t="s">
        <v>297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4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36</v>
      </c>
      <c r="AL425" s="8">
        <v>4320</v>
      </c>
      <c r="AM425" s="7">
        <v>0</v>
      </c>
      <c r="AN425" s="7">
        <v>0</v>
      </c>
      <c r="AO425" s="7">
        <v>0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7">
        <v>0</v>
      </c>
      <c r="AZ425" s="7">
        <v>0</v>
      </c>
      <c r="BA425" s="7">
        <v>0</v>
      </c>
      <c r="BB425" s="7">
        <v>0</v>
      </c>
      <c r="BC425" s="7">
        <v>0</v>
      </c>
      <c r="BD425" s="7">
        <v>0</v>
      </c>
      <c r="BE425" s="7">
        <v>0</v>
      </c>
      <c r="BF425" s="7">
        <v>0</v>
      </c>
      <c r="BG425" s="7">
        <v>0</v>
      </c>
      <c r="BH425" s="7">
        <v>0</v>
      </c>
      <c r="BI425" s="7">
        <v>0</v>
      </c>
      <c r="BJ425" s="7">
        <v>0</v>
      </c>
      <c r="BK425" s="7">
        <v>0</v>
      </c>
      <c r="BL425" s="9">
        <v>1296</v>
      </c>
      <c r="BM425" s="10">
        <v>4320</v>
      </c>
      <c r="BN425" s="15">
        <f t="shared" si="12"/>
        <v>3024</v>
      </c>
      <c r="BO425" s="16">
        <f t="shared" si="13"/>
        <v>2116.7999999999997</v>
      </c>
    </row>
    <row r="426" spans="1:67" x14ac:dyDescent="0.4">
      <c r="A426" s="5" t="s">
        <v>531</v>
      </c>
      <c r="B426" s="5" t="s">
        <v>142</v>
      </c>
      <c r="C426" s="5">
        <v>367994</v>
      </c>
      <c r="D426" s="6"/>
      <c r="E426" s="5" t="s">
        <v>16</v>
      </c>
      <c r="F426" s="5" t="s">
        <v>33</v>
      </c>
      <c r="G426" s="5" t="s">
        <v>34</v>
      </c>
      <c r="H426" s="7" t="s">
        <v>8</v>
      </c>
      <c r="I426" s="7" t="s">
        <v>143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25</v>
      </c>
      <c r="AL426" s="8">
        <v>2160</v>
      </c>
      <c r="AM426" s="7">
        <v>700</v>
      </c>
      <c r="AN426" s="7">
        <v>0</v>
      </c>
      <c r="AO426" s="7">
        <v>0</v>
      </c>
      <c r="AP426" s="7">
        <v>0</v>
      </c>
      <c r="AQ426" s="7">
        <v>12</v>
      </c>
      <c r="AR426" s="8">
        <v>1200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0</v>
      </c>
      <c r="AZ426" s="7">
        <v>0</v>
      </c>
      <c r="BA426" s="7">
        <v>0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0</v>
      </c>
      <c r="BH426" s="7">
        <v>0</v>
      </c>
      <c r="BI426" s="7">
        <v>0</v>
      </c>
      <c r="BJ426" s="7">
        <v>0</v>
      </c>
      <c r="BK426" s="7">
        <v>0</v>
      </c>
      <c r="BL426" s="7">
        <v>648</v>
      </c>
      <c r="BM426" s="10">
        <v>4060</v>
      </c>
      <c r="BN426" s="15">
        <f t="shared" si="12"/>
        <v>3412</v>
      </c>
      <c r="BO426" s="16">
        <f t="shared" si="13"/>
        <v>2388.3999999999996</v>
      </c>
    </row>
    <row r="427" spans="1:67" x14ac:dyDescent="0.4">
      <c r="A427" s="5" t="s">
        <v>531</v>
      </c>
      <c r="B427" s="5" t="s">
        <v>307</v>
      </c>
      <c r="C427" s="5">
        <v>381684</v>
      </c>
      <c r="D427" s="6"/>
      <c r="E427" s="5" t="s">
        <v>16</v>
      </c>
      <c r="F427" s="5" t="s">
        <v>133</v>
      </c>
      <c r="G427" s="5" t="s">
        <v>34</v>
      </c>
      <c r="H427" s="7" t="s">
        <v>308</v>
      </c>
      <c r="I427" s="7" t="s">
        <v>134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1</v>
      </c>
      <c r="AF427" s="8">
        <v>3800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X427" s="7">
        <v>0</v>
      </c>
      <c r="AY427" s="7">
        <v>0</v>
      </c>
      <c r="AZ427" s="7">
        <v>0</v>
      </c>
      <c r="BA427" s="7">
        <v>0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</v>
      </c>
      <c r="BH427" s="7">
        <v>0</v>
      </c>
      <c r="BI427" s="7">
        <v>0</v>
      </c>
      <c r="BJ427" s="7">
        <v>0</v>
      </c>
      <c r="BK427" s="7">
        <v>0</v>
      </c>
      <c r="BL427" s="7">
        <v>0</v>
      </c>
      <c r="BM427" s="10">
        <v>3800</v>
      </c>
      <c r="BN427" s="15">
        <f t="shared" si="12"/>
        <v>3800</v>
      </c>
      <c r="BO427" s="16">
        <f t="shared" si="13"/>
        <v>2660</v>
      </c>
    </row>
    <row r="428" spans="1:67" x14ac:dyDescent="0.4">
      <c r="A428" s="5" t="s">
        <v>531</v>
      </c>
      <c r="B428" s="5" t="s">
        <v>410</v>
      </c>
      <c r="C428" s="5">
        <v>407003</v>
      </c>
      <c r="D428" s="6"/>
      <c r="E428" s="5" t="s">
        <v>16</v>
      </c>
      <c r="F428" s="5" t="s">
        <v>353</v>
      </c>
      <c r="G428" s="5" t="s">
        <v>34</v>
      </c>
      <c r="H428" s="7" t="s">
        <v>308</v>
      </c>
      <c r="I428" s="7" t="s">
        <v>411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4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37</v>
      </c>
      <c r="AF428" s="8">
        <v>3700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7">
        <v>0</v>
      </c>
      <c r="AZ428" s="7">
        <v>0</v>
      </c>
      <c r="BA428" s="7">
        <v>0</v>
      </c>
      <c r="BB428" s="7">
        <v>0</v>
      </c>
      <c r="BC428" s="7">
        <v>0</v>
      </c>
      <c r="BD428" s="7">
        <v>0</v>
      </c>
      <c r="BE428" s="7">
        <v>0</v>
      </c>
      <c r="BF428" s="7">
        <v>0</v>
      </c>
      <c r="BG428" s="7">
        <v>0</v>
      </c>
      <c r="BH428" s="7">
        <v>0</v>
      </c>
      <c r="BI428" s="7">
        <v>0</v>
      </c>
      <c r="BJ428" s="7">
        <v>0</v>
      </c>
      <c r="BK428" s="7">
        <v>0</v>
      </c>
      <c r="BL428" s="7">
        <v>0</v>
      </c>
      <c r="BM428" s="10">
        <v>3700</v>
      </c>
      <c r="BN428" s="15">
        <f t="shared" si="12"/>
        <v>3700</v>
      </c>
      <c r="BO428" s="16">
        <f t="shared" si="13"/>
        <v>2590</v>
      </c>
    </row>
    <row r="429" spans="1:67" x14ac:dyDescent="0.4">
      <c r="A429" s="5" t="s">
        <v>531</v>
      </c>
      <c r="B429" s="5" t="s">
        <v>370</v>
      </c>
      <c r="C429" s="5">
        <v>454879</v>
      </c>
      <c r="D429" s="6"/>
      <c r="E429" s="5" t="s">
        <v>16</v>
      </c>
      <c r="F429" s="5" t="s">
        <v>210</v>
      </c>
      <c r="G429" s="5" t="s">
        <v>34</v>
      </c>
      <c r="H429" s="7" t="s">
        <v>308</v>
      </c>
      <c r="I429" s="7" t="s">
        <v>371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1</v>
      </c>
      <c r="AF429" s="8">
        <v>3600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  <c r="AX429" s="7">
        <v>0</v>
      </c>
      <c r="AY429" s="7">
        <v>0</v>
      </c>
      <c r="AZ429" s="7">
        <v>0</v>
      </c>
      <c r="BA429" s="7">
        <v>0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</v>
      </c>
      <c r="BH429" s="7">
        <v>0</v>
      </c>
      <c r="BI429" s="7">
        <v>0</v>
      </c>
      <c r="BJ429" s="7">
        <v>0</v>
      </c>
      <c r="BK429" s="7">
        <v>0</v>
      </c>
      <c r="BL429" s="7">
        <v>0</v>
      </c>
      <c r="BM429" s="10">
        <v>3600</v>
      </c>
      <c r="BN429" s="15">
        <f t="shared" si="12"/>
        <v>3600</v>
      </c>
      <c r="BO429" s="16">
        <f t="shared" si="13"/>
        <v>2520</v>
      </c>
    </row>
    <row r="430" spans="1:67" x14ac:dyDescent="0.4">
      <c r="A430" s="5" t="s">
        <v>531</v>
      </c>
      <c r="B430" s="5" t="s">
        <v>352</v>
      </c>
      <c r="C430" s="5">
        <v>384107</v>
      </c>
      <c r="D430" s="6"/>
      <c r="E430" s="5" t="s">
        <v>16</v>
      </c>
      <c r="F430" s="5" t="s">
        <v>353</v>
      </c>
      <c r="G430" s="5" t="s">
        <v>34</v>
      </c>
      <c r="H430" s="7" t="s">
        <v>308</v>
      </c>
      <c r="I430" s="7" t="s">
        <v>354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35</v>
      </c>
      <c r="AF430" s="8">
        <v>3500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X430" s="7">
        <v>0</v>
      </c>
      <c r="AY430" s="7">
        <v>0</v>
      </c>
      <c r="AZ430" s="7">
        <v>0</v>
      </c>
      <c r="BA430" s="7">
        <v>0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0</v>
      </c>
      <c r="BH430" s="7">
        <v>0</v>
      </c>
      <c r="BI430" s="7">
        <v>0</v>
      </c>
      <c r="BJ430" s="7">
        <v>0</v>
      </c>
      <c r="BK430" s="7">
        <v>0</v>
      </c>
      <c r="BL430" s="7">
        <v>0</v>
      </c>
      <c r="BM430" s="10">
        <v>3500</v>
      </c>
      <c r="BN430" s="15">
        <f t="shared" si="12"/>
        <v>3500</v>
      </c>
      <c r="BO430" s="16">
        <f t="shared" si="13"/>
        <v>2450</v>
      </c>
    </row>
    <row r="431" spans="1:67" x14ac:dyDescent="0.4">
      <c r="A431" s="5" t="s">
        <v>531</v>
      </c>
      <c r="B431" s="5" t="s">
        <v>104</v>
      </c>
      <c r="C431" s="5">
        <v>359539</v>
      </c>
      <c r="D431" s="6"/>
      <c r="E431" s="5" t="s">
        <v>16</v>
      </c>
      <c r="F431" s="5" t="s">
        <v>105</v>
      </c>
      <c r="G431" s="5" t="s">
        <v>34</v>
      </c>
      <c r="H431" s="7" t="s">
        <v>8</v>
      </c>
      <c r="I431" s="7" t="s">
        <v>106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19</v>
      </c>
      <c r="AF431" s="8">
        <v>1900</v>
      </c>
      <c r="AG431" s="7">
        <v>0</v>
      </c>
      <c r="AH431" s="7">
        <v>0</v>
      </c>
      <c r="AI431" s="7">
        <v>0</v>
      </c>
      <c r="AJ431" s="7">
        <v>0</v>
      </c>
      <c r="AK431" s="7">
        <v>14</v>
      </c>
      <c r="AL431" s="7">
        <v>720</v>
      </c>
      <c r="AM431" s="7">
        <v>800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  <c r="AX431" s="7">
        <v>0</v>
      </c>
      <c r="AY431" s="7">
        <v>0</v>
      </c>
      <c r="AZ431" s="7">
        <v>0</v>
      </c>
      <c r="BA431" s="7">
        <v>0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0</v>
      </c>
      <c r="BH431" s="7">
        <v>0</v>
      </c>
      <c r="BI431" s="7">
        <v>0</v>
      </c>
      <c r="BJ431" s="7">
        <v>0</v>
      </c>
      <c r="BK431" s="7">
        <v>0</v>
      </c>
      <c r="BL431" s="7">
        <v>216</v>
      </c>
      <c r="BM431" s="10">
        <v>3420</v>
      </c>
      <c r="BN431" s="15">
        <f t="shared" si="12"/>
        <v>3204</v>
      </c>
      <c r="BO431" s="16">
        <f t="shared" si="13"/>
        <v>2242.7999999999997</v>
      </c>
    </row>
    <row r="432" spans="1:67" x14ac:dyDescent="0.4">
      <c r="A432" s="5" t="s">
        <v>531</v>
      </c>
      <c r="B432" s="5" t="s">
        <v>420</v>
      </c>
      <c r="C432" s="5">
        <v>387972</v>
      </c>
      <c r="D432" s="6"/>
      <c r="E432" s="5" t="s">
        <v>16</v>
      </c>
      <c r="F432" s="5" t="s">
        <v>33</v>
      </c>
      <c r="G432" s="5" t="s">
        <v>34</v>
      </c>
      <c r="H432" s="7" t="s">
        <v>308</v>
      </c>
      <c r="I432" s="7" t="s">
        <v>143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1</v>
      </c>
      <c r="AF432" s="8">
        <v>3200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0</v>
      </c>
      <c r="BH432" s="7">
        <v>0</v>
      </c>
      <c r="BI432" s="7">
        <v>0</v>
      </c>
      <c r="BJ432" s="7">
        <v>0</v>
      </c>
      <c r="BK432" s="7">
        <v>0</v>
      </c>
      <c r="BL432" s="7">
        <v>0</v>
      </c>
      <c r="BM432" s="10">
        <v>3200</v>
      </c>
      <c r="BN432" s="15">
        <f t="shared" si="12"/>
        <v>3200</v>
      </c>
      <c r="BO432" s="16">
        <f t="shared" si="13"/>
        <v>2240</v>
      </c>
    </row>
    <row r="433" spans="1:67" x14ac:dyDescent="0.4">
      <c r="A433" s="5" t="s">
        <v>531</v>
      </c>
      <c r="B433" s="5" t="s">
        <v>186</v>
      </c>
      <c r="C433" s="5">
        <v>423328</v>
      </c>
      <c r="D433" s="6"/>
      <c r="E433" s="5" t="s">
        <v>16</v>
      </c>
      <c r="F433" s="5" t="s">
        <v>30</v>
      </c>
      <c r="G433" s="5" t="s">
        <v>10</v>
      </c>
      <c r="H433" s="7" t="s">
        <v>7</v>
      </c>
      <c r="I433" s="7" t="s">
        <v>187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7">
        <v>0</v>
      </c>
      <c r="AZ433" s="7">
        <v>0</v>
      </c>
      <c r="BA433" s="7">
        <v>0</v>
      </c>
      <c r="BB433" s="7">
        <v>0</v>
      </c>
      <c r="BC433" s="7">
        <v>25</v>
      </c>
      <c r="BD433" s="8">
        <v>3000</v>
      </c>
      <c r="BE433" s="7">
        <v>0</v>
      </c>
      <c r="BF433" s="7">
        <v>0</v>
      </c>
      <c r="BG433" s="7">
        <v>0</v>
      </c>
      <c r="BH433" s="7">
        <v>0</v>
      </c>
      <c r="BI433" s="7">
        <v>0</v>
      </c>
      <c r="BJ433" s="7">
        <v>0</v>
      </c>
      <c r="BK433" s="7">
        <v>0</v>
      </c>
      <c r="BL433" s="7">
        <v>180</v>
      </c>
      <c r="BM433" s="10">
        <v>3000</v>
      </c>
      <c r="BN433" s="15">
        <f t="shared" si="12"/>
        <v>2820</v>
      </c>
      <c r="BO433" s="16">
        <f t="shared" si="13"/>
        <v>1973.9999999999998</v>
      </c>
    </row>
    <row r="434" spans="1:67" x14ac:dyDescent="0.4">
      <c r="A434" s="5" t="s">
        <v>531</v>
      </c>
      <c r="B434" s="5" t="s">
        <v>154</v>
      </c>
      <c r="C434" s="5">
        <v>394079</v>
      </c>
      <c r="D434" s="6"/>
      <c r="E434" s="5" t="s">
        <v>16</v>
      </c>
      <c r="F434" s="5" t="s">
        <v>52</v>
      </c>
      <c r="G434" s="5" t="s">
        <v>34</v>
      </c>
      <c r="H434" s="7" t="s">
        <v>8</v>
      </c>
      <c r="I434" s="7" t="s">
        <v>155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1</v>
      </c>
      <c r="AF434" s="7">
        <v>100</v>
      </c>
      <c r="AG434" s="7">
        <v>0</v>
      </c>
      <c r="AH434" s="7">
        <v>0</v>
      </c>
      <c r="AI434" s="7">
        <v>0</v>
      </c>
      <c r="AJ434" s="7">
        <v>0</v>
      </c>
      <c r="AK434" s="7">
        <v>21</v>
      </c>
      <c r="AL434" s="8">
        <v>2744</v>
      </c>
      <c r="AM434" s="7">
        <v>0</v>
      </c>
      <c r="AN434" s="7">
        <v>0</v>
      </c>
      <c r="AO434" s="7">
        <v>0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X434" s="7">
        <v>0</v>
      </c>
      <c r="AY434" s="7">
        <v>0</v>
      </c>
      <c r="AZ434" s="7">
        <v>0</v>
      </c>
      <c r="BA434" s="7">
        <v>0</v>
      </c>
      <c r="BB434" s="7">
        <v>0</v>
      </c>
      <c r="BC434" s="7">
        <v>0</v>
      </c>
      <c r="BD434" s="7">
        <v>0</v>
      </c>
      <c r="BE434" s="7">
        <v>0</v>
      </c>
      <c r="BF434" s="7">
        <v>0</v>
      </c>
      <c r="BG434" s="7">
        <v>0</v>
      </c>
      <c r="BH434" s="7">
        <v>0</v>
      </c>
      <c r="BI434" s="7">
        <v>0</v>
      </c>
      <c r="BJ434" s="7">
        <v>0</v>
      </c>
      <c r="BK434" s="7">
        <v>0</v>
      </c>
      <c r="BL434" s="7">
        <v>823.2</v>
      </c>
      <c r="BM434" s="10">
        <v>2844</v>
      </c>
      <c r="BN434" s="15">
        <f t="shared" si="12"/>
        <v>2020.8</v>
      </c>
      <c r="BO434" s="16">
        <f t="shared" si="13"/>
        <v>1414.56</v>
      </c>
    </row>
    <row r="435" spans="1:67" x14ac:dyDescent="0.4">
      <c r="A435" s="5" t="s">
        <v>531</v>
      </c>
      <c r="B435" s="5" t="s">
        <v>223</v>
      </c>
      <c r="C435" s="5">
        <v>353981</v>
      </c>
      <c r="D435" s="6"/>
      <c r="E435" s="5" t="s">
        <v>16</v>
      </c>
      <c r="F435" s="5" t="s">
        <v>224</v>
      </c>
      <c r="G435" s="5" t="s">
        <v>34</v>
      </c>
      <c r="H435" s="7" t="s">
        <v>8</v>
      </c>
      <c r="I435" s="7" t="s">
        <v>225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23</v>
      </c>
      <c r="AF435" s="8">
        <v>1800</v>
      </c>
      <c r="AG435" s="7">
        <v>500</v>
      </c>
      <c r="AH435" s="7">
        <v>0</v>
      </c>
      <c r="AI435" s="7">
        <v>0</v>
      </c>
      <c r="AJ435" s="7">
        <v>0</v>
      </c>
      <c r="AK435" s="7">
        <v>4</v>
      </c>
      <c r="AL435" s="7">
        <v>480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0</v>
      </c>
      <c r="BH435" s="7">
        <v>0</v>
      </c>
      <c r="BI435" s="7">
        <v>0</v>
      </c>
      <c r="BJ435" s="7">
        <v>0</v>
      </c>
      <c r="BK435" s="7">
        <v>0</v>
      </c>
      <c r="BL435" s="7">
        <v>144</v>
      </c>
      <c r="BM435" s="10">
        <v>2780</v>
      </c>
      <c r="BN435" s="15">
        <f t="shared" si="12"/>
        <v>2636</v>
      </c>
      <c r="BO435" s="16">
        <f t="shared" si="13"/>
        <v>1845.1999999999998</v>
      </c>
    </row>
    <row r="436" spans="1:67" x14ac:dyDescent="0.4">
      <c r="A436" s="5" t="s">
        <v>531</v>
      </c>
      <c r="B436" s="5" t="s">
        <v>180</v>
      </c>
      <c r="C436" s="5">
        <v>370192</v>
      </c>
      <c r="D436" s="6"/>
      <c r="E436" s="5" t="s">
        <v>16</v>
      </c>
      <c r="F436" s="5" t="s">
        <v>133</v>
      </c>
      <c r="G436" s="5" t="s">
        <v>34</v>
      </c>
      <c r="H436" s="7" t="s">
        <v>8</v>
      </c>
      <c r="I436" s="7" t="s">
        <v>181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26</v>
      </c>
      <c r="AF436" s="8">
        <v>2600</v>
      </c>
      <c r="AG436" s="7">
        <v>0</v>
      </c>
      <c r="AH436" s="7">
        <v>0</v>
      </c>
      <c r="AI436" s="7">
        <v>0</v>
      </c>
      <c r="AJ436" s="7">
        <v>0</v>
      </c>
      <c r="AK436" s="7">
        <v>1</v>
      </c>
      <c r="AL436" s="7">
        <v>0</v>
      </c>
      <c r="AM436" s="7">
        <v>100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  <c r="AZ436" s="7">
        <v>0</v>
      </c>
      <c r="BA436" s="7">
        <v>0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7">
        <v>0</v>
      </c>
      <c r="BI436" s="7">
        <v>0</v>
      </c>
      <c r="BJ436" s="7">
        <v>0</v>
      </c>
      <c r="BK436" s="7">
        <v>0</v>
      </c>
      <c r="BL436" s="7">
        <v>0</v>
      </c>
      <c r="BM436" s="10">
        <v>2700</v>
      </c>
      <c r="BN436" s="15">
        <f t="shared" si="12"/>
        <v>2700</v>
      </c>
      <c r="BO436" s="16">
        <f t="shared" si="13"/>
        <v>1889.9999999999998</v>
      </c>
    </row>
    <row r="437" spans="1:67" ht="19.2" x14ac:dyDescent="0.4">
      <c r="A437" s="5" t="s">
        <v>531</v>
      </c>
      <c r="B437" s="5" t="s">
        <v>443</v>
      </c>
      <c r="C437" s="5">
        <v>473172</v>
      </c>
      <c r="D437" s="6"/>
      <c r="E437" s="5" t="s">
        <v>16</v>
      </c>
      <c r="F437" s="5" t="s">
        <v>427</v>
      </c>
      <c r="G437" s="5" t="s">
        <v>444</v>
      </c>
      <c r="H437" s="7" t="s">
        <v>9</v>
      </c>
      <c r="I437" s="7" t="s">
        <v>445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1</v>
      </c>
      <c r="AF437" s="7">
        <v>0</v>
      </c>
      <c r="AG437" s="8">
        <v>2000</v>
      </c>
      <c r="AH437" s="7">
        <v>0</v>
      </c>
      <c r="AI437" s="7">
        <v>0</v>
      </c>
      <c r="AJ437" s="7">
        <v>0</v>
      </c>
      <c r="AK437" s="7">
        <v>1</v>
      </c>
      <c r="AL437" s="7">
        <v>0</v>
      </c>
      <c r="AM437" s="7">
        <v>700</v>
      </c>
      <c r="AN437" s="7">
        <v>0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0</v>
      </c>
      <c r="AU437" s="7">
        <v>0</v>
      </c>
      <c r="AV437" s="7">
        <v>0</v>
      </c>
      <c r="AW437" s="7">
        <v>0</v>
      </c>
      <c r="AX437" s="7">
        <v>0</v>
      </c>
      <c r="AY437" s="7">
        <v>0</v>
      </c>
      <c r="AZ437" s="7">
        <v>0</v>
      </c>
      <c r="BA437" s="7">
        <v>0</v>
      </c>
      <c r="BB437" s="7">
        <v>0</v>
      </c>
      <c r="BC437" s="7">
        <v>0</v>
      </c>
      <c r="BD437" s="7">
        <v>0</v>
      </c>
      <c r="BE437" s="7">
        <v>0</v>
      </c>
      <c r="BF437" s="7">
        <v>0</v>
      </c>
      <c r="BG437" s="7">
        <v>0</v>
      </c>
      <c r="BH437" s="7">
        <v>0</v>
      </c>
      <c r="BI437" s="7">
        <v>0</v>
      </c>
      <c r="BJ437" s="7">
        <v>0</v>
      </c>
      <c r="BK437" s="7">
        <v>0</v>
      </c>
      <c r="BL437" s="7">
        <v>0</v>
      </c>
      <c r="BM437" s="10">
        <v>2700</v>
      </c>
      <c r="BN437" s="15">
        <f t="shared" si="12"/>
        <v>2700</v>
      </c>
      <c r="BO437" s="16">
        <f t="shared" si="13"/>
        <v>1889.9999999999998</v>
      </c>
    </row>
    <row r="438" spans="1:67" x14ac:dyDescent="0.4">
      <c r="A438" s="5" t="s">
        <v>531</v>
      </c>
      <c r="B438" s="5" t="s">
        <v>261</v>
      </c>
      <c r="C438" s="5">
        <v>353788</v>
      </c>
      <c r="D438" s="6"/>
      <c r="E438" s="5" t="s">
        <v>16</v>
      </c>
      <c r="F438" s="5" t="s">
        <v>207</v>
      </c>
      <c r="G438" s="5" t="s">
        <v>34</v>
      </c>
      <c r="H438" s="7" t="s">
        <v>8</v>
      </c>
      <c r="I438" s="7" t="s">
        <v>262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2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26</v>
      </c>
      <c r="AL438" s="7">
        <v>0</v>
      </c>
      <c r="AM438" s="8">
        <v>2600</v>
      </c>
      <c r="AN438" s="7">
        <v>0</v>
      </c>
      <c r="AO438" s="7">
        <v>0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0</v>
      </c>
      <c r="AV438" s="7">
        <v>0</v>
      </c>
      <c r="AW438" s="7">
        <v>0</v>
      </c>
      <c r="AX438" s="7">
        <v>0</v>
      </c>
      <c r="AY438" s="7">
        <v>0</v>
      </c>
      <c r="AZ438" s="7">
        <v>0</v>
      </c>
      <c r="BA438" s="7">
        <v>0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0</v>
      </c>
      <c r="BH438" s="7">
        <v>0</v>
      </c>
      <c r="BI438" s="7">
        <v>0</v>
      </c>
      <c r="BJ438" s="7">
        <v>0</v>
      </c>
      <c r="BK438" s="7">
        <v>0</v>
      </c>
      <c r="BL438" s="7">
        <v>0</v>
      </c>
      <c r="BM438" s="10">
        <v>2600</v>
      </c>
      <c r="BN438" s="15">
        <f t="shared" si="12"/>
        <v>2600</v>
      </c>
      <c r="BO438" s="16">
        <f t="shared" si="13"/>
        <v>1819.9999999999998</v>
      </c>
    </row>
    <row r="439" spans="1:67" x14ac:dyDescent="0.4">
      <c r="A439" s="5" t="s">
        <v>531</v>
      </c>
      <c r="B439" s="5" t="s">
        <v>454</v>
      </c>
      <c r="C439" s="5">
        <v>428408</v>
      </c>
      <c r="D439" s="6"/>
      <c r="E439" s="5" t="s">
        <v>16</v>
      </c>
      <c r="F439" s="5" t="s">
        <v>41</v>
      </c>
      <c r="G439" s="5" t="s">
        <v>34</v>
      </c>
      <c r="H439" s="7" t="s">
        <v>308</v>
      </c>
      <c r="I439" s="7" t="s">
        <v>213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1</v>
      </c>
      <c r="AF439" s="8">
        <v>2600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7">
        <v>0</v>
      </c>
      <c r="AR439" s="7">
        <v>0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X439" s="7">
        <v>0</v>
      </c>
      <c r="AY439" s="7">
        <v>0</v>
      </c>
      <c r="AZ439" s="7">
        <v>0</v>
      </c>
      <c r="BA439" s="7">
        <v>0</v>
      </c>
      <c r="BB439" s="7">
        <v>0</v>
      </c>
      <c r="BC439" s="7">
        <v>0</v>
      </c>
      <c r="BD439" s="7">
        <v>0</v>
      </c>
      <c r="BE439" s="7">
        <v>0</v>
      </c>
      <c r="BF439" s="7">
        <v>0</v>
      </c>
      <c r="BG439" s="7">
        <v>0</v>
      </c>
      <c r="BH439" s="7">
        <v>0</v>
      </c>
      <c r="BI439" s="7">
        <v>0</v>
      </c>
      <c r="BJ439" s="7">
        <v>0</v>
      </c>
      <c r="BK439" s="7">
        <v>0</v>
      </c>
      <c r="BL439" s="7">
        <v>0</v>
      </c>
      <c r="BM439" s="10">
        <v>2600</v>
      </c>
      <c r="BN439" s="15">
        <f t="shared" si="12"/>
        <v>2600</v>
      </c>
      <c r="BO439" s="16">
        <f t="shared" si="13"/>
        <v>1819.9999999999998</v>
      </c>
    </row>
    <row r="440" spans="1:67" x14ac:dyDescent="0.4">
      <c r="A440" s="5" t="s">
        <v>531</v>
      </c>
      <c r="B440" s="5" t="s">
        <v>124</v>
      </c>
      <c r="C440" s="5">
        <v>386704</v>
      </c>
      <c r="D440" s="6"/>
      <c r="E440" s="5" t="s">
        <v>16</v>
      </c>
      <c r="F440" s="5" t="s">
        <v>125</v>
      </c>
      <c r="G440" s="5" t="s">
        <v>34</v>
      </c>
      <c r="H440" s="7" t="s">
        <v>8</v>
      </c>
      <c r="I440" s="7" t="s">
        <v>126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19</v>
      </c>
      <c r="AF440" s="8">
        <v>1900</v>
      </c>
      <c r="AG440" s="7">
        <v>0</v>
      </c>
      <c r="AH440" s="7">
        <v>0</v>
      </c>
      <c r="AI440" s="7">
        <v>0</v>
      </c>
      <c r="AJ440" s="7">
        <v>0</v>
      </c>
      <c r="AK440" s="7">
        <v>6</v>
      </c>
      <c r="AL440" s="7">
        <v>360</v>
      </c>
      <c r="AM440" s="7">
        <v>300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0</v>
      </c>
      <c r="BE440" s="7">
        <v>0</v>
      </c>
      <c r="BF440" s="7">
        <v>0</v>
      </c>
      <c r="BG440" s="7">
        <v>0</v>
      </c>
      <c r="BH440" s="7">
        <v>0</v>
      </c>
      <c r="BI440" s="7">
        <v>0</v>
      </c>
      <c r="BJ440" s="7">
        <v>0</v>
      </c>
      <c r="BK440" s="7">
        <v>0</v>
      </c>
      <c r="BL440" s="7">
        <v>108</v>
      </c>
      <c r="BM440" s="10">
        <v>2560</v>
      </c>
      <c r="BN440" s="15">
        <f t="shared" si="12"/>
        <v>2452</v>
      </c>
      <c r="BO440" s="16">
        <f t="shared" si="13"/>
        <v>1716.3999999999999</v>
      </c>
    </row>
    <row r="441" spans="1:67" x14ac:dyDescent="0.4">
      <c r="A441" s="5" t="s">
        <v>531</v>
      </c>
      <c r="B441" s="5" t="s">
        <v>137</v>
      </c>
      <c r="C441" s="5">
        <v>337887</v>
      </c>
      <c r="D441" s="6"/>
      <c r="E441" s="5" t="s">
        <v>16</v>
      </c>
      <c r="F441" s="5" t="s">
        <v>133</v>
      </c>
      <c r="G441" s="5" t="s">
        <v>34</v>
      </c>
      <c r="H441" s="7" t="s">
        <v>8</v>
      </c>
      <c r="I441" s="7" t="s">
        <v>138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20</v>
      </c>
      <c r="AL441" s="8">
        <v>2530</v>
      </c>
      <c r="AM441" s="7">
        <v>0</v>
      </c>
      <c r="AN441" s="7">
        <v>0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0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0</v>
      </c>
      <c r="BH441" s="7">
        <v>0</v>
      </c>
      <c r="BI441" s="7">
        <v>0</v>
      </c>
      <c r="BJ441" s="7">
        <v>0</v>
      </c>
      <c r="BK441" s="7">
        <v>0</v>
      </c>
      <c r="BL441" s="7">
        <v>759</v>
      </c>
      <c r="BM441" s="10">
        <v>2530</v>
      </c>
      <c r="BN441" s="15">
        <f t="shared" si="12"/>
        <v>1771</v>
      </c>
      <c r="BO441" s="16">
        <f t="shared" si="13"/>
        <v>1239.6999999999998</v>
      </c>
    </row>
    <row r="442" spans="1:67" x14ac:dyDescent="0.4">
      <c r="A442" s="5" t="s">
        <v>531</v>
      </c>
      <c r="B442" s="5" t="s">
        <v>281</v>
      </c>
      <c r="C442" s="5">
        <v>416378</v>
      </c>
      <c r="D442" s="6"/>
      <c r="E442" s="5" t="s">
        <v>16</v>
      </c>
      <c r="F442" s="5" t="s">
        <v>125</v>
      </c>
      <c r="G442" s="5" t="s">
        <v>34</v>
      </c>
      <c r="H442" s="7" t="s">
        <v>8</v>
      </c>
      <c r="I442" s="7" t="s">
        <v>282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24</v>
      </c>
      <c r="AF442" s="8">
        <v>2400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7">
        <v>0</v>
      </c>
      <c r="AZ442" s="7">
        <v>0</v>
      </c>
      <c r="BA442" s="7">
        <v>0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</v>
      </c>
      <c r="BH442" s="7">
        <v>0</v>
      </c>
      <c r="BI442" s="7">
        <v>0</v>
      </c>
      <c r="BJ442" s="7">
        <v>0</v>
      </c>
      <c r="BK442" s="7">
        <v>0</v>
      </c>
      <c r="BL442" s="7">
        <v>0</v>
      </c>
      <c r="BM442" s="10">
        <v>2400</v>
      </c>
      <c r="BN442" s="15">
        <f t="shared" ref="BN442:BN469" si="14">BM442-BL442</f>
        <v>2400</v>
      </c>
      <c r="BO442" s="16">
        <f t="shared" ref="BO442:BO469" si="15">BN442*70%</f>
        <v>1680</v>
      </c>
    </row>
    <row r="443" spans="1:67" x14ac:dyDescent="0.4">
      <c r="A443" s="5" t="s">
        <v>531</v>
      </c>
      <c r="B443" s="5" t="s">
        <v>247</v>
      </c>
      <c r="C443" s="5">
        <v>251205</v>
      </c>
      <c r="D443" s="6"/>
      <c r="E443" s="5" t="s">
        <v>16</v>
      </c>
      <c r="F443" s="5" t="s">
        <v>66</v>
      </c>
      <c r="G443" s="5" t="s">
        <v>10</v>
      </c>
      <c r="H443" s="7" t="s">
        <v>7</v>
      </c>
      <c r="I443" s="7" t="s">
        <v>248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7">
        <v>23</v>
      </c>
      <c r="AR443" s="8">
        <v>2100</v>
      </c>
      <c r="AS443" s="7">
        <v>200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</v>
      </c>
      <c r="BH443" s="7">
        <v>0</v>
      </c>
      <c r="BI443" s="7">
        <v>0</v>
      </c>
      <c r="BJ443" s="7">
        <v>0</v>
      </c>
      <c r="BK443" s="7">
        <v>0</v>
      </c>
      <c r="BL443" s="7">
        <v>0</v>
      </c>
      <c r="BM443" s="10">
        <v>2300</v>
      </c>
      <c r="BN443" s="15">
        <f t="shared" si="14"/>
        <v>2300</v>
      </c>
      <c r="BO443" s="16">
        <f t="shared" si="15"/>
        <v>1610</v>
      </c>
    </row>
    <row r="444" spans="1:67" x14ac:dyDescent="0.4">
      <c r="A444" s="5" t="s">
        <v>531</v>
      </c>
      <c r="B444" s="5" t="s">
        <v>93</v>
      </c>
      <c r="C444" s="5">
        <v>211158</v>
      </c>
      <c r="D444" s="6"/>
      <c r="E444" s="5" t="s">
        <v>16</v>
      </c>
      <c r="F444" s="5" t="s">
        <v>30</v>
      </c>
      <c r="G444" s="5" t="s">
        <v>10</v>
      </c>
      <c r="H444" s="7" t="s">
        <v>7</v>
      </c>
      <c r="I444" s="7" t="s">
        <v>94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13</v>
      </c>
      <c r="AF444" s="8">
        <v>1300</v>
      </c>
      <c r="AG444" s="7">
        <v>0</v>
      </c>
      <c r="AH444" s="7">
        <v>0</v>
      </c>
      <c r="AI444" s="7">
        <v>0</v>
      </c>
      <c r="AJ444" s="7">
        <v>0</v>
      </c>
      <c r="AK444" s="7">
        <v>10</v>
      </c>
      <c r="AL444" s="7">
        <v>0</v>
      </c>
      <c r="AM444" s="8">
        <v>1000</v>
      </c>
      <c r="AN444" s="7">
        <v>0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0</v>
      </c>
      <c r="BI444" s="7">
        <v>0</v>
      </c>
      <c r="BJ444" s="7">
        <v>0</v>
      </c>
      <c r="BK444" s="7">
        <v>0</v>
      </c>
      <c r="BL444" s="7">
        <v>0</v>
      </c>
      <c r="BM444" s="10">
        <v>2300</v>
      </c>
      <c r="BN444" s="15">
        <f t="shared" si="14"/>
        <v>2300</v>
      </c>
      <c r="BO444" s="16">
        <f t="shared" si="15"/>
        <v>1610</v>
      </c>
    </row>
    <row r="445" spans="1:67" x14ac:dyDescent="0.4">
      <c r="A445" s="5" t="s">
        <v>531</v>
      </c>
      <c r="B445" s="5" t="s">
        <v>333</v>
      </c>
      <c r="C445" s="5">
        <v>157002</v>
      </c>
      <c r="D445" s="6" t="s">
        <v>334</v>
      </c>
      <c r="E445" s="5" t="s">
        <v>16</v>
      </c>
      <c r="F445" s="5" t="s">
        <v>30</v>
      </c>
      <c r="G445" s="5" t="s">
        <v>10</v>
      </c>
      <c r="H445" s="7" t="s">
        <v>7</v>
      </c>
      <c r="I445" s="7" t="s">
        <v>335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19</v>
      </c>
      <c r="AL445" s="8">
        <v>2280</v>
      </c>
      <c r="AM445" s="7">
        <v>0</v>
      </c>
      <c r="AN445" s="7">
        <v>0</v>
      </c>
      <c r="AO445" s="7">
        <v>0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0</v>
      </c>
      <c r="BA445" s="7">
        <v>0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0</v>
      </c>
      <c r="BH445" s="7">
        <v>0</v>
      </c>
      <c r="BI445" s="7">
        <v>0</v>
      </c>
      <c r="BJ445" s="7">
        <v>0</v>
      </c>
      <c r="BK445" s="7">
        <v>0</v>
      </c>
      <c r="BL445" s="7">
        <v>684</v>
      </c>
      <c r="BM445" s="10">
        <v>2280</v>
      </c>
      <c r="BN445" s="15">
        <f t="shared" si="14"/>
        <v>1596</v>
      </c>
      <c r="BO445" s="16">
        <f t="shared" si="15"/>
        <v>1117.1999999999998</v>
      </c>
    </row>
    <row r="446" spans="1:67" x14ac:dyDescent="0.4">
      <c r="A446" s="5" t="s">
        <v>531</v>
      </c>
      <c r="B446" s="5" t="s">
        <v>57</v>
      </c>
      <c r="C446" s="5">
        <v>464776</v>
      </c>
      <c r="D446" s="6"/>
      <c r="E446" s="5" t="s">
        <v>16</v>
      </c>
      <c r="F446" s="5" t="s">
        <v>58</v>
      </c>
      <c r="G446" s="5" t="s">
        <v>457</v>
      </c>
      <c r="H446" s="7" t="s">
        <v>9</v>
      </c>
      <c r="I446" s="7" t="s">
        <v>59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13</v>
      </c>
      <c r="AF446" s="8">
        <v>1300</v>
      </c>
      <c r="AG446" s="7">
        <v>0</v>
      </c>
      <c r="AH446" s="7">
        <v>0</v>
      </c>
      <c r="AI446" s="7">
        <v>0</v>
      </c>
      <c r="AJ446" s="7">
        <v>0</v>
      </c>
      <c r="AK446" s="7">
        <v>7</v>
      </c>
      <c r="AL446" s="7">
        <v>840</v>
      </c>
      <c r="AM446" s="7">
        <v>0</v>
      </c>
      <c r="AN446" s="7">
        <v>0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X446" s="7">
        <v>0</v>
      </c>
      <c r="AY446" s="7">
        <v>0</v>
      </c>
      <c r="AZ446" s="7">
        <v>0</v>
      </c>
      <c r="BA446" s="7">
        <v>0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0</v>
      </c>
      <c r="BH446" s="7">
        <v>0</v>
      </c>
      <c r="BI446" s="7">
        <v>0</v>
      </c>
      <c r="BJ446" s="7">
        <v>0</v>
      </c>
      <c r="BK446" s="7">
        <v>0</v>
      </c>
      <c r="BL446" s="7">
        <v>252</v>
      </c>
      <c r="BM446" s="10">
        <v>2140</v>
      </c>
      <c r="BN446" s="15">
        <f t="shared" si="14"/>
        <v>1888</v>
      </c>
      <c r="BO446" s="16">
        <f t="shared" si="15"/>
        <v>1321.6</v>
      </c>
    </row>
    <row r="447" spans="1:67" x14ac:dyDescent="0.4">
      <c r="A447" s="5" t="s">
        <v>531</v>
      </c>
      <c r="B447" s="5" t="s">
        <v>367</v>
      </c>
      <c r="C447" s="5">
        <v>424589</v>
      </c>
      <c r="D447" s="6"/>
      <c r="E447" s="5" t="s">
        <v>16</v>
      </c>
      <c r="F447" s="5" t="s">
        <v>368</v>
      </c>
      <c r="G447" s="5" t="s">
        <v>457</v>
      </c>
      <c r="H447" s="7" t="s">
        <v>8</v>
      </c>
      <c r="I447" s="7" t="s">
        <v>369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2</v>
      </c>
      <c r="AL447" s="7">
        <v>0</v>
      </c>
      <c r="AM447" s="7">
        <v>200</v>
      </c>
      <c r="AN447" s="7">
        <v>0</v>
      </c>
      <c r="AO447" s="7">
        <v>0</v>
      </c>
      <c r="AP447" s="7">
        <v>0</v>
      </c>
      <c r="AQ447" s="7">
        <v>15</v>
      </c>
      <c r="AR447" s="8">
        <v>1500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0</v>
      </c>
      <c r="AY447" s="7">
        <v>0</v>
      </c>
      <c r="AZ447" s="7">
        <v>0</v>
      </c>
      <c r="BA447" s="7">
        <v>0</v>
      </c>
      <c r="BB447" s="7">
        <v>0</v>
      </c>
      <c r="BC447" s="7">
        <v>3</v>
      </c>
      <c r="BD447" s="7">
        <v>360</v>
      </c>
      <c r="BE447" s="7">
        <v>0</v>
      </c>
      <c r="BF447" s="7">
        <v>0</v>
      </c>
      <c r="BG447" s="7">
        <v>0</v>
      </c>
      <c r="BH447" s="7">
        <v>0</v>
      </c>
      <c r="BI447" s="7">
        <v>0</v>
      </c>
      <c r="BJ447" s="7">
        <v>0</v>
      </c>
      <c r="BK447" s="7">
        <v>0</v>
      </c>
      <c r="BL447" s="7">
        <v>21.6</v>
      </c>
      <c r="BM447" s="10">
        <v>2060</v>
      </c>
      <c r="BN447" s="15">
        <f t="shared" si="14"/>
        <v>2038.4</v>
      </c>
      <c r="BO447" s="16">
        <f t="shared" si="15"/>
        <v>1426.8799999999999</v>
      </c>
    </row>
    <row r="448" spans="1:67" x14ac:dyDescent="0.4">
      <c r="A448" s="5" t="s">
        <v>531</v>
      </c>
      <c r="B448" s="5" t="s">
        <v>121</v>
      </c>
      <c r="C448" s="5">
        <v>425414</v>
      </c>
      <c r="D448" s="6"/>
      <c r="E448" s="5" t="s">
        <v>16</v>
      </c>
      <c r="F448" s="5" t="s">
        <v>122</v>
      </c>
      <c r="G448" s="5" t="s">
        <v>10</v>
      </c>
      <c r="H448" s="7" t="s">
        <v>7</v>
      </c>
      <c r="I448" s="7" t="s">
        <v>123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6</v>
      </c>
      <c r="AF448" s="7">
        <v>600</v>
      </c>
      <c r="AG448" s="7">
        <v>0</v>
      </c>
      <c r="AH448" s="7">
        <v>0</v>
      </c>
      <c r="AI448" s="7">
        <v>0</v>
      </c>
      <c r="AJ448" s="7">
        <v>0</v>
      </c>
      <c r="AK448" s="7">
        <v>10</v>
      </c>
      <c r="AL448" s="8">
        <v>1200</v>
      </c>
      <c r="AM448" s="7">
        <v>0</v>
      </c>
      <c r="AN448" s="7">
        <v>0</v>
      </c>
      <c r="AO448" s="7">
        <v>0</v>
      </c>
      <c r="AP448" s="7">
        <v>0</v>
      </c>
      <c r="AQ448" s="7">
        <v>2</v>
      </c>
      <c r="AR448" s="7">
        <v>200</v>
      </c>
      <c r="AS448" s="7">
        <v>0</v>
      </c>
      <c r="AT448" s="7">
        <v>0</v>
      </c>
      <c r="AU448" s="7">
        <v>0</v>
      </c>
      <c r="AV448" s="7">
        <v>0</v>
      </c>
      <c r="AW448" s="7">
        <v>0</v>
      </c>
      <c r="AX448" s="7">
        <v>0</v>
      </c>
      <c r="AY448" s="7">
        <v>0</v>
      </c>
      <c r="AZ448" s="7">
        <v>0</v>
      </c>
      <c r="BA448" s="7">
        <v>0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0</v>
      </c>
      <c r="BH448" s="7">
        <v>0</v>
      </c>
      <c r="BI448" s="7">
        <v>0</v>
      </c>
      <c r="BJ448" s="7">
        <v>0</v>
      </c>
      <c r="BK448" s="7">
        <v>0</v>
      </c>
      <c r="BL448" s="7">
        <v>360</v>
      </c>
      <c r="BM448" s="10">
        <v>2000</v>
      </c>
      <c r="BN448" s="15">
        <f t="shared" si="14"/>
        <v>1640</v>
      </c>
      <c r="BO448" s="16">
        <f t="shared" si="15"/>
        <v>1148</v>
      </c>
    </row>
    <row r="449" spans="1:67" x14ac:dyDescent="0.4">
      <c r="A449" s="5" t="s">
        <v>531</v>
      </c>
      <c r="B449" s="5" t="s">
        <v>244</v>
      </c>
      <c r="C449" s="5">
        <v>458561</v>
      </c>
      <c r="D449" s="6"/>
      <c r="E449" s="5" t="s">
        <v>16</v>
      </c>
      <c r="F449" s="5" t="s">
        <v>30</v>
      </c>
      <c r="G449" s="5" t="s">
        <v>10</v>
      </c>
      <c r="H449" s="7" t="s">
        <v>7</v>
      </c>
      <c r="I449" s="7" t="s">
        <v>200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6</v>
      </c>
      <c r="AF449" s="7">
        <v>600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  <c r="AQ449" s="7">
        <v>11</v>
      </c>
      <c r="AR449" s="8">
        <v>1100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0</v>
      </c>
      <c r="AY449" s="7">
        <v>0</v>
      </c>
      <c r="AZ449" s="7">
        <v>0</v>
      </c>
      <c r="BA449" s="7">
        <v>0</v>
      </c>
      <c r="BB449" s="7">
        <v>0</v>
      </c>
      <c r="BC449" s="7">
        <v>0</v>
      </c>
      <c r="BD449" s="7">
        <v>0</v>
      </c>
      <c r="BE449" s="7">
        <v>0</v>
      </c>
      <c r="BF449" s="7">
        <v>0</v>
      </c>
      <c r="BG449" s="7">
        <v>0</v>
      </c>
      <c r="BH449" s="7">
        <v>0</v>
      </c>
      <c r="BI449" s="7">
        <v>0</v>
      </c>
      <c r="BJ449" s="7">
        <v>0</v>
      </c>
      <c r="BK449" s="7">
        <v>0</v>
      </c>
      <c r="BL449" s="7">
        <v>0</v>
      </c>
      <c r="BM449" s="10">
        <v>1700</v>
      </c>
      <c r="BN449" s="15">
        <f t="shared" si="14"/>
        <v>1700</v>
      </c>
      <c r="BO449" s="16">
        <f t="shared" si="15"/>
        <v>1190</v>
      </c>
    </row>
    <row r="450" spans="1:67" x14ac:dyDescent="0.4">
      <c r="A450" s="5" t="s">
        <v>531</v>
      </c>
      <c r="B450" s="5" t="s">
        <v>358</v>
      </c>
      <c r="C450" s="5">
        <v>395497</v>
      </c>
      <c r="D450" s="6"/>
      <c r="E450" s="5" t="s">
        <v>16</v>
      </c>
      <c r="F450" s="5" t="s">
        <v>359</v>
      </c>
      <c r="G450" s="5" t="s">
        <v>34</v>
      </c>
      <c r="H450" s="7" t="s">
        <v>8</v>
      </c>
      <c r="I450" s="7" t="s">
        <v>360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0</v>
      </c>
      <c r="BB450" s="7">
        <v>0</v>
      </c>
      <c r="BC450" s="7">
        <v>12</v>
      </c>
      <c r="BD450" s="8">
        <v>1440</v>
      </c>
      <c r="BE450" s="7">
        <v>0</v>
      </c>
      <c r="BF450" s="7">
        <v>0</v>
      </c>
      <c r="BG450" s="7">
        <v>0</v>
      </c>
      <c r="BH450" s="7">
        <v>0</v>
      </c>
      <c r="BI450" s="7">
        <v>0</v>
      </c>
      <c r="BJ450" s="7">
        <v>0</v>
      </c>
      <c r="BK450" s="7">
        <v>0</v>
      </c>
      <c r="BL450" s="7">
        <v>86.4</v>
      </c>
      <c r="BM450" s="10">
        <v>1440</v>
      </c>
      <c r="BN450" s="15">
        <f t="shared" si="14"/>
        <v>1353.6</v>
      </c>
      <c r="BO450" s="16">
        <f t="shared" si="15"/>
        <v>947.51999999999987</v>
      </c>
    </row>
    <row r="451" spans="1:67" x14ac:dyDescent="0.4">
      <c r="A451" s="5" t="s">
        <v>531</v>
      </c>
      <c r="B451" s="5" t="s">
        <v>182</v>
      </c>
      <c r="C451" s="5">
        <v>359006</v>
      </c>
      <c r="D451" s="6"/>
      <c r="E451" s="5" t="s">
        <v>16</v>
      </c>
      <c r="F451" s="5" t="s">
        <v>130</v>
      </c>
      <c r="G451" s="5" t="s">
        <v>34</v>
      </c>
      <c r="H451" s="7" t="s">
        <v>8</v>
      </c>
      <c r="I451" s="7" t="s">
        <v>183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3</v>
      </c>
      <c r="AF451" s="7">
        <v>200</v>
      </c>
      <c r="AG451" s="7">
        <v>100</v>
      </c>
      <c r="AH451" s="7">
        <v>0</v>
      </c>
      <c r="AI451" s="7">
        <v>0</v>
      </c>
      <c r="AJ451" s="7">
        <v>0</v>
      </c>
      <c r="AK451" s="7">
        <v>8</v>
      </c>
      <c r="AL451" s="7">
        <v>720</v>
      </c>
      <c r="AM451" s="7">
        <v>200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0</v>
      </c>
      <c r="AY451" s="7">
        <v>0</v>
      </c>
      <c r="AZ451" s="7">
        <v>0</v>
      </c>
      <c r="BA451" s="7">
        <v>0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0</v>
      </c>
      <c r="BH451" s="7">
        <v>0</v>
      </c>
      <c r="BI451" s="7">
        <v>0</v>
      </c>
      <c r="BJ451" s="7">
        <v>0</v>
      </c>
      <c r="BK451" s="7">
        <v>0</v>
      </c>
      <c r="BL451" s="7">
        <v>216</v>
      </c>
      <c r="BM451" s="10">
        <v>1220</v>
      </c>
      <c r="BN451" s="15">
        <f t="shared" si="14"/>
        <v>1004</v>
      </c>
      <c r="BO451" s="16">
        <f t="shared" si="15"/>
        <v>702.8</v>
      </c>
    </row>
    <row r="452" spans="1:67" x14ac:dyDescent="0.4">
      <c r="A452" s="5" t="s">
        <v>531</v>
      </c>
      <c r="B452" s="5" t="s">
        <v>494</v>
      </c>
      <c r="C452" s="5">
        <v>428374</v>
      </c>
      <c r="D452" s="6"/>
      <c r="E452" s="5" t="s">
        <v>16</v>
      </c>
      <c r="F452" s="5" t="s">
        <v>495</v>
      </c>
      <c r="G452" s="5" t="s">
        <v>457</v>
      </c>
      <c r="H452" s="7" t="s">
        <v>7</v>
      </c>
      <c r="I452" s="7" t="s">
        <v>109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10</v>
      </c>
      <c r="AL452" s="8">
        <v>1200</v>
      </c>
      <c r="AM452" s="7">
        <v>0</v>
      </c>
      <c r="AN452" s="7">
        <v>0</v>
      </c>
      <c r="AO452" s="7">
        <v>0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7">
        <v>0</v>
      </c>
      <c r="AZ452" s="7">
        <v>0</v>
      </c>
      <c r="BA452" s="7">
        <v>0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0</v>
      </c>
      <c r="BH452" s="7">
        <v>0</v>
      </c>
      <c r="BI452" s="7">
        <v>0</v>
      </c>
      <c r="BJ452" s="7">
        <v>0</v>
      </c>
      <c r="BK452" s="7">
        <v>0</v>
      </c>
      <c r="BL452" s="7">
        <v>360</v>
      </c>
      <c r="BM452" s="10">
        <v>1200</v>
      </c>
      <c r="BN452" s="15">
        <f t="shared" si="14"/>
        <v>840</v>
      </c>
      <c r="BO452" s="16">
        <f t="shared" si="15"/>
        <v>588</v>
      </c>
    </row>
    <row r="453" spans="1:67" x14ac:dyDescent="0.4">
      <c r="A453" s="5" t="s">
        <v>531</v>
      </c>
      <c r="B453" s="5" t="s">
        <v>528</v>
      </c>
      <c r="C453" s="5">
        <v>355732</v>
      </c>
      <c r="D453" s="6"/>
      <c r="E453" s="5" t="s">
        <v>16</v>
      </c>
      <c r="F453" s="5" t="s">
        <v>529</v>
      </c>
      <c r="G453" s="5" t="s">
        <v>34</v>
      </c>
      <c r="H453" s="7" t="s">
        <v>8</v>
      </c>
      <c r="I453" s="7" t="s">
        <v>530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12</v>
      </c>
      <c r="AF453" s="8">
        <v>1200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0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</v>
      </c>
      <c r="BH453" s="7">
        <v>0</v>
      </c>
      <c r="BI453" s="7">
        <v>0</v>
      </c>
      <c r="BJ453" s="7">
        <v>0</v>
      </c>
      <c r="BK453" s="7">
        <v>0</v>
      </c>
      <c r="BL453" s="7">
        <v>0</v>
      </c>
      <c r="BM453" s="10">
        <v>1200</v>
      </c>
      <c r="BN453" s="15">
        <f t="shared" si="14"/>
        <v>1200</v>
      </c>
      <c r="BO453" s="16">
        <f t="shared" si="15"/>
        <v>840</v>
      </c>
    </row>
    <row r="454" spans="1:67" x14ac:dyDescent="0.4">
      <c r="A454" s="5" t="s">
        <v>531</v>
      </c>
      <c r="B454" s="5" t="s">
        <v>139</v>
      </c>
      <c r="C454" s="5">
        <v>399034</v>
      </c>
      <c r="D454" s="6"/>
      <c r="E454" s="5" t="s">
        <v>16</v>
      </c>
      <c r="F454" s="5" t="s">
        <v>140</v>
      </c>
      <c r="G454" s="5" t="s">
        <v>34</v>
      </c>
      <c r="H454" s="7" t="s">
        <v>8</v>
      </c>
      <c r="I454" s="7" t="s">
        <v>141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9</v>
      </c>
      <c r="AF454" s="7">
        <v>0</v>
      </c>
      <c r="AG454" s="7">
        <v>900</v>
      </c>
      <c r="AH454" s="7">
        <v>0</v>
      </c>
      <c r="AI454" s="7">
        <v>0</v>
      </c>
      <c r="AJ454" s="7">
        <v>0</v>
      </c>
      <c r="AK454" s="7">
        <v>2</v>
      </c>
      <c r="AL454" s="7">
        <v>240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0</v>
      </c>
      <c r="BH454" s="7">
        <v>0</v>
      </c>
      <c r="BI454" s="7">
        <v>0</v>
      </c>
      <c r="BJ454" s="7">
        <v>0</v>
      </c>
      <c r="BK454" s="7">
        <v>0</v>
      </c>
      <c r="BL454" s="7">
        <v>72</v>
      </c>
      <c r="BM454" s="10">
        <v>1140</v>
      </c>
      <c r="BN454" s="15">
        <f t="shared" si="14"/>
        <v>1068</v>
      </c>
      <c r="BO454" s="16">
        <f t="shared" si="15"/>
        <v>747.59999999999991</v>
      </c>
    </row>
    <row r="455" spans="1:67" x14ac:dyDescent="0.4">
      <c r="A455" s="5" t="s">
        <v>531</v>
      </c>
      <c r="B455" s="5" t="s">
        <v>206</v>
      </c>
      <c r="C455" s="5">
        <v>421661</v>
      </c>
      <c r="D455" s="6"/>
      <c r="E455" s="5" t="s">
        <v>16</v>
      </c>
      <c r="F455" s="5" t="s">
        <v>207</v>
      </c>
      <c r="G455" s="5" t="s">
        <v>34</v>
      </c>
      <c r="H455" s="7" t="s">
        <v>8</v>
      </c>
      <c r="I455" s="7" t="s">
        <v>208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1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10</v>
      </c>
      <c r="AL455" s="7">
        <v>0</v>
      </c>
      <c r="AM455" s="8">
        <v>1000</v>
      </c>
      <c r="AN455" s="7">
        <v>0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7">
        <v>0</v>
      </c>
      <c r="AZ455" s="7">
        <v>0</v>
      </c>
      <c r="BA455" s="7">
        <v>0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0</v>
      </c>
      <c r="BH455" s="7">
        <v>0</v>
      </c>
      <c r="BI455" s="7">
        <v>0</v>
      </c>
      <c r="BJ455" s="7">
        <v>0</v>
      </c>
      <c r="BK455" s="7">
        <v>0</v>
      </c>
      <c r="BL455" s="7">
        <v>0</v>
      </c>
      <c r="BM455" s="10">
        <v>1000</v>
      </c>
      <c r="BN455" s="15">
        <f t="shared" si="14"/>
        <v>1000</v>
      </c>
      <c r="BO455" s="16">
        <f t="shared" si="15"/>
        <v>700</v>
      </c>
    </row>
    <row r="456" spans="1:67" x14ac:dyDescent="0.4">
      <c r="A456" s="5" t="s">
        <v>531</v>
      </c>
      <c r="B456" s="5" t="s">
        <v>184</v>
      </c>
      <c r="C456" s="5">
        <v>378409</v>
      </c>
      <c r="D456" s="6"/>
      <c r="E456" s="5" t="s">
        <v>16</v>
      </c>
      <c r="F456" s="5" t="s">
        <v>47</v>
      </c>
      <c r="G456" s="5" t="s">
        <v>34</v>
      </c>
      <c r="H456" s="7" t="s">
        <v>8</v>
      </c>
      <c r="I456" s="7" t="s">
        <v>185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9</v>
      </c>
      <c r="AL456" s="7">
        <v>0</v>
      </c>
      <c r="AM456" s="7">
        <v>900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0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</v>
      </c>
      <c r="BH456" s="7">
        <v>0</v>
      </c>
      <c r="BI456" s="7">
        <v>0</v>
      </c>
      <c r="BJ456" s="7">
        <v>0</v>
      </c>
      <c r="BK456" s="7">
        <v>0</v>
      </c>
      <c r="BL456" s="7">
        <v>0</v>
      </c>
      <c r="BM456" s="11">
        <v>900</v>
      </c>
      <c r="BN456" s="15">
        <f t="shared" si="14"/>
        <v>900</v>
      </c>
      <c r="BO456" s="16">
        <f t="shared" si="15"/>
        <v>630</v>
      </c>
    </row>
    <row r="457" spans="1:67" ht="19.2" x14ac:dyDescent="0.4">
      <c r="A457" s="5" t="s">
        <v>531</v>
      </c>
      <c r="B457" s="5" t="s">
        <v>430</v>
      </c>
      <c r="C457" s="5">
        <v>472228</v>
      </c>
      <c r="D457" s="6"/>
      <c r="E457" s="5" t="s">
        <v>16</v>
      </c>
      <c r="F457" s="5" t="s">
        <v>431</v>
      </c>
      <c r="G457" s="5" t="s">
        <v>457</v>
      </c>
      <c r="H457" s="7" t="s">
        <v>8</v>
      </c>
      <c r="I457" s="7" t="s">
        <v>432</v>
      </c>
      <c r="J457" s="7">
        <v>0</v>
      </c>
      <c r="K457" s="7">
        <v>15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7</v>
      </c>
      <c r="AL457" s="7">
        <v>840</v>
      </c>
      <c r="AM457" s="7">
        <v>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0</v>
      </c>
      <c r="BH457" s="7">
        <v>0</v>
      </c>
      <c r="BI457" s="7">
        <v>0</v>
      </c>
      <c r="BJ457" s="7">
        <v>0</v>
      </c>
      <c r="BK457" s="7">
        <v>0</v>
      </c>
      <c r="BL457" s="7">
        <v>252</v>
      </c>
      <c r="BM457" s="11">
        <v>840</v>
      </c>
      <c r="BN457" s="15">
        <f t="shared" si="14"/>
        <v>588</v>
      </c>
      <c r="BO457" s="16">
        <f t="shared" si="15"/>
        <v>411.59999999999997</v>
      </c>
    </row>
    <row r="458" spans="1:67" x14ac:dyDescent="0.4">
      <c r="A458" s="5" t="s">
        <v>531</v>
      </c>
      <c r="B458" s="5" t="s">
        <v>455</v>
      </c>
      <c r="C458" s="5">
        <v>428120</v>
      </c>
      <c r="D458" s="6"/>
      <c r="E458" s="5" t="s">
        <v>16</v>
      </c>
      <c r="F458" s="5" t="s">
        <v>47</v>
      </c>
      <c r="G458" s="5" t="s">
        <v>34</v>
      </c>
      <c r="H458" s="7" t="s">
        <v>8</v>
      </c>
      <c r="I458" s="7" t="s">
        <v>174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1</v>
      </c>
      <c r="AL458" s="7">
        <v>0</v>
      </c>
      <c r="AM458" s="7">
        <v>800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0</v>
      </c>
      <c r="BH458" s="7">
        <v>0</v>
      </c>
      <c r="BI458" s="7">
        <v>0</v>
      </c>
      <c r="BJ458" s="7">
        <v>0</v>
      </c>
      <c r="BK458" s="7">
        <v>0</v>
      </c>
      <c r="BL458" s="7">
        <v>0</v>
      </c>
      <c r="BM458" s="11">
        <v>800</v>
      </c>
      <c r="BN458" s="15">
        <f t="shared" si="14"/>
        <v>800</v>
      </c>
      <c r="BO458" s="16">
        <f t="shared" si="15"/>
        <v>560</v>
      </c>
    </row>
    <row r="459" spans="1:67" x14ac:dyDescent="0.4">
      <c r="A459" s="5" t="s">
        <v>531</v>
      </c>
      <c r="B459" s="5" t="s">
        <v>356</v>
      </c>
      <c r="C459" s="5">
        <v>452403</v>
      </c>
      <c r="D459" s="6"/>
      <c r="E459" s="5" t="s">
        <v>16</v>
      </c>
      <c r="F459" s="5" t="s">
        <v>345</v>
      </c>
      <c r="G459" s="5" t="s">
        <v>34</v>
      </c>
      <c r="H459" s="7" t="s">
        <v>8</v>
      </c>
      <c r="I459" s="7" t="s">
        <v>357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5</v>
      </c>
      <c r="AL459" s="7">
        <v>0</v>
      </c>
      <c r="AM459" s="7">
        <v>500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0</v>
      </c>
      <c r="AV459" s="7">
        <v>0</v>
      </c>
      <c r="AW459" s="7">
        <v>0</v>
      </c>
      <c r="AX459" s="7">
        <v>0</v>
      </c>
      <c r="AY459" s="7">
        <v>0</v>
      </c>
      <c r="AZ459" s="7">
        <v>0</v>
      </c>
      <c r="BA459" s="7">
        <v>0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0</v>
      </c>
      <c r="BH459" s="7">
        <v>0</v>
      </c>
      <c r="BI459" s="7">
        <v>0</v>
      </c>
      <c r="BJ459" s="7">
        <v>0</v>
      </c>
      <c r="BK459" s="7">
        <v>0</v>
      </c>
      <c r="BL459" s="7">
        <v>0</v>
      </c>
      <c r="BM459" s="11">
        <v>500</v>
      </c>
      <c r="BN459" s="15">
        <f t="shared" si="14"/>
        <v>500</v>
      </c>
      <c r="BO459" s="16">
        <f t="shared" si="15"/>
        <v>350</v>
      </c>
    </row>
    <row r="460" spans="1:67" ht="19.2" x14ac:dyDescent="0.4">
      <c r="A460" s="5" t="s">
        <v>531</v>
      </c>
      <c r="B460" s="5" t="s">
        <v>251</v>
      </c>
      <c r="C460" s="5">
        <v>469072</v>
      </c>
      <c r="D460" s="6"/>
      <c r="E460" s="5" t="s">
        <v>16</v>
      </c>
      <c r="F460" s="5" t="s">
        <v>165</v>
      </c>
      <c r="G460" s="5" t="s">
        <v>34</v>
      </c>
      <c r="H460" s="7" t="s">
        <v>8</v>
      </c>
      <c r="I460" s="7" t="s">
        <v>252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4</v>
      </c>
      <c r="AL460" s="7">
        <v>480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0</v>
      </c>
      <c r="BH460" s="7">
        <v>0</v>
      </c>
      <c r="BI460" s="7">
        <v>0</v>
      </c>
      <c r="BJ460" s="7">
        <v>0</v>
      </c>
      <c r="BK460" s="7">
        <v>0</v>
      </c>
      <c r="BL460" s="7">
        <v>144</v>
      </c>
      <c r="BM460" s="11">
        <v>480</v>
      </c>
      <c r="BN460" s="15">
        <f t="shared" si="14"/>
        <v>336</v>
      </c>
      <c r="BO460" s="16">
        <f t="shared" si="15"/>
        <v>235.2</v>
      </c>
    </row>
    <row r="461" spans="1:67" ht="19.2" x14ac:dyDescent="0.4">
      <c r="A461" s="5" t="s">
        <v>531</v>
      </c>
      <c r="B461" s="5" t="s">
        <v>412</v>
      </c>
      <c r="C461" s="5">
        <v>383236</v>
      </c>
      <c r="D461" s="6"/>
      <c r="E461" s="5" t="s">
        <v>16</v>
      </c>
      <c r="F461" s="5" t="s">
        <v>130</v>
      </c>
      <c r="G461" s="5" t="s">
        <v>34</v>
      </c>
      <c r="H461" s="7" t="s">
        <v>308</v>
      </c>
      <c r="I461" s="7" t="s">
        <v>131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1</v>
      </c>
      <c r="AF461" s="7">
        <v>100</v>
      </c>
      <c r="AG461" s="7">
        <v>0</v>
      </c>
      <c r="AH461" s="7">
        <v>0</v>
      </c>
      <c r="AI461" s="7">
        <v>0</v>
      </c>
      <c r="AJ461" s="7">
        <v>0</v>
      </c>
      <c r="AK461" s="7">
        <v>1</v>
      </c>
      <c r="AL461" s="7">
        <v>0</v>
      </c>
      <c r="AM461" s="7">
        <v>300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7">
        <v>0</v>
      </c>
      <c r="AZ461" s="7">
        <v>0</v>
      </c>
      <c r="BA461" s="7">
        <v>0</v>
      </c>
      <c r="BB461" s="7">
        <v>0</v>
      </c>
      <c r="BC461" s="7">
        <v>0</v>
      </c>
      <c r="BD461" s="7">
        <v>0</v>
      </c>
      <c r="BE461" s="7">
        <v>0</v>
      </c>
      <c r="BF461" s="7">
        <v>0</v>
      </c>
      <c r="BG461" s="7">
        <v>0</v>
      </c>
      <c r="BH461" s="7">
        <v>0</v>
      </c>
      <c r="BI461" s="7">
        <v>0</v>
      </c>
      <c r="BJ461" s="7">
        <v>0</v>
      </c>
      <c r="BK461" s="7">
        <v>0</v>
      </c>
      <c r="BL461" s="7">
        <v>0</v>
      </c>
      <c r="BM461" s="11">
        <v>400</v>
      </c>
      <c r="BN461" s="15">
        <f t="shared" si="14"/>
        <v>400</v>
      </c>
      <c r="BO461" s="16">
        <f t="shared" si="15"/>
        <v>280</v>
      </c>
    </row>
    <row r="462" spans="1:67" x14ac:dyDescent="0.4">
      <c r="A462" s="5" t="s">
        <v>531</v>
      </c>
      <c r="B462" s="5" t="s">
        <v>277</v>
      </c>
      <c r="C462" s="5">
        <v>358724</v>
      </c>
      <c r="D462" s="6"/>
      <c r="E462" s="5" t="s">
        <v>16</v>
      </c>
      <c r="F462" s="5" t="s">
        <v>278</v>
      </c>
      <c r="G462" s="5" t="s">
        <v>34</v>
      </c>
      <c r="H462" s="7" t="s">
        <v>8</v>
      </c>
      <c r="I462" s="7" t="s">
        <v>106</v>
      </c>
      <c r="J462" s="7">
        <v>3</v>
      </c>
      <c r="K462" s="7">
        <v>0</v>
      </c>
      <c r="L462" s="7">
        <v>300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  <c r="AX462" s="7">
        <v>0</v>
      </c>
      <c r="AY462" s="7">
        <v>0</v>
      </c>
      <c r="AZ462" s="7">
        <v>0</v>
      </c>
      <c r="BA462" s="7">
        <v>0</v>
      </c>
      <c r="BB462" s="7">
        <v>0</v>
      </c>
      <c r="BC462" s="7">
        <v>0</v>
      </c>
      <c r="BD462" s="7">
        <v>0</v>
      </c>
      <c r="BE462" s="7">
        <v>0</v>
      </c>
      <c r="BF462" s="7">
        <v>0</v>
      </c>
      <c r="BG462" s="7">
        <v>0</v>
      </c>
      <c r="BH462" s="7">
        <v>0</v>
      </c>
      <c r="BI462" s="7">
        <v>0</v>
      </c>
      <c r="BJ462" s="7">
        <v>0</v>
      </c>
      <c r="BK462" s="7">
        <v>0</v>
      </c>
      <c r="BL462" s="7">
        <v>0</v>
      </c>
      <c r="BM462" s="11">
        <v>300</v>
      </c>
      <c r="BN462" s="15">
        <f t="shared" si="14"/>
        <v>300</v>
      </c>
      <c r="BO462" s="16">
        <f t="shared" si="15"/>
        <v>210</v>
      </c>
    </row>
    <row r="463" spans="1:67" x14ac:dyDescent="0.4">
      <c r="A463" s="5" t="s">
        <v>531</v>
      </c>
      <c r="B463" s="5" t="s">
        <v>415</v>
      </c>
      <c r="C463" s="5">
        <v>467500</v>
      </c>
      <c r="D463" s="6"/>
      <c r="E463" s="5" t="s">
        <v>16</v>
      </c>
      <c r="F463" s="5" t="s">
        <v>312</v>
      </c>
      <c r="G463" s="5" t="s">
        <v>34</v>
      </c>
      <c r="H463" s="7" t="s">
        <v>8</v>
      </c>
      <c r="I463" s="7" t="s">
        <v>21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1</v>
      </c>
      <c r="AF463" s="7">
        <v>300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</v>
      </c>
      <c r="AV463" s="7">
        <v>0</v>
      </c>
      <c r="AW463" s="7">
        <v>0</v>
      </c>
      <c r="AX463" s="7">
        <v>0</v>
      </c>
      <c r="AY463" s="7">
        <v>0</v>
      </c>
      <c r="AZ463" s="7">
        <v>0</v>
      </c>
      <c r="BA463" s="7">
        <v>0</v>
      </c>
      <c r="BB463" s="7">
        <v>0</v>
      </c>
      <c r="BC463" s="7">
        <v>0</v>
      </c>
      <c r="BD463" s="7">
        <v>0</v>
      </c>
      <c r="BE463" s="7">
        <v>0</v>
      </c>
      <c r="BF463" s="7">
        <v>0</v>
      </c>
      <c r="BG463" s="7">
        <v>0</v>
      </c>
      <c r="BH463" s="7">
        <v>0</v>
      </c>
      <c r="BI463" s="7">
        <v>0</v>
      </c>
      <c r="BJ463" s="7">
        <v>0</v>
      </c>
      <c r="BK463" s="7">
        <v>0</v>
      </c>
      <c r="BL463" s="7">
        <v>0</v>
      </c>
      <c r="BM463" s="11">
        <v>300</v>
      </c>
      <c r="BN463" s="15">
        <f t="shared" si="14"/>
        <v>300</v>
      </c>
      <c r="BO463" s="16">
        <f t="shared" si="15"/>
        <v>210</v>
      </c>
    </row>
    <row r="464" spans="1:67" x14ac:dyDescent="0.4">
      <c r="A464" s="5" t="s">
        <v>531</v>
      </c>
      <c r="B464" s="5" t="s">
        <v>203</v>
      </c>
      <c r="C464" s="5">
        <v>332138</v>
      </c>
      <c r="D464" s="6"/>
      <c r="E464" s="5" t="s">
        <v>16</v>
      </c>
      <c r="F464" s="5" t="s">
        <v>204</v>
      </c>
      <c r="G464" s="5" t="s">
        <v>34</v>
      </c>
      <c r="H464" s="7" t="s">
        <v>9</v>
      </c>
      <c r="I464" s="7" t="s">
        <v>205</v>
      </c>
      <c r="J464" s="7">
        <v>3</v>
      </c>
      <c r="K464" s="7">
        <v>0</v>
      </c>
      <c r="L464" s="7">
        <v>300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0</v>
      </c>
      <c r="AZ464" s="7">
        <v>0</v>
      </c>
      <c r="BA464" s="7">
        <v>0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0</v>
      </c>
      <c r="BH464" s="7">
        <v>0</v>
      </c>
      <c r="BI464" s="7">
        <v>0</v>
      </c>
      <c r="BJ464" s="7">
        <v>0</v>
      </c>
      <c r="BK464" s="7">
        <v>0</v>
      </c>
      <c r="BL464" s="7">
        <v>0</v>
      </c>
      <c r="BM464" s="11">
        <v>300</v>
      </c>
      <c r="BN464" s="15">
        <f t="shared" si="14"/>
        <v>300</v>
      </c>
      <c r="BO464" s="16">
        <f t="shared" si="15"/>
        <v>210</v>
      </c>
    </row>
    <row r="465" spans="1:67" x14ac:dyDescent="0.4">
      <c r="A465" s="5" t="s">
        <v>531</v>
      </c>
      <c r="B465" s="5" t="s">
        <v>324</v>
      </c>
      <c r="C465" s="5">
        <v>389960</v>
      </c>
      <c r="D465" s="6"/>
      <c r="E465" s="5" t="s">
        <v>16</v>
      </c>
      <c r="F465" s="5" t="s">
        <v>108</v>
      </c>
      <c r="G465" s="5" t="s">
        <v>457</v>
      </c>
      <c r="H465" s="7" t="s">
        <v>9</v>
      </c>
      <c r="I465" s="7" t="s">
        <v>325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1</v>
      </c>
      <c r="AL465" s="7">
        <v>120</v>
      </c>
      <c r="AM465" s="7">
        <v>0</v>
      </c>
      <c r="AN465" s="7">
        <v>0</v>
      </c>
      <c r="AO465" s="7">
        <v>0</v>
      </c>
      <c r="AP465" s="7">
        <v>0</v>
      </c>
      <c r="AQ465" s="7">
        <v>0</v>
      </c>
      <c r="AR465" s="7">
        <v>0</v>
      </c>
      <c r="AS465" s="7">
        <v>0</v>
      </c>
      <c r="AT465" s="7">
        <v>0</v>
      </c>
      <c r="AU465" s="7">
        <v>0</v>
      </c>
      <c r="AV465" s="7">
        <v>0</v>
      </c>
      <c r="AW465" s="7">
        <v>0</v>
      </c>
      <c r="AX465" s="7">
        <v>0</v>
      </c>
      <c r="AY465" s="7">
        <v>0</v>
      </c>
      <c r="AZ465" s="7">
        <v>0</v>
      </c>
      <c r="BA465" s="7">
        <v>0</v>
      </c>
      <c r="BB465" s="7">
        <v>0</v>
      </c>
      <c r="BC465" s="7">
        <v>0</v>
      </c>
      <c r="BD465" s="7">
        <v>0</v>
      </c>
      <c r="BE465" s="7">
        <v>0</v>
      </c>
      <c r="BF465" s="7">
        <v>0</v>
      </c>
      <c r="BG465" s="7">
        <v>0</v>
      </c>
      <c r="BH465" s="7">
        <v>0</v>
      </c>
      <c r="BI465" s="7">
        <v>0</v>
      </c>
      <c r="BJ465" s="7">
        <v>0</v>
      </c>
      <c r="BK465" s="7">
        <v>0</v>
      </c>
      <c r="BL465" s="7">
        <v>36</v>
      </c>
      <c r="BM465" s="11">
        <v>120</v>
      </c>
      <c r="BN465" s="15">
        <f t="shared" si="14"/>
        <v>84</v>
      </c>
      <c r="BO465" s="16">
        <f t="shared" si="15"/>
        <v>58.8</v>
      </c>
    </row>
    <row r="466" spans="1:67" x14ac:dyDescent="0.4">
      <c r="A466" s="5" t="s">
        <v>531</v>
      </c>
      <c r="B466" s="5" t="s">
        <v>255</v>
      </c>
      <c r="C466" s="5">
        <v>434853</v>
      </c>
      <c r="D466" s="6"/>
      <c r="E466" s="5" t="s">
        <v>16</v>
      </c>
      <c r="F466" s="5" t="s">
        <v>256</v>
      </c>
      <c r="G466" s="5" t="s">
        <v>10</v>
      </c>
      <c r="H466" s="7" t="s">
        <v>7</v>
      </c>
      <c r="I466" s="7" t="s">
        <v>257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1</v>
      </c>
      <c r="AF466" s="7">
        <v>100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7">
        <v>0</v>
      </c>
      <c r="AV466" s="7">
        <v>0</v>
      </c>
      <c r="AW466" s="7">
        <v>0</v>
      </c>
      <c r="AX466" s="7">
        <v>0</v>
      </c>
      <c r="AY466" s="7">
        <v>0</v>
      </c>
      <c r="AZ466" s="7">
        <v>0</v>
      </c>
      <c r="BA466" s="7">
        <v>0</v>
      </c>
      <c r="BB466" s="7">
        <v>0</v>
      </c>
      <c r="BC466" s="7">
        <v>0</v>
      </c>
      <c r="BD466" s="7">
        <v>0</v>
      </c>
      <c r="BE466" s="7">
        <v>0</v>
      </c>
      <c r="BF466" s="7">
        <v>0</v>
      </c>
      <c r="BG466" s="7">
        <v>0</v>
      </c>
      <c r="BH466" s="7">
        <v>0</v>
      </c>
      <c r="BI466" s="7">
        <v>0</v>
      </c>
      <c r="BJ466" s="7">
        <v>0</v>
      </c>
      <c r="BK466" s="7">
        <v>0</v>
      </c>
      <c r="BL466" s="7">
        <v>0</v>
      </c>
      <c r="BM466" s="11">
        <v>100</v>
      </c>
      <c r="BN466" s="15">
        <f t="shared" si="14"/>
        <v>100</v>
      </c>
      <c r="BO466" s="16">
        <f t="shared" si="15"/>
        <v>70</v>
      </c>
    </row>
    <row r="467" spans="1:67" x14ac:dyDescent="0.4">
      <c r="A467" s="5" t="s">
        <v>531</v>
      </c>
      <c r="B467" s="5" t="s">
        <v>220</v>
      </c>
      <c r="C467" s="5">
        <v>434558</v>
      </c>
      <c r="D467" s="6"/>
      <c r="E467" s="5" t="s">
        <v>16</v>
      </c>
      <c r="F467" s="5" t="s">
        <v>221</v>
      </c>
      <c r="G467" s="5" t="s">
        <v>10</v>
      </c>
      <c r="H467" s="7" t="s">
        <v>7</v>
      </c>
      <c r="I467" s="7" t="s">
        <v>222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1</v>
      </c>
      <c r="AF467" s="7">
        <v>0</v>
      </c>
      <c r="AG467" s="7">
        <v>100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s="7">
        <v>0</v>
      </c>
      <c r="BC467" s="7">
        <v>0</v>
      </c>
      <c r="BD467" s="7">
        <v>0</v>
      </c>
      <c r="BE467" s="7">
        <v>0</v>
      </c>
      <c r="BF467" s="7">
        <v>0</v>
      </c>
      <c r="BG467" s="7">
        <v>0</v>
      </c>
      <c r="BH467" s="7">
        <v>0</v>
      </c>
      <c r="BI467" s="7">
        <v>0</v>
      </c>
      <c r="BJ467" s="7">
        <v>0</v>
      </c>
      <c r="BK467" s="7">
        <v>0</v>
      </c>
      <c r="BL467" s="7">
        <v>0</v>
      </c>
      <c r="BM467" s="11">
        <v>100</v>
      </c>
      <c r="BN467" s="15">
        <f t="shared" si="14"/>
        <v>100</v>
      </c>
      <c r="BO467" s="16">
        <f t="shared" si="15"/>
        <v>70</v>
      </c>
    </row>
    <row r="468" spans="1:67" x14ac:dyDescent="0.4">
      <c r="A468" s="5" t="s">
        <v>531</v>
      </c>
      <c r="B468" s="5" t="s">
        <v>304</v>
      </c>
      <c r="C468" s="5">
        <v>377088</v>
      </c>
      <c r="D468" s="6"/>
      <c r="E468" s="5" t="s">
        <v>16</v>
      </c>
      <c r="F468" s="5" t="s">
        <v>305</v>
      </c>
      <c r="G468" s="5" t="s">
        <v>34</v>
      </c>
      <c r="H468" s="7" t="s">
        <v>8</v>
      </c>
      <c r="I468" s="7" t="s">
        <v>306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1</v>
      </c>
      <c r="AL468" s="7">
        <v>0</v>
      </c>
      <c r="AM468" s="7">
        <v>100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7">
        <v>0</v>
      </c>
      <c r="AZ468" s="7">
        <v>0</v>
      </c>
      <c r="BA468" s="7">
        <v>0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0</v>
      </c>
      <c r="BH468" s="7">
        <v>0</v>
      </c>
      <c r="BI468" s="7">
        <v>0</v>
      </c>
      <c r="BJ468" s="7">
        <v>0</v>
      </c>
      <c r="BK468" s="7">
        <v>0</v>
      </c>
      <c r="BL468" s="7">
        <v>0</v>
      </c>
      <c r="BM468" s="11">
        <v>100</v>
      </c>
      <c r="BN468" s="15">
        <f t="shared" si="14"/>
        <v>100</v>
      </c>
      <c r="BO468" s="16">
        <f t="shared" si="15"/>
        <v>70</v>
      </c>
    </row>
    <row r="469" spans="1:67" x14ac:dyDescent="0.4">
      <c r="A469" s="5" t="s">
        <v>531</v>
      </c>
      <c r="B469" s="5" t="s">
        <v>217</v>
      </c>
      <c r="C469" s="5">
        <v>434877</v>
      </c>
      <c r="D469" s="6"/>
      <c r="E469" s="5" t="s">
        <v>16</v>
      </c>
      <c r="F469" s="5" t="s">
        <v>218</v>
      </c>
      <c r="G469" s="5" t="s">
        <v>10</v>
      </c>
      <c r="H469" s="7" t="s">
        <v>7</v>
      </c>
      <c r="I469" s="7" t="s">
        <v>219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1</v>
      </c>
      <c r="AL469" s="7">
        <v>0</v>
      </c>
      <c r="AM469" s="7">
        <v>100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X469" s="7">
        <v>0</v>
      </c>
      <c r="AY469" s="7">
        <v>0</v>
      </c>
      <c r="AZ469" s="7">
        <v>0</v>
      </c>
      <c r="BA469" s="7">
        <v>0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0</v>
      </c>
      <c r="BH469" s="7">
        <v>0</v>
      </c>
      <c r="BI469" s="7">
        <v>0</v>
      </c>
      <c r="BJ469" s="7">
        <v>0</v>
      </c>
      <c r="BK469" s="7">
        <v>0</v>
      </c>
      <c r="BL469" s="7">
        <v>0</v>
      </c>
      <c r="BM469" s="11">
        <v>100</v>
      </c>
      <c r="BN469" s="15">
        <f t="shared" si="14"/>
        <v>100</v>
      </c>
      <c r="BO469" s="16">
        <f t="shared" si="15"/>
        <v>70</v>
      </c>
    </row>
    <row r="470" spans="1:67" x14ac:dyDescent="0.4">
      <c r="BM470" s="17">
        <f>SUM(BM2:BM469)</f>
        <v>84392328</v>
      </c>
      <c r="BO470" s="18">
        <f>SUM(BO2:BO469)</f>
        <v>56615940.08000005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2022-08-03T06:59:34Z</dcterms:modified>
</cp:coreProperties>
</file>