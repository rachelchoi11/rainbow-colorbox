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네이버\"/>
    </mc:Choice>
  </mc:AlternateContent>
  <bookViews>
    <workbookView xWindow="0" yWindow="0" windowWidth="23040" windowHeight="8952" tabRatio="766"/>
  </bookViews>
  <sheets>
    <sheet name="합계 (7)" sheetId="412" r:id="rId1"/>
  </sheets>
  <definedNames>
    <definedName name="_xlnm._FilterDatabase" localSheetId="0" hidden="1">'합계 (7)'!$A$1:$AM$1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BO34" i="412" l="1"/>
  <c r="BN16" i="412"/>
  <c r="BO16" i="412"/>
  <c r="BN17" i="412"/>
  <c r="BO17" i="412" s="1"/>
  <c r="BN18" i="412"/>
  <c r="BO18" i="412"/>
  <c r="BN19" i="412"/>
  <c r="BO19" i="412"/>
  <c r="BN20" i="412"/>
  <c r="BO20" i="412"/>
  <c r="BN21" i="412"/>
  <c r="BO21" i="412" s="1"/>
  <c r="BN22" i="412"/>
  <c r="BO22" i="412"/>
  <c r="BN23" i="412"/>
  <c r="BO23" i="412"/>
  <c r="BN24" i="412"/>
  <c r="BO24" i="412"/>
  <c r="BN25" i="412"/>
  <c r="BO25" i="412" s="1"/>
  <c r="BN26" i="412"/>
  <c r="BO26" i="412"/>
  <c r="BN27" i="412"/>
  <c r="BO27" i="412"/>
  <c r="BN28" i="412"/>
  <c r="BO28" i="412"/>
  <c r="BN29" i="412"/>
  <c r="BO29" i="412" s="1"/>
  <c r="BN30" i="412"/>
  <c r="BO30" i="412"/>
  <c r="BN31" i="412"/>
  <c r="BO31" i="412"/>
  <c r="BN32" i="412"/>
  <c r="BO32" i="412"/>
  <c r="BN33" i="412"/>
  <c r="BO33" i="412" s="1"/>
  <c r="BN15" i="412"/>
  <c r="BO15" i="412" s="1"/>
  <c r="BM34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2" i="412"/>
  <c r="BO2" i="412" l="1"/>
</calcChain>
</file>

<file path=xl/sharedStrings.xml><?xml version="1.0" encoding="utf-8"?>
<sst xmlns="http://schemas.openxmlformats.org/spreadsheetml/2006/main" count="293" uniqueCount="119">
  <si>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</si>
  <si>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</si>
  <si>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</si>
  <si>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</si>
  <si>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</si>
  <si>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</si>
  <si>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</si>
  <si>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</si>
  <si>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</si>
  <si>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</si>
  <si>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</si>
  <si>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합계</t>
  </si>
  <si>
    <t>앱마켓수수료</t>
  </si>
  <si>
    <t>2022.05.02</t>
  </si>
  <si>
    <t>별빛 아래 우리</t>
  </si>
  <si>
    <t>스토리위즈_만화</t>
  </si>
  <si>
    <t>건일</t>
  </si>
  <si>
    <t>가출천사 육성계약</t>
  </si>
  <si>
    <t>Bae.C, 조우</t>
  </si>
  <si>
    <t>악역이지만, 남주는 꼬시지 않아요</t>
  </si>
  <si>
    <t>kuri</t>
  </si>
  <si>
    <t>최애에게 들켜버렸다</t>
  </si>
  <si>
    <t>Lv</t>
  </si>
  <si>
    <t>계약연애, 오늘부터 1일</t>
  </si>
  <si>
    <t>원기공장</t>
  </si>
  <si>
    <t>2019.03.11</t>
  </si>
  <si>
    <t>마스코마스코 [독점]</t>
  </si>
  <si>
    <t>남정훈</t>
  </si>
  <si>
    <t>2021.10.25</t>
  </si>
  <si>
    <t>개천고 세계편</t>
  </si>
  <si>
    <t>채준</t>
  </si>
  <si>
    <t>공주전쟁</t>
  </si>
  <si>
    <t>Luojie</t>
  </si>
  <si>
    <t>2020.07.13</t>
  </si>
  <si>
    <t>폐하, 옥체 보존하세요!</t>
  </si>
  <si>
    <t>IvyeqianheXyouzhijiaozi</t>
  </si>
  <si>
    <t>커피여우 김삼월</t>
  </si>
  <si>
    <t>A.Noa, RK Studio</t>
  </si>
  <si>
    <t>심연의 눈</t>
  </si>
  <si>
    <t>M.C.K.</t>
  </si>
  <si>
    <t>2022.07.28</t>
  </si>
  <si>
    <t>2022.07.27</t>
  </si>
  <si>
    <t>2022.07.29</t>
  </si>
  <si>
    <t>로맨틱 시그널</t>
  </si>
  <si>
    <t>Bless+cangshukou</t>
  </si>
  <si>
    <t>2020.11.16</t>
  </si>
  <si>
    <t>백스테이지 키스신</t>
  </si>
  <si>
    <t>수정과</t>
  </si>
  <si>
    <t>2019.12.07</t>
  </si>
  <si>
    <t>2022.07.09</t>
  </si>
  <si>
    <t>N스토어(PC)</t>
    <phoneticPr fontId="20" type="noConversion"/>
  </si>
  <si>
    <t>구름의 연인</t>
  </si>
  <si>
    <t>웹티,올코</t>
  </si>
  <si>
    <t>2022.04.02</t>
  </si>
  <si>
    <t>PC 뷰어(PC)</t>
    <phoneticPr fontId="20" type="noConversion"/>
  </si>
  <si>
    <t>바람의 전설</t>
  </si>
  <si>
    <t>성준(聖俊)</t>
  </si>
  <si>
    <t>2019.06.08</t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</si>
  <si>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</si>
  <si>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</si>
  <si>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</si>
  <si>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</si>
  <si>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</si>
  <si>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</si>
  <si>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</si>
  <si>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</si>
  <si>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</si>
  <si>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</si>
  <si>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</si>
  <si>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</si>
  <si>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</si>
  <si>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</si>
  <si>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</si>
  <si>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</si>
  <si>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</si>
  <si>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</si>
  <si>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</si>
  <si>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</si>
  <si>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</si>
  <si>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</si>
  <si>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</si>
  <si>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</si>
  <si>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</si>
  <si>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</si>
  <si>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</si>
  <si>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</si>
  <si>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</si>
  <si>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</si>
  <si>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</si>
  <si>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</si>
  <si>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</si>
  <si>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</si>
  <si>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</si>
  <si>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</si>
  <si>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</si>
  <si>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</si>
  <si>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</si>
  <si>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</si>
  <si>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</si>
  <si>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</si>
  <si>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</si>
  <si>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</si>
  <si>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</si>
  <si>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</si>
  <si>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</si>
  <si>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</si>
  <si>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</si>
  <si>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</si>
  <si>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</si>
  <si>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</si>
  <si>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</si>
  <si>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</si>
  <si>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</si>
  <si>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</si>
  <si>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</si>
  <si>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</si>
  <si>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</si>
  <si>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출판사</t>
    <phoneticPr fontId="22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</si>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</sst>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41" fontId="24" fillId="34" borderId="0" xfId="42" applyFont="1" applyFill="1">
      <alignment vertical="center"/>
    </xf>
    <xf numFmtId="0" fontId="25" fillId="35" borderId="10" xfId="0" applyFont="1" applyFill="1" applyBorder="1" applyAlignment="1">
      <alignment vertical="center"/>
    </xf>
    <xf numFmtId="0" fontId="26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29"/>
  <sheetViews>
    <sheetView tabSelected="1" topLeftCell="E1" zoomScaleNormal="100" workbookViewId="0">
      <selection activeCell="H5" sqref="H5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3" bestFit="1" customWidth="1"/>
    <col min="67" max="67" width="13.3984375" style="13" customWidth="1"/>
  </cols>
  <sheetData>
    <row r="1" spans="1:69" ht="27" customHeight="1" x14ac:dyDescent="0.4">
      <c r="A1" s="2" t="s">
        <v>59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60</v>
      </c>
      <c r="I1" s="14" t="s">
        <v>6</v>
      </c>
      <c r="J1" s="12" t="s">
        <v>61</v>
      </c>
      <c r="K1" s="12" t="s">
        <v>62</v>
      </c>
      <c r="L1" s="12" t="s">
        <v>63</v>
      </c>
      <c r="M1" s="12" t="s">
        <v>64</v>
      </c>
      <c r="N1" s="12" t="s">
        <v>65</v>
      </c>
      <c r="O1" s="12" t="s">
        <v>66</v>
      </c>
      <c r="P1" s="12" t="s">
        <v>67</v>
      </c>
      <c r="Q1" s="12" t="s">
        <v>68</v>
      </c>
      <c r="R1" s="12" t="s">
        <v>69</v>
      </c>
      <c r="S1" s="12" t="s">
        <v>70</v>
      </c>
      <c r="T1" s="12" t="s">
        <v>71</v>
      </c>
      <c r="U1" s="12" t="s">
        <v>72</v>
      </c>
      <c r="V1" s="12" t="s">
        <v>73</v>
      </c>
      <c r="W1" s="12" t="s">
        <v>74</v>
      </c>
      <c r="X1" s="12" t="s">
        <v>75</v>
      </c>
      <c r="Y1" s="12" t="s">
        <v>76</v>
      </c>
      <c r="Z1" s="12" t="s">
        <v>77</v>
      </c>
      <c r="AA1" s="12" t="s">
        <v>78</v>
      </c>
      <c r="AB1" s="12" t="s">
        <v>79</v>
      </c>
      <c r="AC1" s="12" t="s">
        <v>80</v>
      </c>
      <c r="AD1" s="12" t="s">
        <v>81</v>
      </c>
      <c r="AE1" s="12" t="s">
        <v>82</v>
      </c>
      <c r="AF1" s="12" t="s">
        <v>83</v>
      </c>
      <c r="AG1" s="12" t="s">
        <v>84</v>
      </c>
      <c r="AH1" s="12" t="s">
        <v>85</v>
      </c>
      <c r="AI1" s="12" t="s">
        <v>86</v>
      </c>
      <c r="AJ1" s="12" t="s">
        <v>87</v>
      </c>
      <c r="AK1" s="12" t="s">
        <v>88</v>
      </c>
      <c r="AL1" s="12" t="s">
        <v>89</v>
      </c>
      <c r="AM1" s="12" t="s">
        <v>90</v>
      </c>
      <c r="AN1" s="12" t="s">
        <v>91</v>
      </c>
      <c r="AO1" s="12" t="s">
        <v>92</v>
      </c>
      <c r="AP1" s="12" t="s">
        <v>93</v>
      </c>
      <c r="AQ1" s="12" t="s">
        <v>94</v>
      </c>
      <c r="AR1" s="12" t="s">
        <v>95</v>
      </c>
      <c r="AS1" s="12" t="s">
        <v>96</v>
      </c>
      <c r="AT1" s="12" t="s">
        <v>97</v>
      </c>
      <c r="AU1" s="12" t="s">
        <v>98</v>
      </c>
      <c r="AV1" s="12" t="s">
        <v>99</v>
      </c>
      <c r="AW1" s="12" t="s">
        <v>100</v>
      </c>
      <c r="AX1" s="12" t="s">
        <v>101</v>
      </c>
      <c r="AY1" s="12" t="s">
        <v>102</v>
      </c>
      <c r="AZ1" s="12" t="s">
        <v>103</v>
      </c>
      <c r="BA1" s="12" t="s">
        <v>104</v>
      </c>
      <c r="BB1" s="12" t="s">
        <v>105</v>
      </c>
      <c r="BC1" s="12" t="s">
        <v>106</v>
      </c>
      <c r="BD1" s="12" t="s">
        <v>107</v>
      </c>
      <c r="BE1" s="12" t="s">
        <v>108</v>
      </c>
      <c r="BF1" s="12" t="s">
        <v>109</v>
      </c>
      <c r="BG1" s="12" t="s">
        <v>110</v>
      </c>
      <c r="BH1" s="12" t="s">
        <v>111</v>
      </c>
      <c r="BI1" s="12" t="s">
        <v>112</v>
      </c>
      <c r="BJ1" s="12" t="s">
        <v>113</v>
      </c>
      <c r="BK1" s="12" t="s">
        <v>114</v>
      </c>
      <c r="BL1" s="12" t="s">
        <v>12</v>
      </c>
      <c r="BM1" s="12" t="s">
        <v>11</v>
      </c>
      <c r="BN1" s="12" t="s">
        <v>115</v>
      </c>
      <c r="BO1" s="12" t="s">
        <v>116</v>
      </c>
      <c r="BP1" s="18" t="s">
        <v>117</v>
      </c>
      <c r="BQ1" s="19" t="s">
        <v>118</v>
      </c>
    </row>
    <row r="2" spans="1:69" x14ac:dyDescent="0.4">
      <c r="A2" s="5" t="s">
        <v>50</v>
      </c>
      <c r="B2" s="5" t="s">
        <v>14</v>
      </c>
      <c r="C2" s="5">
        <v>435954</v>
      </c>
      <c r="D2" s="6"/>
      <c r="E2" s="5" t="s">
        <v>15</v>
      </c>
      <c r="F2" s="5" t="s">
        <v>16</v>
      </c>
      <c r="G2" s="5" t="s">
        <v>10</v>
      </c>
      <c r="H2" s="7" t="s">
        <v>7</v>
      </c>
      <c r="I2" s="7" t="s">
        <v>40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</v>
      </c>
      <c r="AC2" s="7">
        <v>0</v>
      </c>
      <c r="AD2" s="7">
        <v>200</v>
      </c>
      <c r="AE2" s="7">
        <v>8</v>
      </c>
      <c r="AF2" s="7">
        <v>0</v>
      </c>
      <c r="AG2" s="8">
        <v>3200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3400</v>
      </c>
      <c r="BN2" s="15">
        <f t="shared" ref="BN2:BN14" si="0">BM2-BL2</f>
        <v>3400</v>
      </c>
      <c r="BO2" s="16">
        <f t="shared" ref="BO2:BO14" si="1">BN2*70%</f>
        <v>2380</v>
      </c>
    </row>
    <row r="3" spans="1:69" x14ac:dyDescent="0.4">
      <c r="A3" s="5" t="s">
        <v>50</v>
      </c>
      <c r="B3" s="5" t="s">
        <v>36</v>
      </c>
      <c r="C3" s="5">
        <v>464964</v>
      </c>
      <c r="D3" s="6"/>
      <c r="E3" s="5" t="s">
        <v>15</v>
      </c>
      <c r="F3" s="5" t="s">
        <v>37</v>
      </c>
      <c r="G3" s="5" t="s">
        <v>10</v>
      </c>
      <c r="H3" s="7" t="s">
        <v>7</v>
      </c>
      <c r="I3" s="7" t="s">
        <v>41</v>
      </c>
      <c r="J3" s="7">
        <v>0</v>
      </c>
      <c r="K3" s="7">
        <v>29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6</v>
      </c>
      <c r="AC3" s="7">
        <v>100</v>
      </c>
      <c r="AD3" s="8">
        <v>1100</v>
      </c>
      <c r="AE3" s="7">
        <v>2</v>
      </c>
      <c r="AF3" s="8">
        <v>1000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2200</v>
      </c>
      <c r="BN3" s="15">
        <f t="shared" si="0"/>
        <v>2200</v>
      </c>
      <c r="BO3" s="16">
        <f t="shared" si="1"/>
        <v>1540</v>
      </c>
    </row>
    <row r="4" spans="1:69" x14ac:dyDescent="0.4">
      <c r="A4" s="5" t="s">
        <v>50</v>
      </c>
      <c r="B4" s="5" t="s">
        <v>19</v>
      </c>
      <c r="C4" s="5">
        <v>465461</v>
      </c>
      <c r="D4" s="6"/>
      <c r="E4" s="5" t="s">
        <v>15</v>
      </c>
      <c r="F4" s="5" t="s">
        <v>20</v>
      </c>
      <c r="G4" s="5" t="s">
        <v>10</v>
      </c>
      <c r="H4" s="7" t="s">
        <v>7</v>
      </c>
      <c r="I4" s="7" t="s">
        <v>42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4</v>
      </c>
      <c r="AC4" s="7">
        <v>800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1">
        <v>800</v>
      </c>
      <c r="BN4" s="15">
        <f t="shared" si="0"/>
        <v>800</v>
      </c>
      <c r="BO4" s="16">
        <f t="shared" si="1"/>
        <v>560</v>
      </c>
    </row>
    <row r="5" spans="1:69" x14ac:dyDescent="0.4">
      <c r="A5" s="5" t="s">
        <v>50</v>
      </c>
      <c r="B5" s="5" t="s">
        <v>23</v>
      </c>
      <c r="C5" s="5">
        <v>351846</v>
      </c>
      <c r="D5" s="6"/>
      <c r="E5" s="5" t="s">
        <v>15</v>
      </c>
      <c r="F5" s="5" t="s">
        <v>24</v>
      </c>
      <c r="G5" s="5" t="s">
        <v>10</v>
      </c>
      <c r="H5" s="7" t="s">
        <v>7</v>
      </c>
      <c r="I5" s="7" t="s">
        <v>25</v>
      </c>
      <c r="J5" s="7">
        <v>0</v>
      </c>
      <c r="K5" s="7">
        <v>12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100</v>
      </c>
      <c r="AD5" s="7">
        <v>0</v>
      </c>
      <c r="AE5" s="7">
        <v>2</v>
      </c>
      <c r="AF5" s="7">
        <v>400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1</v>
      </c>
      <c r="AO5" s="7">
        <v>100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600</v>
      </c>
      <c r="BN5" s="15">
        <f t="shared" si="0"/>
        <v>600</v>
      </c>
      <c r="BO5" s="16">
        <f t="shared" si="1"/>
        <v>420</v>
      </c>
    </row>
    <row r="6" spans="1:69" x14ac:dyDescent="0.4">
      <c r="A6" s="5" t="s">
        <v>50</v>
      </c>
      <c r="B6" s="5" t="s">
        <v>17</v>
      </c>
      <c r="C6" s="5">
        <v>465463</v>
      </c>
      <c r="D6" s="6"/>
      <c r="E6" s="5" t="s">
        <v>15</v>
      </c>
      <c r="F6" s="5" t="s">
        <v>18</v>
      </c>
      <c r="G6" s="5" t="s">
        <v>10</v>
      </c>
      <c r="H6" s="7" t="s">
        <v>9</v>
      </c>
      <c r="I6" s="7" t="s">
        <v>41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</v>
      </c>
      <c r="AC6" s="7">
        <v>400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400</v>
      </c>
      <c r="BN6" s="15">
        <f t="shared" si="0"/>
        <v>400</v>
      </c>
      <c r="BO6" s="16">
        <f t="shared" si="1"/>
        <v>280</v>
      </c>
    </row>
    <row r="7" spans="1:69" ht="19.2" x14ac:dyDescent="0.4">
      <c r="A7" s="5" t="s">
        <v>50</v>
      </c>
      <c r="B7" s="5" t="s">
        <v>43</v>
      </c>
      <c r="C7" s="5">
        <v>414835</v>
      </c>
      <c r="D7" s="6"/>
      <c r="E7" s="5" t="s">
        <v>15</v>
      </c>
      <c r="F7" s="5" t="s">
        <v>44</v>
      </c>
      <c r="G7" s="5" t="s">
        <v>10</v>
      </c>
      <c r="H7" s="7" t="s">
        <v>7</v>
      </c>
      <c r="I7" s="7" t="s">
        <v>45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3</v>
      </c>
      <c r="AC7" s="7">
        <v>300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300</v>
      </c>
      <c r="BN7" s="15">
        <f t="shared" si="0"/>
        <v>300</v>
      </c>
      <c r="BO7" s="16">
        <f t="shared" si="1"/>
        <v>210</v>
      </c>
    </row>
    <row r="8" spans="1:69" x14ac:dyDescent="0.4">
      <c r="A8" s="5" t="s">
        <v>50</v>
      </c>
      <c r="B8" s="5" t="s">
        <v>46</v>
      </c>
      <c r="C8" s="5">
        <v>383201</v>
      </c>
      <c r="D8" s="6"/>
      <c r="E8" s="5" t="s">
        <v>15</v>
      </c>
      <c r="F8" s="5" t="s">
        <v>47</v>
      </c>
      <c r="G8" s="5" t="s">
        <v>10</v>
      </c>
      <c r="H8" s="7" t="s">
        <v>7</v>
      </c>
      <c r="I8" s="7" t="s">
        <v>48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</v>
      </c>
      <c r="AC8" s="7">
        <v>200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200</v>
      </c>
      <c r="BN8" s="15">
        <f t="shared" si="0"/>
        <v>200</v>
      </c>
      <c r="BO8" s="16">
        <f t="shared" si="1"/>
        <v>140</v>
      </c>
    </row>
    <row r="9" spans="1:69" x14ac:dyDescent="0.4">
      <c r="A9" s="5" t="s">
        <v>50</v>
      </c>
      <c r="B9" s="5" t="s">
        <v>31</v>
      </c>
      <c r="C9" s="5">
        <v>423525</v>
      </c>
      <c r="D9" s="6"/>
      <c r="E9" s="5" t="s">
        <v>15</v>
      </c>
      <c r="F9" s="5" t="s">
        <v>32</v>
      </c>
      <c r="G9" s="5" t="s">
        <v>10</v>
      </c>
      <c r="H9" s="7" t="s">
        <v>7</v>
      </c>
      <c r="I9" s="7" t="s">
        <v>42</v>
      </c>
      <c r="J9" s="7">
        <v>0</v>
      </c>
      <c r="K9" s="7">
        <v>14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</v>
      </c>
      <c r="AC9" s="7">
        <v>200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200</v>
      </c>
      <c r="BN9" s="15">
        <f t="shared" si="0"/>
        <v>200</v>
      </c>
      <c r="BO9" s="16">
        <f t="shared" si="1"/>
        <v>140</v>
      </c>
    </row>
    <row r="10" spans="1:69" x14ac:dyDescent="0.4">
      <c r="A10" s="5" t="s">
        <v>50</v>
      </c>
      <c r="B10" s="5" t="s">
        <v>29</v>
      </c>
      <c r="C10" s="5">
        <v>467630</v>
      </c>
      <c r="D10" s="6"/>
      <c r="E10" s="5" t="s">
        <v>15</v>
      </c>
      <c r="F10" s="5" t="s">
        <v>30</v>
      </c>
      <c r="G10" s="5" t="s">
        <v>10</v>
      </c>
      <c r="H10" s="7" t="s">
        <v>8</v>
      </c>
      <c r="I10" s="7" t="s">
        <v>13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</v>
      </c>
      <c r="AC10" s="7">
        <v>0</v>
      </c>
      <c r="AD10" s="7">
        <v>200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1">
        <v>200</v>
      </c>
      <c r="BN10" s="15">
        <f t="shared" si="0"/>
        <v>200</v>
      </c>
      <c r="BO10" s="16">
        <f t="shared" si="1"/>
        <v>140</v>
      </c>
    </row>
    <row r="11" spans="1:69" ht="19.2" x14ac:dyDescent="0.4">
      <c r="A11" s="5" t="s">
        <v>50</v>
      </c>
      <c r="B11" s="5" t="s">
        <v>34</v>
      </c>
      <c r="C11" s="5">
        <v>380491</v>
      </c>
      <c r="D11" s="6"/>
      <c r="E11" s="5" t="s">
        <v>15</v>
      </c>
      <c r="F11" s="5" t="s">
        <v>35</v>
      </c>
      <c r="G11" s="5" t="s">
        <v>10</v>
      </c>
      <c r="H11" s="7" t="s">
        <v>7</v>
      </c>
      <c r="I11" s="7" t="s">
        <v>33</v>
      </c>
      <c r="J11" s="7">
        <v>0</v>
      </c>
      <c r="K11" s="7">
        <v>18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1">
        <v>0</v>
      </c>
      <c r="BN11" s="15">
        <f t="shared" si="0"/>
        <v>0</v>
      </c>
      <c r="BO11" s="16">
        <f t="shared" si="1"/>
        <v>0</v>
      </c>
    </row>
    <row r="12" spans="1:69" x14ac:dyDescent="0.4">
      <c r="A12" s="5" t="s">
        <v>50</v>
      </c>
      <c r="B12" s="5" t="s">
        <v>38</v>
      </c>
      <c r="C12" s="5">
        <v>461521</v>
      </c>
      <c r="D12" s="6"/>
      <c r="E12" s="5" t="s">
        <v>15</v>
      </c>
      <c r="F12" s="5" t="s">
        <v>39</v>
      </c>
      <c r="G12" s="5" t="s">
        <v>10</v>
      </c>
      <c r="H12" s="7" t="s">
        <v>8</v>
      </c>
      <c r="I12" s="7" t="s">
        <v>49</v>
      </c>
      <c r="J12" s="7">
        <v>0</v>
      </c>
      <c r="K12" s="7">
        <v>16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0</v>
      </c>
      <c r="BN12" s="15">
        <f t="shared" si="0"/>
        <v>0</v>
      </c>
      <c r="BO12" s="16">
        <f t="shared" si="1"/>
        <v>0</v>
      </c>
    </row>
    <row r="13" spans="1:69" x14ac:dyDescent="0.4">
      <c r="A13" s="5" t="s">
        <v>50</v>
      </c>
      <c r="B13" s="5" t="s">
        <v>26</v>
      </c>
      <c r="C13" s="5">
        <v>448747</v>
      </c>
      <c r="D13" s="6"/>
      <c r="E13" s="5" t="s">
        <v>15</v>
      </c>
      <c r="F13" s="5" t="s">
        <v>27</v>
      </c>
      <c r="G13" s="5" t="s">
        <v>10</v>
      </c>
      <c r="H13" s="7" t="s">
        <v>7</v>
      </c>
      <c r="I13" s="7" t="s">
        <v>28</v>
      </c>
      <c r="J13" s="7">
        <v>0</v>
      </c>
      <c r="K13" s="7">
        <v>75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1">
        <v>0</v>
      </c>
      <c r="BN13" s="15">
        <f t="shared" si="0"/>
        <v>0</v>
      </c>
      <c r="BO13" s="16">
        <f t="shared" si="1"/>
        <v>0</v>
      </c>
    </row>
    <row r="14" spans="1:69" x14ac:dyDescent="0.4">
      <c r="A14" s="5" t="s">
        <v>50</v>
      </c>
      <c r="B14" s="5" t="s">
        <v>21</v>
      </c>
      <c r="C14" s="5">
        <v>432749</v>
      </c>
      <c r="D14" s="6"/>
      <c r="E14" s="5" t="s">
        <v>15</v>
      </c>
      <c r="F14" s="5" t="s">
        <v>22</v>
      </c>
      <c r="G14" s="5" t="s">
        <v>10</v>
      </c>
      <c r="H14" s="7" t="s">
        <v>7</v>
      </c>
      <c r="I14" s="7" t="s">
        <v>40</v>
      </c>
      <c r="J14" s="7">
        <v>0</v>
      </c>
      <c r="K14" s="7">
        <v>71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0</v>
      </c>
      <c r="BN14" s="15">
        <f t="shared" si="0"/>
        <v>0</v>
      </c>
      <c r="BO14" s="16">
        <f t="shared" si="1"/>
        <v>0</v>
      </c>
    </row>
    <row r="15" spans="1:69" x14ac:dyDescent="0.4">
      <c r="A15" s="5" t="s">
        <v>54</v>
      </c>
      <c r="B15" s="5" t="s">
        <v>17</v>
      </c>
      <c r="C15" s="5">
        <v>465463</v>
      </c>
      <c r="D15" s="6"/>
      <c r="E15" s="5" t="s">
        <v>15</v>
      </c>
      <c r="F15" s="5" t="s">
        <v>18</v>
      </c>
      <c r="G15" s="5" t="s">
        <v>10</v>
      </c>
      <c r="H15" s="7" t="s">
        <v>9</v>
      </c>
      <c r="I15" s="7" t="s">
        <v>41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40</v>
      </c>
      <c r="AC15" s="8">
        <v>7800</v>
      </c>
      <c r="AD15" s="7">
        <v>200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8000</v>
      </c>
      <c r="BN15" s="15">
        <f t="shared" ref="BN15" si="2">BM15-BL15</f>
        <v>8000</v>
      </c>
      <c r="BO15" s="16">
        <f t="shared" ref="BO15" si="3">BN15*70%</f>
        <v>5600</v>
      </c>
    </row>
    <row r="16" spans="1:69" x14ac:dyDescent="0.4">
      <c r="A16" s="5" t="s">
        <v>54</v>
      </c>
      <c r="B16" s="5" t="s">
        <v>19</v>
      </c>
      <c r="C16" s="5">
        <v>465461</v>
      </c>
      <c r="D16" s="6"/>
      <c r="E16" s="5" t="s">
        <v>15</v>
      </c>
      <c r="F16" s="5" t="s">
        <v>20</v>
      </c>
      <c r="G16" s="5" t="s">
        <v>10</v>
      </c>
      <c r="H16" s="7" t="s">
        <v>7</v>
      </c>
      <c r="I16" s="7" t="s">
        <v>42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28</v>
      </c>
      <c r="AC16" s="8">
        <v>5500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12</v>
      </c>
      <c r="AO16" s="8">
        <v>2300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7800</v>
      </c>
      <c r="BN16" s="15">
        <f t="shared" ref="BN16:BN33" si="4">BM16-BL16</f>
        <v>7800</v>
      </c>
      <c r="BO16" s="16">
        <f t="shared" ref="BO16:BO33" si="5">BN16*70%</f>
        <v>5460</v>
      </c>
    </row>
    <row r="17" spans="1:67" x14ac:dyDescent="0.4">
      <c r="A17" s="5" t="s">
        <v>54</v>
      </c>
      <c r="B17" s="5" t="s">
        <v>46</v>
      </c>
      <c r="C17" s="5">
        <v>383201</v>
      </c>
      <c r="D17" s="6"/>
      <c r="E17" s="5" t="s">
        <v>15</v>
      </c>
      <c r="F17" s="5" t="s">
        <v>47</v>
      </c>
      <c r="G17" s="5" t="s">
        <v>10</v>
      </c>
      <c r="H17" s="7" t="s">
        <v>7</v>
      </c>
      <c r="I17" s="7" t="s">
        <v>48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12</v>
      </c>
      <c r="AC17" s="8">
        <v>2400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2400</v>
      </c>
      <c r="BN17" s="15">
        <f t="shared" si="4"/>
        <v>2400</v>
      </c>
      <c r="BO17" s="16">
        <f t="shared" si="5"/>
        <v>1680</v>
      </c>
    </row>
    <row r="18" spans="1:67" x14ac:dyDescent="0.4">
      <c r="A18" s="5" t="s">
        <v>54</v>
      </c>
      <c r="B18" s="5" t="s">
        <v>51</v>
      </c>
      <c r="C18" s="5">
        <v>463455</v>
      </c>
      <c r="D18" s="6"/>
      <c r="E18" s="5" t="s">
        <v>15</v>
      </c>
      <c r="F18" s="5" t="s">
        <v>52</v>
      </c>
      <c r="G18" s="5" t="s">
        <v>10</v>
      </c>
      <c r="H18" s="7" t="s">
        <v>7</v>
      </c>
      <c r="I18" s="7" t="s">
        <v>53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11</v>
      </c>
      <c r="AO18" s="8">
        <v>2200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2200</v>
      </c>
      <c r="BN18" s="15">
        <f t="shared" si="4"/>
        <v>2200</v>
      </c>
      <c r="BO18" s="16">
        <f t="shared" si="5"/>
        <v>1540</v>
      </c>
    </row>
    <row r="19" spans="1:67" x14ac:dyDescent="0.4">
      <c r="A19" s="5" t="s">
        <v>54</v>
      </c>
      <c r="B19" s="5" t="s">
        <v>36</v>
      </c>
      <c r="C19" s="5">
        <v>464964</v>
      </c>
      <c r="D19" s="6"/>
      <c r="E19" s="5" t="s">
        <v>15</v>
      </c>
      <c r="F19" s="5" t="s">
        <v>37</v>
      </c>
      <c r="G19" s="5" t="s">
        <v>10</v>
      </c>
      <c r="H19" s="7" t="s">
        <v>7</v>
      </c>
      <c r="I19" s="7" t="s">
        <v>41</v>
      </c>
      <c r="J19" s="7">
        <v>0</v>
      </c>
      <c r="K19" s="7">
        <v>4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2</v>
      </c>
      <c r="AF19" s="8">
        <v>1000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1000</v>
      </c>
      <c r="BN19" s="15">
        <f t="shared" si="4"/>
        <v>1000</v>
      </c>
      <c r="BO19" s="16">
        <f t="shared" si="5"/>
        <v>700</v>
      </c>
    </row>
    <row r="20" spans="1:67" x14ac:dyDescent="0.4">
      <c r="A20" s="5" t="s">
        <v>54</v>
      </c>
      <c r="B20" s="5" t="s">
        <v>31</v>
      </c>
      <c r="C20" s="5">
        <v>423525</v>
      </c>
      <c r="D20" s="6"/>
      <c r="E20" s="5" t="s">
        <v>15</v>
      </c>
      <c r="F20" s="5" t="s">
        <v>32</v>
      </c>
      <c r="G20" s="5" t="s">
        <v>10</v>
      </c>
      <c r="H20" s="7" t="s">
        <v>7</v>
      </c>
      <c r="I20" s="7" t="s">
        <v>42</v>
      </c>
      <c r="J20" s="7">
        <v>0</v>
      </c>
      <c r="K20" s="7">
        <v>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</v>
      </c>
      <c r="AC20" s="8">
        <v>1000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1000</v>
      </c>
      <c r="BN20" s="15">
        <f t="shared" si="4"/>
        <v>1000</v>
      </c>
      <c r="BO20" s="16">
        <f t="shared" si="5"/>
        <v>700</v>
      </c>
    </row>
    <row r="21" spans="1:67" ht="19.2" x14ac:dyDescent="0.4">
      <c r="A21" s="5" t="s">
        <v>54</v>
      </c>
      <c r="B21" s="5" t="s">
        <v>43</v>
      </c>
      <c r="C21" s="5">
        <v>414835</v>
      </c>
      <c r="D21" s="6"/>
      <c r="E21" s="5" t="s">
        <v>15</v>
      </c>
      <c r="F21" s="5" t="s">
        <v>44</v>
      </c>
      <c r="G21" s="5" t="s">
        <v>10</v>
      </c>
      <c r="H21" s="7" t="s">
        <v>7</v>
      </c>
      <c r="I21" s="7" t="s">
        <v>45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100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100</v>
      </c>
      <c r="BN21" s="15">
        <f t="shared" si="4"/>
        <v>100</v>
      </c>
      <c r="BO21" s="16">
        <f t="shared" si="5"/>
        <v>70</v>
      </c>
    </row>
    <row r="22" spans="1:67" ht="19.2" x14ac:dyDescent="0.4">
      <c r="A22" s="5" t="s">
        <v>54</v>
      </c>
      <c r="B22" s="5" t="s">
        <v>34</v>
      </c>
      <c r="C22" s="5">
        <v>380491</v>
      </c>
      <c r="D22" s="6"/>
      <c r="E22" s="5" t="s">
        <v>15</v>
      </c>
      <c r="F22" s="5" t="s">
        <v>35</v>
      </c>
      <c r="G22" s="5" t="s">
        <v>10</v>
      </c>
      <c r="H22" s="7" t="s">
        <v>7</v>
      </c>
      <c r="I22" s="7" t="s">
        <v>33</v>
      </c>
      <c r="J22" s="7">
        <v>0</v>
      </c>
      <c r="K22" s="7">
        <v>5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0</v>
      </c>
      <c r="BN22" s="15">
        <f t="shared" si="4"/>
        <v>0</v>
      </c>
      <c r="BO22" s="16">
        <f t="shared" si="5"/>
        <v>0</v>
      </c>
    </row>
    <row r="23" spans="1:67" x14ac:dyDescent="0.4">
      <c r="A23" s="5" t="s">
        <v>54</v>
      </c>
      <c r="B23" s="5" t="s">
        <v>23</v>
      </c>
      <c r="C23" s="5">
        <v>351846</v>
      </c>
      <c r="D23" s="6"/>
      <c r="E23" s="5" t="s">
        <v>15</v>
      </c>
      <c r="F23" s="5" t="s">
        <v>24</v>
      </c>
      <c r="G23" s="5" t="s">
        <v>10</v>
      </c>
      <c r="H23" s="7" t="s">
        <v>7</v>
      </c>
      <c r="I23" s="7" t="s">
        <v>25</v>
      </c>
      <c r="J23" s="7">
        <v>0</v>
      </c>
      <c r="K23" s="7">
        <v>8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0</v>
      </c>
      <c r="BN23" s="15">
        <f t="shared" si="4"/>
        <v>0</v>
      </c>
      <c r="BO23" s="16">
        <f t="shared" si="5"/>
        <v>0</v>
      </c>
    </row>
    <row r="24" spans="1:67" x14ac:dyDescent="0.4">
      <c r="A24" s="5" t="s">
        <v>54</v>
      </c>
      <c r="B24" s="5" t="s">
        <v>38</v>
      </c>
      <c r="C24" s="5">
        <v>461521</v>
      </c>
      <c r="D24" s="6"/>
      <c r="E24" s="5" t="s">
        <v>15</v>
      </c>
      <c r="F24" s="5" t="s">
        <v>39</v>
      </c>
      <c r="G24" s="5" t="s">
        <v>10</v>
      </c>
      <c r="H24" s="7" t="s">
        <v>8</v>
      </c>
      <c r="I24" s="7" t="s">
        <v>49</v>
      </c>
      <c r="J24" s="7">
        <v>0</v>
      </c>
      <c r="K24" s="7">
        <v>1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0</v>
      </c>
      <c r="BN24" s="15">
        <f t="shared" si="4"/>
        <v>0</v>
      </c>
      <c r="BO24" s="16">
        <f t="shared" si="5"/>
        <v>0</v>
      </c>
    </row>
    <row r="25" spans="1:67" x14ac:dyDescent="0.4">
      <c r="A25" s="5" t="s">
        <v>54</v>
      </c>
      <c r="B25" s="5" t="s">
        <v>26</v>
      </c>
      <c r="C25" s="5">
        <v>448747</v>
      </c>
      <c r="D25" s="6"/>
      <c r="E25" s="5" t="s">
        <v>15</v>
      </c>
      <c r="F25" s="5" t="s">
        <v>27</v>
      </c>
      <c r="G25" s="5" t="s">
        <v>10</v>
      </c>
      <c r="H25" s="7" t="s">
        <v>7</v>
      </c>
      <c r="I25" s="7" t="s">
        <v>28</v>
      </c>
      <c r="J25" s="7">
        <v>0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0</v>
      </c>
      <c r="BN25" s="15">
        <f t="shared" si="4"/>
        <v>0</v>
      </c>
      <c r="BO25" s="16">
        <f t="shared" si="5"/>
        <v>0</v>
      </c>
    </row>
    <row r="26" spans="1:67" x14ac:dyDescent="0.4">
      <c r="A26" s="5" t="s">
        <v>54</v>
      </c>
      <c r="B26" s="5" t="s">
        <v>21</v>
      </c>
      <c r="C26" s="5">
        <v>432749</v>
      </c>
      <c r="D26" s="6"/>
      <c r="E26" s="5" t="s">
        <v>15</v>
      </c>
      <c r="F26" s="5" t="s">
        <v>22</v>
      </c>
      <c r="G26" s="5" t="s">
        <v>10</v>
      </c>
      <c r="H26" s="7" t="s">
        <v>7</v>
      </c>
      <c r="I26" s="7" t="s">
        <v>40</v>
      </c>
      <c r="J26" s="7">
        <v>0</v>
      </c>
      <c r="K26" s="7">
        <v>3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0</v>
      </c>
      <c r="BN26" s="15">
        <f t="shared" si="4"/>
        <v>0</v>
      </c>
      <c r="BO26" s="16">
        <f t="shared" si="5"/>
        <v>0</v>
      </c>
    </row>
    <row r="27" spans="1:67" x14ac:dyDescent="0.4">
      <c r="A27" s="5" t="s">
        <v>58</v>
      </c>
      <c r="B27" s="5" t="s">
        <v>36</v>
      </c>
      <c r="C27" s="5">
        <v>464964</v>
      </c>
      <c r="D27" s="6"/>
      <c r="E27" s="5" t="s">
        <v>15</v>
      </c>
      <c r="F27" s="5" t="s">
        <v>37</v>
      </c>
      <c r="G27" s="5" t="s">
        <v>10</v>
      </c>
      <c r="H27" s="7" t="s">
        <v>7</v>
      </c>
      <c r="I27" s="7" t="s">
        <v>41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19</v>
      </c>
      <c r="AC27" s="7">
        <v>0</v>
      </c>
      <c r="AD27" s="8">
        <v>3800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3800</v>
      </c>
      <c r="BN27" s="15">
        <f t="shared" si="4"/>
        <v>3800</v>
      </c>
      <c r="BO27" s="16">
        <f t="shared" si="5"/>
        <v>2660</v>
      </c>
    </row>
    <row r="28" spans="1:67" x14ac:dyDescent="0.4">
      <c r="A28" s="5" t="s">
        <v>58</v>
      </c>
      <c r="B28" s="5" t="s">
        <v>19</v>
      </c>
      <c r="C28" s="5">
        <v>465461</v>
      </c>
      <c r="D28" s="6"/>
      <c r="E28" s="5" t="s">
        <v>15</v>
      </c>
      <c r="F28" s="5" t="s">
        <v>20</v>
      </c>
      <c r="G28" s="5" t="s">
        <v>10</v>
      </c>
      <c r="H28" s="7" t="s">
        <v>7</v>
      </c>
      <c r="I28" s="7" t="s">
        <v>42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12</v>
      </c>
      <c r="AC28" s="8">
        <v>2200</v>
      </c>
      <c r="AD28" s="7">
        <v>200</v>
      </c>
      <c r="AE28" s="7">
        <v>1</v>
      </c>
      <c r="AF28" s="7">
        <v>480</v>
      </c>
      <c r="AG28" s="7">
        <v>0</v>
      </c>
      <c r="AH28" s="7">
        <v>1</v>
      </c>
      <c r="AI28" s="7">
        <v>240</v>
      </c>
      <c r="AJ28" s="7">
        <v>0</v>
      </c>
      <c r="AK28" s="7">
        <v>0</v>
      </c>
      <c r="AL28" s="7">
        <v>0</v>
      </c>
      <c r="AM28" s="7">
        <v>0</v>
      </c>
      <c r="AN28" s="7">
        <v>1</v>
      </c>
      <c r="AO28" s="7">
        <v>200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72</v>
      </c>
      <c r="BM28" s="10">
        <v>3320</v>
      </c>
      <c r="BN28" s="15">
        <f t="shared" si="4"/>
        <v>3248</v>
      </c>
      <c r="BO28" s="16">
        <f t="shared" si="5"/>
        <v>2273.6</v>
      </c>
    </row>
    <row r="29" spans="1:67" x14ac:dyDescent="0.4">
      <c r="A29" s="5" t="s">
        <v>58</v>
      </c>
      <c r="B29" s="5" t="s">
        <v>29</v>
      </c>
      <c r="C29" s="5">
        <v>467630</v>
      </c>
      <c r="D29" s="6"/>
      <c r="E29" s="5" t="s">
        <v>15</v>
      </c>
      <c r="F29" s="5" t="s">
        <v>30</v>
      </c>
      <c r="G29" s="5" t="s">
        <v>10</v>
      </c>
      <c r="H29" s="7" t="s">
        <v>8</v>
      </c>
      <c r="I29" s="7" t="s">
        <v>13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2</v>
      </c>
      <c r="AC29" s="7">
        <v>200</v>
      </c>
      <c r="AD29" s="7">
        <v>200</v>
      </c>
      <c r="AE29" s="7">
        <v>0</v>
      </c>
      <c r="AF29" s="7">
        <v>0</v>
      </c>
      <c r="AG29" s="7">
        <v>0</v>
      </c>
      <c r="AH29" s="7">
        <v>1</v>
      </c>
      <c r="AI29" s="7">
        <v>240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72</v>
      </c>
      <c r="BM29" s="11">
        <v>640</v>
      </c>
      <c r="BN29" s="15">
        <f t="shared" si="4"/>
        <v>568</v>
      </c>
      <c r="BO29" s="16">
        <f t="shared" si="5"/>
        <v>397.59999999999997</v>
      </c>
    </row>
    <row r="30" spans="1:67" x14ac:dyDescent="0.4">
      <c r="A30" s="5" t="s">
        <v>58</v>
      </c>
      <c r="B30" s="5" t="s">
        <v>21</v>
      </c>
      <c r="C30" s="5">
        <v>432749</v>
      </c>
      <c r="D30" s="6"/>
      <c r="E30" s="5" t="s">
        <v>15</v>
      </c>
      <c r="F30" s="5" t="s">
        <v>22</v>
      </c>
      <c r="G30" s="5" t="s">
        <v>10</v>
      </c>
      <c r="H30" s="7" t="s">
        <v>7</v>
      </c>
      <c r="I30" s="7" t="s">
        <v>40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2</v>
      </c>
      <c r="AC30" s="7">
        <v>400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1">
        <v>400</v>
      </c>
      <c r="BN30" s="15">
        <f t="shared" si="4"/>
        <v>400</v>
      </c>
      <c r="BO30" s="16">
        <f t="shared" si="5"/>
        <v>280</v>
      </c>
    </row>
    <row r="31" spans="1:67" x14ac:dyDescent="0.4">
      <c r="A31" s="5" t="s">
        <v>58</v>
      </c>
      <c r="B31" s="5" t="s">
        <v>55</v>
      </c>
      <c r="C31" s="5">
        <v>308339</v>
      </c>
      <c r="D31" s="6"/>
      <c r="E31" s="5" t="s">
        <v>15</v>
      </c>
      <c r="F31" s="5" t="s">
        <v>56</v>
      </c>
      <c r="G31" s="5" t="s">
        <v>10</v>
      </c>
      <c r="H31" s="7" t="s">
        <v>7</v>
      </c>
      <c r="I31" s="7" t="s">
        <v>57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</v>
      </c>
      <c r="AC31" s="7">
        <v>100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1</v>
      </c>
      <c r="BA31" s="7">
        <v>120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7.2</v>
      </c>
      <c r="BM31" s="11">
        <v>220</v>
      </c>
      <c r="BN31" s="15">
        <f t="shared" si="4"/>
        <v>212.8</v>
      </c>
      <c r="BO31" s="16">
        <f t="shared" si="5"/>
        <v>148.96</v>
      </c>
    </row>
    <row r="32" spans="1:67" x14ac:dyDescent="0.4">
      <c r="A32" s="5" t="s">
        <v>58</v>
      </c>
      <c r="B32" s="5" t="s">
        <v>14</v>
      </c>
      <c r="C32" s="5">
        <v>435954</v>
      </c>
      <c r="D32" s="6"/>
      <c r="E32" s="5" t="s">
        <v>15</v>
      </c>
      <c r="F32" s="5" t="s">
        <v>16</v>
      </c>
      <c r="G32" s="5" t="s">
        <v>10</v>
      </c>
      <c r="H32" s="7" t="s">
        <v>7</v>
      </c>
      <c r="I32" s="7" t="s">
        <v>40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</v>
      </c>
      <c r="AC32" s="7">
        <v>200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200</v>
      </c>
      <c r="BN32" s="15">
        <f t="shared" si="4"/>
        <v>200</v>
      </c>
      <c r="BO32" s="16">
        <f t="shared" si="5"/>
        <v>140</v>
      </c>
    </row>
    <row r="33" spans="1:67" x14ac:dyDescent="0.4">
      <c r="A33" s="5" t="s">
        <v>58</v>
      </c>
      <c r="B33" s="5" t="s">
        <v>23</v>
      </c>
      <c r="C33" s="5">
        <v>351846</v>
      </c>
      <c r="D33" s="6"/>
      <c r="E33" s="5" t="s">
        <v>15</v>
      </c>
      <c r="F33" s="5" t="s">
        <v>24</v>
      </c>
      <c r="G33" s="5" t="s">
        <v>10</v>
      </c>
      <c r="H33" s="7" t="s">
        <v>7</v>
      </c>
      <c r="I33" s="7" t="s">
        <v>25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0</v>
      </c>
      <c r="BN33" s="15">
        <f t="shared" si="4"/>
        <v>0</v>
      </c>
      <c r="BO33" s="16">
        <f t="shared" si="5"/>
        <v>0</v>
      </c>
    </row>
    <row r="34" spans="1:67" x14ac:dyDescent="0.4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8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8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>
        <f>SUM(BM2:BM33)</f>
        <v>39380</v>
      </c>
      <c r="BO34" s="17">
        <f>SUM(BO2:BO33)</f>
        <v>27460.159999999996</v>
      </c>
    </row>
    <row r="35" spans="1:67" x14ac:dyDescent="0.4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7" x14ac:dyDescent="0.4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7" x14ac:dyDescent="0.4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7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7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8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7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7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8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7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7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8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7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7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7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7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7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8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8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8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8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8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8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8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8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8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8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8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8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8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8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8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8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1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1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1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1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1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8"/>
      <c r="L129" s="8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8"/>
      <c r="AR129" s="8"/>
      <c r="AS129" s="8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8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8"/>
      <c r="AD131" s="8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8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8"/>
      <c r="L132" s="8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8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8"/>
      <c r="K133" s="8"/>
      <c r="L133" s="8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8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8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8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8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8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8"/>
      <c r="AF136" s="8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8"/>
      <c r="AP137" s="7"/>
      <c r="AQ137" s="7"/>
      <c r="AR137" s="8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8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8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8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8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8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8"/>
      <c r="AF142" s="8"/>
      <c r="AG142" s="8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8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8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8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8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8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8"/>
      <c r="AP150" s="8"/>
      <c r="AQ150" s="7"/>
      <c r="AR150" s="8"/>
      <c r="AS150" s="8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8"/>
      <c r="AD158" s="8"/>
      <c r="AE158" s="7"/>
      <c r="AF158" s="7"/>
      <c r="AG158" s="8"/>
      <c r="AH158" s="7"/>
      <c r="AI158" s="7"/>
      <c r="AJ158" s="7"/>
      <c r="AK158" s="7"/>
      <c r="AL158" s="7"/>
      <c r="AM158" s="7"/>
      <c r="AN158" s="7"/>
      <c r="AO158" s="8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8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8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8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8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8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8"/>
      <c r="AD180" s="8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8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8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8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8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8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8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8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8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8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8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8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8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8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8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0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8"/>
      <c r="AG240" s="8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8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8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8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8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8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8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8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8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8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8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1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1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1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1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1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1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1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1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1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1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1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1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1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1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1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1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1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1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1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8"/>
      <c r="L300" s="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8"/>
      <c r="AF300" s="8"/>
      <c r="AG300" s="8"/>
      <c r="AH300" s="7"/>
      <c r="AI300" s="7"/>
      <c r="AJ300" s="7"/>
      <c r="AK300" s="8"/>
      <c r="AL300" s="8"/>
      <c r="AM300" s="8"/>
      <c r="AN300" s="7"/>
      <c r="AO300" s="7"/>
      <c r="AP300" s="7"/>
      <c r="AQ300" s="8"/>
      <c r="AR300" s="8"/>
      <c r="AS300" s="8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8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8"/>
      <c r="AF301" s="8"/>
      <c r="AG301" s="8"/>
      <c r="AH301" s="7"/>
      <c r="AI301" s="7"/>
      <c r="AJ301" s="7"/>
      <c r="AK301" s="8"/>
      <c r="AL301" s="8"/>
      <c r="AM301" s="8"/>
      <c r="AN301" s="7"/>
      <c r="AO301" s="7"/>
      <c r="AP301" s="7"/>
      <c r="AQ301" s="7"/>
      <c r="AR301" s="8"/>
      <c r="AS301" s="8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8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8"/>
      <c r="AF302" s="8"/>
      <c r="AG302" s="8"/>
      <c r="AH302" s="7"/>
      <c r="AI302" s="7"/>
      <c r="AJ302" s="7"/>
      <c r="AK302" s="8"/>
      <c r="AL302" s="8"/>
      <c r="AM302" s="8"/>
      <c r="AN302" s="7"/>
      <c r="AO302" s="7"/>
      <c r="AP302" s="7"/>
      <c r="AQ302" s="8"/>
      <c r="AR302" s="8"/>
      <c r="AS302" s="8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8"/>
      <c r="AF303" s="8"/>
      <c r="AG303" s="8"/>
      <c r="AH303" s="7"/>
      <c r="AI303" s="7"/>
      <c r="AJ303" s="7"/>
      <c r="AK303" s="8"/>
      <c r="AL303" s="8"/>
      <c r="AM303" s="8"/>
      <c r="AN303" s="7"/>
      <c r="AO303" s="7"/>
      <c r="AP303" s="7"/>
      <c r="AQ303" s="8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8"/>
      <c r="AH304" s="7"/>
      <c r="AI304" s="7"/>
      <c r="AJ304" s="7"/>
      <c r="AK304" s="7"/>
      <c r="AL304" s="8"/>
      <c r="AM304" s="8"/>
      <c r="AN304" s="7"/>
      <c r="AO304" s="7"/>
      <c r="AP304" s="7"/>
      <c r="AQ304" s="7"/>
      <c r="AR304" s="8"/>
      <c r="AS304" s="8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8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8"/>
      <c r="AF305" s="8"/>
      <c r="AG305" s="8"/>
      <c r="AH305" s="7"/>
      <c r="AI305" s="7"/>
      <c r="AJ305" s="7"/>
      <c r="AK305" s="8"/>
      <c r="AL305" s="8"/>
      <c r="AM305" s="8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8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8"/>
      <c r="AF306" s="8"/>
      <c r="AG306" s="8"/>
      <c r="AH306" s="7"/>
      <c r="AI306" s="7"/>
      <c r="AJ306" s="7"/>
      <c r="AK306" s="8"/>
      <c r="AL306" s="8"/>
      <c r="AM306" s="8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8"/>
      <c r="AF307" s="8"/>
      <c r="AG307" s="8"/>
      <c r="AH307" s="7"/>
      <c r="AI307" s="7"/>
      <c r="AJ307" s="7"/>
      <c r="AK307" s="8"/>
      <c r="AL307" s="8"/>
      <c r="AM307" s="8"/>
      <c r="AN307" s="7"/>
      <c r="AO307" s="7"/>
      <c r="AP307" s="7"/>
      <c r="AQ307" s="7"/>
      <c r="AR307" s="8"/>
      <c r="AS307" s="8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8"/>
      <c r="L308" s="8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8"/>
      <c r="AF308" s="8"/>
      <c r="AG308" s="8"/>
      <c r="AH308" s="7"/>
      <c r="AI308" s="7"/>
      <c r="AJ308" s="7"/>
      <c r="AK308" s="8"/>
      <c r="AL308" s="8"/>
      <c r="AM308" s="8"/>
      <c r="AN308" s="7"/>
      <c r="AO308" s="7"/>
      <c r="AP308" s="7"/>
      <c r="AQ308" s="7"/>
      <c r="AR308" s="8"/>
      <c r="AS308" s="8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8"/>
      <c r="AF309" s="8"/>
      <c r="AG309" s="8"/>
      <c r="AH309" s="7"/>
      <c r="AI309" s="7"/>
      <c r="AJ309" s="7"/>
      <c r="AK309" s="8"/>
      <c r="AL309" s="8"/>
      <c r="AM309" s="8"/>
      <c r="AN309" s="7"/>
      <c r="AO309" s="7"/>
      <c r="AP309" s="7"/>
      <c r="AQ309" s="7"/>
      <c r="AR309" s="8"/>
      <c r="AS309" s="8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8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8"/>
      <c r="AF310" s="8"/>
      <c r="AG310" s="8"/>
      <c r="AH310" s="7"/>
      <c r="AI310" s="7"/>
      <c r="AJ310" s="7"/>
      <c r="AK310" s="8"/>
      <c r="AL310" s="8"/>
      <c r="AM310" s="8"/>
      <c r="AN310" s="7"/>
      <c r="AO310" s="7"/>
      <c r="AP310" s="7"/>
      <c r="AQ310" s="7"/>
      <c r="AR310" s="8"/>
      <c r="AS310" s="8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8"/>
      <c r="AH311" s="7"/>
      <c r="AI311" s="7"/>
      <c r="AJ311" s="7"/>
      <c r="AK311" s="8"/>
      <c r="AL311" s="8"/>
      <c r="AM311" s="8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9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8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8"/>
      <c r="K313" s="7"/>
      <c r="L313" s="8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8"/>
      <c r="AG313" s="8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8"/>
      <c r="AN315" s="7"/>
      <c r="AO315" s="7"/>
      <c r="AP315" s="7"/>
      <c r="AQ315" s="7"/>
      <c r="AR315" s="8"/>
      <c r="AS315" s="8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8"/>
      <c r="AH316" s="7"/>
      <c r="AI316" s="7"/>
      <c r="AJ316" s="7"/>
      <c r="AK316" s="7"/>
      <c r="AL316" s="8"/>
      <c r="AM316" s="8"/>
      <c r="AN316" s="7"/>
      <c r="AO316" s="7"/>
      <c r="AP316" s="7"/>
      <c r="AQ316" s="7"/>
      <c r="AR316" s="8"/>
      <c r="AS316" s="8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8"/>
      <c r="AJ317" s="8"/>
      <c r="AK317" s="7"/>
      <c r="AL317" s="7"/>
      <c r="AM317" s="7"/>
      <c r="AN317" s="7"/>
      <c r="AO317" s="7"/>
      <c r="AP317" s="7"/>
      <c r="AQ317" s="7"/>
      <c r="AR317" s="8"/>
      <c r="AS317" s="8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7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8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8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8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8"/>
      <c r="AN326" s="7"/>
      <c r="AO326" s="7"/>
      <c r="AP326" s="7"/>
      <c r="AQ326" s="7"/>
      <c r="AR326" s="8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8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8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8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8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8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8"/>
      <c r="AJ346" s="7"/>
      <c r="AK346" s="7"/>
      <c r="AL346" s="8"/>
      <c r="AM346" s="7"/>
      <c r="AN346" s="7"/>
      <c r="AO346" s="8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8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9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8"/>
      <c r="AS352" s="8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8"/>
      <c r="AN355" s="7"/>
      <c r="AO355" s="7"/>
      <c r="AP355" s="7"/>
      <c r="AQ355" s="7"/>
      <c r="AR355" s="8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8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8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8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8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8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8"/>
      <c r="AH375" s="7"/>
      <c r="AI375" s="7"/>
      <c r="AJ375" s="7"/>
      <c r="AK375" s="7"/>
      <c r="AL375" s="7"/>
      <c r="AM375" s="8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8"/>
      <c r="AH376" s="7"/>
      <c r="AI376" s="7"/>
      <c r="AJ376" s="7"/>
      <c r="AK376" s="7"/>
      <c r="AL376" s="7"/>
      <c r="AM376" s="8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8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8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8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8"/>
      <c r="AH392" s="7"/>
      <c r="AI392" s="7"/>
      <c r="AJ392" s="7"/>
      <c r="AK392" s="7"/>
      <c r="AL392" s="7"/>
      <c r="AM392" s="8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8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8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8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8"/>
      <c r="AG402" s="7"/>
      <c r="AH402" s="7"/>
      <c r="AI402" s="7"/>
      <c r="AJ402" s="7"/>
      <c r="AK402" s="7"/>
      <c r="AL402" s="7"/>
      <c r="AM402" s="8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8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8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8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1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1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1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1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1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1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1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1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1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1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1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1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1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1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2022-08-03T07:00:57Z</dcterms:modified>
</cp:coreProperties>
</file>