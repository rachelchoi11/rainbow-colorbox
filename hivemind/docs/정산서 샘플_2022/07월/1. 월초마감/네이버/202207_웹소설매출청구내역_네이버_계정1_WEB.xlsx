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네이버\"/>
    </mc:Choice>
  </mc:AlternateContent>
  <bookViews>
    <workbookView xWindow="0" yWindow="0" windowWidth="23040" windowHeight="8952" tabRatio="766"/>
  </bookViews>
  <sheets>
    <sheet name="합계 (7)" sheetId="412" r:id="rId1"/>
  </sheets>
  <definedNames>
    <definedName name="_xlnm._FilterDatabase" localSheetId="0" hidden="1">'합계 (7)'!$A$1:$AM$1</definedName>
    <definedName name="_xlnm.Extract" localSheetId="0">'합계 (7)'!#REF!</definedName>
  </definedNames>
  <calcPr calcId="152511"/>
</workbook>
</file>

<file path=xl/calcChain.xml><?xml version="1.0" encoding="utf-8"?>
<calcChain xmlns="http://schemas.openxmlformats.org/spreadsheetml/2006/main">
  <c r="BN34" i="412" l="1"/>
  <c r="BO34" i="412" s="1"/>
  <c r="BN35" i="412"/>
  <c r="BO35" i="412" s="1"/>
  <c r="BN36" i="412"/>
  <c r="BO36" i="412" s="1"/>
  <c r="BN37" i="412"/>
  <c r="BO37" i="412"/>
  <c r="BN38" i="412"/>
  <c r="BO38" i="412" s="1"/>
  <c r="BN39" i="412"/>
  <c r="BO39" i="412" s="1"/>
  <c r="BN40" i="412"/>
  <c r="BO40" i="412"/>
  <c r="BN41" i="412"/>
  <c r="BO41" i="412" s="1"/>
  <c r="BM42" i="412"/>
  <c r="BN29" i="412" l="1"/>
  <c r="BO29" i="412" s="1"/>
  <c r="BN30" i="412"/>
  <c r="BO30" i="412" s="1"/>
  <c r="BN31" i="412"/>
  <c r="BO31" i="412" s="1"/>
  <c r="BN32" i="412"/>
  <c r="BO32" i="412" s="1"/>
  <c r="BN33" i="412"/>
  <c r="BO3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" i="412"/>
  <c r="BO2" i="412" s="1"/>
  <c r="BO42" i="412" s="1"/>
  <c r="BN3" i="412"/>
  <c r="BO3" i="412" s="1"/>
</calcChain>
</file>

<file path=xl/sharedStrings.xml><?xml version="1.0" encoding="utf-8"?>
<sst xmlns="http://schemas.openxmlformats.org/spreadsheetml/2006/main" count="349" uniqueCount="128">
  <si>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</si>
  <si>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</si>
  <si>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</si>
  <si>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</si>
  <si>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</si>
  <si>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</si>
  <si>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</si>
  <si>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</si>
  <si>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</si>
  <si>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2018.02.21</t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</si>
  <si>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</si>
  <si>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</si>
  <si>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</si>
  <si>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</si>
  <si>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</si>
  <si>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</si>
  <si>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</si>
  <si>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</si>
  <si>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</si>
  <si>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</si>
  <si>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</si>
  <si>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주식회사 스토리위즈</t>
  </si>
  <si>
    <t>21세기 대마법사 [단행본]</t>
  </si>
  <si>
    <t>2014.07.24</t>
  </si>
  <si>
    <t>하프블러드 [단행본]</t>
  </si>
  <si>
    <t>2014.10.21</t>
  </si>
  <si>
    <t>마왕 데이몬 [단행본]</t>
  </si>
  <si>
    <t>데이몬 [단행본]</t>
  </si>
  <si>
    <t>2014.10.20</t>
  </si>
  <si>
    <t>블레이드헌터 [단행본]</t>
  </si>
  <si>
    <t>만인지상 [단행본]</t>
  </si>
  <si>
    <t>전혁</t>
  </si>
  <si>
    <t>2015.05.27</t>
  </si>
  <si>
    <t>스피릿 소드</t>
  </si>
  <si>
    <t>2016.07.06</t>
  </si>
  <si>
    <t>스트라이커</t>
  </si>
  <si>
    <t>독고진</t>
  </si>
  <si>
    <t>2016.05.25</t>
  </si>
  <si>
    <t>월풍 [단행본]</t>
  </si>
  <si>
    <t>2020.10.13</t>
  </si>
  <si>
    <t>신궁전설 [단행본]</t>
  </si>
  <si>
    <t>2015.05.28</t>
  </si>
  <si>
    <t>신마협도 [단행본]</t>
  </si>
  <si>
    <t>2017.08.22</t>
  </si>
  <si>
    <t>2020.08.07</t>
  </si>
  <si>
    <t>두경</t>
  </si>
  <si>
    <t>천조를 가진 남자 [단행본]</t>
  </si>
  <si>
    <t>절륜공자 [단행본]</t>
  </si>
  <si>
    <t>합계</t>
  </si>
  <si>
    <t>순매출(합계-수수료)</t>
    <phoneticPr fontId="20" type="noConversion"/>
  </si>
  <si>
    <t>절륜공자</t>
  </si>
  <si>
    <t>2021.08.12</t>
  </si>
  <si>
    <t>스포트라이트</t>
  </si>
  <si>
    <t>2018.03.29</t>
  </si>
  <si>
    <t>SW 매출</t>
    <phoneticPr fontId="20" type="noConversion"/>
  </si>
  <si>
    <t>앱마켓수수료</t>
  </si>
  <si>
    <t>N스토어(PC)</t>
    <phoneticPr fontId="20" type="noConversion"/>
  </si>
  <si>
    <t>N스토어(MW)</t>
    <phoneticPr fontId="20" type="noConversion"/>
  </si>
  <si>
    <t>레이드 만물상점[완전판] [단행본]</t>
  </si>
  <si>
    <t>2016.06.16</t>
  </si>
  <si>
    <t>스피릿 소드 [단행본]</t>
  </si>
  <si>
    <t>2017.03.23</t>
  </si>
  <si>
    <t>상계무적 [단행본]</t>
  </si>
  <si>
    <t>2015.07.03</t>
  </si>
  <si>
    <t>칼 [단행본]</t>
  </si>
  <si>
    <t>독종무쌍</t>
  </si>
  <si>
    <t>2020.09.16</t>
  </si>
  <si>
    <t>PC뷰어(PC)</t>
    <phoneticPr fontId="20" type="noConversion"/>
  </si>
  <si>
    <t>화산지애 [단행본]</t>
  </si>
  <si>
    <t>2015.03.05</t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</si>
  <si>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</si>
  <si>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</si>
  <si>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</si>
  <si>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</si>
  <si>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</si>
  <si>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</si>
  <si>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</si>
  <si>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</si>
  <si>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</si>
  <si>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</si>
  <si>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</si>
  <si>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</si>
  <si>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</si>
  <si>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</si>
  <si>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</si>
  <si>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</si>
  <si>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</si>
  <si>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</si>
  <si>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</si>
  <si>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</si>
  <si>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</si>
  <si>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</si>
  <si>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</si>
  <si>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</si>
  <si>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</si>
  <si>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</si>
  <si>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</si>
  <si>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</si>
  <si>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</si>
  <si>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</si>
  <si>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</si>
  <si>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</si>
  <si>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</si>
  <si>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</si>
  <si>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</si>
  <si>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</si>
  <si>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</si>
  <si>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</si>
  <si>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</si>
  <si>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</si>
  <si>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</si>
  <si>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</si>
  <si>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</si>
  <si>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</si>
  <si>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</si>
  <si>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</si>
  <si>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</si>
  <si>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</si>
  <si>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</si>
  <si>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</si>
  <si>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</si>
  <si>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</si>
  <si>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</si>
  <si>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</si>
  <si>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</si>
  <si>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</si>
  <si>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출판사</t>
    <phoneticPr fontId="25" type="noConversion"/>
  </si>
  <si>
    <r>
      <rPr>
        <sz val="10"/>
        <color theme="1"/>
        <rFont val="맑은 고딕"/>
        <family val="3"/>
        <charset val="129"/>
        <scheme val="major"/>
      </rPr>
      <t>작가</t>
    </r>
    <r>
      <rPr>
        <sz val="11"/>
        <color theme="1"/>
        <rFont val="맑은 고딕"/>
        <family val="3"/>
        <charset val="129"/>
        <scheme val="major"/>
      </rPr>
      <t xml:space="preserve"> CP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</si>
</sst>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3" fillId="0" borderId="0" xfId="42" applyFont="1">
      <alignment vertical="center"/>
    </xf>
    <xf numFmtId="41" fontId="23" fillId="0" borderId="0" xfId="42" applyFont="1" applyFill="1">
      <alignment vertical="center"/>
    </xf>
    <xf numFmtId="4" fontId="22" fillId="0" borderId="0" xfId="0" applyNumberFormat="1" applyFont="1">
      <alignment vertical="center"/>
    </xf>
    <xf numFmtId="0" fontId="22" fillId="0" borderId="0" xfId="0" applyFont="1">
      <alignment vertical="center"/>
    </xf>
    <xf numFmtId="41" fontId="22" fillId="34" borderId="0" xfId="42" applyFont="1" applyFill="1">
      <alignment vertical="center"/>
    </xf>
    <xf numFmtId="0" fontId="24" fillId="35" borderId="10" xfId="0" applyFont="1" applyFill="1" applyBorder="1" applyAlignment="1">
      <alignment vertical="center"/>
    </xf>
    <xf numFmtId="0" fontId="26" fillId="35" borderId="11" xfId="0" applyFont="1" applyFill="1" applyBorder="1" applyAlignme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42"/>
  <sheetViews>
    <sheetView tabSelected="1" zoomScaleNormal="100" workbookViewId="0">
      <pane xSplit="9" ySplit="1" topLeftCell="BJ2" activePane="bottomRight" state="frozen"/>
      <selection pane="topRight" activeCell="J1" sqref="J1"/>
      <selection pane="bottomLeft" activeCell="A2" sqref="A2"/>
      <selection pane="bottomRight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9" ht="27" customHeight="1" x14ac:dyDescent="0.4">
      <c r="A1" s="2" t="s">
        <v>70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71</v>
      </c>
      <c r="I1" s="14" t="s">
        <v>6</v>
      </c>
      <c r="J1" s="12" t="s">
        <v>72</v>
      </c>
      <c r="K1" s="12" t="s">
        <v>73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79</v>
      </c>
      <c r="R1" s="12" t="s">
        <v>80</v>
      </c>
      <c r="S1" s="12" t="s">
        <v>81</v>
      </c>
      <c r="T1" s="12" t="s">
        <v>82</v>
      </c>
      <c r="U1" s="12" t="s">
        <v>83</v>
      </c>
      <c r="V1" s="12" t="s">
        <v>84</v>
      </c>
      <c r="W1" s="12" t="s">
        <v>85</v>
      </c>
      <c r="X1" s="12" t="s">
        <v>86</v>
      </c>
      <c r="Y1" s="12" t="s">
        <v>87</v>
      </c>
      <c r="Z1" s="12" t="s">
        <v>88</v>
      </c>
      <c r="AA1" s="12" t="s">
        <v>89</v>
      </c>
      <c r="AB1" s="12" t="s">
        <v>90</v>
      </c>
      <c r="AC1" s="12" t="s">
        <v>91</v>
      </c>
      <c r="AD1" s="12" t="s">
        <v>92</v>
      </c>
      <c r="AE1" s="12" t="s">
        <v>93</v>
      </c>
      <c r="AF1" s="12" t="s">
        <v>94</v>
      </c>
      <c r="AG1" s="12" t="s">
        <v>95</v>
      </c>
      <c r="AH1" s="12" t="s">
        <v>96</v>
      </c>
      <c r="AI1" s="12" t="s">
        <v>97</v>
      </c>
      <c r="AJ1" s="12" t="s">
        <v>98</v>
      </c>
      <c r="AK1" s="12" t="s">
        <v>99</v>
      </c>
      <c r="AL1" s="12" t="s">
        <v>100</v>
      </c>
      <c r="AM1" s="12" t="s">
        <v>101</v>
      </c>
      <c r="AN1" s="12" t="s">
        <v>102</v>
      </c>
      <c r="AO1" s="12" t="s">
        <v>103</v>
      </c>
      <c r="AP1" s="12" t="s">
        <v>104</v>
      </c>
      <c r="AQ1" s="12" t="s">
        <v>105</v>
      </c>
      <c r="AR1" s="12" t="s">
        <v>106</v>
      </c>
      <c r="AS1" s="12" t="s">
        <v>107</v>
      </c>
      <c r="AT1" s="12" t="s">
        <v>108</v>
      </c>
      <c r="AU1" s="12" t="s">
        <v>109</v>
      </c>
      <c r="AV1" s="12" t="s">
        <v>110</v>
      </c>
      <c r="AW1" s="12" t="s">
        <v>111</v>
      </c>
      <c r="AX1" s="12" t="s">
        <v>112</v>
      </c>
      <c r="AY1" s="12" t="s">
        <v>113</v>
      </c>
      <c r="AZ1" s="12" t="s">
        <v>114</v>
      </c>
      <c r="BA1" s="12" t="s">
        <v>115</v>
      </c>
      <c r="BB1" s="12" t="s">
        <v>116</v>
      </c>
      <c r="BC1" s="12" t="s">
        <v>117</v>
      </c>
      <c r="BD1" s="12" t="s">
        <v>118</v>
      </c>
      <c r="BE1" s="12" t="s">
        <v>119</v>
      </c>
      <c r="BF1" s="12" t="s">
        <v>120</v>
      </c>
      <c r="BG1" s="12" t="s">
        <v>121</v>
      </c>
      <c r="BH1" s="12" t="s">
        <v>122</v>
      </c>
      <c r="BI1" s="12" t="s">
        <v>123</v>
      </c>
      <c r="BJ1" s="12" t="s">
        <v>124</v>
      </c>
      <c r="BK1" s="12" t="s">
        <v>125</v>
      </c>
      <c r="BL1" s="12" t="s">
        <v>55</v>
      </c>
      <c r="BM1" s="12" t="s">
        <v>48</v>
      </c>
      <c r="BN1" s="12" t="s">
        <v>49</v>
      </c>
      <c r="BO1" s="12" t="s">
        <v>54</v>
      </c>
      <c r="BP1" s="20" t="s">
        <v>126</v>
      </c>
      <c r="BQ1" s="21" t="s">
        <v>127</v>
      </c>
    </row>
    <row r="2" spans="1:69" x14ac:dyDescent="0.4">
      <c r="A2" s="5" t="s">
        <v>56</v>
      </c>
      <c r="B2" s="5" t="s">
        <v>15</v>
      </c>
      <c r="C2" s="5">
        <v>159260</v>
      </c>
      <c r="D2" s="6"/>
      <c r="E2" s="5" t="s">
        <v>11</v>
      </c>
      <c r="F2" s="5" t="s">
        <v>16</v>
      </c>
      <c r="G2" s="5" t="s">
        <v>11</v>
      </c>
      <c r="H2" s="7" t="s">
        <v>7</v>
      </c>
      <c r="I2" s="7" t="s">
        <v>17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24</v>
      </c>
      <c r="AC2" s="8">
        <v>17800</v>
      </c>
      <c r="AD2" s="8">
        <v>3600</v>
      </c>
      <c r="AE2" s="7">
        <v>0</v>
      </c>
      <c r="AF2" s="7">
        <v>0</v>
      </c>
      <c r="AG2" s="7">
        <v>0</v>
      </c>
      <c r="AH2" s="7">
        <v>4</v>
      </c>
      <c r="AI2" s="8">
        <v>2160</v>
      </c>
      <c r="AJ2" s="8">
        <v>1000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1</v>
      </c>
      <c r="BA2" s="7">
        <v>120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655.20000000000005</v>
      </c>
      <c r="BM2" s="10">
        <v>24680</v>
      </c>
      <c r="BN2" s="15">
        <f t="shared" ref="BN2:BN3" si="0">BM2-BL2</f>
        <v>24024.799999999999</v>
      </c>
      <c r="BO2" s="16">
        <f t="shared" ref="BO2:BO3" si="1">BN2*70%</f>
        <v>16817.359999999997</v>
      </c>
    </row>
    <row r="3" spans="1:69" x14ac:dyDescent="0.4">
      <c r="A3" s="5" t="s">
        <v>56</v>
      </c>
      <c r="B3" s="5" t="s">
        <v>14</v>
      </c>
      <c r="C3" s="5">
        <v>355332</v>
      </c>
      <c r="D3" s="6"/>
      <c r="E3" s="5" t="s">
        <v>11</v>
      </c>
      <c r="F3" s="5" t="s">
        <v>13</v>
      </c>
      <c r="G3" s="5" t="s">
        <v>11</v>
      </c>
      <c r="H3" s="7" t="s">
        <v>8</v>
      </c>
      <c r="I3" s="7" t="s">
        <v>51</v>
      </c>
      <c r="J3" s="7">
        <v>0</v>
      </c>
      <c r="K3" s="7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88</v>
      </c>
      <c r="AF3" s="8">
        <v>4000</v>
      </c>
      <c r="AG3" s="8">
        <v>4800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4</v>
      </c>
      <c r="AR3" s="7">
        <v>400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41</v>
      </c>
      <c r="BD3" s="8">
        <v>4920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295.2</v>
      </c>
      <c r="BM3" s="10">
        <v>14120</v>
      </c>
      <c r="BN3" s="15">
        <f t="shared" si="0"/>
        <v>13824.8</v>
      </c>
      <c r="BO3" s="16">
        <f t="shared" si="1"/>
        <v>9677.3599999999988</v>
      </c>
    </row>
    <row r="4" spans="1:69" x14ac:dyDescent="0.4">
      <c r="A4" s="5" t="s">
        <v>56</v>
      </c>
      <c r="B4" s="5" t="s">
        <v>58</v>
      </c>
      <c r="C4" s="5">
        <v>238494</v>
      </c>
      <c r="D4" s="6"/>
      <c r="E4" s="5" t="s">
        <v>11</v>
      </c>
      <c r="F4" s="5" t="s">
        <v>31</v>
      </c>
      <c r="G4" s="5" t="s">
        <v>11</v>
      </c>
      <c r="H4" s="7" t="s">
        <v>7</v>
      </c>
      <c r="I4" s="7" t="s">
        <v>59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7</v>
      </c>
      <c r="AC4" s="8">
        <v>6300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10">
        <v>6300</v>
      </c>
      <c r="BN4" s="15">
        <f t="shared" ref="BN4:BN28" si="2">BM4-BL4</f>
        <v>6300</v>
      </c>
      <c r="BO4" s="16">
        <f t="shared" ref="BO4:BO28" si="3">BN4*70%</f>
        <v>4410</v>
      </c>
    </row>
    <row r="5" spans="1:69" x14ac:dyDescent="0.4">
      <c r="A5" s="5" t="s">
        <v>56</v>
      </c>
      <c r="B5" s="5" t="s">
        <v>40</v>
      </c>
      <c r="C5" s="5">
        <v>192729</v>
      </c>
      <c r="D5" s="6"/>
      <c r="E5" s="5" t="s">
        <v>11</v>
      </c>
      <c r="F5" s="5" t="s">
        <v>31</v>
      </c>
      <c r="G5" s="5" t="s">
        <v>11</v>
      </c>
      <c r="H5" s="7" t="s">
        <v>7</v>
      </c>
      <c r="I5" s="7" t="s">
        <v>41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5</v>
      </c>
      <c r="AC5" s="8">
        <v>4500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0">
        <v>4500</v>
      </c>
      <c r="BN5" s="15">
        <f t="shared" si="2"/>
        <v>4500</v>
      </c>
      <c r="BO5" s="16">
        <f t="shared" si="3"/>
        <v>3150</v>
      </c>
    </row>
    <row r="6" spans="1:69" x14ac:dyDescent="0.4">
      <c r="A6" s="5" t="s">
        <v>56</v>
      </c>
      <c r="B6" s="5" t="s">
        <v>24</v>
      </c>
      <c r="C6" s="5">
        <v>159268</v>
      </c>
      <c r="D6" s="6"/>
      <c r="E6" s="5" t="s">
        <v>11</v>
      </c>
      <c r="F6" s="5" t="s">
        <v>16</v>
      </c>
      <c r="G6" s="5" t="s">
        <v>11</v>
      </c>
      <c r="H6" s="7" t="s">
        <v>7</v>
      </c>
      <c r="I6" s="7" t="s">
        <v>25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1</v>
      </c>
      <c r="AX6" s="8">
        <v>3840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384</v>
      </c>
      <c r="BM6" s="10">
        <v>3840</v>
      </c>
      <c r="BN6" s="15">
        <f t="shared" si="2"/>
        <v>3456</v>
      </c>
      <c r="BO6" s="16">
        <f t="shared" si="3"/>
        <v>2419.1999999999998</v>
      </c>
    </row>
    <row r="7" spans="1:69" x14ac:dyDescent="0.4">
      <c r="A7" s="5" t="s">
        <v>56</v>
      </c>
      <c r="B7" s="5" t="s">
        <v>20</v>
      </c>
      <c r="C7" s="5">
        <v>159270</v>
      </c>
      <c r="D7" s="6"/>
      <c r="E7" s="5" t="s">
        <v>11</v>
      </c>
      <c r="F7" s="5" t="s">
        <v>16</v>
      </c>
      <c r="G7" s="5" t="s">
        <v>11</v>
      </c>
      <c r="H7" s="7" t="s">
        <v>10</v>
      </c>
      <c r="I7" s="7" t="s">
        <v>19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3</v>
      </c>
      <c r="AC7" s="8">
        <v>2700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2700</v>
      </c>
      <c r="BN7" s="15">
        <f t="shared" si="2"/>
        <v>2700</v>
      </c>
      <c r="BO7" s="16">
        <f t="shared" si="3"/>
        <v>1889.9999999999998</v>
      </c>
    </row>
    <row r="8" spans="1:69" x14ac:dyDescent="0.4">
      <c r="A8" s="5" t="s">
        <v>56</v>
      </c>
      <c r="B8" s="5" t="s">
        <v>60</v>
      </c>
      <c r="C8" s="5">
        <v>268655</v>
      </c>
      <c r="D8" s="6"/>
      <c r="E8" s="5" t="s">
        <v>11</v>
      </c>
      <c r="F8" s="5" t="s">
        <v>16</v>
      </c>
      <c r="G8" s="5" t="s">
        <v>11</v>
      </c>
      <c r="H8" s="7" t="s">
        <v>7</v>
      </c>
      <c r="I8" s="7" t="s">
        <v>61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2</v>
      </c>
      <c r="AO8" s="8">
        <v>1800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0">
        <v>1800</v>
      </c>
      <c r="BN8" s="15">
        <f t="shared" si="2"/>
        <v>1800</v>
      </c>
      <c r="BO8" s="16">
        <f t="shared" si="3"/>
        <v>1260</v>
      </c>
    </row>
    <row r="9" spans="1:69" x14ac:dyDescent="0.4">
      <c r="A9" s="5" t="s">
        <v>56</v>
      </c>
      <c r="B9" s="5" t="s">
        <v>27</v>
      </c>
      <c r="C9" s="5">
        <v>159255</v>
      </c>
      <c r="D9" s="6"/>
      <c r="E9" s="5" t="s">
        <v>11</v>
      </c>
      <c r="F9" s="5" t="s">
        <v>16</v>
      </c>
      <c r="G9" s="5" t="s">
        <v>11</v>
      </c>
      <c r="H9" s="7" t="s">
        <v>8</v>
      </c>
      <c r="I9" s="7" t="s">
        <v>28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2</v>
      </c>
      <c r="AC9" s="8">
        <v>1800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0">
        <v>1800</v>
      </c>
      <c r="BN9" s="15">
        <f t="shared" si="2"/>
        <v>1800</v>
      </c>
      <c r="BO9" s="16">
        <f t="shared" si="3"/>
        <v>1260</v>
      </c>
    </row>
    <row r="10" spans="1:69" x14ac:dyDescent="0.4">
      <c r="A10" s="5" t="s">
        <v>56</v>
      </c>
      <c r="B10" s="5" t="s">
        <v>38</v>
      </c>
      <c r="C10" s="5">
        <v>192732</v>
      </c>
      <c r="D10" s="6"/>
      <c r="E10" s="5" t="s">
        <v>11</v>
      </c>
      <c r="F10" s="5" t="s">
        <v>31</v>
      </c>
      <c r="G10" s="5" t="s">
        <v>11</v>
      </c>
      <c r="H10" s="7" t="s">
        <v>7</v>
      </c>
      <c r="I10" s="7" t="s">
        <v>32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1</v>
      </c>
      <c r="AC10" s="7">
        <v>900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1">
        <v>900</v>
      </c>
      <c r="BN10" s="15">
        <f t="shared" si="2"/>
        <v>900</v>
      </c>
      <c r="BO10" s="16">
        <f t="shared" si="3"/>
        <v>630</v>
      </c>
    </row>
    <row r="11" spans="1:69" x14ac:dyDescent="0.4">
      <c r="A11" s="5" t="s">
        <v>56</v>
      </c>
      <c r="B11" s="5" t="s">
        <v>42</v>
      </c>
      <c r="C11" s="5">
        <v>285993</v>
      </c>
      <c r="D11" s="6"/>
      <c r="E11" s="5" t="s">
        <v>11</v>
      </c>
      <c r="F11" s="5" t="s">
        <v>12</v>
      </c>
      <c r="G11" s="5" t="s">
        <v>11</v>
      </c>
      <c r="H11" s="7" t="s">
        <v>7</v>
      </c>
      <c r="I11" s="7" t="s">
        <v>43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1</v>
      </c>
      <c r="AC11" s="7">
        <v>0</v>
      </c>
      <c r="AD11" s="7">
        <v>900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1">
        <v>900</v>
      </c>
      <c r="BN11" s="15">
        <f t="shared" si="2"/>
        <v>900</v>
      </c>
      <c r="BO11" s="16">
        <f t="shared" si="3"/>
        <v>630</v>
      </c>
    </row>
    <row r="12" spans="1:69" x14ac:dyDescent="0.4">
      <c r="A12" s="5" t="s">
        <v>56</v>
      </c>
      <c r="B12" s="5" t="s">
        <v>35</v>
      </c>
      <c r="C12" s="5">
        <v>215737</v>
      </c>
      <c r="D12" s="6"/>
      <c r="E12" s="5" t="s">
        <v>11</v>
      </c>
      <c r="F12" s="5" t="s">
        <v>36</v>
      </c>
      <c r="G12" s="5" t="s">
        <v>11</v>
      </c>
      <c r="H12" s="7" t="s">
        <v>7</v>
      </c>
      <c r="I12" s="7" t="s">
        <v>37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2</v>
      </c>
      <c r="AF12" s="7">
        <v>220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1">
        <v>220</v>
      </c>
      <c r="BN12" s="15">
        <f t="shared" si="2"/>
        <v>220</v>
      </c>
      <c r="BO12" s="16">
        <f t="shared" si="3"/>
        <v>154</v>
      </c>
    </row>
    <row r="13" spans="1:69" x14ac:dyDescent="0.4">
      <c r="A13" s="5" t="s">
        <v>67</v>
      </c>
      <c r="B13" s="5" t="s">
        <v>14</v>
      </c>
      <c r="C13" s="5">
        <v>355332</v>
      </c>
      <c r="D13" s="6"/>
      <c r="E13" s="5" t="s">
        <v>11</v>
      </c>
      <c r="F13" s="5" t="s">
        <v>13</v>
      </c>
      <c r="G13" s="5" t="s">
        <v>11</v>
      </c>
      <c r="H13" s="7" t="s">
        <v>8</v>
      </c>
      <c r="I13" s="7" t="s">
        <v>51</v>
      </c>
      <c r="J13" s="7">
        <v>0</v>
      </c>
      <c r="K13" s="7">
        <v>1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8">
        <v>1666</v>
      </c>
      <c r="AF13" s="8">
        <v>156400</v>
      </c>
      <c r="AG13" s="8">
        <v>10200</v>
      </c>
      <c r="AH13" s="7">
        <v>0</v>
      </c>
      <c r="AI13" s="7">
        <v>0</v>
      </c>
      <c r="AJ13" s="7">
        <v>0</v>
      </c>
      <c r="AK13" s="7">
        <v>94</v>
      </c>
      <c r="AL13" s="8">
        <v>11280</v>
      </c>
      <c r="AM13" s="7">
        <v>0</v>
      </c>
      <c r="AN13" s="7">
        <v>0</v>
      </c>
      <c r="AO13" s="7">
        <v>0</v>
      </c>
      <c r="AP13" s="7">
        <v>0</v>
      </c>
      <c r="AQ13" s="7">
        <v>125</v>
      </c>
      <c r="AR13" s="8">
        <v>11400</v>
      </c>
      <c r="AS13" s="8">
        <v>1100</v>
      </c>
      <c r="AT13" s="7">
        <v>0</v>
      </c>
      <c r="AU13" s="7">
        <v>0</v>
      </c>
      <c r="AV13" s="7">
        <v>0</v>
      </c>
      <c r="AW13" s="7">
        <v>19</v>
      </c>
      <c r="AX13" s="8">
        <v>2280</v>
      </c>
      <c r="AY13" s="7">
        <v>0</v>
      </c>
      <c r="AZ13" s="7">
        <v>0</v>
      </c>
      <c r="BA13" s="7">
        <v>0</v>
      </c>
      <c r="BB13" s="7">
        <v>0</v>
      </c>
      <c r="BC13" s="7">
        <v>139</v>
      </c>
      <c r="BD13" s="8">
        <v>16680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4612.8</v>
      </c>
      <c r="BM13" s="10">
        <v>209340</v>
      </c>
      <c r="BN13" s="15">
        <f t="shared" si="2"/>
        <v>204727.2</v>
      </c>
      <c r="BO13" s="16">
        <f t="shared" si="3"/>
        <v>143309.04</v>
      </c>
    </row>
    <row r="14" spans="1:69" x14ac:dyDescent="0.4">
      <c r="A14" s="5" t="s">
        <v>67</v>
      </c>
      <c r="B14" s="5" t="s">
        <v>20</v>
      </c>
      <c r="C14" s="5">
        <v>159270</v>
      </c>
      <c r="D14" s="6"/>
      <c r="E14" s="5" t="s">
        <v>11</v>
      </c>
      <c r="F14" s="5" t="s">
        <v>16</v>
      </c>
      <c r="G14" s="5" t="s">
        <v>11</v>
      </c>
      <c r="H14" s="7" t="s">
        <v>10</v>
      </c>
      <c r="I14" s="7" t="s">
        <v>19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10</v>
      </c>
      <c r="AC14" s="8">
        <v>9000</v>
      </c>
      <c r="AD14" s="7">
        <v>0</v>
      </c>
      <c r="AE14" s="7">
        <v>9</v>
      </c>
      <c r="AF14" s="8">
        <v>28800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37800</v>
      </c>
      <c r="BN14" s="15">
        <f t="shared" si="2"/>
        <v>37800</v>
      </c>
      <c r="BO14" s="16">
        <f t="shared" si="3"/>
        <v>26460</v>
      </c>
    </row>
    <row r="15" spans="1:69" x14ac:dyDescent="0.4">
      <c r="A15" s="5" t="s">
        <v>67</v>
      </c>
      <c r="B15" s="5" t="s">
        <v>18</v>
      </c>
      <c r="C15" s="5">
        <v>161539</v>
      </c>
      <c r="D15" s="6"/>
      <c r="E15" s="5" t="s">
        <v>11</v>
      </c>
      <c r="F15" s="5" t="s">
        <v>16</v>
      </c>
      <c r="G15" s="5" t="s">
        <v>11</v>
      </c>
      <c r="H15" s="7" t="s">
        <v>7</v>
      </c>
      <c r="I15" s="7" t="s">
        <v>19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8</v>
      </c>
      <c r="AF15" s="8">
        <v>25600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1</v>
      </c>
      <c r="BA15" s="8">
        <v>1080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64.8</v>
      </c>
      <c r="BM15" s="10">
        <v>26680</v>
      </c>
      <c r="BN15" s="15">
        <f t="shared" si="2"/>
        <v>26615.200000000001</v>
      </c>
      <c r="BO15" s="16">
        <f t="shared" si="3"/>
        <v>18630.64</v>
      </c>
    </row>
    <row r="16" spans="1:69" x14ac:dyDescent="0.4">
      <c r="A16" s="5" t="s">
        <v>67</v>
      </c>
      <c r="B16" s="5" t="s">
        <v>15</v>
      </c>
      <c r="C16" s="5">
        <v>159260</v>
      </c>
      <c r="D16" s="6"/>
      <c r="E16" s="5" t="s">
        <v>11</v>
      </c>
      <c r="F16" s="5" t="s">
        <v>16</v>
      </c>
      <c r="G16" s="5" t="s">
        <v>11</v>
      </c>
      <c r="H16" s="7" t="s">
        <v>7</v>
      </c>
      <c r="I16" s="7" t="s">
        <v>17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20</v>
      </c>
      <c r="AC16" s="8">
        <v>13200</v>
      </c>
      <c r="AD16" s="8">
        <v>4300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1</v>
      </c>
      <c r="BA16" s="7">
        <v>600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36</v>
      </c>
      <c r="BM16" s="10">
        <v>18100</v>
      </c>
      <c r="BN16" s="15">
        <f t="shared" si="2"/>
        <v>18064</v>
      </c>
      <c r="BO16" s="16">
        <f t="shared" si="3"/>
        <v>12644.8</v>
      </c>
    </row>
    <row r="17" spans="1:67" x14ac:dyDescent="0.4">
      <c r="A17" s="5" t="s">
        <v>67</v>
      </c>
      <c r="B17" s="5" t="s">
        <v>33</v>
      </c>
      <c r="C17" s="5">
        <v>194565</v>
      </c>
      <c r="D17" s="6"/>
      <c r="E17" s="5" t="s">
        <v>11</v>
      </c>
      <c r="F17" s="5" t="s">
        <v>16</v>
      </c>
      <c r="G17" s="5" t="s">
        <v>11</v>
      </c>
      <c r="H17" s="7" t="s">
        <v>7</v>
      </c>
      <c r="I17" s="7" t="s">
        <v>34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167</v>
      </c>
      <c r="AF17" s="8">
        <v>16700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16700</v>
      </c>
      <c r="BN17" s="15">
        <f t="shared" si="2"/>
        <v>16700</v>
      </c>
      <c r="BO17" s="16">
        <f t="shared" si="3"/>
        <v>11690</v>
      </c>
    </row>
    <row r="18" spans="1:67" x14ac:dyDescent="0.4">
      <c r="A18" s="5" t="s">
        <v>67</v>
      </c>
      <c r="B18" s="5" t="s">
        <v>38</v>
      </c>
      <c r="C18" s="5">
        <v>192732</v>
      </c>
      <c r="D18" s="6"/>
      <c r="E18" s="5" t="s">
        <v>11</v>
      </c>
      <c r="F18" s="5" t="s">
        <v>31</v>
      </c>
      <c r="G18" s="5" t="s">
        <v>11</v>
      </c>
      <c r="H18" s="7" t="s">
        <v>7</v>
      </c>
      <c r="I18" s="7" t="s">
        <v>32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10</v>
      </c>
      <c r="AC18" s="8">
        <v>9000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9000</v>
      </c>
      <c r="BN18" s="15">
        <f t="shared" si="2"/>
        <v>9000</v>
      </c>
      <c r="BO18" s="16">
        <f t="shared" si="3"/>
        <v>6300</v>
      </c>
    </row>
    <row r="19" spans="1:67" ht="19.2" x14ac:dyDescent="0.4">
      <c r="A19" s="5" t="s">
        <v>67</v>
      </c>
      <c r="B19" s="5" t="s">
        <v>47</v>
      </c>
      <c r="C19" s="5">
        <v>406370</v>
      </c>
      <c r="D19" s="6"/>
      <c r="E19" s="5" t="s">
        <v>11</v>
      </c>
      <c r="F19" s="5" t="s">
        <v>31</v>
      </c>
      <c r="G19" s="5" t="s">
        <v>21</v>
      </c>
      <c r="H19" s="7" t="s">
        <v>8</v>
      </c>
      <c r="I19" s="7" t="s">
        <v>44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9</v>
      </c>
      <c r="AC19" s="8">
        <v>8100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8100</v>
      </c>
      <c r="BN19" s="15">
        <f t="shared" si="2"/>
        <v>8100</v>
      </c>
      <c r="BO19" s="16">
        <f t="shared" si="3"/>
        <v>5670</v>
      </c>
    </row>
    <row r="20" spans="1:67" x14ac:dyDescent="0.4">
      <c r="A20" s="5" t="s">
        <v>67</v>
      </c>
      <c r="B20" s="5" t="s">
        <v>22</v>
      </c>
      <c r="C20" s="5">
        <v>161447</v>
      </c>
      <c r="D20" s="6"/>
      <c r="E20" s="5" t="s">
        <v>11</v>
      </c>
      <c r="F20" s="5" t="s">
        <v>13</v>
      </c>
      <c r="G20" s="5" t="s">
        <v>11</v>
      </c>
      <c r="H20" s="7" t="s">
        <v>7</v>
      </c>
      <c r="I20" s="7" t="s">
        <v>23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2</v>
      </c>
      <c r="AF20" s="8">
        <v>7680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0">
        <v>7680</v>
      </c>
      <c r="BN20" s="15">
        <f t="shared" si="2"/>
        <v>7680</v>
      </c>
      <c r="BO20" s="16">
        <f t="shared" si="3"/>
        <v>5376</v>
      </c>
    </row>
    <row r="21" spans="1:67" x14ac:dyDescent="0.4">
      <c r="A21" s="5" t="s">
        <v>67</v>
      </c>
      <c r="B21" s="5" t="s">
        <v>26</v>
      </c>
      <c r="C21" s="5">
        <v>159258</v>
      </c>
      <c r="D21" s="6"/>
      <c r="E21" s="5" t="s">
        <v>11</v>
      </c>
      <c r="F21" s="5" t="s">
        <v>16</v>
      </c>
      <c r="G21" s="5" t="s">
        <v>11</v>
      </c>
      <c r="H21" s="7" t="s">
        <v>7</v>
      </c>
      <c r="I21" s="7" t="s">
        <v>25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8</v>
      </c>
      <c r="AC21" s="8">
        <v>7200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0">
        <v>7200</v>
      </c>
      <c r="BN21" s="15">
        <f t="shared" si="2"/>
        <v>7200</v>
      </c>
      <c r="BO21" s="16">
        <f t="shared" si="3"/>
        <v>5040</v>
      </c>
    </row>
    <row r="22" spans="1:67" x14ac:dyDescent="0.4">
      <c r="A22" s="5" t="s">
        <v>67</v>
      </c>
      <c r="B22" s="5" t="s">
        <v>30</v>
      </c>
      <c r="C22" s="5">
        <v>192737</v>
      </c>
      <c r="D22" s="6"/>
      <c r="E22" s="5" t="s">
        <v>11</v>
      </c>
      <c r="F22" s="5" t="s">
        <v>31</v>
      </c>
      <c r="G22" s="5" t="s">
        <v>11</v>
      </c>
      <c r="H22" s="7" t="s">
        <v>7</v>
      </c>
      <c r="I22" s="7" t="s">
        <v>32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8</v>
      </c>
      <c r="AC22" s="8">
        <v>7200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0">
        <v>7200</v>
      </c>
      <c r="BN22" s="15">
        <f t="shared" si="2"/>
        <v>7200</v>
      </c>
      <c r="BO22" s="16">
        <f t="shared" si="3"/>
        <v>5040</v>
      </c>
    </row>
    <row r="23" spans="1:67" x14ac:dyDescent="0.4">
      <c r="A23" s="5" t="s">
        <v>67</v>
      </c>
      <c r="B23" s="5" t="s">
        <v>40</v>
      </c>
      <c r="C23" s="5">
        <v>192729</v>
      </c>
      <c r="D23" s="6"/>
      <c r="E23" s="5" t="s">
        <v>11</v>
      </c>
      <c r="F23" s="5" t="s">
        <v>31</v>
      </c>
      <c r="G23" s="5" t="s">
        <v>11</v>
      </c>
      <c r="H23" s="7" t="s">
        <v>7</v>
      </c>
      <c r="I23" s="7" t="s">
        <v>41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7</v>
      </c>
      <c r="AC23" s="8">
        <v>6300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0">
        <v>6300</v>
      </c>
      <c r="BN23" s="15">
        <f t="shared" si="2"/>
        <v>6300</v>
      </c>
      <c r="BO23" s="16">
        <f t="shared" si="3"/>
        <v>4410</v>
      </c>
    </row>
    <row r="24" spans="1:67" x14ac:dyDescent="0.4">
      <c r="A24" s="5" t="s">
        <v>67</v>
      </c>
      <c r="B24" s="5" t="s">
        <v>27</v>
      </c>
      <c r="C24" s="5">
        <v>159255</v>
      </c>
      <c r="D24" s="6"/>
      <c r="E24" s="5" t="s">
        <v>11</v>
      </c>
      <c r="F24" s="5" t="s">
        <v>16</v>
      </c>
      <c r="G24" s="5" t="s">
        <v>11</v>
      </c>
      <c r="H24" s="7" t="s">
        <v>8</v>
      </c>
      <c r="I24" s="7" t="s">
        <v>28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6</v>
      </c>
      <c r="AC24" s="8">
        <v>5400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0">
        <v>5400</v>
      </c>
      <c r="BN24" s="15">
        <f t="shared" si="2"/>
        <v>5400</v>
      </c>
      <c r="BO24" s="16">
        <f t="shared" si="3"/>
        <v>3779.9999999999995</v>
      </c>
    </row>
    <row r="25" spans="1:67" x14ac:dyDescent="0.4">
      <c r="A25" s="5" t="s">
        <v>67</v>
      </c>
      <c r="B25" s="5" t="s">
        <v>58</v>
      </c>
      <c r="C25" s="5">
        <v>238494</v>
      </c>
      <c r="D25" s="6"/>
      <c r="E25" s="5" t="s">
        <v>11</v>
      </c>
      <c r="F25" s="5" t="s">
        <v>31</v>
      </c>
      <c r="G25" s="5" t="s">
        <v>11</v>
      </c>
      <c r="H25" s="7" t="s">
        <v>7</v>
      </c>
      <c r="I25" s="7" t="s">
        <v>59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6</v>
      </c>
      <c r="AC25" s="8">
        <v>5400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0">
        <v>5400</v>
      </c>
      <c r="BN25" s="15">
        <f t="shared" si="2"/>
        <v>5400</v>
      </c>
      <c r="BO25" s="16">
        <f t="shared" si="3"/>
        <v>3779.9999999999995</v>
      </c>
    </row>
    <row r="26" spans="1:67" x14ac:dyDescent="0.4">
      <c r="A26" s="5" t="s">
        <v>67</v>
      </c>
      <c r="B26" s="5" t="s">
        <v>62</v>
      </c>
      <c r="C26" s="5">
        <v>196917</v>
      </c>
      <c r="D26" s="6"/>
      <c r="E26" s="5" t="s">
        <v>11</v>
      </c>
      <c r="F26" s="5" t="s">
        <v>31</v>
      </c>
      <c r="G26" s="5" t="s">
        <v>11</v>
      </c>
      <c r="H26" s="7" t="s">
        <v>7</v>
      </c>
      <c r="I26" s="7" t="s">
        <v>63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6</v>
      </c>
      <c r="AC26" s="8">
        <v>5400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0">
        <v>5400</v>
      </c>
      <c r="BN26" s="15">
        <f t="shared" si="2"/>
        <v>5400</v>
      </c>
      <c r="BO26" s="16">
        <f t="shared" si="3"/>
        <v>3779.9999999999995</v>
      </c>
    </row>
    <row r="27" spans="1:67" x14ac:dyDescent="0.4">
      <c r="A27" s="5" t="s">
        <v>67</v>
      </c>
      <c r="B27" s="5" t="s">
        <v>60</v>
      </c>
      <c r="C27" s="5">
        <v>268655</v>
      </c>
      <c r="D27" s="6"/>
      <c r="E27" s="5" t="s">
        <v>11</v>
      </c>
      <c r="F27" s="5" t="s">
        <v>16</v>
      </c>
      <c r="G27" s="5" t="s">
        <v>11</v>
      </c>
      <c r="H27" s="7" t="s">
        <v>7</v>
      </c>
      <c r="I27" s="7" t="s">
        <v>61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5</v>
      </c>
      <c r="AO27" s="8">
        <v>4500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0">
        <v>4500</v>
      </c>
      <c r="BN27" s="15">
        <f t="shared" si="2"/>
        <v>4500</v>
      </c>
      <c r="BO27" s="16">
        <f t="shared" si="3"/>
        <v>3150</v>
      </c>
    </row>
    <row r="28" spans="1:67" x14ac:dyDescent="0.4">
      <c r="A28" s="5" t="s">
        <v>67</v>
      </c>
      <c r="B28" s="5" t="s">
        <v>24</v>
      </c>
      <c r="C28" s="5">
        <v>159268</v>
      </c>
      <c r="D28" s="6"/>
      <c r="E28" s="5" t="s">
        <v>11</v>
      </c>
      <c r="F28" s="5" t="s">
        <v>16</v>
      </c>
      <c r="G28" s="5" t="s">
        <v>11</v>
      </c>
      <c r="H28" s="7" t="s">
        <v>7</v>
      </c>
      <c r="I28" s="7" t="s">
        <v>25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5</v>
      </c>
      <c r="AC28" s="8">
        <v>4500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4500</v>
      </c>
      <c r="BN28" s="15">
        <f t="shared" si="2"/>
        <v>4500</v>
      </c>
      <c r="BO28" s="16">
        <f t="shared" si="3"/>
        <v>3150</v>
      </c>
    </row>
    <row r="29" spans="1:67" x14ac:dyDescent="0.4">
      <c r="A29" s="5" t="s">
        <v>67</v>
      </c>
      <c r="B29" s="5" t="s">
        <v>35</v>
      </c>
      <c r="C29" s="5">
        <v>215737</v>
      </c>
      <c r="D29" s="6"/>
      <c r="E29" s="5" t="s">
        <v>11</v>
      </c>
      <c r="F29" s="5" t="s">
        <v>36</v>
      </c>
      <c r="G29" s="5" t="s">
        <v>11</v>
      </c>
      <c r="H29" s="7" t="s">
        <v>7</v>
      </c>
      <c r="I29" s="7" t="s">
        <v>37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14</v>
      </c>
      <c r="AF29" s="8">
        <v>1600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15</v>
      </c>
      <c r="AR29" s="8">
        <v>1500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3100</v>
      </c>
      <c r="BN29" s="15">
        <f t="shared" ref="BN29:BN33" si="4">BM29-BL29</f>
        <v>3100</v>
      </c>
      <c r="BO29" s="16">
        <f t="shared" ref="BO29:BO33" si="5">BN29*70%</f>
        <v>2170</v>
      </c>
    </row>
    <row r="30" spans="1:67" x14ac:dyDescent="0.4">
      <c r="A30" s="5" t="s">
        <v>67</v>
      </c>
      <c r="B30" s="5" t="s">
        <v>64</v>
      </c>
      <c r="C30" s="5">
        <v>285994</v>
      </c>
      <c r="D30" s="6"/>
      <c r="E30" s="5" t="s">
        <v>11</v>
      </c>
      <c r="F30" s="5" t="s">
        <v>12</v>
      </c>
      <c r="G30" s="5" t="s">
        <v>11</v>
      </c>
      <c r="H30" s="7" t="s">
        <v>7</v>
      </c>
      <c r="I30" s="7" t="s">
        <v>43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3</v>
      </c>
      <c r="AO30" s="8">
        <v>2500</v>
      </c>
      <c r="AP30" s="7">
        <v>200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2700</v>
      </c>
      <c r="BN30" s="15">
        <f t="shared" si="4"/>
        <v>2700</v>
      </c>
      <c r="BO30" s="16">
        <f t="shared" si="5"/>
        <v>1889.9999999999998</v>
      </c>
    </row>
    <row r="31" spans="1:67" x14ac:dyDescent="0.4">
      <c r="A31" s="5" t="s">
        <v>67</v>
      </c>
      <c r="B31" s="5" t="s">
        <v>42</v>
      </c>
      <c r="C31" s="5">
        <v>285993</v>
      </c>
      <c r="D31" s="6"/>
      <c r="E31" s="5" t="s">
        <v>11</v>
      </c>
      <c r="F31" s="5" t="s">
        <v>12</v>
      </c>
      <c r="G31" s="5" t="s">
        <v>11</v>
      </c>
      <c r="H31" s="7" t="s">
        <v>7</v>
      </c>
      <c r="I31" s="7" t="s">
        <v>43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2</v>
      </c>
      <c r="AC31" s="8">
        <v>1800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0">
        <v>1800</v>
      </c>
      <c r="BN31" s="15">
        <f t="shared" si="4"/>
        <v>1800</v>
      </c>
      <c r="BO31" s="16">
        <f t="shared" si="5"/>
        <v>1260</v>
      </c>
    </row>
    <row r="32" spans="1:67" ht="19.2" x14ac:dyDescent="0.4">
      <c r="A32" s="5" t="s">
        <v>67</v>
      </c>
      <c r="B32" s="5" t="s">
        <v>50</v>
      </c>
      <c r="C32" s="5">
        <v>408317</v>
      </c>
      <c r="D32" s="6"/>
      <c r="E32" s="5" t="s">
        <v>11</v>
      </c>
      <c r="F32" s="5" t="s">
        <v>31</v>
      </c>
      <c r="G32" s="5" t="s">
        <v>21</v>
      </c>
      <c r="H32" s="7" t="s">
        <v>8</v>
      </c>
      <c r="I32" s="7" t="s">
        <v>39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2</v>
      </c>
      <c r="AF32" s="7">
        <v>200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1">
        <v>200</v>
      </c>
      <c r="BN32" s="15">
        <f t="shared" si="4"/>
        <v>200</v>
      </c>
      <c r="BO32" s="16">
        <f t="shared" si="5"/>
        <v>140</v>
      </c>
    </row>
    <row r="33" spans="1:67" ht="19.2" x14ac:dyDescent="0.4">
      <c r="A33" s="5" t="s">
        <v>67</v>
      </c>
      <c r="B33" s="5" t="s">
        <v>65</v>
      </c>
      <c r="C33" s="5">
        <v>409409</v>
      </c>
      <c r="D33" s="6"/>
      <c r="E33" s="5" t="s">
        <v>11</v>
      </c>
      <c r="F33" s="5" t="s">
        <v>31</v>
      </c>
      <c r="G33" s="5" t="s">
        <v>21</v>
      </c>
      <c r="H33" s="7" t="s">
        <v>7</v>
      </c>
      <c r="I33" s="7" t="s">
        <v>66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</v>
      </c>
      <c r="AF33" s="7">
        <v>100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1">
        <v>100</v>
      </c>
      <c r="BN33" s="15">
        <f t="shared" si="4"/>
        <v>100</v>
      </c>
      <c r="BO33" s="16">
        <f t="shared" si="5"/>
        <v>70</v>
      </c>
    </row>
    <row r="34" spans="1:67" x14ac:dyDescent="0.4">
      <c r="A34" s="5" t="s">
        <v>57</v>
      </c>
      <c r="B34" s="5" t="s">
        <v>20</v>
      </c>
      <c r="C34" s="5">
        <v>159270</v>
      </c>
      <c r="D34" s="6"/>
      <c r="E34" s="5" t="s">
        <v>11</v>
      </c>
      <c r="F34" s="5" t="s">
        <v>16</v>
      </c>
      <c r="G34" s="5" t="s">
        <v>11</v>
      </c>
      <c r="H34" s="7" t="s">
        <v>10</v>
      </c>
      <c r="I34" s="7" t="s">
        <v>19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9</v>
      </c>
      <c r="AC34" s="8">
        <v>7800</v>
      </c>
      <c r="AD34" s="7">
        <v>0</v>
      </c>
      <c r="AE34" s="7">
        <v>0</v>
      </c>
      <c r="AF34" s="7">
        <v>0</v>
      </c>
      <c r="AG34" s="7">
        <v>0</v>
      </c>
      <c r="AH34" s="7">
        <v>1</v>
      </c>
      <c r="AI34" s="7">
        <v>0</v>
      </c>
      <c r="AJ34" s="7">
        <v>300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0">
        <v>8100</v>
      </c>
      <c r="BN34" s="15">
        <f t="shared" ref="BN34:BN41" si="6">BM34-BL34</f>
        <v>8100</v>
      </c>
      <c r="BO34" s="16">
        <f t="shared" ref="BO34:BO41" si="7">BN34*70%</f>
        <v>5670</v>
      </c>
    </row>
    <row r="35" spans="1:67" x14ac:dyDescent="0.4">
      <c r="A35" s="5" t="s">
        <v>57</v>
      </c>
      <c r="B35" s="5" t="s">
        <v>18</v>
      </c>
      <c r="C35" s="5">
        <v>161539</v>
      </c>
      <c r="D35" s="6"/>
      <c r="E35" s="5" t="s">
        <v>11</v>
      </c>
      <c r="F35" s="5" t="s">
        <v>16</v>
      </c>
      <c r="G35" s="5" t="s">
        <v>11</v>
      </c>
      <c r="H35" s="7" t="s">
        <v>7</v>
      </c>
      <c r="I35" s="7" t="s">
        <v>19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2</v>
      </c>
      <c r="AC35" s="8">
        <v>1800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0">
        <v>1800</v>
      </c>
      <c r="BN35" s="15">
        <f t="shared" si="6"/>
        <v>1800</v>
      </c>
      <c r="BO35" s="16">
        <f t="shared" si="7"/>
        <v>1260</v>
      </c>
    </row>
    <row r="36" spans="1:67" x14ac:dyDescent="0.4">
      <c r="A36" s="5" t="s">
        <v>57</v>
      </c>
      <c r="B36" s="5" t="s">
        <v>29</v>
      </c>
      <c r="C36" s="5">
        <v>159266</v>
      </c>
      <c r="D36" s="6"/>
      <c r="E36" s="5" t="s">
        <v>11</v>
      </c>
      <c r="F36" s="5" t="s">
        <v>16</v>
      </c>
      <c r="G36" s="5" t="s">
        <v>11</v>
      </c>
      <c r="H36" s="7" t="s">
        <v>7</v>
      </c>
      <c r="I36" s="7" t="s">
        <v>25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1</v>
      </c>
      <c r="AC36" s="7">
        <v>0</v>
      </c>
      <c r="AD36" s="7">
        <v>900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1">
        <v>900</v>
      </c>
      <c r="BN36" s="15">
        <f t="shared" si="6"/>
        <v>900</v>
      </c>
      <c r="BO36" s="16">
        <f t="shared" si="7"/>
        <v>630</v>
      </c>
    </row>
    <row r="37" spans="1:67" x14ac:dyDescent="0.4">
      <c r="A37" s="5" t="s">
        <v>57</v>
      </c>
      <c r="B37" s="5" t="s">
        <v>26</v>
      </c>
      <c r="C37" s="5">
        <v>159258</v>
      </c>
      <c r="D37" s="6"/>
      <c r="E37" s="5" t="s">
        <v>11</v>
      </c>
      <c r="F37" s="5" t="s">
        <v>16</v>
      </c>
      <c r="G37" s="5" t="s">
        <v>11</v>
      </c>
      <c r="H37" s="7" t="s">
        <v>7</v>
      </c>
      <c r="I37" s="7" t="s">
        <v>25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1</v>
      </c>
      <c r="AC37" s="7">
        <v>900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1">
        <v>900</v>
      </c>
      <c r="BN37" s="15">
        <f t="shared" si="6"/>
        <v>900</v>
      </c>
      <c r="BO37" s="16">
        <f t="shared" si="7"/>
        <v>630</v>
      </c>
    </row>
    <row r="38" spans="1:67" x14ac:dyDescent="0.4">
      <c r="A38" s="5" t="s">
        <v>57</v>
      </c>
      <c r="B38" s="5" t="s">
        <v>46</v>
      </c>
      <c r="C38" s="5">
        <v>305089</v>
      </c>
      <c r="D38" s="6"/>
      <c r="E38" s="5" t="s">
        <v>11</v>
      </c>
      <c r="F38" s="5" t="s">
        <v>45</v>
      </c>
      <c r="G38" s="5" t="s">
        <v>11</v>
      </c>
      <c r="H38" s="7" t="s">
        <v>7</v>
      </c>
      <c r="I38" s="7" t="s">
        <v>9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1</v>
      </c>
      <c r="AC38" s="7">
        <v>900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11">
        <v>900</v>
      </c>
      <c r="BN38" s="15">
        <f t="shared" si="6"/>
        <v>900</v>
      </c>
      <c r="BO38" s="16">
        <f t="shared" si="7"/>
        <v>630</v>
      </c>
    </row>
    <row r="39" spans="1:67" x14ac:dyDescent="0.4">
      <c r="A39" s="5" t="s">
        <v>57</v>
      </c>
      <c r="B39" s="5" t="s">
        <v>68</v>
      </c>
      <c r="C39" s="5">
        <v>183137</v>
      </c>
      <c r="D39" s="6"/>
      <c r="E39" s="5" t="s">
        <v>11</v>
      </c>
      <c r="F39" s="5" t="s">
        <v>13</v>
      </c>
      <c r="G39" s="5" t="s">
        <v>11</v>
      </c>
      <c r="H39" s="7" t="s">
        <v>7</v>
      </c>
      <c r="I39" s="7" t="s">
        <v>69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1</v>
      </c>
      <c r="AC39" s="7">
        <v>900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1">
        <v>900</v>
      </c>
      <c r="BN39" s="15">
        <f t="shared" si="6"/>
        <v>900</v>
      </c>
      <c r="BO39" s="16">
        <f t="shared" si="7"/>
        <v>630</v>
      </c>
    </row>
    <row r="40" spans="1:67" x14ac:dyDescent="0.4">
      <c r="A40" s="5" t="s">
        <v>57</v>
      </c>
      <c r="B40" s="5" t="s">
        <v>14</v>
      </c>
      <c r="C40" s="5">
        <v>355332</v>
      </c>
      <c r="D40" s="6"/>
      <c r="E40" s="5" t="s">
        <v>11</v>
      </c>
      <c r="F40" s="5" t="s">
        <v>13</v>
      </c>
      <c r="G40" s="5" t="s">
        <v>11</v>
      </c>
      <c r="H40" s="7" t="s">
        <v>8</v>
      </c>
      <c r="I40" s="7" t="s">
        <v>51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8</v>
      </c>
      <c r="AF40" s="7">
        <v>620</v>
      </c>
      <c r="AG40" s="7">
        <v>200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1">
        <v>820</v>
      </c>
      <c r="BN40" s="15">
        <f t="shared" si="6"/>
        <v>820</v>
      </c>
      <c r="BO40" s="16">
        <f t="shared" si="7"/>
        <v>574</v>
      </c>
    </row>
    <row r="41" spans="1:67" x14ac:dyDescent="0.4">
      <c r="A41" s="5" t="s">
        <v>57</v>
      </c>
      <c r="B41" s="5" t="s">
        <v>52</v>
      </c>
      <c r="C41" s="5">
        <v>308470</v>
      </c>
      <c r="D41" s="6"/>
      <c r="E41" s="5" t="s">
        <v>11</v>
      </c>
      <c r="F41" s="5" t="s">
        <v>31</v>
      </c>
      <c r="G41" s="5" t="s">
        <v>11</v>
      </c>
      <c r="H41" s="7" t="s">
        <v>7</v>
      </c>
      <c r="I41" s="7" t="s">
        <v>53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1</v>
      </c>
      <c r="BD41" s="7">
        <v>120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7.2</v>
      </c>
      <c r="BM41" s="11">
        <v>120</v>
      </c>
      <c r="BN41" s="15">
        <f t="shared" si="6"/>
        <v>112.8</v>
      </c>
      <c r="BO41" s="16">
        <f t="shared" si="7"/>
        <v>78.959999999999994</v>
      </c>
    </row>
    <row r="42" spans="1:67" x14ac:dyDescent="0.4">
      <c r="BM42" s="17">
        <f>SUM(BM2:BM41)</f>
        <v>463400</v>
      </c>
      <c r="BN42" s="18"/>
      <c r="BO42" s="19">
        <f>SUM(BO2:BO41)</f>
        <v>320141.36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2022-08-03T06:59:18Z</dcterms:modified>
</cp:coreProperties>
</file>