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네이버\"/>
    </mc:Choice>
  </mc:AlternateContent>
  <bookViews>
    <workbookView xWindow="0" yWindow="0" windowWidth="2172" windowHeight="0" tabRatio="766"/>
  </bookViews>
  <sheets>
    <sheet name="합계 (7)" sheetId="412" r:id="rId1"/>
  </sheets>
  <definedNames>
    <definedName name="_xlnm._FilterDatabase" localSheetId="0" hidden="1">'합계 (7)'!$A$1:$AM$1</definedName>
    <definedName name="_xlnm.Extract" localSheetId="0">'합계 (7)'!#REF!</definedName>
  </definedNames>
  <calcPr calcId="152511"/>
</workbook>
</file>

<file path=xl/calcChain.xml><?xml version="1.0" encoding="utf-8"?>
<calcChain xmlns="http://schemas.openxmlformats.org/spreadsheetml/2006/main">
  <c r="BP6" i="412" l="1"/>
  <c r="BN6" i="412" l="1"/>
  <c r="BO6" i="412" s="1"/>
  <c r="BN5" i="412"/>
  <c r="BO5" i="412" s="1"/>
  <c r="BN3" i="412"/>
  <c r="B41" i="412" l="1"/>
  <c r="BO3" i="412" l="1"/>
  <c r="BN4" i="412"/>
  <c r="BO4" i="412" s="1"/>
  <c r="BN2" i="412"/>
  <c r="BO2" i="412" l="1"/>
  <c r="D10" i="412"/>
  <c r="D11" i="412" s="1"/>
  <c r="D12" i="412" s="1"/>
  <c r="D13" i="412" s="1"/>
  <c r="D14" i="412" s="1"/>
  <c r="D15" i="412" s="1"/>
  <c r="D16" i="412" s="1"/>
  <c r="D17" i="412" s="1"/>
  <c r="D18" i="412" s="1"/>
  <c r="D19" i="412" s="1"/>
  <c r="D20" i="412" s="1"/>
  <c r="D21" i="412" s="1"/>
  <c r="D22" i="412" s="1"/>
  <c r="D23" i="412" s="1"/>
  <c r="D24" i="412" s="1"/>
  <c r="D25" i="412" s="1"/>
  <c r="D26" i="412" s="1"/>
  <c r="D27" i="412" s="1"/>
  <c r="D28" i="412" s="1"/>
  <c r="D29" i="412" s="1"/>
  <c r="D30" i="412" s="1"/>
  <c r="D31" i="412" s="1"/>
  <c r="D32" i="412" s="1"/>
  <c r="D33" i="412" s="1"/>
  <c r="D34" i="412" s="1"/>
  <c r="D35" i="412" s="1"/>
  <c r="D36" i="412" s="1"/>
  <c r="D37" i="412" s="1"/>
  <c r="D38" i="412" s="1"/>
  <c r="BO7" i="412" l="1"/>
  <c r="C39" i="412" s="1"/>
  <c r="C41" i="412" s="1"/>
  <c r="BP4" i="412"/>
  <c r="D39" i="412" l="1"/>
  <c r="D40" i="412" s="1"/>
</calcChain>
</file>

<file path=xl/sharedStrings.xml><?xml version="1.0" encoding="utf-8"?>
<sst xmlns="http://schemas.openxmlformats.org/spreadsheetml/2006/main" count="125" uniqueCount="102">
  <si>
    <t>컨텐츠</t>
  </si>
  <si>
    <t>컨텐츠No</t>
  </si>
  <si>
    <t>공급자코드</t>
  </si>
  <si>
    <t>CP명</t>
  </si>
  <si>
    <t>작가명</t>
  </si>
  <si>
    <t>출판사</t>
  </si>
  <si>
    <t>서비스일</t>
  </si>
  <si>
    <t>합계</t>
  </si>
  <si>
    <t>앱마켓수수료</t>
  </si>
  <si>
    <t>&lt;사비타&gt; MG차감내역</t>
    <phoneticPr fontId="20" type="noConversion"/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</si>
  <si>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</si>
  <si>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</si>
  <si>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</si>
  <si>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</si>
  <si>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 xml:space="preserve"> </t>
    <phoneticPr fontId="20" type="noConversion"/>
  </si>
  <si>
    <t>21.07(US)</t>
    <phoneticPr fontId="20" type="noConversion"/>
  </si>
  <si>
    <t>21.08(US)</t>
    <phoneticPr fontId="20" type="noConversion"/>
  </si>
  <si>
    <t>21.09(US)</t>
    <phoneticPr fontId="20" type="noConversion"/>
  </si>
  <si>
    <t>21.10</t>
    <phoneticPr fontId="20" type="noConversion"/>
  </si>
  <si>
    <t>21.10(US/JP)</t>
    <phoneticPr fontId="20" type="noConversion"/>
  </si>
  <si>
    <t>21.11(US/JP/FR)</t>
    <phoneticPr fontId="20" type="noConversion"/>
  </si>
  <si>
    <t>21.12(US/JP/FR)</t>
    <phoneticPr fontId="20" type="noConversion"/>
  </si>
  <si>
    <t>22.01(US/JP/FR)</t>
    <phoneticPr fontId="20" type="noConversion"/>
  </si>
  <si>
    <t>22.02(US/JP/FR)</t>
    <phoneticPr fontId="20" type="noConversion"/>
  </si>
  <si>
    <t>22.03(JP/US/FR)</t>
    <phoneticPr fontId="20" type="noConversion"/>
  </si>
  <si>
    <t>합계</t>
    <phoneticPr fontId="20" type="noConversion"/>
  </si>
  <si>
    <t>22.04(JP/FR/DE)</t>
    <phoneticPr fontId="20" type="noConversion"/>
  </si>
  <si>
    <t>22.06(JP/FR/DE)</t>
    <phoneticPr fontId="20" type="noConversion"/>
  </si>
  <si>
    <t>22.05(JP/FR/DE)</t>
    <phoneticPr fontId="20" type="noConversion"/>
  </si>
  <si>
    <t>사랑은 비를 타고 [독점]</t>
  </si>
  <si>
    <t>스토리위즈_사랑은비를타고_MG</t>
  </si>
  <si>
    <t>예리</t>
  </si>
  <si>
    <t>스토리위즈</t>
  </si>
  <si>
    <t>전체이용가</t>
  </si>
  <si>
    <t>2022.04.27</t>
  </si>
  <si>
    <t>시리즈(APP)</t>
    <phoneticPr fontId="20" type="noConversion"/>
  </si>
  <si>
    <t>시리즈 완전판(APP)</t>
    <phoneticPr fontId="20" type="noConversion"/>
  </si>
  <si>
    <t>시리즈(iOS)</t>
    <phoneticPr fontId="20" type="noConversion"/>
  </si>
  <si>
    <t>스토리위즈</t>
    <phoneticPr fontId="20" type="noConversion"/>
  </si>
  <si>
    <t>N스토어(PC)</t>
    <phoneticPr fontId="20" type="noConversion"/>
  </si>
  <si>
    <t>PC뷰어(PC)</t>
    <phoneticPr fontId="20" type="noConversion"/>
  </si>
  <si>
    <t>22.07(JP/FR/DE/US)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</si>
  <si>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</si>
  <si>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</si>
  <si>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</si>
  <si>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</si>
  <si>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</si>
  <si>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</si>
  <si>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</si>
  <si>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</si>
  <si>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</si>
  <si>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</si>
  <si>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</si>
  <si>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</si>
  <si>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</si>
  <si>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</si>
  <si>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</si>
  <si>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</si>
  <si>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</si>
  <si>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</si>
  <si>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</si>
  <si>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</si>
  <si>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</si>
  <si>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</si>
  <si>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</si>
  <si>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</si>
  <si>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</si>
  <si>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</si>
  <si>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</si>
  <si>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</si>
  <si>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</si>
  <si>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</si>
  <si>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</si>
  <si>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</si>
  <si>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</si>
  <si>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</si>
  <si>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</si>
  <si>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</si>
  <si>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</si>
  <si>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</si>
  <si>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</si>
  <si>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</si>
  <si>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</si>
  <si>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</si>
  <si>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</si>
  <si>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</si>
  <si>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</si>
  <si>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</si>
  <si>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</si>
  <si>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</si>
  <si>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</si>
  <si>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</si>
  <si>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</si>
  <si>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</si>
  <si>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</si>
  <si>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</si>
  <si>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</si>
  <si>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</si>
  <si>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</si>
  <si>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</si>
  <si>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APP 매출</t>
    <phoneticPr fontId="20" type="noConversion"/>
  </si>
  <si>
    <t>WEB 매출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</si>
</sst>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8"/>
      <color theme="1"/>
      <name val="맑은 고딕"/>
      <family val="3"/>
      <charset val="129"/>
      <scheme val="minor"/>
    </font>
    <font>
      <sz val="7"/>
      <color rgb="FF000000"/>
      <name val="맑은 고딕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>
      <alignment vertical="center"/>
    </xf>
    <xf numFmtId="3" fontId="23" fillId="0" borderId="0" xfId="0" applyNumberFormat="1" applyFont="1">
      <alignment vertical="center"/>
    </xf>
    <xf numFmtId="0" fontId="24" fillId="35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3" fontId="18" fillId="0" borderId="10" xfId="0" applyNumberFormat="1" applyFont="1" applyBorder="1" applyAlignment="1">
      <alignment horizontal="right" vertical="center"/>
    </xf>
    <xf numFmtId="41" fontId="18" fillId="0" borderId="10" xfId="0" applyNumberFormat="1" applyFont="1" applyBorder="1">
      <alignment vertical="center"/>
    </xf>
    <xf numFmtId="41" fontId="18" fillId="0" borderId="10" xfId="42" applyFont="1" applyBorder="1">
      <alignment vertical="center"/>
    </xf>
    <xf numFmtId="0" fontId="24" fillId="36" borderId="10" xfId="0" applyFont="1" applyFill="1" applyBorder="1" applyAlignment="1">
      <alignment horizontal="center" vertical="center"/>
    </xf>
    <xf numFmtId="3" fontId="18" fillId="36" borderId="10" xfId="0" applyNumberFormat="1" applyFont="1" applyFill="1" applyBorder="1" applyAlignment="1">
      <alignment horizontal="right" vertical="center"/>
    </xf>
    <xf numFmtId="41" fontId="18" fillId="36" borderId="10" xfId="0" applyNumberFormat="1" applyFont="1" applyFill="1" applyBorder="1">
      <alignment vertical="center"/>
    </xf>
    <xf numFmtId="41" fontId="18" fillId="36" borderId="10" xfId="42" applyFont="1" applyFill="1" applyBorder="1">
      <alignment vertical="center"/>
    </xf>
    <xf numFmtId="3" fontId="18" fillId="0" borderId="0" xfId="0" applyNumberFormat="1" applyFont="1" applyBorder="1">
      <alignment vertical="center"/>
    </xf>
    <xf numFmtId="0" fontId="24" fillId="0" borderId="10" xfId="0" quotePrefix="1" applyFont="1" applyFill="1" applyBorder="1" applyAlignment="1">
      <alignment horizontal="center" vertical="center"/>
    </xf>
    <xf numFmtId="3" fontId="18" fillId="0" borderId="10" xfId="0" applyNumberFormat="1" applyFont="1" applyFill="1" applyBorder="1" applyAlignment="1">
      <alignment horizontal="right" vertical="center"/>
    </xf>
    <xf numFmtId="41" fontId="18" fillId="0" borderId="10" xfId="0" applyNumberFormat="1" applyFont="1" applyFill="1" applyBorder="1">
      <alignment vertical="center"/>
    </xf>
    <xf numFmtId="41" fontId="18" fillId="0" borderId="10" xfId="42" applyFont="1" applyFill="1" applyBorder="1">
      <alignment vertical="center"/>
    </xf>
    <xf numFmtId="0" fontId="24" fillId="36" borderId="10" xfId="0" quotePrefix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41" fontId="25" fillId="0" borderId="10" xfId="0" applyNumberFormat="1" applyFont="1" applyFill="1" applyBorder="1">
      <alignment vertical="center"/>
    </xf>
    <xf numFmtId="41" fontId="25" fillId="37" borderId="10" xfId="0" applyNumberFormat="1" applyFont="1" applyFill="1" applyBorder="1">
      <alignment vertical="center"/>
    </xf>
    <xf numFmtId="0" fontId="24" fillId="36" borderId="10" xfId="0" quotePrefix="1" applyFont="1" applyFill="1" applyBorder="1">
      <alignment vertical="center"/>
    </xf>
    <xf numFmtId="0" fontId="18" fillId="36" borderId="10" xfId="0" applyFont="1" applyFill="1" applyBorder="1" applyAlignment="1">
      <alignment horizontal="center" vertical="center"/>
    </xf>
    <xf numFmtId="41" fontId="21" fillId="0" borderId="0" xfId="0" applyNumberFormat="1" applyFont="1" applyBorder="1">
      <alignment vertical="center"/>
    </xf>
    <xf numFmtId="176" fontId="24" fillId="0" borderId="0" xfId="0" applyNumberFormat="1" applyFont="1">
      <alignment vertical="center"/>
    </xf>
    <xf numFmtId="41" fontId="24" fillId="0" borderId="0" xfId="42" applyFont="1" applyFill="1">
      <alignment vertical="center"/>
    </xf>
    <xf numFmtId="41" fontId="24" fillId="0" borderId="0" xfId="42" applyFont="1" applyAlignment="1">
      <alignment vertical="center" wrapText="1"/>
    </xf>
    <xf numFmtId="41" fontId="24" fillId="34" borderId="0" xfId="42" applyFont="1" applyFill="1" applyAlignment="1">
      <alignment vertical="center" wrapText="1"/>
    </xf>
    <xf numFmtId="41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444"/>
  <sheetViews>
    <sheetView tabSelected="1" topLeftCell="BK1" zoomScale="115" zoomScaleNormal="115" workbookViewId="0">
      <selection activeCell="BO7" sqref="BO7"/>
    </sheetView>
  </sheetViews>
  <sheetFormatPr defaultRowHeight="17.399999999999999" x14ac:dyDescent="0.4"/>
  <cols>
    <col min="1" max="1" width="11.8984375" style="1" customWidth="1"/>
    <col min="2" max="2" width="20" bestFit="1" customWidth="1"/>
    <col min="3" max="3" width="7.69921875" bestFit="1" customWidth="1"/>
    <col min="4" max="4" width="8.3984375" bestFit="1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9" ht="27" customHeight="1" x14ac:dyDescent="0.4">
      <c r="A1" s="2" t="s">
        <v>42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43</v>
      </c>
      <c r="I1" s="14" t="s">
        <v>6</v>
      </c>
      <c r="J1" s="12" t="s">
        <v>44</v>
      </c>
      <c r="K1" s="12" t="s">
        <v>45</v>
      </c>
      <c r="L1" s="12" t="s">
        <v>46</v>
      </c>
      <c r="M1" s="12" t="s">
        <v>47</v>
      </c>
      <c r="N1" s="12" t="s">
        <v>48</v>
      </c>
      <c r="O1" s="12" t="s">
        <v>49</v>
      </c>
      <c r="P1" s="12" t="s">
        <v>50</v>
      </c>
      <c r="Q1" s="12" t="s">
        <v>51</v>
      </c>
      <c r="R1" s="12" t="s">
        <v>52</v>
      </c>
      <c r="S1" s="12" t="s">
        <v>53</v>
      </c>
      <c r="T1" s="12" t="s">
        <v>54</v>
      </c>
      <c r="U1" s="12" t="s">
        <v>55</v>
      </c>
      <c r="V1" s="12" t="s">
        <v>56</v>
      </c>
      <c r="W1" s="12" t="s">
        <v>57</v>
      </c>
      <c r="X1" s="12" t="s">
        <v>58</v>
      </c>
      <c r="Y1" s="12" t="s">
        <v>59</v>
      </c>
      <c r="Z1" s="12" t="s">
        <v>60</v>
      </c>
      <c r="AA1" s="12" t="s">
        <v>61</v>
      </c>
      <c r="AB1" s="12" t="s">
        <v>62</v>
      </c>
      <c r="AC1" s="12" t="s">
        <v>63</v>
      </c>
      <c r="AD1" s="12" t="s">
        <v>64</v>
      </c>
      <c r="AE1" s="12" t="s">
        <v>65</v>
      </c>
      <c r="AF1" s="12" t="s">
        <v>66</v>
      </c>
      <c r="AG1" s="12" t="s">
        <v>67</v>
      </c>
      <c r="AH1" s="12" t="s">
        <v>68</v>
      </c>
      <c r="AI1" s="12" t="s">
        <v>69</v>
      </c>
      <c r="AJ1" s="12" t="s">
        <v>70</v>
      </c>
      <c r="AK1" s="12" t="s">
        <v>71</v>
      </c>
      <c r="AL1" s="12" t="s">
        <v>72</v>
      </c>
      <c r="AM1" s="12" t="s">
        <v>73</v>
      </c>
      <c r="AN1" s="12" t="s">
        <v>74</v>
      </c>
      <c r="AO1" s="12" t="s">
        <v>75</v>
      </c>
      <c r="AP1" s="12" t="s">
        <v>76</v>
      </c>
      <c r="AQ1" s="12" t="s">
        <v>77</v>
      </c>
      <c r="AR1" s="12" t="s">
        <v>78</v>
      </c>
      <c r="AS1" s="12" t="s">
        <v>79</v>
      </c>
      <c r="AT1" s="12" t="s">
        <v>80</v>
      </c>
      <c r="AU1" s="12" t="s">
        <v>81</v>
      </c>
      <c r="AV1" s="12" t="s">
        <v>82</v>
      </c>
      <c r="AW1" s="12" t="s">
        <v>83</v>
      </c>
      <c r="AX1" s="12" t="s">
        <v>84</v>
      </c>
      <c r="AY1" s="12" t="s">
        <v>85</v>
      </c>
      <c r="AZ1" s="12" t="s">
        <v>86</v>
      </c>
      <c r="BA1" s="12" t="s">
        <v>87</v>
      </c>
      <c r="BB1" s="12" t="s">
        <v>88</v>
      </c>
      <c r="BC1" s="12" t="s">
        <v>89</v>
      </c>
      <c r="BD1" s="12" t="s">
        <v>90</v>
      </c>
      <c r="BE1" s="12" t="s">
        <v>91</v>
      </c>
      <c r="BF1" s="12" t="s">
        <v>92</v>
      </c>
      <c r="BG1" s="12" t="s">
        <v>93</v>
      </c>
      <c r="BH1" s="12" t="s">
        <v>94</v>
      </c>
      <c r="BI1" s="12" t="s">
        <v>95</v>
      </c>
      <c r="BJ1" s="12" t="s">
        <v>96</v>
      </c>
      <c r="BK1" s="12" t="s">
        <v>97</v>
      </c>
      <c r="BL1" s="12" t="s">
        <v>8</v>
      </c>
      <c r="BM1" s="12" t="s">
        <v>7</v>
      </c>
      <c r="BN1" s="12" t="s">
        <v>98</v>
      </c>
      <c r="BO1" s="12" t="s">
        <v>99</v>
      </c>
    </row>
    <row r="2" spans="1:69" ht="19.2" x14ac:dyDescent="0.4">
      <c r="A2" s="5" t="s">
        <v>35</v>
      </c>
      <c r="B2" s="5" t="s">
        <v>29</v>
      </c>
      <c r="C2" s="5">
        <v>423644</v>
      </c>
      <c r="D2" s="6"/>
      <c r="E2" s="5" t="s">
        <v>30</v>
      </c>
      <c r="F2" s="5" t="s">
        <v>31</v>
      </c>
      <c r="G2" s="5" t="s">
        <v>32</v>
      </c>
      <c r="H2" s="7" t="s">
        <v>33</v>
      </c>
      <c r="I2" s="7" t="s">
        <v>34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68</v>
      </c>
      <c r="AC2" s="7">
        <v>600</v>
      </c>
      <c r="AD2" s="8">
        <v>13000</v>
      </c>
      <c r="AE2" s="7">
        <v>6</v>
      </c>
      <c r="AF2" s="7">
        <v>480</v>
      </c>
      <c r="AG2" s="8">
        <v>1800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14</v>
      </c>
      <c r="BA2" s="8">
        <v>3360</v>
      </c>
      <c r="BB2" s="7">
        <v>0</v>
      </c>
      <c r="BC2" s="7">
        <v>1</v>
      </c>
      <c r="BD2" s="7">
        <v>240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216</v>
      </c>
      <c r="BM2" s="10">
        <v>19480</v>
      </c>
      <c r="BN2" s="41">
        <f>BM2-BL2</f>
        <v>19264</v>
      </c>
      <c r="BO2" s="42">
        <f>BN2*60%</f>
        <v>11558.4</v>
      </c>
    </row>
    <row r="3" spans="1:69" ht="19.2" x14ac:dyDescent="0.4">
      <c r="A3" s="5" t="s">
        <v>36</v>
      </c>
      <c r="B3" s="5" t="s">
        <v>29</v>
      </c>
      <c r="C3" s="5">
        <v>423644</v>
      </c>
      <c r="D3" s="6"/>
      <c r="E3" s="5" t="s">
        <v>30</v>
      </c>
      <c r="F3" s="5" t="s">
        <v>31</v>
      </c>
      <c r="G3" s="5" t="s">
        <v>32</v>
      </c>
      <c r="H3" s="7" t="s">
        <v>33</v>
      </c>
      <c r="I3" s="7" t="s">
        <v>34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105</v>
      </c>
      <c r="AC3" s="8">
        <v>11800</v>
      </c>
      <c r="AD3" s="8">
        <v>9600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2</v>
      </c>
      <c r="AR3" s="7">
        <v>800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22200</v>
      </c>
      <c r="BN3" s="41">
        <f t="shared" ref="BN3:BN4" si="0">BM3-BL3</f>
        <v>22200</v>
      </c>
      <c r="BO3" s="42">
        <f t="shared" ref="BO3:BO4" si="1">BN3*60%</f>
        <v>13320</v>
      </c>
    </row>
    <row r="4" spans="1:69" ht="19.2" x14ac:dyDescent="0.4">
      <c r="A4" s="5" t="s">
        <v>37</v>
      </c>
      <c r="B4" s="5" t="s">
        <v>29</v>
      </c>
      <c r="C4" s="5">
        <v>423644</v>
      </c>
      <c r="D4" s="6"/>
      <c r="E4" s="5" t="s">
        <v>30</v>
      </c>
      <c r="F4" s="5" t="s">
        <v>31</v>
      </c>
      <c r="G4" s="5" t="s">
        <v>32</v>
      </c>
      <c r="H4" s="7" t="s">
        <v>33</v>
      </c>
      <c r="I4" s="7" t="s">
        <v>34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10</v>
      </c>
      <c r="AC4" s="7">
        <v>200</v>
      </c>
      <c r="AD4" s="8">
        <v>1700</v>
      </c>
      <c r="AE4" s="7">
        <v>1</v>
      </c>
      <c r="AF4" s="7">
        <v>400</v>
      </c>
      <c r="AG4" s="7">
        <v>0</v>
      </c>
      <c r="AH4" s="7">
        <v>3</v>
      </c>
      <c r="AI4" s="7">
        <v>480</v>
      </c>
      <c r="AJ4" s="7">
        <v>100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144</v>
      </c>
      <c r="BM4" s="10">
        <v>2880</v>
      </c>
      <c r="BN4" s="41">
        <f t="shared" si="0"/>
        <v>2736</v>
      </c>
      <c r="BO4" s="42">
        <f t="shared" si="1"/>
        <v>1641.6</v>
      </c>
      <c r="BP4" s="45">
        <f>SUM(BO2:BO4)</f>
        <v>26520</v>
      </c>
      <c r="BQ4" t="s">
        <v>100</v>
      </c>
    </row>
    <row r="5" spans="1:69" ht="19.2" x14ac:dyDescent="0.4">
      <c r="A5" s="5" t="s">
        <v>39</v>
      </c>
      <c r="B5" s="5" t="s">
        <v>29</v>
      </c>
      <c r="C5" s="5">
        <v>423644</v>
      </c>
      <c r="D5" s="6"/>
      <c r="E5" s="5" t="s">
        <v>30</v>
      </c>
      <c r="F5" s="5" t="s">
        <v>31</v>
      </c>
      <c r="G5" s="5" t="s">
        <v>38</v>
      </c>
      <c r="H5" s="7" t="s">
        <v>33</v>
      </c>
      <c r="I5" s="7" t="s">
        <v>34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</v>
      </c>
      <c r="AC5" s="7">
        <v>200</v>
      </c>
      <c r="AD5" s="7">
        <v>0</v>
      </c>
      <c r="AE5" s="7">
        <v>20</v>
      </c>
      <c r="AF5" s="8">
        <v>8000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8200</v>
      </c>
      <c r="BN5" s="41">
        <f t="shared" ref="BN5" si="2">BM5-BL5</f>
        <v>8200</v>
      </c>
      <c r="BO5" s="42">
        <f t="shared" ref="BO5" si="3">BN5*60%</f>
        <v>4920</v>
      </c>
    </row>
    <row r="6" spans="1:69" ht="19.2" x14ac:dyDescent="0.4">
      <c r="A6" s="5" t="s">
        <v>40</v>
      </c>
      <c r="B6" s="5" t="s">
        <v>29</v>
      </c>
      <c r="C6" s="5">
        <v>423644</v>
      </c>
      <c r="D6" s="6"/>
      <c r="E6" s="5" t="s">
        <v>30</v>
      </c>
      <c r="F6" s="5" t="s">
        <v>31</v>
      </c>
      <c r="G6" s="5" t="s">
        <v>32</v>
      </c>
      <c r="H6" s="7" t="s">
        <v>33</v>
      </c>
      <c r="I6" s="7" t="s">
        <v>34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24</v>
      </c>
      <c r="AC6" s="8">
        <v>4800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4800</v>
      </c>
      <c r="BN6" s="41">
        <f t="shared" ref="BN6" si="4">BM6-BL6</f>
        <v>4800</v>
      </c>
      <c r="BO6" s="42">
        <f t="shared" ref="BO6" si="5">BN6*60%</f>
        <v>2880</v>
      </c>
      <c r="BP6" s="45">
        <f>SUM(BO5:BO6)</f>
        <v>7800</v>
      </c>
      <c r="BQ6" t="s">
        <v>101</v>
      </c>
    </row>
    <row r="7" spans="1:69" x14ac:dyDescent="0.4">
      <c r="A7" s="5"/>
      <c r="B7" s="5"/>
      <c r="C7" s="5"/>
      <c r="D7" s="6"/>
      <c r="E7" s="5"/>
      <c r="F7" s="5"/>
      <c r="G7" s="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8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10"/>
      <c r="BN7" s="43"/>
      <c r="BO7" s="44">
        <f>SUM(BO2:BO6)</f>
        <v>34320</v>
      </c>
    </row>
    <row r="8" spans="1:69" s="17" customFormat="1" ht="15.6" x14ac:dyDescent="0.4">
      <c r="A8" s="15" t="s">
        <v>9</v>
      </c>
      <c r="B8" s="16"/>
      <c r="AU8" s="18"/>
      <c r="AW8" s="18"/>
      <c r="BO8" s="40"/>
    </row>
    <row r="9" spans="1:69" s="17" customFormat="1" ht="10.8" x14ac:dyDescent="0.4">
      <c r="A9" s="19" t="s">
        <v>10</v>
      </c>
      <c r="B9" s="20" t="s">
        <v>11</v>
      </c>
      <c r="C9" s="20" t="s">
        <v>12</v>
      </c>
      <c r="D9" s="20" t="s">
        <v>13</v>
      </c>
      <c r="J9" s="17" t="s">
        <v>14</v>
      </c>
    </row>
    <row r="10" spans="1:69" s="17" customFormat="1" ht="10.8" x14ac:dyDescent="0.4">
      <c r="A10" s="21">
        <v>21.02</v>
      </c>
      <c r="B10" s="22">
        <v>30000000</v>
      </c>
      <c r="C10" s="23">
        <v>472077</v>
      </c>
      <c r="D10" s="24">
        <f>B10-C10</f>
        <v>29527923</v>
      </c>
    </row>
    <row r="11" spans="1:69" s="17" customFormat="1" ht="10.8" x14ac:dyDescent="0.4">
      <c r="A11" s="21">
        <v>21.03</v>
      </c>
      <c r="B11" s="22"/>
      <c r="C11" s="23">
        <v>408648</v>
      </c>
      <c r="D11" s="24">
        <f t="shared" ref="D11:D32" si="6">D10-C11</f>
        <v>29119275</v>
      </c>
    </row>
    <row r="12" spans="1:69" s="17" customFormat="1" ht="10.8" x14ac:dyDescent="0.4">
      <c r="A12" s="21">
        <v>21.04</v>
      </c>
      <c r="B12" s="22"/>
      <c r="C12" s="23">
        <v>160198.56</v>
      </c>
      <c r="D12" s="24">
        <f t="shared" si="6"/>
        <v>28959076.440000001</v>
      </c>
    </row>
    <row r="13" spans="1:69" s="17" customFormat="1" ht="10.8" x14ac:dyDescent="0.4">
      <c r="A13" s="21">
        <v>21.05</v>
      </c>
      <c r="B13" s="22"/>
      <c r="C13" s="23">
        <v>121166</v>
      </c>
      <c r="D13" s="24">
        <f t="shared" si="6"/>
        <v>28837910.440000001</v>
      </c>
    </row>
    <row r="14" spans="1:69" s="17" customFormat="1" ht="10.8" customHeight="1" x14ac:dyDescent="0.4">
      <c r="A14" s="21">
        <v>21.06</v>
      </c>
      <c r="B14" s="22"/>
      <c r="C14" s="23">
        <v>290693</v>
      </c>
      <c r="D14" s="24">
        <f t="shared" si="6"/>
        <v>28547217.440000001</v>
      </c>
    </row>
    <row r="15" spans="1:69" s="17" customFormat="1" ht="10.8" x14ac:dyDescent="0.4">
      <c r="A15" s="25" t="s">
        <v>15</v>
      </c>
      <c r="B15" s="26"/>
      <c r="C15" s="27">
        <v>1204515</v>
      </c>
      <c r="D15" s="28">
        <f t="shared" si="6"/>
        <v>27342702.440000001</v>
      </c>
    </row>
    <row r="16" spans="1:69" s="17" customFormat="1" ht="10.8" x14ac:dyDescent="0.4">
      <c r="A16" s="21">
        <v>21.07</v>
      </c>
      <c r="B16" s="22"/>
      <c r="C16" s="23">
        <v>188088</v>
      </c>
      <c r="D16" s="24">
        <f t="shared" si="6"/>
        <v>27154614.440000001</v>
      </c>
      <c r="AU16" s="29"/>
      <c r="AW16" s="29"/>
    </row>
    <row r="17" spans="1:49" s="17" customFormat="1" ht="10.8" x14ac:dyDescent="0.4">
      <c r="A17" s="21">
        <v>21.08</v>
      </c>
      <c r="B17" s="22"/>
      <c r="C17" s="23">
        <v>118512</v>
      </c>
      <c r="D17" s="24">
        <f t="shared" si="6"/>
        <v>27036102.440000001</v>
      </c>
      <c r="AU17" s="29"/>
      <c r="AW17" s="29"/>
    </row>
    <row r="18" spans="1:49" s="17" customFormat="1" ht="10.8" x14ac:dyDescent="0.4">
      <c r="A18" s="25" t="s">
        <v>16</v>
      </c>
      <c r="B18" s="26"/>
      <c r="C18" s="27">
        <v>844621</v>
      </c>
      <c r="D18" s="28">
        <f t="shared" si="6"/>
        <v>26191481.440000001</v>
      </c>
      <c r="AU18" s="29"/>
      <c r="AW18" s="29"/>
    </row>
    <row r="19" spans="1:49" s="17" customFormat="1" ht="10.8" x14ac:dyDescent="0.4">
      <c r="A19" s="21">
        <v>21.09</v>
      </c>
      <c r="B19" s="22"/>
      <c r="C19" s="23">
        <v>322027</v>
      </c>
      <c r="D19" s="24">
        <f t="shared" si="6"/>
        <v>25869454.440000001</v>
      </c>
      <c r="AU19" s="29"/>
      <c r="AW19" s="29"/>
    </row>
    <row r="20" spans="1:49" s="17" customFormat="1" ht="10.8" x14ac:dyDescent="0.4">
      <c r="A20" s="25" t="s">
        <v>17</v>
      </c>
      <c r="B20" s="26"/>
      <c r="C20" s="27">
        <v>552842</v>
      </c>
      <c r="D20" s="28">
        <f t="shared" si="6"/>
        <v>25316612.440000001</v>
      </c>
      <c r="AU20" s="29"/>
      <c r="AW20" s="29"/>
    </row>
    <row r="21" spans="1:49" s="17" customFormat="1" ht="10.8" x14ac:dyDescent="0.4">
      <c r="A21" s="30" t="s">
        <v>18</v>
      </c>
      <c r="B21" s="31"/>
      <c r="C21" s="32">
        <v>91790.399999999994</v>
      </c>
      <c r="D21" s="33">
        <f t="shared" si="6"/>
        <v>25224822.040000003</v>
      </c>
      <c r="AU21" s="29"/>
      <c r="AW21" s="29"/>
    </row>
    <row r="22" spans="1:49" s="17" customFormat="1" ht="10.8" x14ac:dyDescent="0.4">
      <c r="A22" s="34" t="s">
        <v>19</v>
      </c>
      <c r="B22" s="26"/>
      <c r="C22" s="27">
        <v>605653</v>
      </c>
      <c r="D22" s="28">
        <f t="shared" si="6"/>
        <v>24619169.040000003</v>
      </c>
      <c r="AU22" s="29"/>
      <c r="AW22" s="29"/>
    </row>
    <row r="23" spans="1:49" s="17" customFormat="1" ht="10.8" x14ac:dyDescent="0.4">
      <c r="A23" s="34" t="s">
        <v>20</v>
      </c>
      <c r="B23" s="26"/>
      <c r="C23" s="27">
        <v>547220</v>
      </c>
      <c r="D23" s="28">
        <f t="shared" si="6"/>
        <v>24071949.040000003</v>
      </c>
      <c r="AU23" s="29"/>
      <c r="AW23" s="29"/>
    </row>
    <row r="24" spans="1:49" s="17" customFormat="1" ht="10.8" customHeight="1" x14ac:dyDescent="0.4">
      <c r="A24" s="30">
        <v>21.11</v>
      </c>
      <c r="B24" s="31"/>
      <c r="C24" s="32">
        <v>25450</v>
      </c>
      <c r="D24" s="33">
        <f t="shared" si="6"/>
        <v>24046499.040000003</v>
      </c>
      <c r="AU24" s="29"/>
      <c r="AW24" s="29"/>
    </row>
    <row r="25" spans="1:49" s="17" customFormat="1" ht="10.8" x14ac:dyDescent="0.4">
      <c r="A25" s="34" t="s">
        <v>21</v>
      </c>
      <c r="B25" s="26"/>
      <c r="C25" s="27">
        <v>457391</v>
      </c>
      <c r="D25" s="28">
        <f t="shared" si="6"/>
        <v>23589108.040000003</v>
      </c>
      <c r="AU25" s="29"/>
      <c r="AW25" s="29"/>
    </row>
    <row r="26" spans="1:49" s="17" customFormat="1" ht="10.8" x14ac:dyDescent="0.4">
      <c r="A26" s="30">
        <v>21.12</v>
      </c>
      <c r="B26" s="31"/>
      <c r="C26" s="32">
        <v>23400</v>
      </c>
      <c r="D26" s="33">
        <f t="shared" si="6"/>
        <v>23565708.040000003</v>
      </c>
      <c r="AU26" s="29"/>
      <c r="AW26" s="29"/>
    </row>
    <row r="27" spans="1:49" s="17" customFormat="1" ht="10.8" x14ac:dyDescent="0.4">
      <c r="A27" s="34" t="s">
        <v>22</v>
      </c>
      <c r="B27" s="26"/>
      <c r="C27" s="27">
        <v>477210</v>
      </c>
      <c r="D27" s="28">
        <f t="shared" si="6"/>
        <v>23088498.040000003</v>
      </c>
      <c r="AU27" s="29"/>
      <c r="AW27" s="29"/>
    </row>
    <row r="28" spans="1:49" s="17" customFormat="1" ht="10.8" x14ac:dyDescent="0.4">
      <c r="A28" s="30">
        <v>22.01</v>
      </c>
      <c r="B28" s="31"/>
      <c r="C28" s="32">
        <v>260419.20000000001</v>
      </c>
      <c r="D28" s="33">
        <f t="shared" si="6"/>
        <v>22828078.840000004</v>
      </c>
      <c r="AU28" s="29"/>
      <c r="AW28" s="29"/>
    </row>
    <row r="29" spans="1:49" s="17" customFormat="1" ht="10.8" x14ac:dyDescent="0.4">
      <c r="A29" s="34" t="s">
        <v>23</v>
      </c>
      <c r="B29" s="26"/>
      <c r="C29" s="27">
        <v>295476</v>
      </c>
      <c r="D29" s="28">
        <f t="shared" si="6"/>
        <v>22532602.840000004</v>
      </c>
      <c r="AU29" s="29"/>
      <c r="AW29" s="29"/>
    </row>
    <row r="30" spans="1:49" s="17" customFormat="1" ht="10.8" x14ac:dyDescent="0.4">
      <c r="A30" s="30">
        <v>22.02</v>
      </c>
      <c r="B30" s="31"/>
      <c r="C30" s="36">
        <v>482780.27999999991</v>
      </c>
      <c r="D30" s="33">
        <f t="shared" si="6"/>
        <v>22049822.560000002</v>
      </c>
      <c r="AU30" s="29"/>
      <c r="AW30" s="29"/>
    </row>
    <row r="31" spans="1:49" s="17" customFormat="1" ht="10.8" x14ac:dyDescent="0.4">
      <c r="A31" s="30">
        <v>22.03</v>
      </c>
      <c r="B31" s="31"/>
      <c r="C31" s="36">
        <v>905174.87999999989</v>
      </c>
      <c r="D31" s="33">
        <f t="shared" si="6"/>
        <v>21144647.680000003</v>
      </c>
      <c r="AU31" s="29"/>
      <c r="AW31" s="29"/>
    </row>
    <row r="32" spans="1:49" s="17" customFormat="1" ht="10.8" x14ac:dyDescent="0.4">
      <c r="A32" s="34" t="s">
        <v>24</v>
      </c>
      <c r="B32" s="26"/>
      <c r="C32" s="37">
        <v>113872</v>
      </c>
      <c r="D32" s="28">
        <f t="shared" si="6"/>
        <v>21030775.680000003</v>
      </c>
      <c r="AU32" s="29"/>
      <c r="AW32" s="29"/>
    </row>
    <row r="33" spans="1:65" s="17" customFormat="1" ht="19.8" customHeight="1" x14ac:dyDescent="0.4">
      <c r="A33" s="30">
        <v>22.04</v>
      </c>
      <c r="B33" s="35"/>
      <c r="C33" s="36">
        <v>905174.87999999989</v>
      </c>
      <c r="D33" s="33">
        <f t="shared" ref="D33:D40" si="7">D32-C33</f>
        <v>20125600.800000004</v>
      </c>
    </row>
    <row r="34" spans="1:65" s="17" customFormat="1" ht="10.8" x14ac:dyDescent="0.4">
      <c r="A34" s="34" t="s">
        <v>26</v>
      </c>
      <c r="B34" s="26"/>
      <c r="C34" s="37">
        <v>169682</v>
      </c>
      <c r="D34" s="28">
        <f t="shared" si="7"/>
        <v>19955918.800000004</v>
      </c>
      <c r="AU34" s="29"/>
      <c r="AW34" s="29"/>
    </row>
    <row r="35" spans="1:65" s="17" customFormat="1" ht="10.8" x14ac:dyDescent="0.4">
      <c r="A35" s="30">
        <v>22.05</v>
      </c>
      <c r="B35" s="31"/>
      <c r="C35" s="32">
        <v>1300003.9799999997</v>
      </c>
      <c r="D35" s="33">
        <f t="shared" si="7"/>
        <v>18655914.820000004</v>
      </c>
      <c r="AU35" s="29"/>
      <c r="AW35" s="29"/>
    </row>
    <row r="36" spans="1:65" s="17" customFormat="1" ht="10.8" x14ac:dyDescent="0.4">
      <c r="A36" s="38" t="s">
        <v>28</v>
      </c>
      <c r="B36" s="39"/>
      <c r="C36" s="28">
        <v>105406</v>
      </c>
      <c r="D36" s="28">
        <f t="shared" si="7"/>
        <v>18550508.820000004</v>
      </c>
    </row>
    <row r="37" spans="1:65" s="17" customFormat="1" ht="10.8" x14ac:dyDescent="0.4">
      <c r="A37" s="30">
        <v>22.06</v>
      </c>
      <c r="B37" s="31"/>
      <c r="C37" s="32">
        <v>103000</v>
      </c>
      <c r="D37" s="33">
        <f t="shared" si="7"/>
        <v>18447508.820000004</v>
      </c>
      <c r="AU37" s="29"/>
      <c r="AW37" s="29"/>
    </row>
    <row r="38" spans="1:65" s="17" customFormat="1" ht="10.8" x14ac:dyDescent="0.4">
      <c r="A38" s="38" t="s">
        <v>27</v>
      </c>
      <c r="B38" s="39"/>
      <c r="C38" s="28">
        <v>588627</v>
      </c>
      <c r="D38" s="28">
        <f t="shared" si="7"/>
        <v>17858881.820000004</v>
      </c>
    </row>
    <row r="39" spans="1:65" s="17" customFormat="1" ht="10.8" x14ac:dyDescent="0.4">
      <c r="A39" s="30">
        <v>22.07</v>
      </c>
      <c r="B39" s="31"/>
      <c r="C39" s="32">
        <f>BO7</f>
        <v>34320</v>
      </c>
      <c r="D39" s="33">
        <f t="shared" si="7"/>
        <v>17824561.820000004</v>
      </c>
    </row>
    <row r="40" spans="1:65" s="17" customFormat="1" ht="10.8" x14ac:dyDescent="0.4">
      <c r="A40" s="38" t="s">
        <v>41</v>
      </c>
      <c r="B40" s="39"/>
      <c r="C40" s="28">
        <v>631815</v>
      </c>
      <c r="D40" s="28">
        <f t="shared" si="7"/>
        <v>17192746.820000004</v>
      </c>
    </row>
    <row r="41" spans="1:65" s="17" customFormat="1" ht="10.8" x14ac:dyDescent="0.4">
      <c r="A41" s="19" t="s">
        <v>25</v>
      </c>
      <c r="B41" s="22">
        <f>SUM(B10:B38)</f>
        <v>30000000</v>
      </c>
      <c r="C41" s="22">
        <f>SUM(C10:C40)</f>
        <v>12807253.18</v>
      </c>
      <c r="D41" s="22"/>
    </row>
    <row r="42" spans="1:65" x14ac:dyDescent="0.4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1"/>
    </row>
    <row r="43" spans="1:65" x14ac:dyDescent="0.4">
      <c r="A43" s="5"/>
      <c r="B43" s="5"/>
      <c r="C43" s="5"/>
      <c r="D43" s="6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11"/>
    </row>
    <row r="44" spans="1:65" x14ac:dyDescent="0.4">
      <c r="A44" s="5"/>
      <c r="B44" s="5"/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8"/>
      <c r="AG44" s="8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10"/>
    </row>
    <row r="45" spans="1:65" x14ac:dyDescent="0.4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8"/>
      <c r="AG45" s="8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0"/>
    </row>
    <row r="46" spans="1:65" x14ac:dyDescent="0.4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8"/>
      <c r="AG46" s="8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0"/>
    </row>
    <row r="47" spans="1:65" x14ac:dyDescent="0.4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  <c r="AG47" s="8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8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0"/>
    </row>
    <row r="48" spans="1:65" x14ac:dyDescent="0.4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8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0"/>
    </row>
    <row r="49" spans="1:65" x14ac:dyDescent="0.4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8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8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0"/>
    </row>
    <row r="50" spans="1:65" x14ac:dyDescent="0.4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8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4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4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8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8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4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4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8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8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4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8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4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8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8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4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8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4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8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8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4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8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4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8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4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8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4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8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4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8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4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4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8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8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4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8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8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4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8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4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8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4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8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4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8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4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8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4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8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8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4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8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4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8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4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8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8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8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8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8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8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8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8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8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8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8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8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8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8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8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8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8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8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8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8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8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8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8"/>
      <c r="AS117" s="8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8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8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8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8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1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1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1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1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1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1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1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1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1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1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8"/>
      <c r="L144" s="8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8"/>
      <c r="AF144" s="8"/>
      <c r="AG144" s="8"/>
      <c r="AH144" s="7"/>
      <c r="AI144" s="7"/>
      <c r="AJ144" s="7"/>
      <c r="AK144" s="7"/>
      <c r="AL144" s="7"/>
      <c r="AM144" s="7"/>
      <c r="AN144" s="7"/>
      <c r="AO144" s="7"/>
      <c r="AP144" s="7"/>
      <c r="AQ144" s="8"/>
      <c r="AR144" s="8"/>
      <c r="AS144" s="8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8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8"/>
      <c r="AS145" s="8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8"/>
      <c r="AD146" s="8"/>
      <c r="AE146" s="7"/>
      <c r="AF146" s="8"/>
      <c r="AG146" s="8"/>
      <c r="AH146" s="7"/>
      <c r="AI146" s="7"/>
      <c r="AJ146" s="7"/>
      <c r="AK146" s="7"/>
      <c r="AL146" s="7"/>
      <c r="AM146" s="7"/>
      <c r="AN146" s="7"/>
      <c r="AO146" s="8"/>
      <c r="AP146" s="7"/>
      <c r="AQ146" s="7"/>
      <c r="AR146" s="8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8"/>
      <c r="L147" s="8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8"/>
      <c r="AF147" s="8"/>
      <c r="AG147" s="8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8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8"/>
      <c r="K148" s="8"/>
      <c r="L148" s="8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8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8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8"/>
      <c r="AF149" s="8"/>
      <c r="AG149" s="8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8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8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8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8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8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8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8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8"/>
      <c r="AD152" s="7"/>
      <c r="AE152" s="7"/>
      <c r="AF152" s="8"/>
      <c r="AG152" s="8"/>
      <c r="AH152" s="7"/>
      <c r="AI152" s="7"/>
      <c r="AJ152" s="7"/>
      <c r="AK152" s="7"/>
      <c r="AL152" s="7"/>
      <c r="AM152" s="7"/>
      <c r="AN152" s="7"/>
      <c r="AO152" s="8"/>
      <c r="AP152" s="7"/>
      <c r="AQ152" s="7"/>
      <c r="AR152" s="8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8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8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8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8"/>
      <c r="AF154" s="8"/>
      <c r="AG154" s="8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8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8"/>
      <c r="AF155" s="8"/>
      <c r="AG155" s="8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8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8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8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8"/>
      <c r="AF158" s="8"/>
      <c r="AG158" s="8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8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8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8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8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8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8"/>
      <c r="AD165" s="7"/>
      <c r="AE165" s="7"/>
      <c r="AF165" s="8"/>
      <c r="AG165" s="8"/>
      <c r="AH165" s="7"/>
      <c r="AI165" s="7"/>
      <c r="AJ165" s="7"/>
      <c r="AK165" s="7"/>
      <c r="AL165" s="7"/>
      <c r="AM165" s="7"/>
      <c r="AN165" s="7"/>
      <c r="AO165" s="8"/>
      <c r="AP165" s="8"/>
      <c r="AQ165" s="7"/>
      <c r="AR165" s="8"/>
      <c r="AS165" s="8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8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8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8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8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8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8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8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8"/>
      <c r="AD173" s="8"/>
      <c r="AE173" s="7"/>
      <c r="AF173" s="7"/>
      <c r="AG173" s="8"/>
      <c r="AH173" s="7"/>
      <c r="AI173" s="7"/>
      <c r="AJ173" s="7"/>
      <c r="AK173" s="7"/>
      <c r="AL173" s="7"/>
      <c r="AM173" s="7"/>
      <c r="AN173" s="7"/>
      <c r="AO173" s="8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8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8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8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8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8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8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8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8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8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8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8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8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8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8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8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8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8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8"/>
      <c r="AD195" s="8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8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8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8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8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8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8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8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8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8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8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8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8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8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8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8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8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8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8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8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8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8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8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8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8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8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8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8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8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8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8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8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8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8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8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8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8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8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8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8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8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8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8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8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8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8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8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8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8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8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8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0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0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8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0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8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8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0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8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0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1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1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1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1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1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1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1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1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1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1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1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1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1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1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1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1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1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1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1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1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1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1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1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1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1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1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1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11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8"/>
      <c r="L315" s="8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8"/>
      <c r="AF315" s="8"/>
      <c r="AG315" s="8"/>
      <c r="AH315" s="7"/>
      <c r="AI315" s="7"/>
      <c r="AJ315" s="7"/>
      <c r="AK315" s="8"/>
      <c r="AL315" s="8"/>
      <c r="AM315" s="8"/>
      <c r="AN315" s="7"/>
      <c r="AO315" s="7"/>
      <c r="AP315" s="7"/>
      <c r="AQ315" s="8"/>
      <c r="AR315" s="8"/>
      <c r="AS315" s="8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9"/>
      <c r="BM315" s="10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8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8"/>
      <c r="AF316" s="8"/>
      <c r="AG316" s="8"/>
      <c r="AH316" s="7"/>
      <c r="AI316" s="7"/>
      <c r="AJ316" s="7"/>
      <c r="AK316" s="8"/>
      <c r="AL316" s="8"/>
      <c r="AM316" s="8"/>
      <c r="AN316" s="7"/>
      <c r="AO316" s="7"/>
      <c r="AP316" s="7"/>
      <c r="AQ316" s="7"/>
      <c r="AR316" s="8"/>
      <c r="AS316" s="8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9"/>
      <c r="BM316" s="10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8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8"/>
      <c r="AF317" s="8"/>
      <c r="AG317" s="8"/>
      <c r="AH317" s="7"/>
      <c r="AI317" s="7"/>
      <c r="AJ317" s="7"/>
      <c r="AK317" s="8"/>
      <c r="AL317" s="8"/>
      <c r="AM317" s="8"/>
      <c r="AN317" s="7"/>
      <c r="AO317" s="7"/>
      <c r="AP317" s="7"/>
      <c r="AQ317" s="8"/>
      <c r="AR317" s="8"/>
      <c r="AS317" s="8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10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8"/>
      <c r="AF318" s="8"/>
      <c r="AG318" s="8"/>
      <c r="AH318" s="7"/>
      <c r="AI318" s="7"/>
      <c r="AJ318" s="7"/>
      <c r="AK318" s="8"/>
      <c r="AL318" s="8"/>
      <c r="AM318" s="8"/>
      <c r="AN318" s="7"/>
      <c r="AO318" s="7"/>
      <c r="AP318" s="7"/>
      <c r="AQ318" s="8"/>
      <c r="AR318" s="8"/>
      <c r="AS318" s="8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10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8"/>
      <c r="AH319" s="7"/>
      <c r="AI319" s="7"/>
      <c r="AJ319" s="7"/>
      <c r="AK319" s="7"/>
      <c r="AL319" s="8"/>
      <c r="AM319" s="8"/>
      <c r="AN319" s="7"/>
      <c r="AO319" s="7"/>
      <c r="AP319" s="7"/>
      <c r="AQ319" s="7"/>
      <c r="AR319" s="8"/>
      <c r="AS319" s="8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9"/>
      <c r="BM319" s="10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8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8"/>
      <c r="AF320" s="8"/>
      <c r="AG320" s="8"/>
      <c r="AH320" s="7"/>
      <c r="AI320" s="7"/>
      <c r="AJ320" s="7"/>
      <c r="AK320" s="8"/>
      <c r="AL320" s="8"/>
      <c r="AM320" s="8"/>
      <c r="AN320" s="7"/>
      <c r="AO320" s="7"/>
      <c r="AP320" s="7"/>
      <c r="AQ320" s="7"/>
      <c r="AR320" s="8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8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8"/>
      <c r="AF321" s="8"/>
      <c r="AG321" s="8"/>
      <c r="AH321" s="7"/>
      <c r="AI321" s="7"/>
      <c r="AJ321" s="7"/>
      <c r="AK321" s="8"/>
      <c r="AL321" s="8"/>
      <c r="AM321" s="8"/>
      <c r="AN321" s="7"/>
      <c r="AO321" s="7"/>
      <c r="AP321" s="7"/>
      <c r="AQ321" s="7"/>
      <c r="AR321" s="8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10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8"/>
      <c r="AF322" s="8"/>
      <c r="AG322" s="8"/>
      <c r="AH322" s="7"/>
      <c r="AI322" s="7"/>
      <c r="AJ322" s="7"/>
      <c r="AK322" s="8"/>
      <c r="AL322" s="8"/>
      <c r="AM322" s="8"/>
      <c r="AN322" s="7"/>
      <c r="AO322" s="7"/>
      <c r="AP322" s="7"/>
      <c r="AQ322" s="7"/>
      <c r="AR322" s="8"/>
      <c r="AS322" s="8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9"/>
      <c r="BM322" s="10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8"/>
      <c r="L323" s="8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8"/>
      <c r="AF323" s="8"/>
      <c r="AG323" s="8"/>
      <c r="AH323" s="7"/>
      <c r="AI323" s="7"/>
      <c r="AJ323" s="7"/>
      <c r="AK323" s="8"/>
      <c r="AL323" s="8"/>
      <c r="AM323" s="8"/>
      <c r="AN323" s="7"/>
      <c r="AO323" s="7"/>
      <c r="AP323" s="7"/>
      <c r="AQ323" s="7"/>
      <c r="AR323" s="8"/>
      <c r="AS323" s="8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8"/>
      <c r="AF324" s="8"/>
      <c r="AG324" s="8"/>
      <c r="AH324" s="7"/>
      <c r="AI324" s="7"/>
      <c r="AJ324" s="7"/>
      <c r="AK324" s="8"/>
      <c r="AL324" s="8"/>
      <c r="AM324" s="8"/>
      <c r="AN324" s="7"/>
      <c r="AO324" s="7"/>
      <c r="AP324" s="7"/>
      <c r="AQ324" s="7"/>
      <c r="AR324" s="8"/>
      <c r="AS324" s="8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8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8"/>
      <c r="AF325" s="8"/>
      <c r="AG325" s="8"/>
      <c r="AH325" s="7"/>
      <c r="AI325" s="7"/>
      <c r="AJ325" s="7"/>
      <c r="AK325" s="8"/>
      <c r="AL325" s="8"/>
      <c r="AM325" s="8"/>
      <c r="AN325" s="7"/>
      <c r="AO325" s="7"/>
      <c r="AP325" s="7"/>
      <c r="AQ325" s="7"/>
      <c r="AR325" s="8"/>
      <c r="AS325" s="8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8"/>
      <c r="AH326" s="7"/>
      <c r="AI326" s="7"/>
      <c r="AJ326" s="7"/>
      <c r="AK326" s="8"/>
      <c r="AL326" s="8"/>
      <c r="AM326" s="8"/>
      <c r="AN326" s="7"/>
      <c r="AO326" s="7"/>
      <c r="AP326" s="7"/>
      <c r="AQ326" s="7"/>
      <c r="AR326" s="8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8"/>
      <c r="AG327" s="8"/>
      <c r="AH327" s="7"/>
      <c r="AI327" s="7"/>
      <c r="AJ327" s="7"/>
      <c r="AK327" s="7"/>
      <c r="AL327" s="8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9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8"/>
      <c r="K328" s="7"/>
      <c r="L328" s="8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8"/>
      <c r="AG328" s="8"/>
      <c r="AH328" s="7"/>
      <c r="AI328" s="7"/>
      <c r="AJ328" s="7"/>
      <c r="AK328" s="7"/>
      <c r="AL328" s="8"/>
      <c r="AM328" s="8"/>
      <c r="AN328" s="7"/>
      <c r="AO328" s="7"/>
      <c r="AP328" s="7"/>
      <c r="AQ328" s="7"/>
      <c r="AR328" s="8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8"/>
      <c r="AG329" s="7"/>
      <c r="AH329" s="7"/>
      <c r="AI329" s="7"/>
      <c r="AJ329" s="7"/>
      <c r="AK329" s="7"/>
      <c r="AL329" s="8"/>
      <c r="AM329" s="8"/>
      <c r="AN329" s="7"/>
      <c r="AO329" s="7"/>
      <c r="AP329" s="7"/>
      <c r="AQ329" s="7"/>
      <c r="AR329" s="8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8"/>
      <c r="AG330" s="7"/>
      <c r="AH330" s="7"/>
      <c r="AI330" s="7"/>
      <c r="AJ330" s="7"/>
      <c r="AK330" s="7"/>
      <c r="AL330" s="8"/>
      <c r="AM330" s="8"/>
      <c r="AN330" s="7"/>
      <c r="AO330" s="7"/>
      <c r="AP330" s="7"/>
      <c r="AQ330" s="7"/>
      <c r="AR330" s="8"/>
      <c r="AS330" s="8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9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8"/>
      <c r="AH331" s="7"/>
      <c r="AI331" s="7"/>
      <c r="AJ331" s="7"/>
      <c r="AK331" s="7"/>
      <c r="AL331" s="8"/>
      <c r="AM331" s="8"/>
      <c r="AN331" s="7"/>
      <c r="AO331" s="7"/>
      <c r="AP331" s="7"/>
      <c r="AQ331" s="7"/>
      <c r="AR331" s="8"/>
      <c r="AS331" s="8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7"/>
      <c r="AH332" s="7"/>
      <c r="AI332" s="8"/>
      <c r="AJ332" s="8"/>
      <c r="AK332" s="7"/>
      <c r="AL332" s="7"/>
      <c r="AM332" s="7"/>
      <c r="AN332" s="7"/>
      <c r="AO332" s="7"/>
      <c r="AP332" s="7"/>
      <c r="AQ332" s="7"/>
      <c r="AR332" s="8"/>
      <c r="AS332" s="8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7"/>
      <c r="AH333" s="7"/>
      <c r="AI333" s="7"/>
      <c r="AJ333" s="7"/>
      <c r="AK333" s="7"/>
      <c r="AL333" s="8"/>
      <c r="AM333" s="8"/>
      <c r="AN333" s="7"/>
      <c r="AO333" s="7"/>
      <c r="AP333" s="7"/>
      <c r="AQ333" s="7"/>
      <c r="AR333" s="8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8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8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8"/>
      <c r="AS335" s="8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8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8"/>
      <c r="AM337" s="7"/>
      <c r="AN337" s="7"/>
      <c r="AO337" s="7"/>
      <c r="AP337" s="7"/>
      <c r="AQ337" s="7"/>
      <c r="AR337" s="8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7"/>
      <c r="AH338" s="7"/>
      <c r="AI338" s="7"/>
      <c r="AJ338" s="7"/>
      <c r="AK338" s="7"/>
      <c r="AL338" s="8"/>
      <c r="AM338" s="7"/>
      <c r="AN338" s="7"/>
      <c r="AO338" s="7"/>
      <c r="AP338" s="7"/>
      <c r="AQ338" s="7"/>
      <c r="AR338" s="8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8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8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8"/>
      <c r="AM341" s="8"/>
      <c r="AN341" s="7"/>
      <c r="AO341" s="7"/>
      <c r="AP341" s="7"/>
      <c r="AQ341" s="7"/>
      <c r="AR341" s="8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8"/>
      <c r="AH342" s="7"/>
      <c r="AI342" s="7"/>
      <c r="AJ342" s="7"/>
      <c r="AK342" s="7"/>
      <c r="AL342" s="8"/>
      <c r="AM342" s="8"/>
      <c r="AN342" s="7"/>
      <c r="AO342" s="7"/>
      <c r="AP342" s="7"/>
      <c r="AQ342" s="7"/>
      <c r="AR342" s="8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9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8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8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8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9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8"/>
      <c r="AH346" s="7"/>
      <c r="AI346" s="7"/>
      <c r="AJ346" s="7"/>
      <c r="AK346" s="7"/>
      <c r="AL346" s="8"/>
      <c r="AM346" s="8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9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8"/>
      <c r="AH347" s="7"/>
      <c r="AI347" s="7"/>
      <c r="AJ347" s="7"/>
      <c r="AK347" s="7"/>
      <c r="AL347" s="8"/>
      <c r="AM347" s="8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8"/>
      <c r="AM348" s="8"/>
      <c r="AN348" s="7"/>
      <c r="AO348" s="7"/>
      <c r="AP348" s="7"/>
      <c r="AQ348" s="7"/>
      <c r="AR348" s="8"/>
      <c r="AS348" s="8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9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8"/>
      <c r="AH349" s="7"/>
      <c r="AI349" s="7"/>
      <c r="AJ349" s="7"/>
      <c r="AK349" s="7"/>
      <c r="AL349" s="8"/>
      <c r="AM349" s="8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8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8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9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8"/>
      <c r="AM353" s="8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8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9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8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8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9"/>
      <c r="BM357" s="10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0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8"/>
      <c r="AM359" s="8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9"/>
      <c r="BM359" s="10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8"/>
      <c r="AM360" s="8"/>
      <c r="AN360" s="7"/>
      <c r="AO360" s="7"/>
      <c r="AP360" s="7"/>
      <c r="AQ360" s="7"/>
      <c r="AR360" s="8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0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8"/>
      <c r="AJ361" s="7"/>
      <c r="AK361" s="7"/>
      <c r="AL361" s="8"/>
      <c r="AM361" s="7"/>
      <c r="AN361" s="7"/>
      <c r="AO361" s="8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9"/>
      <c r="BM361" s="10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8"/>
      <c r="AM362" s="8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9"/>
      <c r="BM362" s="10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8"/>
      <c r="AM363" s="7"/>
      <c r="AN363" s="7"/>
      <c r="AO363" s="7"/>
      <c r="AP363" s="7"/>
      <c r="AQ363" s="7"/>
      <c r="AR363" s="8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9"/>
      <c r="BM363" s="10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8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9"/>
      <c r="BM364" s="10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8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8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0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8"/>
      <c r="AG366" s="7"/>
      <c r="AH366" s="7"/>
      <c r="AI366" s="7"/>
      <c r="AJ366" s="7"/>
      <c r="AK366" s="7"/>
      <c r="AL366" s="8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9"/>
      <c r="BM366" s="10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8"/>
      <c r="AS367" s="8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0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8"/>
      <c r="AG368" s="7"/>
      <c r="AH368" s="7"/>
      <c r="AI368" s="7"/>
      <c r="AJ368" s="7"/>
      <c r="AK368" s="7"/>
      <c r="AL368" s="8"/>
      <c r="AM368" s="8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9"/>
      <c r="BM368" s="10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8"/>
      <c r="AM369" s="8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9"/>
      <c r="BM369" s="10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8"/>
      <c r="AG370" s="7"/>
      <c r="AH370" s="7"/>
      <c r="AI370" s="7"/>
      <c r="AJ370" s="7"/>
      <c r="AK370" s="7"/>
      <c r="AL370" s="7"/>
      <c r="AM370" s="8"/>
      <c r="AN370" s="7"/>
      <c r="AO370" s="7"/>
      <c r="AP370" s="7"/>
      <c r="AQ370" s="7"/>
      <c r="AR370" s="8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0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8"/>
      <c r="AG371" s="7"/>
      <c r="AH371" s="7"/>
      <c r="AI371" s="7"/>
      <c r="AJ371" s="7"/>
      <c r="AK371" s="7"/>
      <c r="AL371" s="8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9"/>
      <c r="BM371" s="10"/>
    </row>
    <row r="372" spans="1:65" x14ac:dyDescent="0.4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8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9"/>
      <c r="BM372" s="10"/>
    </row>
    <row r="373" spans="1:65" x14ac:dyDescent="0.4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8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9"/>
      <c r="BM373" s="10"/>
    </row>
    <row r="374" spans="1:65" x14ac:dyDescent="0.4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8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0"/>
    </row>
    <row r="375" spans="1:65" x14ac:dyDescent="0.4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8"/>
      <c r="AG375" s="7"/>
      <c r="AH375" s="7"/>
      <c r="AI375" s="7"/>
      <c r="AJ375" s="7"/>
      <c r="AK375" s="7"/>
      <c r="AL375" s="8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9"/>
      <c r="BM375" s="10"/>
    </row>
    <row r="376" spans="1:65" x14ac:dyDescent="0.4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8"/>
      <c r="AN376" s="7"/>
      <c r="AO376" s="7"/>
      <c r="AP376" s="7"/>
      <c r="AQ376" s="7"/>
      <c r="AR376" s="8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0"/>
    </row>
    <row r="377" spans="1:65" x14ac:dyDescent="0.4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8"/>
      <c r="AG377" s="7"/>
      <c r="AH377" s="7"/>
      <c r="AI377" s="7"/>
      <c r="AJ377" s="7"/>
      <c r="AK377" s="7"/>
      <c r="AL377" s="8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9"/>
      <c r="BM377" s="10"/>
    </row>
    <row r="378" spans="1:65" x14ac:dyDescent="0.4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8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9"/>
      <c r="BM378" s="10"/>
    </row>
    <row r="379" spans="1:65" x14ac:dyDescent="0.4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8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10"/>
    </row>
    <row r="380" spans="1:65" x14ac:dyDescent="0.4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8"/>
      <c r="AG380" s="8"/>
      <c r="AH380" s="7"/>
      <c r="AI380" s="7"/>
      <c r="AJ380" s="7"/>
      <c r="AK380" s="7"/>
      <c r="AL380" s="8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0"/>
    </row>
    <row r="381" spans="1:65" x14ac:dyDescent="0.4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8"/>
      <c r="AM381" s="7"/>
      <c r="AN381" s="7"/>
      <c r="AO381" s="7"/>
      <c r="AP381" s="7"/>
      <c r="AQ381" s="7"/>
      <c r="AR381" s="8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9"/>
      <c r="BM381" s="10"/>
    </row>
    <row r="382" spans="1:65" x14ac:dyDescent="0.4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8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9"/>
      <c r="BM382" s="10"/>
    </row>
    <row r="383" spans="1:65" x14ac:dyDescent="0.4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9"/>
      <c r="BM383" s="10"/>
    </row>
    <row r="384" spans="1:65" x14ac:dyDescent="0.4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8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8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0"/>
    </row>
    <row r="385" spans="1:65" x14ac:dyDescent="0.4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8"/>
      <c r="AG385" s="7"/>
      <c r="AH385" s="7"/>
      <c r="AI385" s="7"/>
      <c r="AJ385" s="7"/>
      <c r="AK385" s="7"/>
      <c r="AL385" s="8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10"/>
    </row>
    <row r="386" spans="1:65" x14ac:dyDescent="0.4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8"/>
      <c r="AG386" s="7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9"/>
      <c r="BM386" s="10"/>
    </row>
    <row r="387" spans="1:65" x14ac:dyDescent="0.4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8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9"/>
      <c r="BM387" s="10"/>
    </row>
    <row r="388" spans="1:65" x14ac:dyDescent="0.4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8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8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10"/>
    </row>
    <row r="389" spans="1:65" x14ac:dyDescent="0.4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8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9"/>
      <c r="BM389" s="10"/>
    </row>
    <row r="390" spans="1:65" x14ac:dyDescent="0.4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8"/>
      <c r="AG390" s="8"/>
      <c r="AH390" s="7"/>
      <c r="AI390" s="7"/>
      <c r="AJ390" s="7"/>
      <c r="AK390" s="7"/>
      <c r="AL390" s="7"/>
      <c r="AM390" s="8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10"/>
    </row>
    <row r="391" spans="1:65" x14ac:dyDescent="0.4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8"/>
      <c r="AH391" s="7"/>
      <c r="AI391" s="7"/>
      <c r="AJ391" s="7"/>
      <c r="AK391" s="7"/>
      <c r="AL391" s="7"/>
      <c r="AM391" s="8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10"/>
    </row>
    <row r="392" spans="1:65" x14ac:dyDescent="0.4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8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10"/>
    </row>
    <row r="393" spans="1:65" x14ac:dyDescent="0.4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8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10"/>
    </row>
    <row r="394" spans="1:65" x14ac:dyDescent="0.4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8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9"/>
      <c r="BM394" s="10"/>
    </row>
    <row r="395" spans="1:65" x14ac:dyDescent="0.4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8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10"/>
    </row>
    <row r="396" spans="1:65" x14ac:dyDescent="0.4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8"/>
      <c r="AM396" s="8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4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8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10"/>
    </row>
    <row r="398" spans="1:65" x14ac:dyDescent="0.4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8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9"/>
      <c r="BM398" s="10"/>
    </row>
    <row r="399" spans="1:65" x14ac:dyDescent="0.4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8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0"/>
    </row>
    <row r="400" spans="1:65" x14ac:dyDescent="0.4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8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0"/>
    </row>
    <row r="401" spans="1:65" x14ac:dyDescent="0.4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8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10"/>
    </row>
    <row r="402" spans="1:65" x14ac:dyDescent="0.4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8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10"/>
    </row>
    <row r="403" spans="1:65" x14ac:dyDescent="0.4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8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10"/>
    </row>
    <row r="404" spans="1:65" x14ac:dyDescent="0.4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8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0"/>
    </row>
    <row r="405" spans="1:65" x14ac:dyDescent="0.4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8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0"/>
    </row>
    <row r="406" spans="1:65" x14ac:dyDescent="0.4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8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10"/>
    </row>
    <row r="407" spans="1:65" x14ac:dyDescent="0.4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8"/>
      <c r="AH407" s="7"/>
      <c r="AI407" s="7"/>
      <c r="AJ407" s="7"/>
      <c r="AK407" s="7"/>
      <c r="AL407" s="7"/>
      <c r="AM407" s="8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0"/>
    </row>
    <row r="408" spans="1:65" x14ac:dyDescent="0.4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8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0"/>
    </row>
    <row r="409" spans="1:65" x14ac:dyDescent="0.4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8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0"/>
    </row>
    <row r="410" spans="1:65" x14ac:dyDescent="0.4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8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0"/>
    </row>
    <row r="411" spans="1:65" x14ac:dyDescent="0.4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8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0"/>
    </row>
    <row r="412" spans="1:65" x14ac:dyDescent="0.4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8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0"/>
    </row>
    <row r="413" spans="1:65" x14ac:dyDescent="0.4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8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0"/>
    </row>
    <row r="414" spans="1:65" x14ac:dyDescent="0.4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8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0"/>
    </row>
    <row r="415" spans="1:65" x14ac:dyDescent="0.4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8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0"/>
    </row>
    <row r="416" spans="1:65" x14ac:dyDescent="0.4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8"/>
      <c r="AG416" s="7"/>
      <c r="AH416" s="7"/>
      <c r="AI416" s="7"/>
      <c r="AJ416" s="7"/>
      <c r="AK416" s="7"/>
      <c r="AL416" s="7"/>
      <c r="AM416" s="8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0"/>
    </row>
    <row r="417" spans="1:65" x14ac:dyDescent="0.4">
      <c r="A417" s="5"/>
      <c r="B417" s="5"/>
      <c r="C417" s="5"/>
      <c r="D417" s="6"/>
      <c r="E417" s="5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8"/>
      <c r="AG417" s="7"/>
      <c r="AH417" s="7"/>
      <c r="AI417" s="7"/>
      <c r="AJ417" s="7"/>
      <c r="AK417" s="7"/>
      <c r="AL417" s="7"/>
      <c r="AM417" s="8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10"/>
    </row>
    <row r="418" spans="1:65" x14ac:dyDescent="0.4">
      <c r="A418" s="5"/>
      <c r="B418" s="5"/>
      <c r="C418" s="5"/>
      <c r="D418" s="6"/>
      <c r="E418" s="5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8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10"/>
    </row>
    <row r="419" spans="1:65" x14ac:dyDescent="0.4">
      <c r="A419" s="5"/>
      <c r="B419" s="5"/>
      <c r="C419" s="5"/>
      <c r="D419" s="6"/>
      <c r="E419" s="5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8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10"/>
    </row>
    <row r="420" spans="1:65" x14ac:dyDescent="0.4">
      <c r="A420" s="5"/>
      <c r="B420" s="5"/>
      <c r="C420" s="5"/>
      <c r="D420" s="6"/>
      <c r="E420" s="5"/>
      <c r="F420" s="5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8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10"/>
    </row>
    <row r="421" spans="1:65" x14ac:dyDescent="0.4">
      <c r="A421" s="5"/>
      <c r="B421" s="5"/>
      <c r="C421" s="5"/>
      <c r="D421" s="6"/>
      <c r="E421" s="5"/>
      <c r="F421" s="5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8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10"/>
    </row>
    <row r="422" spans="1:65" x14ac:dyDescent="0.4">
      <c r="A422" s="5"/>
      <c r="B422" s="5"/>
      <c r="C422" s="5"/>
      <c r="D422" s="6"/>
      <c r="E422" s="5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8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10"/>
    </row>
    <row r="423" spans="1:65" x14ac:dyDescent="0.4">
      <c r="A423" s="5"/>
      <c r="B423" s="5"/>
      <c r="C423" s="5"/>
      <c r="D423" s="6"/>
      <c r="E423" s="5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8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10"/>
    </row>
    <row r="424" spans="1:65" x14ac:dyDescent="0.4">
      <c r="A424" s="5"/>
      <c r="B424" s="5"/>
      <c r="C424" s="5"/>
      <c r="D424" s="6"/>
      <c r="E424" s="5"/>
      <c r="F424" s="5"/>
      <c r="G424" s="5"/>
      <c r="H424" s="7"/>
      <c r="I424" s="7"/>
      <c r="J424" s="7"/>
      <c r="K424" s="7"/>
      <c r="L424" s="8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10"/>
    </row>
    <row r="425" spans="1:65" x14ac:dyDescent="0.4">
      <c r="A425" s="5"/>
      <c r="B425" s="5"/>
      <c r="C425" s="5"/>
      <c r="D425" s="6"/>
      <c r="E425" s="5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8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10"/>
    </row>
    <row r="426" spans="1:65" x14ac:dyDescent="0.4">
      <c r="A426" s="5"/>
      <c r="B426" s="5"/>
      <c r="C426" s="5"/>
      <c r="D426" s="6"/>
      <c r="E426" s="5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10"/>
    </row>
    <row r="427" spans="1:65" x14ac:dyDescent="0.4">
      <c r="A427" s="5"/>
      <c r="B427" s="5"/>
      <c r="C427" s="5"/>
      <c r="D427" s="6"/>
      <c r="E427" s="5"/>
      <c r="F427" s="5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8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10"/>
    </row>
    <row r="428" spans="1:65" x14ac:dyDescent="0.4">
      <c r="A428" s="5"/>
      <c r="B428" s="5"/>
      <c r="C428" s="5"/>
      <c r="D428" s="6"/>
      <c r="E428" s="5"/>
      <c r="F428" s="5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8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10"/>
    </row>
    <row r="429" spans="1:65" x14ac:dyDescent="0.4">
      <c r="A429" s="5"/>
      <c r="B429" s="5"/>
      <c r="C429" s="5"/>
      <c r="D429" s="6"/>
      <c r="E429" s="5"/>
      <c r="F429" s="5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8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10"/>
    </row>
    <row r="430" spans="1:65" x14ac:dyDescent="0.4">
      <c r="A430" s="5"/>
      <c r="B430" s="5"/>
      <c r="C430" s="5"/>
      <c r="D430" s="6"/>
      <c r="E430" s="5"/>
      <c r="F430" s="5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11"/>
    </row>
    <row r="431" spans="1:65" x14ac:dyDescent="0.4">
      <c r="A431" s="5"/>
      <c r="B431" s="5"/>
      <c r="C431" s="5"/>
      <c r="D431" s="6"/>
      <c r="E431" s="5"/>
      <c r="F431" s="5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11"/>
    </row>
    <row r="432" spans="1:65" x14ac:dyDescent="0.4">
      <c r="A432" s="5"/>
      <c r="B432" s="5"/>
      <c r="C432" s="5"/>
      <c r="D432" s="6"/>
      <c r="E432" s="5"/>
      <c r="F432" s="5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11"/>
    </row>
    <row r="433" spans="1:65" x14ac:dyDescent="0.4">
      <c r="A433" s="5"/>
      <c r="B433" s="5"/>
      <c r="C433" s="5"/>
      <c r="D433" s="6"/>
      <c r="E433" s="5"/>
      <c r="F433" s="5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11"/>
    </row>
    <row r="434" spans="1:65" x14ac:dyDescent="0.4">
      <c r="A434" s="5"/>
      <c r="B434" s="5"/>
      <c r="C434" s="5"/>
      <c r="D434" s="6"/>
      <c r="E434" s="5"/>
      <c r="F434" s="5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11"/>
    </row>
    <row r="435" spans="1:65" x14ac:dyDescent="0.4">
      <c r="A435" s="5"/>
      <c r="B435" s="5"/>
      <c r="C435" s="5"/>
      <c r="D435" s="6"/>
      <c r="E435" s="5"/>
      <c r="F435" s="5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11"/>
    </row>
    <row r="436" spans="1:65" x14ac:dyDescent="0.4">
      <c r="A436" s="5"/>
      <c r="B436" s="5"/>
      <c r="C436" s="5"/>
      <c r="D436" s="6"/>
      <c r="E436" s="5"/>
      <c r="F436" s="5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11"/>
    </row>
    <row r="437" spans="1:65" x14ac:dyDescent="0.4">
      <c r="A437" s="5"/>
      <c r="B437" s="5"/>
      <c r="C437" s="5"/>
      <c r="D437" s="6"/>
      <c r="E437" s="5"/>
      <c r="F437" s="5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11"/>
    </row>
    <row r="438" spans="1:65" x14ac:dyDescent="0.4">
      <c r="A438" s="5"/>
      <c r="B438" s="5"/>
      <c r="C438" s="5"/>
      <c r="D438" s="6"/>
      <c r="E438" s="5"/>
      <c r="F438" s="5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11"/>
    </row>
    <row r="439" spans="1:65" x14ac:dyDescent="0.4">
      <c r="A439" s="5"/>
      <c r="B439" s="5"/>
      <c r="C439" s="5"/>
      <c r="D439" s="6"/>
      <c r="E439" s="5"/>
      <c r="F439" s="5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11"/>
    </row>
    <row r="440" spans="1:65" x14ac:dyDescent="0.4">
      <c r="A440" s="5"/>
      <c r="B440" s="5"/>
      <c r="C440" s="5"/>
      <c r="D440" s="6"/>
      <c r="E440" s="5"/>
      <c r="F440" s="5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11"/>
    </row>
    <row r="441" spans="1:65" x14ac:dyDescent="0.4">
      <c r="A441" s="5"/>
      <c r="B441" s="5"/>
      <c r="C441" s="5"/>
      <c r="D441" s="6"/>
      <c r="E441" s="5"/>
      <c r="F441" s="5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11"/>
    </row>
    <row r="442" spans="1:65" x14ac:dyDescent="0.4">
      <c r="A442" s="5"/>
      <c r="B442" s="5"/>
      <c r="C442" s="5"/>
      <c r="D442" s="6"/>
      <c r="E442" s="5"/>
      <c r="F442" s="5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11"/>
    </row>
    <row r="443" spans="1:65" x14ac:dyDescent="0.4">
      <c r="A443" s="5"/>
      <c r="B443" s="5"/>
      <c r="C443" s="5"/>
      <c r="D443" s="6"/>
      <c r="E443" s="5"/>
      <c r="F443" s="5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11"/>
    </row>
    <row r="444" spans="1:65" x14ac:dyDescent="0.4">
      <c r="A444" s="5"/>
      <c r="B444" s="5"/>
      <c r="C444" s="5"/>
      <c r="D444" s="6"/>
      <c r="E444" s="5"/>
      <c r="F444" s="5"/>
      <c r="G444" s="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2022-08-03T07:02:20Z</dcterms:modified>
</cp:coreProperties>
</file>