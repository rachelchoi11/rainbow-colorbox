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네이버\"/>
    </mc:Choice>
  </mc:AlternateContent>
  <bookViews>
    <workbookView xWindow="0" yWindow="0" windowWidth="23040" windowHeight="8952" tabRatio="766"/>
  </bookViews>
  <sheets>
    <sheet name="합계 (7)" sheetId="412" r:id="rId1"/>
  </sheets>
  <definedNames>
    <definedName name="_xlnm._FilterDatabase" localSheetId="0" hidden="1">'합계 (7)'!$A$1:$AM$1</definedName>
    <definedName name="_xlnm.Extract" localSheetId="0">'합계 (7)'!#REF!</definedName>
  </definedNames>
  <calcPr calcId="152511"/>
</workbook>
</file>

<file path=xl/calcChain.xml><?xml version="1.0" encoding="utf-8"?>
<calcChain xmlns="http://schemas.openxmlformats.org/spreadsheetml/2006/main">
  <c r="BO71" i="412" l="1"/>
  <c r="BN29" i="412"/>
  <c r="BO29" i="412" s="1"/>
  <c r="BN30" i="412"/>
  <c r="BO30" i="412" s="1"/>
  <c r="BN31" i="412"/>
  <c r="BO31" i="412" s="1"/>
  <c r="BN32" i="412"/>
  <c r="BO32" i="412"/>
  <c r="BN33" i="412"/>
  <c r="BO33" i="412" s="1"/>
  <c r="BN34" i="412"/>
  <c r="BO34" i="412" s="1"/>
  <c r="BN35" i="412"/>
  <c r="BO35" i="412" s="1"/>
  <c r="BN36" i="412"/>
  <c r="BO36" i="412"/>
  <c r="BN37" i="412"/>
  <c r="BO37" i="412" s="1"/>
  <c r="BN38" i="412"/>
  <c r="BO38" i="412" s="1"/>
  <c r="BN39" i="412"/>
  <c r="BO39" i="412" s="1"/>
  <c r="BN40" i="412"/>
  <c r="BO40" i="412"/>
  <c r="BN41" i="412"/>
  <c r="BO41" i="412" s="1"/>
  <c r="BN42" i="412"/>
  <c r="BO42" i="412" s="1"/>
  <c r="BN43" i="412"/>
  <c r="BO43" i="412" s="1"/>
  <c r="BN44" i="412"/>
  <c r="BO44" i="412"/>
  <c r="BN45" i="412"/>
  <c r="BO45" i="412" s="1"/>
  <c r="BN46" i="412"/>
  <c r="BO46" i="412" s="1"/>
  <c r="BN47" i="412"/>
  <c r="BO47" i="412" s="1"/>
  <c r="BN48" i="412"/>
  <c r="BO48" i="412"/>
  <c r="BN49" i="412"/>
  <c r="BO49" i="412" s="1"/>
  <c r="BN50" i="412"/>
  <c r="BO50" i="412" s="1"/>
  <c r="BN51" i="412"/>
  <c r="BO51" i="412" s="1"/>
  <c r="BN52" i="412"/>
  <c r="BO52" i="412"/>
  <c r="BN53" i="412"/>
  <c r="BO53" i="412" s="1"/>
  <c r="BN54" i="412"/>
  <c r="BO54" i="412" s="1"/>
  <c r="BN55" i="412"/>
  <c r="BO55" i="412" s="1"/>
  <c r="BN56" i="412"/>
  <c r="BO56" i="412"/>
  <c r="BN57" i="412"/>
  <c r="BO57" i="412" s="1"/>
  <c r="BN58" i="412"/>
  <c r="BO58" i="412" s="1"/>
  <c r="BN59" i="412"/>
  <c r="BO59" i="412" s="1"/>
  <c r="BN60" i="412"/>
  <c r="BO60" i="412"/>
  <c r="BN61" i="412"/>
  <c r="BO61" i="412" s="1"/>
  <c r="BN62" i="412"/>
  <c r="BO62" i="412" s="1"/>
  <c r="BN63" i="412"/>
  <c r="BO63" i="412" s="1"/>
  <c r="BN64" i="412"/>
  <c r="BO64" i="412"/>
  <c r="BN65" i="412"/>
  <c r="BO65" i="412" s="1"/>
  <c r="BN66" i="412"/>
  <c r="BO66" i="412" s="1"/>
  <c r="BN67" i="412"/>
  <c r="BO67" i="412" s="1"/>
  <c r="BN68" i="412"/>
  <c r="BO68" i="412"/>
  <c r="BN69" i="412"/>
  <c r="BO69" i="412" s="1"/>
  <c r="BN70" i="412"/>
  <c r="BO70" i="412" s="1"/>
  <c r="BM71" i="412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" i="412" l="1"/>
  <c r="BO2" i="412" l="1"/>
</calcChain>
</file>

<file path=xl/sharedStrings.xml><?xml version="1.0" encoding="utf-8"?>
<sst xmlns="http://schemas.openxmlformats.org/spreadsheetml/2006/main" count="552" uniqueCount="189">
  <si>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</si>
  <si>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</si>
  <si>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</si>
  <si>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</si>
  <si>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</si>
  <si>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</si>
  <si>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</si>
  <si>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</si>
  <si>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</si>
  <si>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</si>
  <si>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</si>
  <si>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</si>
  <si>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2022.03.16</t>
  </si>
  <si>
    <t>법보다 주먹 [단행본]</t>
  </si>
  <si>
    <t>스토리위즈_2</t>
  </si>
  <si>
    <t>백범(白帆)</t>
  </si>
  <si>
    <t>에필로그</t>
  </si>
  <si>
    <t>2022.04.13</t>
  </si>
  <si>
    <t>법보다 주먹</t>
  </si>
  <si>
    <t>일교차 [단행본]</t>
  </si>
  <si>
    <t>해화</t>
  </si>
  <si>
    <t>밀리오리지널</t>
  </si>
  <si>
    <t>2022.04.08</t>
  </si>
  <si>
    <t>19세 이상 이용가능</t>
  </si>
  <si>
    <t>용가리맛쿠키</t>
  </si>
  <si>
    <t>블러쉬</t>
  </si>
  <si>
    <t>어게인(Again) [단행본]</t>
  </si>
  <si>
    <t>최준서</t>
  </si>
  <si>
    <t>2022.04.27</t>
  </si>
  <si>
    <t>2022.03.02</t>
  </si>
  <si>
    <t>이별 그리고 그 후 [단행본]</t>
  </si>
  <si>
    <t>최현자</t>
  </si>
  <si>
    <t>2022.05.11</t>
  </si>
  <si>
    <t>유일한 취미 [단행본]</t>
  </si>
  <si>
    <t>서혜은</t>
  </si>
  <si>
    <t>2022.05.06</t>
  </si>
  <si>
    <t>전설이 돼라 [개정판][단행본]</t>
  </si>
  <si>
    <t>최재봉</t>
  </si>
  <si>
    <t>협행마</t>
  </si>
  <si>
    <t>쉬라즈</t>
  </si>
  <si>
    <t>브레이크 어웨이(Break Away) [단행본]</t>
  </si>
  <si>
    <t>서정윤</t>
  </si>
  <si>
    <t>2022.05.23</t>
  </si>
  <si>
    <t>남창목가 [외전 독점]</t>
  </si>
  <si>
    <t>2019.11.18</t>
  </si>
  <si>
    <t>진짜 사나이 [단행본]</t>
  </si>
  <si>
    <t>2021.12.15</t>
  </si>
  <si>
    <t>이차적 일탈 [단행본]</t>
  </si>
  <si>
    <t>2022.03.04</t>
  </si>
  <si>
    <t>너만 보면 두근두근 [단행본]</t>
  </si>
  <si>
    <t>정경하</t>
  </si>
  <si>
    <t>2022.01.14</t>
  </si>
  <si>
    <t>더티독 [BL][단행본]</t>
  </si>
  <si>
    <t>2020.04.09</t>
  </si>
  <si>
    <t>2022.01.21</t>
  </si>
  <si>
    <t>설국연가 [단행본]</t>
  </si>
  <si>
    <t>마뇽</t>
  </si>
  <si>
    <t>2022.01.17</t>
  </si>
  <si>
    <t>대공의 아내 [단행본]</t>
  </si>
  <si>
    <t>문시티</t>
  </si>
  <si>
    <t>2020.01.16</t>
  </si>
  <si>
    <t>헌터 킹 [단행본]</t>
  </si>
  <si>
    <t>2021.12.10</t>
  </si>
  <si>
    <t>진짜 사나이</t>
  </si>
  <si>
    <t>더 캡틴 [단행본]</t>
  </si>
  <si>
    <t>더티독 외전 [BL][단행본]</t>
  </si>
  <si>
    <t>무심코 [단행본]</t>
  </si>
  <si>
    <t>달로</t>
  </si>
  <si>
    <t>2022.06.03</t>
  </si>
  <si>
    <t>한 번은 이별하자 [단행본]</t>
  </si>
  <si>
    <t>서연</t>
  </si>
  <si>
    <t>2022.06.20</t>
  </si>
  <si>
    <t>처녀 보쌈 [단행본]</t>
  </si>
  <si>
    <t>김원경</t>
  </si>
  <si>
    <t>2022.06.10</t>
  </si>
  <si>
    <t>짝사랑 중입니다 [단행본]</t>
  </si>
  <si>
    <t>진양</t>
  </si>
  <si>
    <t>2022.06.27</t>
  </si>
  <si>
    <t>테이크 백(Take Back) [단행본]</t>
  </si>
  <si>
    <t>일락</t>
  </si>
  <si>
    <t>2022.06.24</t>
  </si>
  <si>
    <t>깃들다 [단행본]</t>
  </si>
  <si>
    <t>현진서</t>
  </si>
  <si>
    <t>2022.06.22</t>
  </si>
  <si>
    <t>위사무적 [단행본]</t>
  </si>
  <si>
    <t>2020.09.11</t>
  </si>
  <si>
    <t>출판사</t>
    <phoneticPr fontId="22" type="noConversion"/>
  </si>
  <si>
    <t>기획에 산다 [단행본]</t>
  </si>
  <si>
    <t>하일군재래(何日君再來) [단행본]</t>
  </si>
  <si>
    <t>신윤희(에드가)</t>
  </si>
  <si>
    <t>2022.07.14</t>
  </si>
  <si>
    <t>봄볕이 아른아른 [단행본]</t>
  </si>
  <si>
    <t>송여희</t>
  </si>
  <si>
    <t>2022.07.07</t>
  </si>
  <si>
    <t>탈각 [단행본]</t>
  </si>
  <si>
    <t>공호</t>
  </si>
  <si>
    <t>2022.06.29</t>
  </si>
  <si>
    <t>남창목가 [단행본]</t>
  </si>
  <si>
    <t>2020.05.18</t>
  </si>
  <si>
    <t>빠져들다 [단행본]</t>
  </si>
  <si>
    <t>알리시아</t>
  </si>
  <si>
    <t>2022.07.21</t>
  </si>
  <si>
    <t>용병수칙 [단행본]</t>
  </si>
  <si>
    <t>2020.09.10</t>
  </si>
  <si>
    <t>근수저 오크는 근손실이 싫다 [독점]</t>
  </si>
  <si>
    <t>ARC곽도우</t>
  </si>
  <si>
    <t>스토리아크</t>
  </si>
  <si>
    <t>2022.08.03</t>
  </si>
  <si>
    <t>N스토어(PC)</t>
    <phoneticPr fontId="20" type="noConversion"/>
  </si>
  <si>
    <t>익스클루시브(Exclusive) [BL][단행본]</t>
  </si>
  <si>
    <t>사틴</t>
  </si>
  <si>
    <t>2021.08.13</t>
  </si>
  <si>
    <t>향기로운 뿔 [단행본]</t>
  </si>
  <si>
    <t>이진희</t>
  </si>
  <si>
    <t>2022.02.16</t>
  </si>
  <si>
    <t>넘어와 [단행본]</t>
  </si>
  <si>
    <t>2022.04.04</t>
  </si>
  <si>
    <t>베로나에서 그를 만나다 [단행본]</t>
  </si>
  <si>
    <t>원성혜</t>
  </si>
  <si>
    <t>2022.03.23</t>
  </si>
  <si>
    <t>사랑 그리고 그 후 [단행본]</t>
  </si>
  <si>
    <t>2022.03.14</t>
  </si>
  <si>
    <t>분홍의 작약 [단행본]</t>
  </si>
  <si>
    <t>2022.01.12</t>
  </si>
  <si>
    <t>전장의 금기 [단행본]</t>
  </si>
  <si>
    <t>2020.09.13</t>
  </si>
  <si>
    <t>더 캡틴</t>
  </si>
  <si>
    <t>위사무적</t>
  </si>
  <si>
    <t>PC뷰어(PC)</t>
    <phoneticPr fontId="20" type="noConversion"/>
  </si>
  <si>
    <t>N스토어(MW)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</si>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</sst>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3" fillId="0" borderId="0" xfId="42" applyFont="1" applyFill="1">
      <alignment vertical="center"/>
    </xf>
    <xf numFmtId="0" fontId="23" fillId="0" borderId="0" xfId="0" applyFont="1">
      <alignment vertical="center"/>
    </xf>
    <xf numFmtId="41" fontId="23" fillId="34" borderId="0" xfId="42" applyFont="1" applyFill="1">
      <alignment vertical="center"/>
    </xf>
    <xf numFmtId="0" fontId="24" fillId="35" borderId="10" xfId="0" applyFont="1" applyFill="1" applyBorder="1" applyAlignment="1">
      <alignment vertical="center"/>
    </xf>
    <xf numFmtId="0" fontId="25" fillId="35" borderId="11" xfId="0" applyFont="1" applyFill="1" applyBorder="1" applyAlignme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380"/>
  <sheetViews>
    <sheetView tabSelected="1" topLeftCell="E1" zoomScaleNormal="100" workbookViewId="0">
      <selection activeCell="E1" sqref="A1:XFD1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style="16" bestFit="1" customWidth="1"/>
    <col min="67" max="67" width="13.3984375" style="14" customWidth="1"/>
  </cols>
  <sheetData>
    <row r="1" spans="1:69" ht="27" customHeight="1" x14ac:dyDescent="0.4">
      <c r="A1" s="2" t="s">
        <v>130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131</v>
      </c>
      <c r="I1" s="13" t="s">
        <v>6</v>
      </c>
      <c r="J1" s="12" t="s">
        <v>132</v>
      </c>
      <c r="K1" s="12" t="s">
        <v>133</v>
      </c>
      <c r="L1" s="12" t="s">
        <v>134</v>
      </c>
      <c r="M1" s="12" t="s">
        <v>135</v>
      </c>
      <c r="N1" s="12" t="s">
        <v>136</v>
      </c>
      <c r="O1" s="12" t="s">
        <v>137</v>
      </c>
      <c r="P1" s="12" t="s">
        <v>138</v>
      </c>
      <c r="Q1" s="12" t="s">
        <v>139</v>
      </c>
      <c r="R1" s="12" t="s">
        <v>140</v>
      </c>
      <c r="S1" s="12" t="s">
        <v>141</v>
      </c>
      <c r="T1" s="12" t="s">
        <v>142</v>
      </c>
      <c r="U1" s="12" t="s">
        <v>143</v>
      </c>
      <c r="V1" s="12" t="s">
        <v>144</v>
      </c>
      <c r="W1" s="12" t="s">
        <v>145</v>
      </c>
      <c r="X1" s="12" t="s">
        <v>146</v>
      </c>
      <c r="Y1" s="12" t="s">
        <v>147</v>
      </c>
      <c r="Z1" s="12" t="s">
        <v>148</v>
      </c>
      <c r="AA1" s="12" t="s">
        <v>149</v>
      </c>
      <c r="AB1" s="12" t="s">
        <v>150</v>
      </c>
      <c r="AC1" s="12" t="s">
        <v>151</v>
      </c>
      <c r="AD1" s="12" t="s">
        <v>152</v>
      </c>
      <c r="AE1" s="12" t="s">
        <v>153</v>
      </c>
      <c r="AF1" s="12" t="s">
        <v>154</v>
      </c>
      <c r="AG1" s="12" t="s">
        <v>155</v>
      </c>
      <c r="AH1" s="12" t="s">
        <v>156</v>
      </c>
      <c r="AI1" s="12" t="s">
        <v>157</v>
      </c>
      <c r="AJ1" s="12" t="s">
        <v>158</v>
      </c>
      <c r="AK1" s="12" t="s">
        <v>159</v>
      </c>
      <c r="AL1" s="12" t="s">
        <v>160</v>
      </c>
      <c r="AM1" s="12" t="s">
        <v>161</v>
      </c>
      <c r="AN1" s="12" t="s">
        <v>162</v>
      </c>
      <c r="AO1" s="12" t="s">
        <v>163</v>
      </c>
      <c r="AP1" s="12" t="s">
        <v>164</v>
      </c>
      <c r="AQ1" s="12" t="s">
        <v>165</v>
      </c>
      <c r="AR1" s="12" t="s">
        <v>166</v>
      </c>
      <c r="AS1" s="12" t="s">
        <v>167</v>
      </c>
      <c r="AT1" s="12" t="s">
        <v>168</v>
      </c>
      <c r="AU1" s="12" t="s">
        <v>169</v>
      </c>
      <c r="AV1" s="12" t="s">
        <v>170</v>
      </c>
      <c r="AW1" s="12" t="s">
        <v>171</v>
      </c>
      <c r="AX1" s="12" t="s">
        <v>172</v>
      </c>
      <c r="AY1" s="12" t="s">
        <v>173</v>
      </c>
      <c r="AZ1" s="12" t="s">
        <v>174</v>
      </c>
      <c r="BA1" s="12" t="s">
        <v>175</v>
      </c>
      <c r="BB1" s="12" t="s">
        <v>176</v>
      </c>
      <c r="BC1" s="12" t="s">
        <v>177</v>
      </c>
      <c r="BD1" s="12" t="s">
        <v>178</v>
      </c>
      <c r="BE1" s="12" t="s">
        <v>179</v>
      </c>
      <c r="BF1" s="12" t="s">
        <v>180</v>
      </c>
      <c r="BG1" s="12" t="s">
        <v>181</v>
      </c>
      <c r="BH1" s="12" t="s">
        <v>182</v>
      </c>
      <c r="BI1" s="12" t="s">
        <v>183</v>
      </c>
      <c r="BJ1" s="12" t="s">
        <v>184</v>
      </c>
      <c r="BK1" s="12" t="s">
        <v>185</v>
      </c>
      <c r="BL1" s="12" t="s">
        <v>11</v>
      </c>
      <c r="BM1" s="12" t="s">
        <v>10</v>
      </c>
      <c r="BN1" s="12" t="s">
        <v>186</v>
      </c>
      <c r="BO1" s="12" t="s">
        <v>187</v>
      </c>
      <c r="BP1" s="18" t="s">
        <v>86</v>
      </c>
      <c r="BQ1" s="19" t="s">
        <v>188</v>
      </c>
    </row>
    <row r="2" spans="1:69" x14ac:dyDescent="0.4">
      <c r="A2" s="5" t="s">
        <v>108</v>
      </c>
      <c r="B2" s="5" t="s">
        <v>13</v>
      </c>
      <c r="C2" s="5">
        <v>465998</v>
      </c>
      <c r="D2" s="6"/>
      <c r="E2" s="5" t="s">
        <v>14</v>
      </c>
      <c r="F2" s="5" t="s">
        <v>15</v>
      </c>
      <c r="G2" s="5" t="s">
        <v>16</v>
      </c>
      <c r="H2" s="7" t="s">
        <v>9</v>
      </c>
      <c r="I2" s="7" t="s">
        <v>17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25</v>
      </c>
      <c r="AC2" s="8">
        <v>22500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22500</v>
      </c>
      <c r="BN2" s="14">
        <f>BM2-BL2</f>
        <v>22500</v>
      </c>
      <c r="BO2" s="15">
        <f>BN2*70%</f>
        <v>15749.999999999998</v>
      </c>
    </row>
    <row r="3" spans="1:69" x14ac:dyDescent="0.4">
      <c r="A3" s="5" t="s">
        <v>108</v>
      </c>
      <c r="B3" s="5" t="s">
        <v>75</v>
      </c>
      <c r="C3" s="5">
        <v>472519</v>
      </c>
      <c r="D3" s="6"/>
      <c r="E3" s="5" t="s">
        <v>14</v>
      </c>
      <c r="F3" s="5" t="s">
        <v>76</v>
      </c>
      <c r="G3" s="5" t="s">
        <v>21</v>
      </c>
      <c r="H3" s="7" t="s">
        <v>7</v>
      </c>
      <c r="I3" s="7" t="s">
        <v>77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2</v>
      </c>
      <c r="AF3" s="8">
        <v>3600</v>
      </c>
      <c r="AG3" s="8">
        <v>3000</v>
      </c>
      <c r="AH3" s="7">
        <v>0</v>
      </c>
      <c r="AI3" s="7">
        <v>0</v>
      </c>
      <c r="AJ3" s="7">
        <v>0</v>
      </c>
      <c r="AK3" s="7">
        <v>1</v>
      </c>
      <c r="AL3" s="7">
        <v>0</v>
      </c>
      <c r="AM3" s="7">
        <v>600</v>
      </c>
      <c r="AN3" s="7">
        <v>0</v>
      </c>
      <c r="AO3" s="7">
        <v>0</v>
      </c>
      <c r="AP3" s="7">
        <v>0</v>
      </c>
      <c r="AQ3" s="7">
        <v>1</v>
      </c>
      <c r="AR3" s="8">
        <v>3600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10800</v>
      </c>
      <c r="BN3" s="14">
        <f t="shared" ref="BN3:BN28" si="0">BM3-BL3</f>
        <v>10800</v>
      </c>
      <c r="BO3" s="15">
        <f t="shared" ref="BO3:BO28" si="1">BN3*70%</f>
        <v>7559.9999999999991</v>
      </c>
    </row>
    <row r="4" spans="1:69" x14ac:dyDescent="0.4">
      <c r="A4" s="5" t="s">
        <v>108</v>
      </c>
      <c r="B4" s="5" t="s">
        <v>78</v>
      </c>
      <c r="C4" s="5">
        <v>472518</v>
      </c>
      <c r="D4" s="6"/>
      <c r="E4" s="5" t="s">
        <v>14</v>
      </c>
      <c r="F4" s="5" t="s">
        <v>79</v>
      </c>
      <c r="G4" s="5" t="s">
        <v>21</v>
      </c>
      <c r="H4" s="7" t="s">
        <v>23</v>
      </c>
      <c r="I4" s="7" t="s">
        <v>80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1</v>
      </c>
      <c r="AL4" s="7">
        <v>0</v>
      </c>
      <c r="AM4" s="8">
        <v>2500</v>
      </c>
      <c r="AN4" s="7">
        <v>0</v>
      </c>
      <c r="AO4" s="7">
        <v>0</v>
      </c>
      <c r="AP4" s="7">
        <v>0</v>
      </c>
      <c r="AQ4" s="7">
        <v>1</v>
      </c>
      <c r="AR4" s="8">
        <v>1600</v>
      </c>
      <c r="AS4" s="7">
        <v>900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1</v>
      </c>
      <c r="BD4" s="8">
        <v>3000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180</v>
      </c>
      <c r="BM4" s="10">
        <v>8000</v>
      </c>
      <c r="BN4" s="14">
        <f t="shared" si="0"/>
        <v>7820</v>
      </c>
      <c r="BO4" s="15">
        <f t="shared" si="1"/>
        <v>5474</v>
      </c>
    </row>
    <row r="5" spans="1:69" x14ac:dyDescent="0.4">
      <c r="A5" s="5" t="s">
        <v>108</v>
      </c>
      <c r="B5" s="5" t="s">
        <v>87</v>
      </c>
      <c r="C5" s="5">
        <v>451972</v>
      </c>
      <c r="D5" s="6"/>
      <c r="E5" s="5" t="s">
        <v>14</v>
      </c>
      <c r="F5" s="5" t="s">
        <v>15</v>
      </c>
      <c r="G5" s="5" t="s">
        <v>16</v>
      </c>
      <c r="H5" s="7" t="s">
        <v>7</v>
      </c>
      <c r="I5" s="7" t="s">
        <v>46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2</v>
      </c>
      <c r="AC5" s="8">
        <v>1200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5</v>
      </c>
      <c r="BA5" s="8">
        <v>5040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302.39999999999998</v>
      </c>
      <c r="BM5" s="10">
        <v>6240</v>
      </c>
      <c r="BN5" s="14">
        <f t="shared" si="0"/>
        <v>5937.6</v>
      </c>
      <c r="BO5" s="15">
        <f t="shared" si="1"/>
        <v>4156.32</v>
      </c>
    </row>
    <row r="6" spans="1:69" x14ac:dyDescent="0.4">
      <c r="A6" s="5" t="s">
        <v>108</v>
      </c>
      <c r="B6" s="5" t="s">
        <v>66</v>
      </c>
      <c r="C6" s="5">
        <v>470383</v>
      </c>
      <c r="D6" s="6"/>
      <c r="E6" s="5" t="s">
        <v>14</v>
      </c>
      <c r="F6" s="5" t="s">
        <v>67</v>
      </c>
      <c r="G6" s="5" t="s">
        <v>21</v>
      </c>
      <c r="H6" s="7" t="s">
        <v>23</v>
      </c>
      <c r="I6" s="7" t="s">
        <v>68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3</v>
      </c>
      <c r="AF6" s="8">
        <v>6000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6000</v>
      </c>
      <c r="BN6" s="14">
        <f t="shared" si="0"/>
        <v>6000</v>
      </c>
      <c r="BO6" s="15">
        <f t="shared" si="1"/>
        <v>4200</v>
      </c>
    </row>
    <row r="7" spans="1:69" x14ac:dyDescent="0.4">
      <c r="A7" s="5" t="s">
        <v>108</v>
      </c>
      <c r="B7" s="5" t="s">
        <v>88</v>
      </c>
      <c r="C7" s="5">
        <v>474766</v>
      </c>
      <c r="D7" s="6"/>
      <c r="E7" s="5" t="s">
        <v>14</v>
      </c>
      <c r="F7" s="5" t="s">
        <v>89</v>
      </c>
      <c r="G7" s="5" t="s">
        <v>21</v>
      </c>
      <c r="H7" s="7" t="s">
        <v>23</v>
      </c>
      <c r="I7" s="7" t="s">
        <v>90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2</v>
      </c>
      <c r="AF7" s="8">
        <v>5000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5000</v>
      </c>
      <c r="BN7" s="14">
        <f t="shared" si="0"/>
        <v>5000</v>
      </c>
      <c r="BO7" s="15">
        <f t="shared" si="1"/>
        <v>3500</v>
      </c>
    </row>
    <row r="8" spans="1:69" x14ac:dyDescent="0.4">
      <c r="A8" s="5" t="s">
        <v>108</v>
      </c>
      <c r="B8" s="5" t="s">
        <v>49</v>
      </c>
      <c r="C8" s="5">
        <v>457533</v>
      </c>
      <c r="D8" s="6"/>
      <c r="E8" s="5" t="s">
        <v>14</v>
      </c>
      <c r="F8" s="5" t="s">
        <v>50</v>
      </c>
      <c r="G8" s="5" t="s">
        <v>21</v>
      </c>
      <c r="H8" s="7" t="s">
        <v>23</v>
      </c>
      <c r="I8" s="7" t="s">
        <v>51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</v>
      </c>
      <c r="AF8" s="8">
        <v>4900</v>
      </c>
      <c r="AG8" s="7">
        <v>100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5000</v>
      </c>
      <c r="BN8" s="14">
        <f t="shared" si="0"/>
        <v>5000</v>
      </c>
      <c r="BO8" s="15">
        <f t="shared" si="1"/>
        <v>3500</v>
      </c>
    </row>
    <row r="9" spans="1:69" x14ac:dyDescent="0.4">
      <c r="A9" s="5" t="s">
        <v>108</v>
      </c>
      <c r="B9" s="5" t="s">
        <v>91</v>
      </c>
      <c r="C9" s="5">
        <v>474765</v>
      </c>
      <c r="D9" s="6"/>
      <c r="E9" s="5" t="s">
        <v>14</v>
      </c>
      <c r="F9" s="5" t="s">
        <v>92</v>
      </c>
      <c r="G9" s="5" t="s">
        <v>21</v>
      </c>
      <c r="H9" s="7" t="s">
        <v>23</v>
      </c>
      <c r="I9" s="7" t="s">
        <v>93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1</v>
      </c>
      <c r="AR9" s="8">
        <v>2000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1</v>
      </c>
      <c r="BD9" s="8">
        <v>2400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144</v>
      </c>
      <c r="BM9" s="10">
        <v>4400</v>
      </c>
      <c r="BN9" s="14">
        <f t="shared" si="0"/>
        <v>4256</v>
      </c>
      <c r="BO9" s="15">
        <f t="shared" si="1"/>
        <v>2979.2</v>
      </c>
    </row>
    <row r="10" spans="1:69" x14ac:dyDescent="0.4">
      <c r="A10" s="5" t="s">
        <v>108</v>
      </c>
      <c r="B10" s="5" t="s">
        <v>64</v>
      </c>
      <c r="C10" s="5">
        <v>455900</v>
      </c>
      <c r="D10" s="6"/>
      <c r="E10" s="5" t="s">
        <v>14</v>
      </c>
      <c r="F10" s="5" t="s">
        <v>15</v>
      </c>
      <c r="G10" s="5" t="s">
        <v>16</v>
      </c>
      <c r="H10" s="7" t="s">
        <v>7</v>
      </c>
      <c r="I10" s="7" t="s">
        <v>54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4</v>
      </c>
      <c r="BA10" s="8">
        <v>4320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259.2</v>
      </c>
      <c r="BM10" s="10">
        <v>4320</v>
      </c>
      <c r="BN10" s="14">
        <f t="shared" si="0"/>
        <v>4060.8</v>
      </c>
      <c r="BO10" s="15">
        <f t="shared" si="1"/>
        <v>2842.56</v>
      </c>
    </row>
    <row r="11" spans="1:69" x14ac:dyDescent="0.4">
      <c r="A11" s="5" t="s">
        <v>108</v>
      </c>
      <c r="B11" s="5" t="s">
        <v>94</v>
      </c>
      <c r="C11" s="5">
        <v>472520</v>
      </c>
      <c r="D11" s="6"/>
      <c r="E11" s="5" t="s">
        <v>14</v>
      </c>
      <c r="F11" s="5" t="s">
        <v>95</v>
      </c>
      <c r="G11" s="5" t="s">
        <v>21</v>
      </c>
      <c r="H11" s="7" t="s">
        <v>23</v>
      </c>
      <c r="I11" s="7" t="s">
        <v>96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1</v>
      </c>
      <c r="BD11" s="8">
        <v>3600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216</v>
      </c>
      <c r="BM11" s="10">
        <v>3600</v>
      </c>
      <c r="BN11" s="14">
        <f t="shared" si="0"/>
        <v>3384</v>
      </c>
      <c r="BO11" s="15">
        <f t="shared" si="1"/>
        <v>2368.7999999999997</v>
      </c>
    </row>
    <row r="12" spans="1:69" x14ac:dyDescent="0.4">
      <c r="A12" s="5" t="s">
        <v>108</v>
      </c>
      <c r="B12" s="5" t="s">
        <v>26</v>
      </c>
      <c r="C12" s="5">
        <v>465773</v>
      </c>
      <c r="D12" s="6"/>
      <c r="E12" s="5" t="s">
        <v>14</v>
      </c>
      <c r="F12" s="5" t="s">
        <v>27</v>
      </c>
      <c r="G12" s="5" t="s">
        <v>21</v>
      </c>
      <c r="H12" s="7" t="s">
        <v>23</v>
      </c>
      <c r="I12" s="7" t="s">
        <v>28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</v>
      </c>
      <c r="AF12" s="8">
        <v>3500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3500</v>
      </c>
      <c r="BN12" s="14">
        <f t="shared" si="0"/>
        <v>3500</v>
      </c>
      <c r="BO12" s="15">
        <f t="shared" si="1"/>
        <v>2450</v>
      </c>
    </row>
    <row r="13" spans="1:69" x14ac:dyDescent="0.4">
      <c r="A13" s="5" t="s">
        <v>108</v>
      </c>
      <c r="B13" s="5" t="s">
        <v>97</v>
      </c>
      <c r="C13" s="5">
        <v>380954</v>
      </c>
      <c r="D13" s="6"/>
      <c r="E13" s="5" t="s">
        <v>14</v>
      </c>
      <c r="F13" s="5" t="s">
        <v>37</v>
      </c>
      <c r="G13" s="5" t="s">
        <v>16</v>
      </c>
      <c r="H13" s="7" t="s">
        <v>7</v>
      </c>
      <c r="I13" s="7" t="s">
        <v>98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3</v>
      </c>
      <c r="BA13" s="8">
        <v>3240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194.4</v>
      </c>
      <c r="BM13" s="10">
        <v>3240</v>
      </c>
      <c r="BN13" s="14">
        <f t="shared" si="0"/>
        <v>3045.6</v>
      </c>
      <c r="BO13" s="15">
        <f t="shared" si="1"/>
        <v>2131.9199999999996</v>
      </c>
    </row>
    <row r="14" spans="1:69" x14ac:dyDescent="0.4">
      <c r="A14" s="5" t="s">
        <v>108</v>
      </c>
      <c r="B14" s="5" t="s">
        <v>58</v>
      </c>
      <c r="C14" s="5">
        <v>387161</v>
      </c>
      <c r="D14" s="6"/>
      <c r="E14" s="5" t="s">
        <v>14</v>
      </c>
      <c r="F14" s="5" t="s">
        <v>59</v>
      </c>
      <c r="G14" s="5" t="s">
        <v>39</v>
      </c>
      <c r="H14" s="7" t="s">
        <v>23</v>
      </c>
      <c r="I14" s="7" t="s">
        <v>60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1</v>
      </c>
      <c r="AF14" s="8">
        <v>3200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3200</v>
      </c>
      <c r="BN14" s="14">
        <f t="shared" si="0"/>
        <v>3200</v>
      </c>
      <c r="BO14" s="15">
        <f t="shared" si="1"/>
        <v>2240</v>
      </c>
    </row>
    <row r="15" spans="1:69" x14ac:dyDescent="0.4">
      <c r="A15" s="5" t="s">
        <v>108</v>
      </c>
      <c r="B15" s="5" t="s">
        <v>84</v>
      </c>
      <c r="C15" s="5">
        <v>408836</v>
      </c>
      <c r="D15" s="6"/>
      <c r="E15" s="5" t="s">
        <v>14</v>
      </c>
      <c r="F15" s="5" t="s">
        <v>38</v>
      </c>
      <c r="G15" s="5" t="s">
        <v>16</v>
      </c>
      <c r="H15" s="7" t="s">
        <v>7</v>
      </c>
      <c r="I15" s="7" t="s">
        <v>85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4</v>
      </c>
      <c r="AC15" s="8">
        <v>2800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2800</v>
      </c>
      <c r="BN15" s="14">
        <f t="shared" si="0"/>
        <v>2800</v>
      </c>
      <c r="BO15" s="15">
        <f t="shared" si="1"/>
        <v>1959.9999999999998</v>
      </c>
    </row>
    <row r="16" spans="1:69" x14ac:dyDescent="0.4">
      <c r="A16" s="5" t="s">
        <v>108</v>
      </c>
      <c r="B16" s="5" t="s">
        <v>45</v>
      </c>
      <c r="C16" s="5">
        <v>453445</v>
      </c>
      <c r="D16" s="6"/>
      <c r="E16" s="5" t="s">
        <v>14</v>
      </c>
      <c r="F16" s="5" t="s">
        <v>15</v>
      </c>
      <c r="G16" s="5" t="s">
        <v>16</v>
      </c>
      <c r="H16" s="7" t="s">
        <v>8</v>
      </c>
      <c r="I16" s="7" t="s">
        <v>46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3</v>
      </c>
      <c r="AC16" s="8">
        <v>2700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2700</v>
      </c>
      <c r="BN16" s="14">
        <f t="shared" si="0"/>
        <v>2700</v>
      </c>
      <c r="BO16" s="15">
        <f t="shared" si="1"/>
        <v>1889.9999999999998</v>
      </c>
    </row>
    <row r="17" spans="1:67" x14ac:dyDescent="0.4">
      <c r="A17" s="5" t="s">
        <v>108</v>
      </c>
      <c r="B17" s="5" t="s">
        <v>19</v>
      </c>
      <c r="C17" s="5">
        <v>464786</v>
      </c>
      <c r="D17" s="6"/>
      <c r="E17" s="5" t="s">
        <v>14</v>
      </c>
      <c r="F17" s="5" t="s">
        <v>20</v>
      </c>
      <c r="G17" s="5" t="s">
        <v>21</v>
      </c>
      <c r="H17" s="7" t="s">
        <v>9</v>
      </c>
      <c r="I17" s="7" t="s">
        <v>22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8">
        <v>2500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2500</v>
      </c>
      <c r="BN17" s="14">
        <f t="shared" si="0"/>
        <v>2500</v>
      </c>
      <c r="BO17" s="15">
        <f t="shared" si="1"/>
        <v>1750</v>
      </c>
    </row>
    <row r="18" spans="1:67" x14ac:dyDescent="0.4">
      <c r="A18" s="5" t="s">
        <v>108</v>
      </c>
      <c r="B18" s="5" t="s">
        <v>72</v>
      </c>
      <c r="C18" s="5">
        <v>470426</v>
      </c>
      <c r="D18" s="6"/>
      <c r="E18" s="5" t="s">
        <v>14</v>
      </c>
      <c r="F18" s="5" t="s">
        <v>73</v>
      </c>
      <c r="G18" s="5" t="s">
        <v>21</v>
      </c>
      <c r="H18" s="7" t="s">
        <v>23</v>
      </c>
      <c r="I18" s="7" t="s">
        <v>74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1</v>
      </c>
      <c r="AR18" s="8">
        <v>2500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2500</v>
      </c>
      <c r="BN18" s="14">
        <f t="shared" si="0"/>
        <v>2500</v>
      </c>
      <c r="BO18" s="15">
        <f t="shared" si="1"/>
        <v>1750</v>
      </c>
    </row>
    <row r="19" spans="1:67" x14ac:dyDescent="0.4">
      <c r="A19" s="5" t="s">
        <v>108</v>
      </c>
      <c r="B19" s="5" t="s">
        <v>99</v>
      </c>
      <c r="C19" s="5">
        <v>474767</v>
      </c>
      <c r="D19" s="6"/>
      <c r="E19" s="5" t="s">
        <v>14</v>
      </c>
      <c r="F19" s="5" t="s">
        <v>100</v>
      </c>
      <c r="G19" s="5" t="s">
        <v>21</v>
      </c>
      <c r="H19" s="7" t="s">
        <v>23</v>
      </c>
      <c r="I19" s="7" t="s">
        <v>101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1</v>
      </c>
      <c r="AR19" s="8">
        <v>2500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2500</v>
      </c>
      <c r="BN19" s="14">
        <f t="shared" si="0"/>
        <v>2500</v>
      </c>
      <c r="BO19" s="15">
        <f t="shared" si="1"/>
        <v>1750</v>
      </c>
    </row>
    <row r="20" spans="1:67" x14ac:dyDescent="0.4">
      <c r="A20" s="5" t="s">
        <v>108</v>
      </c>
      <c r="B20" s="5" t="s">
        <v>47</v>
      </c>
      <c r="C20" s="5">
        <v>461347</v>
      </c>
      <c r="D20" s="6"/>
      <c r="E20" s="5" t="s">
        <v>14</v>
      </c>
      <c r="F20" s="5" t="s">
        <v>34</v>
      </c>
      <c r="G20" s="5" t="s">
        <v>21</v>
      </c>
      <c r="H20" s="7" t="s">
        <v>23</v>
      </c>
      <c r="I20" s="7" t="s">
        <v>48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1</v>
      </c>
      <c r="AR20" s="8">
        <v>2000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2000</v>
      </c>
      <c r="BN20" s="14">
        <f t="shared" si="0"/>
        <v>2000</v>
      </c>
      <c r="BO20" s="15">
        <f t="shared" si="1"/>
        <v>1400</v>
      </c>
    </row>
    <row r="21" spans="1:67" x14ac:dyDescent="0.4">
      <c r="A21" s="5" t="s">
        <v>108</v>
      </c>
      <c r="B21" s="5" t="s">
        <v>69</v>
      </c>
      <c r="C21" s="5">
        <v>472516</v>
      </c>
      <c r="D21" s="6"/>
      <c r="E21" s="5" t="s">
        <v>14</v>
      </c>
      <c r="F21" s="5" t="s">
        <v>70</v>
      </c>
      <c r="G21" s="5" t="s">
        <v>21</v>
      </c>
      <c r="H21" s="7" t="s">
        <v>23</v>
      </c>
      <c r="I21" s="7" t="s">
        <v>71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</v>
      </c>
      <c r="AF21" s="8">
        <v>2000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2000</v>
      </c>
      <c r="BN21" s="14">
        <f t="shared" si="0"/>
        <v>2000</v>
      </c>
      <c r="BO21" s="15">
        <f t="shared" si="1"/>
        <v>1400</v>
      </c>
    </row>
    <row r="22" spans="1:67" x14ac:dyDescent="0.4">
      <c r="A22" s="5" t="s">
        <v>108</v>
      </c>
      <c r="B22" s="5" t="s">
        <v>55</v>
      </c>
      <c r="C22" s="5">
        <v>457534</v>
      </c>
      <c r="D22" s="6"/>
      <c r="E22" s="5" t="s">
        <v>14</v>
      </c>
      <c r="F22" s="5" t="s">
        <v>56</v>
      </c>
      <c r="G22" s="5" t="s">
        <v>21</v>
      </c>
      <c r="H22" s="7" t="s">
        <v>23</v>
      </c>
      <c r="I22" s="7" t="s">
        <v>57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</v>
      </c>
      <c r="AF22" s="8">
        <v>2000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0">
        <v>2000</v>
      </c>
      <c r="BN22" s="14">
        <f t="shared" si="0"/>
        <v>2000</v>
      </c>
      <c r="BO22" s="15">
        <f t="shared" si="1"/>
        <v>1400</v>
      </c>
    </row>
    <row r="23" spans="1:67" x14ac:dyDescent="0.4">
      <c r="A23" s="5" t="s">
        <v>108</v>
      </c>
      <c r="B23" s="5" t="s">
        <v>36</v>
      </c>
      <c r="C23" s="5">
        <v>461450</v>
      </c>
      <c r="D23" s="6"/>
      <c r="E23" s="5" t="s">
        <v>14</v>
      </c>
      <c r="F23" s="5" t="s">
        <v>15</v>
      </c>
      <c r="G23" s="5" t="s">
        <v>16</v>
      </c>
      <c r="H23" s="7" t="s">
        <v>9</v>
      </c>
      <c r="I23" s="7" t="s">
        <v>29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1</v>
      </c>
      <c r="AC23" s="7">
        <v>900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1">
        <v>900</v>
      </c>
      <c r="BN23" s="14">
        <f t="shared" si="0"/>
        <v>900</v>
      </c>
      <c r="BO23" s="15">
        <f t="shared" si="1"/>
        <v>630</v>
      </c>
    </row>
    <row r="24" spans="1:67" x14ac:dyDescent="0.4">
      <c r="A24" s="5" t="s">
        <v>108</v>
      </c>
      <c r="B24" s="5" t="s">
        <v>102</v>
      </c>
      <c r="C24" s="5">
        <v>408834</v>
      </c>
      <c r="D24" s="6"/>
      <c r="E24" s="5" t="s">
        <v>14</v>
      </c>
      <c r="F24" s="5" t="s">
        <v>38</v>
      </c>
      <c r="G24" s="5" t="s">
        <v>16</v>
      </c>
      <c r="H24" s="7" t="s">
        <v>7</v>
      </c>
      <c r="I24" s="7" t="s">
        <v>103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1</v>
      </c>
      <c r="AC24" s="7">
        <v>900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1">
        <v>900</v>
      </c>
      <c r="BN24" s="14">
        <f t="shared" si="0"/>
        <v>900</v>
      </c>
      <c r="BO24" s="15">
        <f t="shared" si="1"/>
        <v>630</v>
      </c>
    </row>
    <row r="25" spans="1:67" x14ac:dyDescent="0.4">
      <c r="A25" s="5" t="s">
        <v>108</v>
      </c>
      <c r="B25" s="5" t="s">
        <v>18</v>
      </c>
      <c r="C25" s="5">
        <v>451051</v>
      </c>
      <c r="D25" s="6"/>
      <c r="E25" s="5" t="s">
        <v>14</v>
      </c>
      <c r="F25" s="5" t="s">
        <v>15</v>
      </c>
      <c r="G25" s="5" t="s">
        <v>16</v>
      </c>
      <c r="H25" s="7" t="s">
        <v>9</v>
      </c>
      <c r="I25" s="7" t="s">
        <v>12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3</v>
      </c>
      <c r="AF25" s="7">
        <v>300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1">
        <v>300</v>
      </c>
      <c r="BN25" s="14">
        <f t="shared" si="0"/>
        <v>300</v>
      </c>
      <c r="BO25" s="15">
        <f t="shared" si="1"/>
        <v>210</v>
      </c>
    </row>
    <row r="26" spans="1:67" x14ac:dyDescent="0.4">
      <c r="A26" s="5" t="s">
        <v>108</v>
      </c>
      <c r="B26" s="5" t="s">
        <v>104</v>
      </c>
      <c r="C26" s="5">
        <v>469971</v>
      </c>
      <c r="D26" s="6"/>
      <c r="E26" s="5" t="s">
        <v>14</v>
      </c>
      <c r="F26" s="5" t="s">
        <v>105</v>
      </c>
      <c r="G26" s="5" t="s">
        <v>106</v>
      </c>
      <c r="H26" s="7" t="s">
        <v>7</v>
      </c>
      <c r="I26" s="7" t="s">
        <v>107</v>
      </c>
      <c r="J26" s="7">
        <v>1</v>
      </c>
      <c r="K26" s="7">
        <v>0</v>
      </c>
      <c r="L26" s="7">
        <v>100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1</v>
      </c>
      <c r="AF26" s="7">
        <v>0</v>
      </c>
      <c r="AG26" s="7">
        <v>100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1">
        <v>200</v>
      </c>
      <c r="BN26" s="14">
        <f t="shared" si="0"/>
        <v>200</v>
      </c>
      <c r="BO26" s="15">
        <f t="shared" si="1"/>
        <v>140</v>
      </c>
    </row>
    <row r="27" spans="1:67" x14ac:dyDescent="0.4">
      <c r="A27" s="5" t="s">
        <v>108</v>
      </c>
      <c r="B27" s="5" t="s">
        <v>43</v>
      </c>
      <c r="C27" s="5">
        <v>369060</v>
      </c>
      <c r="D27" s="6"/>
      <c r="E27" s="5" t="s">
        <v>14</v>
      </c>
      <c r="F27" s="5" t="s">
        <v>37</v>
      </c>
      <c r="G27" s="5" t="s">
        <v>16</v>
      </c>
      <c r="H27" s="7" t="s">
        <v>7</v>
      </c>
      <c r="I27" s="7" t="s">
        <v>44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1</v>
      </c>
      <c r="AF27" s="7">
        <v>100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1</v>
      </c>
      <c r="AR27" s="7">
        <v>100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1">
        <v>200</v>
      </c>
      <c r="BN27" s="14">
        <f t="shared" si="0"/>
        <v>200</v>
      </c>
      <c r="BO27" s="15">
        <f t="shared" si="1"/>
        <v>140</v>
      </c>
    </row>
    <row r="28" spans="1:67" x14ac:dyDescent="0.4">
      <c r="A28" s="5" t="s">
        <v>108</v>
      </c>
      <c r="B28" s="5" t="s">
        <v>63</v>
      </c>
      <c r="C28" s="5">
        <v>453397</v>
      </c>
      <c r="D28" s="6"/>
      <c r="E28" s="5" t="s">
        <v>14</v>
      </c>
      <c r="F28" s="5" t="s">
        <v>15</v>
      </c>
      <c r="G28" s="5" t="s">
        <v>16</v>
      </c>
      <c r="H28" s="7" t="s">
        <v>8</v>
      </c>
      <c r="I28" s="7" t="s">
        <v>46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</v>
      </c>
      <c r="AF28" s="7">
        <v>100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1">
        <v>100</v>
      </c>
      <c r="BN28" s="14">
        <f t="shared" si="0"/>
        <v>100</v>
      </c>
      <c r="BO28" s="15">
        <f t="shared" si="1"/>
        <v>70</v>
      </c>
    </row>
    <row r="29" spans="1:67" x14ac:dyDescent="0.4">
      <c r="A29" s="5" t="s">
        <v>128</v>
      </c>
      <c r="B29" s="5" t="s">
        <v>18</v>
      </c>
      <c r="C29" s="5">
        <v>451051</v>
      </c>
      <c r="D29" s="6"/>
      <c r="E29" s="5" t="s">
        <v>14</v>
      </c>
      <c r="F29" s="5" t="s">
        <v>15</v>
      </c>
      <c r="G29" s="5" t="s">
        <v>16</v>
      </c>
      <c r="H29" s="7" t="s">
        <v>9</v>
      </c>
      <c r="I29" s="7" t="s">
        <v>12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366</v>
      </c>
      <c r="AF29" s="8">
        <v>36600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2</v>
      </c>
      <c r="AR29" s="7">
        <v>200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36800</v>
      </c>
      <c r="BN29" s="14">
        <f t="shared" ref="BN29:BN70" si="2">BM29-BL29</f>
        <v>36800</v>
      </c>
      <c r="BO29" s="15">
        <f t="shared" ref="BO29:BO70" si="3">BN29*70%</f>
        <v>25760</v>
      </c>
    </row>
    <row r="30" spans="1:67" x14ac:dyDescent="0.4">
      <c r="A30" s="5" t="s">
        <v>128</v>
      </c>
      <c r="B30" s="5" t="s">
        <v>124</v>
      </c>
      <c r="C30" s="5">
        <v>408846</v>
      </c>
      <c r="D30" s="6"/>
      <c r="E30" s="5" t="s">
        <v>14</v>
      </c>
      <c r="F30" s="5" t="s">
        <v>38</v>
      </c>
      <c r="G30" s="5" t="s">
        <v>16</v>
      </c>
      <c r="H30" s="7" t="s">
        <v>7</v>
      </c>
      <c r="I30" s="7" t="s">
        <v>125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11</v>
      </c>
      <c r="AO30" s="8">
        <v>9700</v>
      </c>
      <c r="AP30" s="7">
        <v>200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9900</v>
      </c>
      <c r="BN30" s="14">
        <f t="shared" si="2"/>
        <v>9900</v>
      </c>
      <c r="BO30" s="15">
        <f t="shared" si="3"/>
        <v>6930</v>
      </c>
    </row>
    <row r="31" spans="1:67" x14ac:dyDescent="0.4">
      <c r="A31" s="5" t="s">
        <v>128</v>
      </c>
      <c r="B31" s="5" t="s">
        <v>13</v>
      </c>
      <c r="C31" s="5">
        <v>465998</v>
      </c>
      <c r="D31" s="6"/>
      <c r="E31" s="5" t="s">
        <v>14</v>
      </c>
      <c r="F31" s="5" t="s">
        <v>15</v>
      </c>
      <c r="G31" s="5" t="s">
        <v>16</v>
      </c>
      <c r="H31" s="7" t="s">
        <v>9</v>
      </c>
      <c r="I31" s="7" t="s">
        <v>17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10</v>
      </c>
      <c r="AC31" s="8">
        <v>9000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9000</v>
      </c>
      <c r="BN31" s="14">
        <f t="shared" si="2"/>
        <v>9000</v>
      </c>
      <c r="BO31" s="15">
        <f t="shared" si="3"/>
        <v>6300</v>
      </c>
    </row>
    <row r="32" spans="1:67" x14ac:dyDescent="0.4">
      <c r="A32" s="5" t="s">
        <v>128</v>
      </c>
      <c r="B32" s="5" t="s">
        <v>126</v>
      </c>
      <c r="C32" s="5">
        <v>455896</v>
      </c>
      <c r="D32" s="6"/>
      <c r="E32" s="5" t="s">
        <v>14</v>
      </c>
      <c r="F32" s="5" t="s">
        <v>15</v>
      </c>
      <c r="G32" s="5" t="s">
        <v>16</v>
      </c>
      <c r="H32" s="7" t="s">
        <v>7</v>
      </c>
      <c r="I32" s="7" t="s">
        <v>54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51</v>
      </c>
      <c r="AF32" s="8">
        <v>5100</v>
      </c>
      <c r="AG32" s="7">
        <v>0</v>
      </c>
      <c r="AH32" s="7">
        <v>0</v>
      </c>
      <c r="AI32" s="7">
        <v>0</v>
      </c>
      <c r="AJ32" s="7">
        <v>0</v>
      </c>
      <c r="AK32" s="7">
        <v>23</v>
      </c>
      <c r="AL32" s="8">
        <v>2760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828</v>
      </c>
      <c r="BM32" s="10">
        <v>7860</v>
      </c>
      <c r="BN32" s="14">
        <f t="shared" si="2"/>
        <v>7032</v>
      </c>
      <c r="BO32" s="15">
        <f t="shared" si="3"/>
        <v>4922.3999999999996</v>
      </c>
    </row>
    <row r="33" spans="1:67" x14ac:dyDescent="0.4">
      <c r="A33" s="5" t="s">
        <v>128</v>
      </c>
      <c r="B33" s="5" t="s">
        <v>64</v>
      </c>
      <c r="C33" s="5">
        <v>455900</v>
      </c>
      <c r="D33" s="6"/>
      <c r="E33" s="5" t="s">
        <v>14</v>
      </c>
      <c r="F33" s="5" t="s">
        <v>15</v>
      </c>
      <c r="G33" s="5" t="s">
        <v>16</v>
      </c>
      <c r="H33" s="7" t="s">
        <v>7</v>
      </c>
      <c r="I33" s="7" t="s">
        <v>54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5</v>
      </c>
      <c r="AC33" s="8">
        <v>4500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2</v>
      </c>
      <c r="BA33" s="8">
        <v>2160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129.6</v>
      </c>
      <c r="BM33" s="10">
        <v>6660</v>
      </c>
      <c r="BN33" s="14">
        <f t="shared" si="2"/>
        <v>6530.4</v>
      </c>
      <c r="BO33" s="15">
        <f t="shared" si="3"/>
        <v>4571.28</v>
      </c>
    </row>
    <row r="34" spans="1:67" x14ac:dyDescent="0.4">
      <c r="A34" s="5" t="s">
        <v>128</v>
      </c>
      <c r="B34" s="5" t="s">
        <v>84</v>
      </c>
      <c r="C34" s="5">
        <v>408836</v>
      </c>
      <c r="D34" s="6"/>
      <c r="E34" s="5" t="s">
        <v>14</v>
      </c>
      <c r="F34" s="5" t="s">
        <v>38</v>
      </c>
      <c r="G34" s="5" t="s">
        <v>16</v>
      </c>
      <c r="H34" s="7" t="s">
        <v>7</v>
      </c>
      <c r="I34" s="7" t="s">
        <v>85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9</v>
      </c>
      <c r="AC34" s="8">
        <v>6000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1</v>
      </c>
      <c r="BA34" s="7">
        <v>360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21.6</v>
      </c>
      <c r="BM34" s="10">
        <v>6360</v>
      </c>
      <c r="BN34" s="14">
        <f t="shared" si="2"/>
        <v>6338.4</v>
      </c>
      <c r="BO34" s="15">
        <f t="shared" si="3"/>
        <v>4436.8799999999992</v>
      </c>
    </row>
    <row r="35" spans="1:67" x14ac:dyDescent="0.4">
      <c r="A35" s="5" t="s">
        <v>128</v>
      </c>
      <c r="B35" s="5" t="s">
        <v>61</v>
      </c>
      <c r="C35" s="5">
        <v>454228</v>
      </c>
      <c r="D35" s="6"/>
      <c r="E35" s="5" t="s">
        <v>14</v>
      </c>
      <c r="F35" s="5" t="s">
        <v>15</v>
      </c>
      <c r="G35" s="5" t="s">
        <v>16</v>
      </c>
      <c r="H35" s="7" t="s">
        <v>7</v>
      </c>
      <c r="I35" s="7" t="s">
        <v>62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5</v>
      </c>
      <c r="AC35" s="8">
        <v>4500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4500</v>
      </c>
      <c r="BN35" s="14">
        <f t="shared" si="2"/>
        <v>4500</v>
      </c>
      <c r="BO35" s="15">
        <f t="shared" si="3"/>
        <v>3150</v>
      </c>
    </row>
    <row r="36" spans="1:67" x14ac:dyDescent="0.4">
      <c r="A36" s="5" t="s">
        <v>128</v>
      </c>
      <c r="B36" s="5" t="s">
        <v>102</v>
      </c>
      <c r="C36" s="5">
        <v>408834</v>
      </c>
      <c r="D36" s="6"/>
      <c r="E36" s="5" t="s">
        <v>14</v>
      </c>
      <c r="F36" s="5" t="s">
        <v>38</v>
      </c>
      <c r="G36" s="5" t="s">
        <v>16</v>
      </c>
      <c r="H36" s="7" t="s">
        <v>7</v>
      </c>
      <c r="I36" s="7" t="s">
        <v>103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2</v>
      </c>
      <c r="AC36" s="8">
        <v>1800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0">
        <v>1800</v>
      </c>
      <c r="BN36" s="14">
        <f t="shared" si="2"/>
        <v>1800</v>
      </c>
      <c r="BO36" s="15">
        <f t="shared" si="3"/>
        <v>1260</v>
      </c>
    </row>
    <row r="37" spans="1:67" x14ac:dyDescent="0.4">
      <c r="A37" s="5" t="s">
        <v>128</v>
      </c>
      <c r="B37" s="5" t="s">
        <v>45</v>
      </c>
      <c r="C37" s="5">
        <v>453445</v>
      </c>
      <c r="D37" s="6"/>
      <c r="E37" s="5" t="s">
        <v>14</v>
      </c>
      <c r="F37" s="5" t="s">
        <v>15</v>
      </c>
      <c r="G37" s="5" t="s">
        <v>16</v>
      </c>
      <c r="H37" s="7" t="s">
        <v>8</v>
      </c>
      <c r="I37" s="7" t="s">
        <v>46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2</v>
      </c>
      <c r="AC37" s="8">
        <v>1800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0">
        <v>1800</v>
      </c>
      <c r="BN37" s="14">
        <f t="shared" si="2"/>
        <v>1800</v>
      </c>
      <c r="BO37" s="15">
        <f t="shared" si="3"/>
        <v>1260</v>
      </c>
    </row>
    <row r="38" spans="1:67" x14ac:dyDescent="0.4">
      <c r="A38" s="5" t="s">
        <v>128</v>
      </c>
      <c r="B38" s="5" t="s">
        <v>87</v>
      </c>
      <c r="C38" s="5">
        <v>451972</v>
      </c>
      <c r="D38" s="6"/>
      <c r="E38" s="5" t="s">
        <v>14</v>
      </c>
      <c r="F38" s="5" t="s">
        <v>15</v>
      </c>
      <c r="G38" s="5" t="s">
        <v>16</v>
      </c>
      <c r="H38" s="7" t="s">
        <v>7</v>
      </c>
      <c r="I38" s="7" t="s">
        <v>46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2</v>
      </c>
      <c r="AO38" s="8">
        <v>1800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0">
        <v>1800</v>
      </c>
      <c r="BN38" s="14">
        <f t="shared" si="2"/>
        <v>1800</v>
      </c>
      <c r="BO38" s="15">
        <f t="shared" si="3"/>
        <v>1260</v>
      </c>
    </row>
    <row r="39" spans="1:67" x14ac:dyDescent="0.4">
      <c r="A39" s="5" t="s">
        <v>128</v>
      </c>
      <c r="B39" s="5" t="s">
        <v>36</v>
      </c>
      <c r="C39" s="5">
        <v>461450</v>
      </c>
      <c r="D39" s="6"/>
      <c r="E39" s="5" t="s">
        <v>14</v>
      </c>
      <c r="F39" s="5" t="s">
        <v>15</v>
      </c>
      <c r="G39" s="5" t="s">
        <v>16</v>
      </c>
      <c r="H39" s="7" t="s">
        <v>9</v>
      </c>
      <c r="I39" s="7" t="s">
        <v>29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1</v>
      </c>
      <c r="AC39" s="7">
        <v>900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1">
        <v>900</v>
      </c>
      <c r="BN39" s="14">
        <f t="shared" si="2"/>
        <v>900</v>
      </c>
      <c r="BO39" s="15">
        <f t="shared" si="3"/>
        <v>630</v>
      </c>
    </row>
    <row r="40" spans="1:67" x14ac:dyDescent="0.4">
      <c r="A40" s="5" t="s">
        <v>128</v>
      </c>
      <c r="B40" s="5" t="s">
        <v>43</v>
      </c>
      <c r="C40" s="5">
        <v>369060</v>
      </c>
      <c r="D40" s="6"/>
      <c r="E40" s="5" t="s">
        <v>14</v>
      </c>
      <c r="F40" s="5" t="s">
        <v>37</v>
      </c>
      <c r="G40" s="5" t="s">
        <v>16</v>
      </c>
      <c r="H40" s="7" t="s">
        <v>7</v>
      </c>
      <c r="I40" s="7" t="s">
        <v>44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6</v>
      </c>
      <c r="AF40" s="7">
        <v>620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2</v>
      </c>
      <c r="AR40" s="7">
        <v>200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1">
        <v>820</v>
      </c>
      <c r="BN40" s="14">
        <f t="shared" si="2"/>
        <v>820</v>
      </c>
      <c r="BO40" s="15">
        <f t="shared" si="3"/>
        <v>574</v>
      </c>
    </row>
    <row r="41" spans="1:67" x14ac:dyDescent="0.4">
      <c r="A41" s="5" t="s">
        <v>128</v>
      </c>
      <c r="B41" s="5" t="s">
        <v>104</v>
      </c>
      <c r="C41" s="5">
        <v>469971</v>
      </c>
      <c r="D41" s="6"/>
      <c r="E41" s="5" t="s">
        <v>14</v>
      </c>
      <c r="F41" s="5" t="s">
        <v>105</v>
      </c>
      <c r="G41" s="5" t="s">
        <v>106</v>
      </c>
      <c r="H41" s="7" t="s">
        <v>7</v>
      </c>
      <c r="I41" s="7" t="s">
        <v>107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3</v>
      </c>
      <c r="AF41" s="7">
        <v>0</v>
      </c>
      <c r="AG41" s="7">
        <v>300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1">
        <v>300</v>
      </c>
      <c r="BN41" s="14">
        <f t="shared" si="2"/>
        <v>300</v>
      </c>
      <c r="BO41" s="15">
        <f t="shared" si="3"/>
        <v>210</v>
      </c>
    </row>
    <row r="42" spans="1:67" x14ac:dyDescent="0.4">
      <c r="A42" s="5" t="s">
        <v>128</v>
      </c>
      <c r="B42" s="5" t="s">
        <v>127</v>
      </c>
      <c r="C42" s="5">
        <v>408838</v>
      </c>
      <c r="D42" s="6"/>
      <c r="E42" s="5" t="s">
        <v>14</v>
      </c>
      <c r="F42" s="5" t="s">
        <v>38</v>
      </c>
      <c r="G42" s="5" t="s">
        <v>16</v>
      </c>
      <c r="H42" s="7" t="s">
        <v>7</v>
      </c>
      <c r="I42" s="7" t="s">
        <v>103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</v>
      </c>
      <c r="AF42" s="7">
        <v>100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1">
        <v>100</v>
      </c>
      <c r="BN42" s="14">
        <f t="shared" si="2"/>
        <v>100</v>
      </c>
      <c r="BO42" s="15">
        <f t="shared" si="3"/>
        <v>70</v>
      </c>
    </row>
    <row r="43" spans="1:67" x14ac:dyDescent="0.4">
      <c r="A43" s="5" t="s">
        <v>129</v>
      </c>
      <c r="B43" s="5" t="s">
        <v>94</v>
      </c>
      <c r="C43" s="5">
        <v>472520</v>
      </c>
      <c r="D43" s="6"/>
      <c r="E43" s="5" t="s">
        <v>14</v>
      </c>
      <c r="F43" s="5" t="s">
        <v>95</v>
      </c>
      <c r="G43" s="5" t="s">
        <v>21</v>
      </c>
      <c r="H43" s="7" t="s">
        <v>23</v>
      </c>
      <c r="I43" s="7" t="s">
        <v>96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10</v>
      </c>
      <c r="AF43" s="8">
        <v>28600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2</v>
      </c>
      <c r="AR43" s="8">
        <v>6000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2</v>
      </c>
      <c r="BD43" s="8">
        <v>7200</v>
      </c>
      <c r="BE43" s="7">
        <v>0</v>
      </c>
      <c r="BF43" s="7">
        <v>0</v>
      </c>
      <c r="BG43" s="7">
        <v>0</v>
      </c>
      <c r="BH43" s="7">
        <v>0</v>
      </c>
      <c r="BI43" s="7">
        <v>1</v>
      </c>
      <c r="BJ43" s="8">
        <v>1680</v>
      </c>
      <c r="BK43" s="7">
        <v>0</v>
      </c>
      <c r="BL43" s="7">
        <v>516</v>
      </c>
      <c r="BM43" s="10">
        <v>43480</v>
      </c>
      <c r="BN43" s="14">
        <f t="shared" si="2"/>
        <v>42964</v>
      </c>
      <c r="BO43" s="15">
        <f t="shared" si="3"/>
        <v>30074.799999999999</v>
      </c>
    </row>
    <row r="44" spans="1:67" x14ac:dyDescent="0.4">
      <c r="A44" s="5" t="s">
        <v>129</v>
      </c>
      <c r="B44" s="5" t="s">
        <v>66</v>
      </c>
      <c r="C44" s="5">
        <v>470383</v>
      </c>
      <c r="D44" s="6"/>
      <c r="E44" s="5" t="s">
        <v>14</v>
      </c>
      <c r="F44" s="5" t="s">
        <v>67</v>
      </c>
      <c r="G44" s="5" t="s">
        <v>21</v>
      </c>
      <c r="H44" s="7" t="s">
        <v>23</v>
      </c>
      <c r="I44" s="7" t="s">
        <v>68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12</v>
      </c>
      <c r="AF44" s="8">
        <v>10000</v>
      </c>
      <c r="AG44" s="8">
        <v>14000</v>
      </c>
      <c r="AH44" s="7">
        <v>0</v>
      </c>
      <c r="AI44" s="7">
        <v>0</v>
      </c>
      <c r="AJ44" s="7">
        <v>0</v>
      </c>
      <c r="AK44" s="7">
        <v>4</v>
      </c>
      <c r="AL44" s="7">
        <v>0</v>
      </c>
      <c r="AM44" s="8">
        <v>8000</v>
      </c>
      <c r="AN44" s="7">
        <v>0</v>
      </c>
      <c r="AO44" s="7">
        <v>0</v>
      </c>
      <c r="AP44" s="7">
        <v>0</v>
      </c>
      <c r="AQ44" s="7">
        <v>3</v>
      </c>
      <c r="AR44" s="8">
        <v>6000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38000</v>
      </c>
      <c r="BN44" s="14">
        <f t="shared" si="2"/>
        <v>38000</v>
      </c>
      <c r="BO44" s="15">
        <f t="shared" si="3"/>
        <v>26600</v>
      </c>
    </row>
    <row r="45" spans="1:67" x14ac:dyDescent="0.4">
      <c r="A45" s="5" t="s">
        <v>129</v>
      </c>
      <c r="B45" s="5" t="s">
        <v>99</v>
      </c>
      <c r="C45" s="5">
        <v>474767</v>
      </c>
      <c r="D45" s="6"/>
      <c r="E45" s="5" t="s">
        <v>14</v>
      </c>
      <c r="F45" s="5" t="s">
        <v>100</v>
      </c>
      <c r="G45" s="5" t="s">
        <v>21</v>
      </c>
      <c r="H45" s="7" t="s">
        <v>23</v>
      </c>
      <c r="I45" s="7" t="s">
        <v>101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9</v>
      </c>
      <c r="AF45" s="8">
        <v>17600</v>
      </c>
      <c r="AG45" s="8">
        <v>3500</v>
      </c>
      <c r="AH45" s="7">
        <v>0</v>
      </c>
      <c r="AI45" s="7">
        <v>0</v>
      </c>
      <c r="AJ45" s="7">
        <v>0</v>
      </c>
      <c r="AK45" s="7">
        <v>1</v>
      </c>
      <c r="AL45" s="7">
        <v>0</v>
      </c>
      <c r="AM45" s="8">
        <v>1400</v>
      </c>
      <c r="AN45" s="7">
        <v>0</v>
      </c>
      <c r="AO45" s="7">
        <v>0</v>
      </c>
      <c r="AP45" s="7">
        <v>0</v>
      </c>
      <c r="AQ45" s="7">
        <v>1</v>
      </c>
      <c r="AR45" s="8">
        <v>2500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1</v>
      </c>
      <c r="BD45" s="8">
        <v>3000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180</v>
      </c>
      <c r="BM45" s="10">
        <v>28000</v>
      </c>
      <c r="BN45" s="14">
        <f t="shared" si="2"/>
        <v>27820</v>
      </c>
      <c r="BO45" s="15">
        <f t="shared" si="3"/>
        <v>19474</v>
      </c>
    </row>
    <row r="46" spans="1:67" x14ac:dyDescent="0.4">
      <c r="A46" s="5" t="s">
        <v>129</v>
      </c>
      <c r="B46" s="5" t="s">
        <v>88</v>
      </c>
      <c r="C46" s="5">
        <v>474766</v>
      </c>
      <c r="D46" s="6"/>
      <c r="E46" s="5" t="s">
        <v>14</v>
      </c>
      <c r="F46" s="5" t="s">
        <v>89</v>
      </c>
      <c r="G46" s="5" t="s">
        <v>21</v>
      </c>
      <c r="H46" s="7" t="s">
        <v>23</v>
      </c>
      <c r="I46" s="7" t="s">
        <v>90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7</v>
      </c>
      <c r="AF46" s="8">
        <v>17200</v>
      </c>
      <c r="AG46" s="7">
        <v>300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1</v>
      </c>
      <c r="AR46" s="8">
        <v>2500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1</v>
      </c>
      <c r="BD46" s="8">
        <v>3000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180</v>
      </c>
      <c r="BM46" s="10">
        <v>23000</v>
      </c>
      <c r="BN46" s="14">
        <f t="shared" si="2"/>
        <v>22820</v>
      </c>
      <c r="BO46" s="15">
        <f t="shared" si="3"/>
        <v>15973.999999999998</v>
      </c>
    </row>
    <row r="47" spans="1:67" x14ac:dyDescent="0.4">
      <c r="A47" s="5" t="s">
        <v>129</v>
      </c>
      <c r="B47" s="5" t="s">
        <v>91</v>
      </c>
      <c r="C47" s="5">
        <v>474765</v>
      </c>
      <c r="D47" s="6"/>
      <c r="E47" s="5" t="s">
        <v>14</v>
      </c>
      <c r="F47" s="5" t="s">
        <v>92</v>
      </c>
      <c r="G47" s="5" t="s">
        <v>21</v>
      </c>
      <c r="H47" s="7" t="s">
        <v>23</v>
      </c>
      <c r="I47" s="7" t="s">
        <v>93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9</v>
      </c>
      <c r="AF47" s="8">
        <v>18400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18400</v>
      </c>
      <c r="BN47" s="14">
        <f t="shared" si="2"/>
        <v>18400</v>
      </c>
      <c r="BO47" s="15">
        <f t="shared" si="3"/>
        <v>12880</v>
      </c>
    </row>
    <row r="48" spans="1:67" x14ac:dyDescent="0.4">
      <c r="A48" s="5" t="s">
        <v>129</v>
      </c>
      <c r="B48" s="5" t="s">
        <v>19</v>
      </c>
      <c r="C48" s="5">
        <v>464786</v>
      </c>
      <c r="D48" s="6"/>
      <c r="E48" s="5" t="s">
        <v>14</v>
      </c>
      <c r="F48" s="5" t="s">
        <v>20</v>
      </c>
      <c r="G48" s="5" t="s">
        <v>21</v>
      </c>
      <c r="H48" s="7" t="s">
        <v>9</v>
      </c>
      <c r="I48" s="7" t="s">
        <v>22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3</v>
      </c>
      <c r="AF48" s="8">
        <v>6800</v>
      </c>
      <c r="AG48" s="7">
        <v>0</v>
      </c>
      <c r="AH48" s="7">
        <v>0</v>
      </c>
      <c r="AI48" s="7">
        <v>0</v>
      </c>
      <c r="AJ48" s="7">
        <v>0</v>
      </c>
      <c r="AK48" s="7">
        <v>3</v>
      </c>
      <c r="AL48" s="7">
        <v>0</v>
      </c>
      <c r="AM48" s="8">
        <v>5700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0">
        <v>12500</v>
      </c>
      <c r="BN48" s="14">
        <f t="shared" si="2"/>
        <v>12500</v>
      </c>
      <c r="BO48" s="15">
        <f t="shared" si="3"/>
        <v>8750</v>
      </c>
    </row>
    <row r="49" spans="1:67" x14ac:dyDescent="0.4">
      <c r="A49" s="5" t="s">
        <v>129</v>
      </c>
      <c r="B49" s="5" t="s">
        <v>26</v>
      </c>
      <c r="C49" s="5">
        <v>465773</v>
      </c>
      <c r="D49" s="6"/>
      <c r="E49" s="5" t="s">
        <v>14</v>
      </c>
      <c r="F49" s="5" t="s">
        <v>27</v>
      </c>
      <c r="G49" s="5" t="s">
        <v>21</v>
      </c>
      <c r="H49" s="7" t="s">
        <v>23</v>
      </c>
      <c r="I49" s="7" t="s">
        <v>28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2</v>
      </c>
      <c r="AF49" s="8">
        <v>7000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1</v>
      </c>
      <c r="BD49" s="8">
        <v>4200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252</v>
      </c>
      <c r="BM49" s="10">
        <v>11200</v>
      </c>
      <c r="BN49" s="14">
        <f t="shared" si="2"/>
        <v>10948</v>
      </c>
      <c r="BO49" s="15">
        <f t="shared" si="3"/>
        <v>7663.5999999999995</v>
      </c>
    </row>
    <row r="50" spans="1:67" x14ac:dyDescent="0.4">
      <c r="A50" s="5" t="s">
        <v>129</v>
      </c>
      <c r="B50" s="5" t="s">
        <v>78</v>
      </c>
      <c r="C50" s="5">
        <v>472518</v>
      </c>
      <c r="D50" s="6"/>
      <c r="E50" s="5" t="s">
        <v>14</v>
      </c>
      <c r="F50" s="5" t="s">
        <v>79</v>
      </c>
      <c r="G50" s="5" t="s">
        <v>21</v>
      </c>
      <c r="H50" s="7" t="s">
        <v>23</v>
      </c>
      <c r="I50" s="7" t="s">
        <v>80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3</v>
      </c>
      <c r="AF50" s="8">
        <v>5000</v>
      </c>
      <c r="AG50" s="8">
        <v>2500</v>
      </c>
      <c r="AH50" s="7">
        <v>0</v>
      </c>
      <c r="AI50" s="7">
        <v>0</v>
      </c>
      <c r="AJ50" s="7">
        <v>0</v>
      </c>
      <c r="AK50" s="7">
        <v>1</v>
      </c>
      <c r="AL50" s="7">
        <v>0</v>
      </c>
      <c r="AM50" s="8">
        <v>1000</v>
      </c>
      <c r="AN50" s="7">
        <v>0</v>
      </c>
      <c r="AO50" s="7">
        <v>0</v>
      </c>
      <c r="AP50" s="7">
        <v>0</v>
      </c>
      <c r="AQ50" s="7">
        <v>1</v>
      </c>
      <c r="AR50" s="8">
        <v>1500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10000</v>
      </c>
      <c r="BN50" s="14">
        <f t="shared" si="2"/>
        <v>10000</v>
      </c>
      <c r="BO50" s="15">
        <f t="shared" si="3"/>
        <v>7000</v>
      </c>
    </row>
    <row r="51" spans="1:67" x14ac:dyDescent="0.4">
      <c r="A51" s="5" t="s">
        <v>129</v>
      </c>
      <c r="B51" s="5" t="s">
        <v>58</v>
      </c>
      <c r="C51" s="5">
        <v>387161</v>
      </c>
      <c r="D51" s="6"/>
      <c r="E51" s="5" t="s">
        <v>14</v>
      </c>
      <c r="F51" s="5" t="s">
        <v>59</v>
      </c>
      <c r="G51" s="5" t="s">
        <v>39</v>
      </c>
      <c r="H51" s="7" t="s">
        <v>23</v>
      </c>
      <c r="I51" s="7" t="s">
        <v>60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</v>
      </c>
      <c r="AF51" s="8">
        <v>2200</v>
      </c>
      <c r="AG51" s="8">
        <v>1000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1</v>
      </c>
      <c r="AR51" s="8">
        <v>3200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6400</v>
      </c>
      <c r="BN51" s="14">
        <f t="shared" si="2"/>
        <v>6400</v>
      </c>
      <c r="BO51" s="15">
        <f t="shared" si="3"/>
        <v>4480</v>
      </c>
    </row>
    <row r="52" spans="1:67" x14ac:dyDescent="0.4">
      <c r="A52" s="5" t="s">
        <v>129</v>
      </c>
      <c r="B52" s="5" t="s">
        <v>49</v>
      </c>
      <c r="C52" s="5">
        <v>457533</v>
      </c>
      <c r="D52" s="6"/>
      <c r="E52" s="5" t="s">
        <v>14</v>
      </c>
      <c r="F52" s="5" t="s">
        <v>50</v>
      </c>
      <c r="G52" s="5" t="s">
        <v>21</v>
      </c>
      <c r="H52" s="7" t="s">
        <v>23</v>
      </c>
      <c r="I52" s="7" t="s">
        <v>51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</v>
      </c>
      <c r="AF52" s="8">
        <v>2500</v>
      </c>
      <c r="AG52" s="7">
        <v>0</v>
      </c>
      <c r="AH52" s="7">
        <v>0</v>
      </c>
      <c r="AI52" s="7">
        <v>0</v>
      </c>
      <c r="AJ52" s="7">
        <v>0</v>
      </c>
      <c r="AK52" s="7">
        <v>1</v>
      </c>
      <c r="AL52" s="7">
        <v>0</v>
      </c>
      <c r="AM52" s="8">
        <v>2500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0">
        <v>5000</v>
      </c>
      <c r="BN52" s="14">
        <f t="shared" si="2"/>
        <v>5000</v>
      </c>
      <c r="BO52" s="15">
        <f t="shared" si="3"/>
        <v>3500</v>
      </c>
    </row>
    <row r="53" spans="1:67" x14ac:dyDescent="0.4">
      <c r="A53" s="5" t="s">
        <v>129</v>
      </c>
      <c r="B53" s="5" t="s">
        <v>81</v>
      </c>
      <c r="C53" s="5">
        <v>472517</v>
      </c>
      <c r="D53" s="6"/>
      <c r="E53" s="5" t="s">
        <v>14</v>
      </c>
      <c r="F53" s="5" t="s">
        <v>82</v>
      </c>
      <c r="G53" s="5" t="s">
        <v>21</v>
      </c>
      <c r="H53" s="7" t="s">
        <v>23</v>
      </c>
      <c r="I53" s="7" t="s">
        <v>83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2</v>
      </c>
      <c r="AR53" s="8">
        <v>5000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5000</v>
      </c>
      <c r="BN53" s="14">
        <f t="shared" si="2"/>
        <v>5000</v>
      </c>
      <c r="BO53" s="15">
        <f t="shared" si="3"/>
        <v>3500</v>
      </c>
    </row>
    <row r="54" spans="1:67" x14ac:dyDescent="0.4">
      <c r="A54" s="5" t="s">
        <v>129</v>
      </c>
      <c r="B54" s="5" t="s">
        <v>72</v>
      </c>
      <c r="C54" s="5">
        <v>470426</v>
      </c>
      <c r="D54" s="6"/>
      <c r="E54" s="5" t="s">
        <v>14</v>
      </c>
      <c r="F54" s="5" t="s">
        <v>73</v>
      </c>
      <c r="G54" s="5" t="s">
        <v>21</v>
      </c>
      <c r="H54" s="7" t="s">
        <v>23</v>
      </c>
      <c r="I54" s="7" t="s">
        <v>74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2</v>
      </c>
      <c r="AF54" s="8">
        <v>5000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0">
        <v>5000</v>
      </c>
      <c r="BN54" s="14">
        <f t="shared" si="2"/>
        <v>5000</v>
      </c>
      <c r="BO54" s="15">
        <f t="shared" si="3"/>
        <v>3500</v>
      </c>
    </row>
    <row r="55" spans="1:67" x14ac:dyDescent="0.4">
      <c r="A55" s="5" t="s">
        <v>129</v>
      </c>
      <c r="B55" s="5" t="s">
        <v>75</v>
      </c>
      <c r="C55" s="5">
        <v>472519</v>
      </c>
      <c r="D55" s="6"/>
      <c r="E55" s="5" t="s">
        <v>14</v>
      </c>
      <c r="F55" s="5" t="s">
        <v>76</v>
      </c>
      <c r="G55" s="5" t="s">
        <v>21</v>
      </c>
      <c r="H55" s="7" t="s">
        <v>7</v>
      </c>
      <c r="I55" s="7" t="s">
        <v>77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</v>
      </c>
      <c r="AF55" s="8">
        <v>3600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0">
        <v>3600</v>
      </c>
      <c r="BN55" s="14">
        <f t="shared" si="2"/>
        <v>3600</v>
      </c>
      <c r="BO55" s="15">
        <f t="shared" si="3"/>
        <v>2520</v>
      </c>
    </row>
    <row r="56" spans="1:67" x14ac:dyDescent="0.4">
      <c r="A56" s="5" t="s">
        <v>129</v>
      </c>
      <c r="B56" s="5" t="s">
        <v>52</v>
      </c>
      <c r="C56" s="5">
        <v>395231</v>
      </c>
      <c r="D56" s="6"/>
      <c r="E56" s="5" t="s">
        <v>14</v>
      </c>
      <c r="F56" s="5" t="s">
        <v>24</v>
      </c>
      <c r="G56" s="5" t="s">
        <v>25</v>
      </c>
      <c r="H56" s="7" t="s">
        <v>23</v>
      </c>
      <c r="I56" s="7" t="s">
        <v>53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</v>
      </c>
      <c r="AF56" s="8">
        <v>3500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0">
        <v>3500</v>
      </c>
      <c r="BN56" s="14">
        <f t="shared" si="2"/>
        <v>3500</v>
      </c>
      <c r="BO56" s="15">
        <f t="shared" si="3"/>
        <v>2450</v>
      </c>
    </row>
    <row r="57" spans="1:67" x14ac:dyDescent="0.4">
      <c r="A57" s="5" t="s">
        <v>129</v>
      </c>
      <c r="B57" s="5" t="s">
        <v>112</v>
      </c>
      <c r="C57" s="5">
        <v>459228</v>
      </c>
      <c r="D57" s="6"/>
      <c r="E57" s="5" t="s">
        <v>14</v>
      </c>
      <c r="F57" s="5" t="s">
        <v>113</v>
      </c>
      <c r="G57" s="5" t="s">
        <v>21</v>
      </c>
      <c r="H57" s="7" t="s">
        <v>23</v>
      </c>
      <c r="I57" s="7" t="s">
        <v>114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8">
        <v>3000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3000</v>
      </c>
      <c r="BN57" s="14">
        <f t="shared" si="2"/>
        <v>3000</v>
      </c>
      <c r="BO57" s="15">
        <f t="shared" si="3"/>
        <v>2100</v>
      </c>
    </row>
    <row r="58" spans="1:67" ht="19.2" x14ac:dyDescent="0.4">
      <c r="A58" s="5" t="s">
        <v>129</v>
      </c>
      <c r="B58" s="5" t="s">
        <v>109</v>
      </c>
      <c r="C58" s="5">
        <v>442667</v>
      </c>
      <c r="D58" s="6"/>
      <c r="E58" s="5" t="s">
        <v>14</v>
      </c>
      <c r="F58" s="5" t="s">
        <v>110</v>
      </c>
      <c r="G58" s="5" t="s">
        <v>25</v>
      </c>
      <c r="H58" s="7" t="s">
        <v>23</v>
      </c>
      <c r="I58" s="7" t="s">
        <v>111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</v>
      </c>
      <c r="AF58" s="7">
        <v>0</v>
      </c>
      <c r="AG58" s="8">
        <v>3000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0">
        <v>3000</v>
      </c>
      <c r="BN58" s="14">
        <f t="shared" si="2"/>
        <v>3000</v>
      </c>
      <c r="BO58" s="15">
        <f t="shared" si="3"/>
        <v>2100</v>
      </c>
    </row>
    <row r="59" spans="1:67" ht="19.2" x14ac:dyDescent="0.4">
      <c r="A59" s="5" t="s">
        <v>129</v>
      </c>
      <c r="B59" s="5" t="s">
        <v>40</v>
      </c>
      <c r="C59" s="5">
        <v>468582</v>
      </c>
      <c r="D59" s="6"/>
      <c r="E59" s="5" t="s">
        <v>14</v>
      </c>
      <c r="F59" s="5" t="s">
        <v>41</v>
      </c>
      <c r="G59" s="5" t="s">
        <v>21</v>
      </c>
      <c r="H59" s="7" t="s">
        <v>9</v>
      </c>
      <c r="I59" s="7" t="s">
        <v>42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</v>
      </c>
      <c r="AF59" s="8">
        <v>2500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2500</v>
      </c>
      <c r="BN59" s="14">
        <f t="shared" si="2"/>
        <v>2500</v>
      </c>
      <c r="BO59" s="15">
        <f t="shared" si="3"/>
        <v>1750</v>
      </c>
    </row>
    <row r="60" spans="1:67" x14ac:dyDescent="0.4">
      <c r="A60" s="5" t="s">
        <v>129</v>
      </c>
      <c r="B60" s="5" t="s">
        <v>115</v>
      </c>
      <c r="C60" s="5">
        <v>464782</v>
      </c>
      <c r="D60" s="6"/>
      <c r="E60" s="5" t="s">
        <v>14</v>
      </c>
      <c r="F60" s="5" t="s">
        <v>92</v>
      </c>
      <c r="G60" s="5" t="s">
        <v>21</v>
      </c>
      <c r="H60" s="7" t="s">
        <v>23</v>
      </c>
      <c r="I60" s="7" t="s">
        <v>116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1</v>
      </c>
      <c r="AL60" s="8">
        <v>2400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720</v>
      </c>
      <c r="BM60" s="10">
        <v>2400</v>
      </c>
      <c r="BN60" s="14">
        <f t="shared" si="2"/>
        <v>1680</v>
      </c>
      <c r="BO60" s="15">
        <f t="shared" si="3"/>
        <v>1176</v>
      </c>
    </row>
    <row r="61" spans="1:67" x14ac:dyDescent="0.4">
      <c r="A61" s="5" t="s">
        <v>129</v>
      </c>
      <c r="B61" s="5" t="s">
        <v>47</v>
      </c>
      <c r="C61" s="5">
        <v>461347</v>
      </c>
      <c r="D61" s="6"/>
      <c r="E61" s="5" t="s">
        <v>14</v>
      </c>
      <c r="F61" s="5" t="s">
        <v>34</v>
      </c>
      <c r="G61" s="5" t="s">
        <v>21</v>
      </c>
      <c r="H61" s="7" t="s">
        <v>23</v>
      </c>
      <c r="I61" s="7" t="s">
        <v>48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1</v>
      </c>
      <c r="AL61" s="7">
        <v>0</v>
      </c>
      <c r="AM61" s="8">
        <v>2000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2000</v>
      </c>
      <c r="BN61" s="14">
        <f t="shared" si="2"/>
        <v>2000</v>
      </c>
      <c r="BO61" s="15">
        <f t="shared" si="3"/>
        <v>1400</v>
      </c>
    </row>
    <row r="62" spans="1:67" x14ac:dyDescent="0.4">
      <c r="A62" s="5" t="s">
        <v>129</v>
      </c>
      <c r="B62" s="5" t="s">
        <v>30</v>
      </c>
      <c r="C62" s="5">
        <v>467564</v>
      </c>
      <c r="D62" s="6"/>
      <c r="E62" s="5" t="s">
        <v>14</v>
      </c>
      <c r="F62" s="5" t="s">
        <v>31</v>
      </c>
      <c r="G62" s="5" t="s">
        <v>21</v>
      </c>
      <c r="H62" s="7" t="s">
        <v>23</v>
      </c>
      <c r="I62" s="7" t="s">
        <v>32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</v>
      </c>
      <c r="AF62" s="8">
        <v>2000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2000</v>
      </c>
      <c r="BN62" s="14">
        <f t="shared" si="2"/>
        <v>2000</v>
      </c>
      <c r="BO62" s="15">
        <f t="shared" si="3"/>
        <v>1400</v>
      </c>
    </row>
    <row r="63" spans="1:67" x14ac:dyDescent="0.4">
      <c r="A63" s="5" t="s">
        <v>129</v>
      </c>
      <c r="B63" s="5" t="s">
        <v>55</v>
      </c>
      <c r="C63" s="5">
        <v>457534</v>
      </c>
      <c r="D63" s="6"/>
      <c r="E63" s="5" t="s">
        <v>14</v>
      </c>
      <c r="F63" s="5" t="s">
        <v>56</v>
      </c>
      <c r="G63" s="5" t="s">
        <v>21</v>
      </c>
      <c r="H63" s="7" t="s">
        <v>23</v>
      </c>
      <c r="I63" s="7" t="s">
        <v>57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1</v>
      </c>
      <c r="AL63" s="7">
        <v>0</v>
      </c>
      <c r="AM63" s="8">
        <v>2000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2000</v>
      </c>
      <c r="BN63" s="14">
        <f t="shared" si="2"/>
        <v>2000</v>
      </c>
      <c r="BO63" s="15">
        <f t="shared" si="3"/>
        <v>1400</v>
      </c>
    </row>
    <row r="64" spans="1:67" x14ac:dyDescent="0.4">
      <c r="A64" s="5" t="s">
        <v>129</v>
      </c>
      <c r="B64" s="5" t="s">
        <v>33</v>
      </c>
      <c r="C64" s="5">
        <v>467559</v>
      </c>
      <c r="D64" s="6"/>
      <c r="E64" s="5" t="s">
        <v>14</v>
      </c>
      <c r="F64" s="5" t="s">
        <v>34</v>
      </c>
      <c r="G64" s="5" t="s">
        <v>21</v>
      </c>
      <c r="H64" s="7" t="s">
        <v>7</v>
      </c>
      <c r="I64" s="7" t="s">
        <v>35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</v>
      </c>
      <c r="AF64" s="8">
        <v>2000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0">
        <v>2000</v>
      </c>
      <c r="BN64" s="14">
        <f t="shared" si="2"/>
        <v>2000</v>
      </c>
      <c r="BO64" s="15">
        <f t="shared" si="3"/>
        <v>1400</v>
      </c>
    </row>
    <row r="65" spans="1:67" x14ac:dyDescent="0.4">
      <c r="A65" s="5" t="s">
        <v>129</v>
      </c>
      <c r="B65" s="5" t="s">
        <v>122</v>
      </c>
      <c r="C65" s="5">
        <v>457239</v>
      </c>
      <c r="D65" s="6"/>
      <c r="E65" s="5" t="s">
        <v>14</v>
      </c>
      <c r="F65" s="5" t="s">
        <v>92</v>
      </c>
      <c r="G65" s="5" t="s">
        <v>21</v>
      </c>
      <c r="H65" s="7" t="s">
        <v>23</v>
      </c>
      <c r="I65" s="7" t="s">
        <v>123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</v>
      </c>
      <c r="AF65" s="8">
        <v>2000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2000</v>
      </c>
      <c r="BN65" s="14">
        <f t="shared" si="2"/>
        <v>2000</v>
      </c>
      <c r="BO65" s="15">
        <f t="shared" si="3"/>
        <v>1400</v>
      </c>
    </row>
    <row r="66" spans="1:67" x14ac:dyDescent="0.4">
      <c r="A66" s="5" t="s">
        <v>129</v>
      </c>
      <c r="B66" s="5" t="s">
        <v>69</v>
      </c>
      <c r="C66" s="5">
        <v>472516</v>
      </c>
      <c r="D66" s="6"/>
      <c r="E66" s="5" t="s">
        <v>14</v>
      </c>
      <c r="F66" s="5" t="s">
        <v>70</v>
      </c>
      <c r="G66" s="5" t="s">
        <v>21</v>
      </c>
      <c r="H66" s="7" t="s">
        <v>23</v>
      </c>
      <c r="I66" s="7" t="s">
        <v>71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</v>
      </c>
      <c r="AF66" s="8">
        <v>2000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2000</v>
      </c>
      <c r="BN66" s="14">
        <f t="shared" si="2"/>
        <v>2000</v>
      </c>
      <c r="BO66" s="15">
        <f t="shared" si="3"/>
        <v>1400</v>
      </c>
    </row>
    <row r="67" spans="1:67" x14ac:dyDescent="0.4">
      <c r="A67" s="5" t="s">
        <v>129</v>
      </c>
      <c r="B67" s="5" t="s">
        <v>117</v>
      </c>
      <c r="C67" s="5">
        <v>461355</v>
      </c>
      <c r="D67" s="6"/>
      <c r="E67" s="5" t="s">
        <v>14</v>
      </c>
      <c r="F67" s="5" t="s">
        <v>118</v>
      </c>
      <c r="G67" s="5" t="s">
        <v>21</v>
      </c>
      <c r="H67" s="7" t="s">
        <v>7</v>
      </c>
      <c r="I67" s="7" t="s">
        <v>119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</v>
      </c>
      <c r="AF67" s="8">
        <v>2000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2000</v>
      </c>
      <c r="BN67" s="14">
        <f t="shared" si="2"/>
        <v>2000</v>
      </c>
      <c r="BO67" s="15">
        <f t="shared" si="3"/>
        <v>1400</v>
      </c>
    </row>
    <row r="68" spans="1:67" x14ac:dyDescent="0.4">
      <c r="A68" s="5" t="s">
        <v>129</v>
      </c>
      <c r="B68" s="5" t="s">
        <v>120</v>
      </c>
      <c r="C68" s="5">
        <v>461351</v>
      </c>
      <c r="D68" s="6"/>
      <c r="E68" s="5" t="s">
        <v>14</v>
      </c>
      <c r="F68" s="5" t="s">
        <v>31</v>
      </c>
      <c r="G68" s="5" t="s">
        <v>21</v>
      </c>
      <c r="H68" s="7" t="s">
        <v>23</v>
      </c>
      <c r="I68" s="7" t="s">
        <v>121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1</v>
      </c>
      <c r="AF68" s="8">
        <v>2000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0">
        <v>2000</v>
      </c>
      <c r="BN68" s="14">
        <f t="shared" si="2"/>
        <v>2000</v>
      </c>
      <c r="BO68" s="15">
        <f t="shared" si="3"/>
        <v>1400</v>
      </c>
    </row>
    <row r="69" spans="1:67" x14ac:dyDescent="0.4">
      <c r="A69" s="5" t="s">
        <v>129</v>
      </c>
      <c r="B69" s="5" t="s">
        <v>65</v>
      </c>
      <c r="C69" s="5">
        <v>395237</v>
      </c>
      <c r="D69" s="6"/>
      <c r="E69" s="5" t="s">
        <v>14</v>
      </c>
      <c r="F69" s="5" t="s">
        <v>24</v>
      </c>
      <c r="G69" s="5" t="s">
        <v>25</v>
      </c>
      <c r="H69" s="7" t="s">
        <v>23</v>
      </c>
      <c r="I69" s="7" t="s">
        <v>53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1</v>
      </c>
      <c r="AX69" s="7">
        <v>240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24</v>
      </c>
      <c r="BM69" s="11">
        <v>240</v>
      </c>
      <c r="BN69" s="14">
        <f t="shared" si="2"/>
        <v>216</v>
      </c>
      <c r="BO69" s="15">
        <f t="shared" si="3"/>
        <v>151.19999999999999</v>
      </c>
    </row>
    <row r="70" spans="1:67" x14ac:dyDescent="0.4">
      <c r="A70" s="5" t="s">
        <v>129</v>
      </c>
      <c r="B70" s="5" t="s">
        <v>43</v>
      </c>
      <c r="C70" s="5">
        <v>369060</v>
      </c>
      <c r="D70" s="6"/>
      <c r="E70" s="5" t="s">
        <v>14</v>
      </c>
      <c r="F70" s="5" t="s">
        <v>37</v>
      </c>
      <c r="G70" s="5" t="s">
        <v>16</v>
      </c>
      <c r="H70" s="7" t="s">
        <v>7</v>
      </c>
      <c r="I70" s="7" t="s">
        <v>44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1</v>
      </c>
      <c r="BD70" s="7">
        <v>120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7.2</v>
      </c>
      <c r="BM70" s="11">
        <v>120</v>
      </c>
      <c r="BN70" s="14">
        <f t="shared" si="2"/>
        <v>112.8</v>
      </c>
      <c r="BO70" s="15">
        <f t="shared" si="3"/>
        <v>78.959999999999994</v>
      </c>
    </row>
    <row r="71" spans="1:67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8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>
        <f>SUM(BM2:BM70)</f>
        <v>436340</v>
      </c>
      <c r="BO71" s="17">
        <f>SUM(BO2:BO70)</f>
        <v>302529.92000000004</v>
      </c>
    </row>
    <row r="72" spans="1:67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8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7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8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7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8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8"/>
      <c r="AP74" s="7"/>
      <c r="AQ74" s="7"/>
      <c r="AR74" s="8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7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8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8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7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8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7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8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8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7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8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8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7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8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7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8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8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8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8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8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8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8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8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8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8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8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8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8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8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1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1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1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1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1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1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1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1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1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1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1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1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1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1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8"/>
      <c r="AH142" s="7"/>
      <c r="AI142" s="7"/>
      <c r="AJ142" s="7"/>
      <c r="AK142" s="7"/>
      <c r="AL142" s="8"/>
      <c r="AM142" s="8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9"/>
      <c r="BM142" s="10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8"/>
      <c r="AD143" s="7"/>
      <c r="AE143" s="7"/>
      <c r="AF143" s="7"/>
      <c r="AG143" s="7"/>
      <c r="AH143" s="7"/>
      <c r="AI143" s="8"/>
      <c r="AJ143" s="7"/>
      <c r="AK143" s="7"/>
      <c r="AL143" s="7"/>
      <c r="AM143" s="7"/>
      <c r="AN143" s="7"/>
      <c r="AO143" s="8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8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9"/>
      <c r="BM144" s="10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7"/>
      <c r="AH145" s="7"/>
      <c r="AI145" s="7"/>
      <c r="AJ145" s="7"/>
      <c r="AK145" s="7"/>
      <c r="AL145" s="8"/>
      <c r="AM145" s="8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9"/>
      <c r="BM145" s="10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8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9"/>
      <c r="BM146" s="10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7"/>
      <c r="AH147" s="7"/>
      <c r="AI147" s="7"/>
      <c r="AJ147" s="7"/>
      <c r="AK147" s="7"/>
      <c r="AL147" s="8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9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8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8"/>
      <c r="AM149" s="8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7"/>
      <c r="AH150" s="7"/>
      <c r="AI150" s="7"/>
      <c r="AJ150" s="7"/>
      <c r="AK150" s="7"/>
      <c r="AL150" s="7"/>
      <c r="AM150" s="8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8"/>
      <c r="AM151" s="7"/>
      <c r="AN151" s="7"/>
      <c r="AO151" s="7"/>
      <c r="AP151" s="7"/>
      <c r="AQ151" s="7"/>
      <c r="AR151" s="8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8"/>
      <c r="AH152" s="7"/>
      <c r="AI152" s="7"/>
      <c r="AJ152" s="7"/>
      <c r="AK152" s="7"/>
      <c r="AL152" s="8"/>
      <c r="AM152" s="8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8"/>
      <c r="AM153" s="8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9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8"/>
      <c r="AM154" s="8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8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9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8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9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8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9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8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8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8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8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8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8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8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8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8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1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1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1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1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1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8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8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8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8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8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8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8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8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8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8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8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8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8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1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1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1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1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1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1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1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1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1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1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1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1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1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1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1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1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1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1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1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1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1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1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1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1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1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1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1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1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8"/>
      <c r="L251" s="8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8"/>
      <c r="AF251" s="8"/>
      <c r="AG251" s="8"/>
      <c r="AH251" s="7"/>
      <c r="AI251" s="7"/>
      <c r="AJ251" s="7"/>
      <c r="AK251" s="8"/>
      <c r="AL251" s="8"/>
      <c r="AM251" s="8"/>
      <c r="AN251" s="7"/>
      <c r="AO251" s="7"/>
      <c r="AP251" s="7"/>
      <c r="AQ251" s="8"/>
      <c r="AR251" s="8"/>
      <c r="AS251" s="8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9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8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8"/>
      <c r="AF252" s="8"/>
      <c r="AG252" s="8"/>
      <c r="AH252" s="7"/>
      <c r="AI252" s="7"/>
      <c r="AJ252" s="7"/>
      <c r="AK252" s="8"/>
      <c r="AL252" s="8"/>
      <c r="AM252" s="8"/>
      <c r="AN252" s="7"/>
      <c r="AO252" s="7"/>
      <c r="AP252" s="7"/>
      <c r="AQ252" s="7"/>
      <c r="AR252" s="8"/>
      <c r="AS252" s="8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9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8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8"/>
      <c r="AF253" s="8"/>
      <c r="AG253" s="8"/>
      <c r="AH253" s="7"/>
      <c r="AI253" s="7"/>
      <c r="AJ253" s="7"/>
      <c r="AK253" s="8"/>
      <c r="AL253" s="8"/>
      <c r="AM253" s="8"/>
      <c r="AN253" s="7"/>
      <c r="AO253" s="7"/>
      <c r="AP253" s="7"/>
      <c r="AQ253" s="8"/>
      <c r="AR253" s="8"/>
      <c r="AS253" s="8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9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8"/>
      <c r="AF254" s="8"/>
      <c r="AG254" s="8"/>
      <c r="AH254" s="7"/>
      <c r="AI254" s="7"/>
      <c r="AJ254" s="7"/>
      <c r="AK254" s="8"/>
      <c r="AL254" s="8"/>
      <c r="AM254" s="8"/>
      <c r="AN254" s="7"/>
      <c r="AO254" s="7"/>
      <c r="AP254" s="7"/>
      <c r="AQ254" s="8"/>
      <c r="AR254" s="8"/>
      <c r="AS254" s="8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9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8"/>
      <c r="AH255" s="7"/>
      <c r="AI255" s="7"/>
      <c r="AJ255" s="7"/>
      <c r="AK255" s="7"/>
      <c r="AL255" s="8"/>
      <c r="AM255" s="8"/>
      <c r="AN255" s="7"/>
      <c r="AO255" s="7"/>
      <c r="AP255" s="7"/>
      <c r="AQ255" s="7"/>
      <c r="AR255" s="8"/>
      <c r="AS255" s="8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9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8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8"/>
      <c r="AF256" s="8"/>
      <c r="AG256" s="8"/>
      <c r="AH256" s="7"/>
      <c r="AI256" s="7"/>
      <c r="AJ256" s="7"/>
      <c r="AK256" s="8"/>
      <c r="AL256" s="8"/>
      <c r="AM256" s="8"/>
      <c r="AN256" s="7"/>
      <c r="AO256" s="7"/>
      <c r="AP256" s="7"/>
      <c r="AQ256" s="7"/>
      <c r="AR256" s="8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9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8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8"/>
      <c r="AF257" s="8"/>
      <c r="AG257" s="8"/>
      <c r="AH257" s="7"/>
      <c r="AI257" s="7"/>
      <c r="AJ257" s="7"/>
      <c r="AK257" s="8"/>
      <c r="AL257" s="8"/>
      <c r="AM257" s="8"/>
      <c r="AN257" s="7"/>
      <c r="AO257" s="7"/>
      <c r="AP257" s="7"/>
      <c r="AQ257" s="7"/>
      <c r="AR257" s="8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9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8"/>
      <c r="AF258" s="8"/>
      <c r="AG258" s="8"/>
      <c r="AH258" s="7"/>
      <c r="AI258" s="7"/>
      <c r="AJ258" s="7"/>
      <c r="AK258" s="8"/>
      <c r="AL258" s="8"/>
      <c r="AM258" s="8"/>
      <c r="AN258" s="7"/>
      <c r="AO258" s="7"/>
      <c r="AP258" s="7"/>
      <c r="AQ258" s="7"/>
      <c r="AR258" s="8"/>
      <c r="AS258" s="8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9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8"/>
      <c r="L259" s="8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8"/>
      <c r="AF259" s="8"/>
      <c r="AG259" s="8"/>
      <c r="AH259" s="7"/>
      <c r="AI259" s="7"/>
      <c r="AJ259" s="7"/>
      <c r="AK259" s="8"/>
      <c r="AL259" s="8"/>
      <c r="AM259" s="8"/>
      <c r="AN259" s="7"/>
      <c r="AO259" s="7"/>
      <c r="AP259" s="7"/>
      <c r="AQ259" s="7"/>
      <c r="AR259" s="8"/>
      <c r="AS259" s="8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9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8"/>
      <c r="AF260" s="8"/>
      <c r="AG260" s="8"/>
      <c r="AH260" s="7"/>
      <c r="AI260" s="7"/>
      <c r="AJ260" s="7"/>
      <c r="AK260" s="8"/>
      <c r="AL260" s="8"/>
      <c r="AM260" s="8"/>
      <c r="AN260" s="7"/>
      <c r="AO260" s="7"/>
      <c r="AP260" s="7"/>
      <c r="AQ260" s="7"/>
      <c r="AR260" s="8"/>
      <c r="AS260" s="8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8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8"/>
      <c r="AF261" s="8"/>
      <c r="AG261" s="8"/>
      <c r="AH261" s="7"/>
      <c r="AI261" s="7"/>
      <c r="AJ261" s="7"/>
      <c r="AK261" s="8"/>
      <c r="AL261" s="8"/>
      <c r="AM261" s="8"/>
      <c r="AN261" s="7"/>
      <c r="AO261" s="7"/>
      <c r="AP261" s="7"/>
      <c r="AQ261" s="7"/>
      <c r="AR261" s="8"/>
      <c r="AS261" s="8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9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8"/>
      <c r="AH262" s="7"/>
      <c r="AI262" s="7"/>
      <c r="AJ262" s="7"/>
      <c r="AK262" s="8"/>
      <c r="AL262" s="8"/>
      <c r="AM262" s="8"/>
      <c r="AN262" s="7"/>
      <c r="AO262" s="7"/>
      <c r="AP262" s="7"/>
      <c r="AQ262" s="7"/>
      <c r="AR262" s="8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8"/>
      <c r="AH263" s="7"/>
      <c r="AI263" s="7"/>
      <c r="AJ263" s="7"/>
      <c r="AK263" s="7"/>
      <c r="AL263" s="8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9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8"/>
      <c r="K264" s="7"/>
      <c r="L264" s="8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8"/>
      <c r="AH264" s="7"/>
      <c r="AI264" s="7"/>
      <c r="AJ264" s="7"/>
      <c r="AK264" s="7"/>
      <c r="AL264" s="8"/>
      <c r="AM264" s="8"/>
      <c r="AN264" s="7"/>
      <c r="AO264" s="7"/>
      <c r="AP264" s="7"/>
      <c r="AQ264" s="7"/>
      <c r="AR264" s="8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8"/>
      <c r="AM265" s="8"/>
      <c r="AN265" s="7"/>
      <c r="AO265" s="7"/>
      <c r="AP265" s="7"/>
      <c r="AQ265" s="7"/>
      <c r="AR265" s="8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9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8"/>
      <c r="AM266" s="8"/>
      <c r="AN266" s="7"/>
      <c r="AO266" s="7"/>
      <c r="AP266" s="7"/>
      <c r="AQ266" s="7"/>
      <c r="AR266" s="8"/>
      <c r="AS266" s="8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9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8"/>
      <c r="AH267" s="7"/>
      <c r="AI267" s="7"/>
      <c r="AJ267" s="7"/>
      <c r="AK267" s="7"/>
      <c r="AL267" s="8"/>
      <c r="AM267" s="8"/>
      <c r="AN267" s="7"/>
      <c r="AO267" s="7"/>
      <c r="AP267" s="7"/>
      <c r="AQ267" s="7"/>
      <c r="AR267" s="8"/>
      <c r="AS267" s="8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9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8"/>
      <c r="AJ268" s="8"/>
      <c r="AK268" s="7"/>
      <c r="AL268" s="7"/>
      <c r="AM268" s="7"/>
      <c r="AN268" s="7"/>
      <c r="AO268" s="7"/>
      <c r="AP268" s="7"/>
      <c r="AQ268" s="7"/>
      <c r="AR268" s="8"/>
      <c r="AS268" s="8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9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8"/>
      <c r="AM269" s="8"/>
      <c r="AN269" s="7"/>
      <c r="AO269" s="7"/>
      <c r="AP269" s="7"/>
      <c r="AQ269" s="7"/>
      <c r="AR269" s="8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8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8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8"/>
      <c r="AS271" s="8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8"/>
      <c r="AM273" s="7"/>
      <c r="AN273" s="7"/>
      <c r="AO273" s="7"/>
      <c r="AP273" s="7"/>
      <c r="AQ273" s="7"/>
      <c r="AR273" s="8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9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8"/>
      <c r="AM274" s="7"/>
      <c r="AN274" s="7"/>
      <c r="AO274" s="7"/>
      <c r="AP274" s="7"/>
      <c r="AQ274" s="7"/>
      <c r="AR274" s="8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9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8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7"/>
      <c r="AH276" s="7"/>
      <c r="AI276" s="7"/>
      <c r="AJ276" s="7"/>
      <c r="AK276" s="7"/>
      <c r="AL276" s="8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9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8"/>
      <c r="AM277" s="8"/>
      <c r="AN277" s="7"/>
      <c r="AO277" s="7"/>
      <c r="AP277" s="7"/>
      <c r="AQ277" s="7"/>
      <c r="AR277" s="8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8"/>
      <c r="AH278" s="7"/>
      <c r="AI278" s="7"/>
      <c r="AJ278" s="7"/>
      <c r="AK278" s="7"/>
      <c r="AL278" s="8"/>
      <c r="AM278" s="8"/>
      <c r="AN278" s="7"/>
      <c r="AO278" s="7"/>
      <c r="AP278" s="7"/>
      <c r="AQ278" s="7"/>
      <c r="AR278" s="8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9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8"/>
      <c r="AM279" s="7"/>
      <c r="AN279" s="7"/>
      <c r="AO279" s="7"/>
      <c r="AP279" s="7"/>
      <c r="AQ279" s="7"/>
      <c r="AR279" s="8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9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8"/>
      <c r="AM280" s="7"/>
      <c r="AN280" s="7"/>
      <c r="AO280" s="7"/>
      <c r="AP280" s="7"/>
      <c r="AQ280" s="7"/>
      <c r="AR280" s="8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8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9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8"/>
      <c r="AH282" s="7"/>
      <c r="AI282" s="7"/>
      <c r="AJ282" s="7"/>
      <c r="AK282" s="7"/>
      <c r="AL282" s="8"/>
      <c r="AM282" s="8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9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8"/>
      <c r="AH283" s="7"/>
      <c r="AI283" s="7"/>
      <c r="AJ283" s="7"/>
      <c r="AK283" s="7"/>
      <c r="AL283" s="8"/>
      <c r="AM283" s="8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8"/>
      <c r="AM284" s="8"/>
      <c r="AN284" s="7"/>
      <c r="AO284" s="7"/>
      <c r="AP284" s="7"/>
      <c r="AQ284" s="7"/>
      <c r="AR284" s="8"/>
      <c r="AS284" s="8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9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8"/>
      <c r="AH285" s="7"/>
      <c r="AI285" s="7"/>
      <c r="AJ285" s="7"/>
      <c r="AK285" s="7"/>
      <c r="AL285" s="8"/>
      <c r="AM285" s="8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9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8"/>
      <c r="AM288" s="7"/>
      <c r="AN288" s="7"/>
      <c r="AO288" s="7"/>
      <c r="AP288" s="7"/>
      <c r="AQ288" s="7"/>
      <c r="AR288" s="8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8"/>
      <c r="AM289" s="8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8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8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0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8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8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0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8"/>
      <c r="AG295" s="7"/>
      <c r="AH295" s="7"/>
      <c r="AI295" s="7"/>
      <c r="AJ295" s="7"/>
      <c r="AK295" s="7"/>
      <c r="AL295" s="8"/>
      <c r="AM295" s="8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8"/>
      <c r="AG296" s="7"/>
      <c r="AH296" s="7"/>
      <c r="AI296" s="7"/>
      <c r="AJ296" s="7"/>
      <c r="AK296" s="7"/>
      <c r="AL296" s="8"/>
      <c r="AM296" s="8"/>
      <c r="AN296" s="7"/>
      <c r="AO296" s="7"/>
      <c r="AP296" s="7"/>
      <c r="AQ296" s="7"/>
      <c r="AR296" s="8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0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8"/>
      <c r="AJ297" s="7"/>
      <c r="AK297" s="7"/>
      <c r="AL297" s="8"/>
      <c r="AM297" s="7"/>
      <c r="AN297" s="7"/>
      <c r="AO297" s="8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10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8"/>
      <c r="AM298" s="8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7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8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10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8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0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8"/>
      <c r="AS303" s="8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0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7"/>
      <c r="AJ304" s="7"/>
      <c r="AK304" s="7"/>
      <c r="AL304" s="8"/>
      <c r="AM304" s="8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8"/>
      <c r="AM305" s="8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9"/>
      <c r="BM305" s="10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8"/>
      <c r="AG306" s="7"/>
      <c r="AH306" s="7"/>
      <c r="AI306" s="7"/>
      <c r="AJ306" s="7"/>
      <c r="AK306" s="7"/>
      <c r="AL306" s="7"/>
      <c r="AM306" s="8"/>
      <c r="AN306" s="7"/>
      <c r="AO306" s="7"/>
      <c r="AP306" s="7"/>
      <c r="AQ306" s="7"/>
      <c r="AR306" s="8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0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8"/>
      <c r="AG307" s="7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9"/>
      <c r="BM307" s="10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10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8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0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7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9"/>
      <c r="BM311" s="10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8"/>
      <c r="AN312" s="7"/>
      <c r="AO312" s="7"/>
      <c r="AP312" s="7"/>
      <c r="AQ312" s="7"/>
      <c r="AR312" s="8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0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8"/>
      <c r="AG313" s="7"/>
      <c r="AH313" s="7"/>
      <c r="AI313" s="7"/>
      <c r="AJ313" s="7"/>
      <c r="AK313" s="7"/>
      <c r="AL313" s="8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8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0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8"/>
      <c r="AG316" s="8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0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8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8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8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9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8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8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8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8"/>
      <c r="AH326" s="7"/>
      <c r="AI326" s="7"/>
      <c r="AJ326" s="7"/>
      <c r="AK326" s="7"/>
      <c r="AL326" s="7"/>
      <c r="AM326" s="8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8"/>
      <c r="AH327" s="7"/>
      <c r="AI327" s="7"/>
      <c r="AJ327" s="7"/>
      <c r="AK327" s="7"/>
      <c r="AL327" s="7"/>
      <c r="AM327" s="8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8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8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8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8"/>
      <c r="AM332" s="8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8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8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8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8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8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8"/>
      <c r="AH343" s="7"/>
      <c r="AI343" s="7"/>
      <c r="AJ343" s="7"/>
      <c r="AK343" s="7"/>
      <c r="AL343" s="7"/>
      <c r="AM343" s="8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8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8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7"/>
      <c r="AM352" s="8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7"/>
      <c r="AM353" s="8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8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8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1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1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1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1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1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1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1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1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1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1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1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1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1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1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2022-08-03T07:00:28Z</dcterms:modified>
</cp:coreProperties>
</file>