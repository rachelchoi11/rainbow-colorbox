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(7)" sheetId="412" r:id="rId1"/>
  </sheets>
  <definedNames>
    <definedName name="_xlnm._FilterDatabase" localSheetId="0" hidden="1">'합계(7)'!$A$1:$BQ$33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BO82" i="412" l="1"/>
  <c r="BN34" i="412"/>
  <c r="BO34" i="412"/>
  <c r="BN35" i="412"/>
  <c r="BO35" i="412" s="1"/>
  <c r="BN36" i="412"/>
  <c r="BO36" i="412"/>
  <c r="BN37" i="412"/>
  <c r="BO37" i="412" s="1"/>
  <c r="BN38" i="412"/>
  <c r="BO38" i="412"/>
  <c r="BN39" i="412"/>
  <c r="BO39" i="412" s="1"/>
  <c r="BN40" i="412"/>
  <c r="BO40" i="412"/>
  <c r="BN41" i="412"/>
  <c r="BO41" i="412" s="1"/>
  <c r="BN42" i="412"/>
  <c r="BO42" i="412"/>
  <c r="BN43" i="412"/>
  <c r="BO43" i="412" s="1"/>
  <c r="BN44" i="412"/>
  <c r="BO44" i="412"/>
  <c r="BN45" i="412"/>
  <c r="BO45" i="412" s="1"/>
  <c r="BN46" i="412"/>
  <c r="BO46" i="412"/>
  <c r="BN47" i="412"/>
  <c r="BO47" i="412" s="1"/>
  <c r="BN48" i="412"/>
  <c r="BO48" i="412"/>
  <c r="BN49" i="412"/>
  <c r="BO49" i="412" s="1"/>
  <c r="BN50" i="412"/>
  <c r="BO50" i="412"/>
  <c r="BN51" i="412"/>
  <c r="BO51" i="412" s="1"/>
  <c r="BN52" i="412"/>
  <c r="BO52" i="412"/>
  <c r="BN53" i="412"/>
  <c r="BO53" i="412" s="1"/>
  <c r="BN54" i="412"/>
  <c r="BO54" i="412"/>
  <c r="BN55" i="412"/>
  <c r="BO55" i="412" s="1"/>
  <c r="BN56" i="412"/>
  <c r="BO56" i="412"/>
  <c r="BN57" i="412"/>
  <c r="BO57" i="412" s="1"/>
  <c r="BN58" i="412"/>
  <c r="BO58" i="412"/>
  <c r="BN59" i="412"/>
  <c r="BO59" i="412" s="1"/>
  <c r="BN60" i="412"/>
  <c r="BO60" i="412"/>
  <c r="BN61" i="412"/>
  <c r="BO61" i="412" s="1"/>
  <c r="BN62" i="412"/>
  <c r="BO62" i="412"/>
  <c r="BN63" i="412"/>
  <c r="BO63" i="412" s="1"/>
  <c r="BN64" i="412"/>
  <c r="BO64" i="412"/>
  <c r="BN65" i="412"/>
  <c r="BO65" i="412" s="1"/>
  <c r="BN66" i="412"/>
  <c r="BO66" i="412"/>
  <c r="BN67" i="412"/>
  <c r="BO67" i="412" s="1"/>
  <c r="BN68" i="412"/>
  <c r="BO68" i="412"/>
  <c r="BN69" i="412"/>
  <c r="BO69" i="412" s="1"/>
  <c r="BN70" i="412"/>
  <c r="BO70" i="412"/>
  <c r="BN71" i="412"/>
  <c r="BO71" i="412" s="1"/>
  <c r="BN72" i="412"/>
  <c r="BO72" i="412"/>
  <c r="BN73" i="412"/>
  <c r="BO73" i="412" s="1"/>
  <c r="BN74" i="412"/>
  <c r="BO74" i="412"/>
  <c r="BN75" i="412"/>
  <c r="BO75" i="412" s="1"/>
  <c r="BN76" i="412"/>
  <c r="BO76" i="412"/>
  <c r="BN77" i="412"/>
  <c r="BO77" i="412" s="1"/>
  <c r="BN78" i="412"/>
  <c r="BO78" i="412"/>
  <c r="BN79" i="412"/>
  <c r="BO79" i="412" s="1"/>
  <c r="BN80" i="412"/>
  <c r="BO80" i="412"/>
  <c r="BN81" i="412"/>
  <c r="BO81" i="412" s="1"/>
  <c r="BN32" i="412"/>
  <c r="BO32" i="412" s="1"/>
  <c r="BN33" i="412"/>
  <c r="BO33" i="412" s="1"/>
  <c r="BM82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2" i="412"/>
  <c r="BO2" i="412" l="1"/>
</calcChain>
</file>

<file path=xl/sharedStrings.xml><?xml version="1.0" encoding="utf-8"?>
<sst xmlns="http://schemas.openxmlformats.org/spreadsheetml/2006/main" count="629" uniqueCount="174">
  <si>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</si>
  <si>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</si>
  <si>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</si>
  <si>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</si>
  <si>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</si>
  <si>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</si>
  <si>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</si>
  <si>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</si>
  <si>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</si>
  <si>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</si>
  <si>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</si>
  <si>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합계</t>
  </si>
  <si>
    <t>앱마켓수수료</t>
  </si>
  <si>
    <t>2020.11.16</t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</si>
  <si>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</si>
  <si>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</si>
  <si>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</si>
  <si>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</si>
  <si>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</si>
  <si>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</si>
  <si>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폭군의 눈물</t>
  </si>
  <si>
    <t>Ice×FANFAN COMIC</t>
  </si>
  <si>
    <t>2022.03.16</t>
  </si>
  <si>
    <t>악역이지만, 남주는 꼬시지 않아요</t>
  </si>
  <si>
    <t>kuri</t>
  </si>
  <si>
    <t>최애에게 들켜버렸다</t>
  </si>
  <si>
    <t>Lv</t>
  </si>
  <si>
    <t>백스테이지 키스신</t>
  </si>
  <si>
    <t>수정과</t>
  </si>
  <si>
    <t>2019.12.07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</si>
  <si>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</si>
  <si>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</si>
  <si>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</si>
  <si>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</si>
  <si>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</si>
  <si>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</si>
  <si>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</si>
  <si>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</si>
  <si>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너랑 나랑 하면[BL]</t>
  </si>
  <si>
    <t>NISANSUI/ZIQUAN</t>
  </si>
  <si>
    <t>2022.02.09</t>
  </si>
  <si>
    <t>공주전쟁</t>
  </si>
  <si>
    <t>Luojie</t>
  </si>
  <si>
    <t>내 남편의 스토커</t>
  </si>
  <si>
    <t>혜원</t>
  </si>
  <si>
    <t>2020.07.13</t>
  </si>
  <si>
    <t>폐하, 옥체 보존하세요!</t>
  </si>
  <si>
    <t>IvyeqianheXyouzhijiaozi</t>
  </si>
  <si>
    <t>요괴님은 수련중</t>
  </si>
  <si>
    <t>망북</t>
  </si>
  <si>
    <t>이세계 소환은 두 번째라구요</t>
  </si>
  <si>
    <t>Arashiyama</t>
  </si>
  <si>
    <t>2021.07.23</t>
  </si>
  <si>
    <t>결혼전쟁</t>
  </si>
  <si>
    <t>성c네</t>
  </si>
  <si>
    <t>2018.09.30</t>
  </si>
  <si>
    <t>달콤한 결혼</t>
  </si>
  <si>
    <t>낙신동만</t>
  </si>
  <si>
    <t>2019.02.10</t>
  </si>
  <si>
    <t>보스 오빠, 살살!</t>
  </si>
  <si>
    <t>웹티, 올코</t>
  </si>
  <si>
    <t>2021.12.04</t>
  </si>
  <si>
    <t>커피여우 김삼월</t>
  </si>
  <si>
    <t>A.Noa, RK Studio</t>
  </si>
  <si>
    <t>연애 2분의 1</t>
  </si>
  <si>
    <t>ZHUPI&amp;YANGXUETU</t>
  </si>
  <si>
    <t>2020.12.31</t>
  </si>
  <si>
    <t>슈트 오브 스파이</t>
  </si>
  <si>
    <t>11hook</t>
  </si>
  <si>
    <t>2022.03.01</t>
  </si>
  <si>
    <t>그남자의 사랑방식 [BL]</t>
  </si>
  <si>
    <t>원색동만</t>
  </si>
  <si>
    <t>2020.02.01</t>
  </si>
  <si>
    <t>로맨틱 시그널</t>
  </si>
  <si>
    <t>Bless+cangshukou</t>
  </si>
  <si>
    <t>구름의 연인</t>
  </si>
  <si>
    <t>웹티,올코</t>
  </si>
  <si>
    <t>2022.04.02</t>
  </si>
  <si>
    <t>역전의★샤이닝스타</t>
  </si>
  <si>
    <t>등광&amp;낙생</t>
  </si>
  <si>
    <t>2018.12.15</t>
  </si>
  <si>
    <t>바람의 전설</t>
  </si>
  <si>
    <t>성준(聖俊)</t>
  </si>
  <si>
    <t>2019.06.08</t>
  </si>
  <si>
    <t>지금은 여장중!</t>
  </si>
  <si>
    <t>CF·성C네</t>
  </si>
  <si>
    <t>2019.09.14</t>
  </si>
  <si>
    <t>무령후</t>
  </si>
  <si>
    <t>당만문화</t>
  </si>
  <si>
    <t>2019.01.27</t>
  </si>
  <si>
    <t>심연의 눈</t>
  </si>
  <si>
    <t>M.C.K.</t>
  </si>
  <si>
    <t>예쁜 남자 잘생긴 여자</t>
  </si>
  <si>
    <t>2020.08.24</t>
  </si>
  <si>
    <t>달콤한 키스</t>
  </si>
  <si>
    <t>CF,성C네</t>
  </si>
  <si>
    <t>2019.11.16</t>
  </si>
  <si>
    <t>황제의 사랑방식[BL]</t>
  </si>
  <si>
    <t>T.M, 올코</t>
  </si>
  <si>
    <t>2020.03.08</t>
  </si>
  <si>
    <t>2020.04.01</t>
  </si>
  <si>
    <t>대표님과 연애를 시작했습니다</t>
  </si>
  <si>
    <t>YQ</t>
  </si>
  <si>
    <t>출판사</t>
    <phoneticPr fontId="22" type="noConversion"/>
  </si>
  <si>
    <t>2022.07.27</t>
  </si>
  <si>
    <t>2022.07.28</t>
  </si>
  <si>
    <t>2022.07.29</t>
  </si>
  <si>
    <t>2022.07.09</t>
  </si>
  <si>
    <t>이웃집 아이돌</t>
  </si>
  <si>
    <t>2020.04.26</t>
  </si>
  <si>
    <t>시리즈(APP)</t>
    <phoneticPr fontId="20" type="noConversion"/>
  </si>
  <si>
    <t>시리즈 완전판(APP)</t>
    <phoneticPr fontId="20" type="noConversion"/>
  </si>
  <si>
    <t>시리즈(iOS)</t>
    <phoneticPr fontId="20" type="noConversion"/>
  </si>
  <si>
    <t>웹툰 앱 엔드(APP)</t>
    <phoneticPr fontId="20" type="noConversion"/>
  </si>
  <si>
    <t>웹툰 iOS앱 엔드(APP)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</si>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</sst>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0" fontId="23" fillId="0" borderId="0" xfId="0" applyFont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93"/>
  <sheetViews>
    <sheetView tabSelected="1" topLeftCell="BH1" zoomScaleNormal="100" workbookViewId="0">
      <selection activeCell="BL1" sqref="BL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7.796875" style="13" customWidth="1"/>
    <col min="67" max="67" width="16.69921875" style="13" customWidth="1"/>
  </cols>
  <sheetData>
    <row r="1" spans="1:69" ht="27" customHeight="1" x14ac:dyDescent="0.4">
      <c r="A1" s="2" t="s">
        <v>115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116</v>
      </c>
      <c r="I1" s="14" t="s">
        <v>6</v>
      </c>
      <c r="J1" s="12" t="s">
        <v>117</v>
      </c>
      <c r="K1" s="12" t="s">
        <v>118</v>
      </c>
      <c r="L1" s="12" t="s">
        <v>119</v>
      </c>
      <c r="M1" s="12" t="s">
        <v>120</v>
      </c>
      <c r="N1" s="12" t="s">
        <v>121</v>
      </c>
      <c r="O1" s="12" t="s">
        <v>122</v>
      </c>
      <c r="P1" s="12" t="s">
        <v>123</v>
      </c>
      <c r="Q1" s="12" t="s">
        <v>124</v>
      </c>
      <c r="R1" s="12" t="s">
        <v>125</v>
      </c>
      <c r="S1" s="12" t="s">
        <v>126</v>
      </c>
      <c r="T1" s="12" t="s">
        <v>127</v>
      </c>
      <c r="U1" s="12" t="s">
        <v>128</v>
      </c>
      <c r="V1" s="12" t="s">
        <v>129</v>
      </c>
      <c r="W1" s="12" t="s">
        <v>130</v>
      </c>
      <c r="X1" s="12" t="s">
        <v>131</v>
      </c>
      <c r="Y1" s="12" t="s">
        <v>132</v>
      </c>
      <c r="Z1" s="12" t="s">
        <v>133</v>
      </c>
      <c r="AA1" s="12" t="s">
        <v>134</v>
      </c>
      <c r="AB1" s="12" t="s">
        <v>135</v>
      </c>
      <c r="AC1" s="12" t="s">
        <v>136</v>
      </c>
      <c r="AD1" s="12" t="s">
        <v>137</v>
      </c>
      <c r="AE1" s="12" t="s">
        <v>138</v>
      </c>
      <c r="AF1" s="12" t="s">
        <v>139</v>
      </c>
      <c r="AG1" s="12" t="s">
        <v>140</v>
      </c>
      <c r="AH1" s="12" t="s">
        <v>141</v>
      </c>
      <c r="AI1" s="12" t="s">
        <v>142</v>
      </c>
      <c r="AJ1" s="12" t="s">
        <v>143</v>
      </c>
      <c r="AK1" s="12" t="s">
        <v>144</v>
      </c>
      <c r="AL1" s="12" t="s">
        <v>145</v>
      </c>
      <c r="AM1" s="12" t="s">
        <v>146</v>
      </c>
      <c r="AN1" s="12" t="s">
        <v>147</v>
      </c>
      <c r="AO1" s="12" t="s">
        <v>148</v>
      </c>
      <c r="AP1" s="12" t="s">
        <v>149</v>
      </c>
      <c r="AQ1" s="12" t="s">
        <v>150</v>
      </c>
      <c r="AR1" s="12" t="s">
        <v>151</v>
      </c>
      <c r="AS1" s="12" t="s">
        <v>152</v>
      </c>
      <c r="AT1" s="12" t="s">
        <v>153</v>
      </c>
      <c r="AU1" s="12" t="s">
        <v>154</v>
      </c>
      <c r="AV1" s="12" t="s">
        <v>155</v>
      </c>
      <c r="AW1" s="12" t="s">
        <v>156</v>
      </c>
      <c r="AX1" s="12" t="s">
        <v>157</v>
      </c>
      <c r="AY1" s="12" t="s">
        <v>158</v>
      </c>
      <c r="AZ1" s="12" t="s">
        <v>159</v>
      </c>
      <c r="BA1" s="12" t="s">
        <v>160</v>
      </c>
      <c r="BB1" s="12" t="s">
        <v>161</v>
      </c>
      <c r="BC1" s="12" t="s">
        <v>162</v>
      </c>
      <c r="BD1" s="12" t="s">
        <v>163</v>
      </c>
      <c r="BE1" s="12" t="s">
        <v>164</v>
      </c>
      <c r="BF1" s="12" t="s">
        <v>165</v>
      </c>
      <c r="BG1" s="12" t="s">
        <v>166</v>
      </c>
      <c r="BH1" s="12" t="s">
        <v>167</v>
      </c>
      <c r="BI1" s="12" t="s">
        <v>168</v>
      </c>
      <c r="BJ1" s="12" t="s">
        <v>169</v>
      </c>
      <c r="BK1" s="12" t="s">
        <v>170</v>
      </c>
      <c r="BL1" s="12" t="s">
        <v>12</v>
      </c>
      <c r="BM1" s="12" t="s">
        <v>11</v>
      </c>
      <c r="BN1" s="12" t="s">
        <v>171</v>
      </c>
      <c r="BO1" s="12" t="s">
        <v>172</v>
      </c>
      <c r="BP1" s="19" t="s">
        <v>103</v>
      </c>
      <c r="BQ1" s="20" t="s">
        <v>173</v>
      </c>
    </row>
    <row r="2" spans="1:69" x14ac:dyDescent="0.4">
      <c r="A2" s="5" t="s">
        <v>110</v>
      </c>
      <c r="B2" s="5" t="s">
        <v>18</v>
      </c>
      <c r="C2" s="5">
        <v>465463</v>
      </c>
      <c r="D2" s="6"/>
      <c r="E2" s="5" t="s">
        <v>16</v>
      </c>
      <c r="F2" s="5" t="s">
        <v>19</v>
      </c>
      <c r="G2" s="5" t="s">
        <v>10</v>
      </c>
      <c r="H2" s="7" t="s">
        <v>9</v>
      </c>
      <c r="I2" s="7" t="s">
        <v>104</v>
      </c>
      <c r="J2" s="7">
        <v>18</v>
      </c>
      <c r="K2" s="7">
        <v>70</v>
      </c>
      <c r="L2" s="8">
        <v>3600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9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513</v>
      </c>
      <c r="AC2" s="8">
        <v>89400</v>
      </c>
      <c r="AD2" s="8">
        <v>17400</v>
      </c>
      <c r="AE2" s="7">
        <v>28</v>
      </c>
      <c r="AF2" s="8">
        <v>6300</v>
      </c>
      <c r="AG2" s="8">
        <v>4600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172</v>
      </c>
      <c r="AO2" s="8">
        <v>34000</v>
      </c>
      <c r="AP2" s="7">
        <v>400</v>
      </c>
      <c r="AQ2" s="7">
        <v>81</v>
      </c>
      <c r="AR2" s="8">
        <v>32200</v>
      </c>
      <c r="AS2" s="7">
        <v>0</v>
      </c>
      <c r="AT2" s="7">
        <v>397</v>
      </c>
      <c r="AU2" s="8">
        <v>94680</v>
      </c>
      <c r="AV2" s="7">
        <v>200</v>
      </c>
      <c r="AW2" s="7">
        <v>52</v>
      </c>
      <c r="AX2" s="8">
        <v>24600</v>
      </c>
      <c r="AY2" s="7">
        <v>0</v>
      </c>
      <c r="AZ2" s="7">
        <v>649</v>
      </c>
      <c r="BA2" s="8">
        <v>155400</v>
      </c>
      <c r="BB2" s="7">
        <v>0</v>
      </c>
      <c r="BC2" s="7">
        <v>34</v>
      </c>
      <c r="BD2" s="8">
        <v>16320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22231.200000000001</v>
      </c>
      <c r="BM2" s="10">
        <v>479100</v>
      </c>
      <c r="BN2" s="15">
        <f>BM2-BL2</f>
        <v>456868.8</v>
      </c>
      <c r="BO2" s="16">
        <f>BN2*70%</f>
        <v>319808.15999999997</v>
      </c>
      <c r="BP2" s="17"/>
      <c r="BQ2" s="17"/>
    </row>
    <row r="3" spans="1:69" x14ac:dyDescent="0.4">
      <c r="A3" s="5" t="s">
        <v>110</v>
      </c>
      <c r="B3" s="5" t="s">
        <v>15</v>
      </c>
      <c r="C3" s="5">
        <v>435954</v>
      </c>
      <c r="D3" s="6"/>
      <c r="E3" s="5" t="s">
        <v>16</v>
      </c>
      <c r="F3" s="5" t="s">
        <v>17</v>
      </c>
      <c r="G3" s="5" t="s">
        <v>10</v>
      </c>
      <c r="H3" s="7" t="s">
        <v>7</v>
      </c>
      <c r="I3" s="7" t="s">
        <v>105</v>
      </c>
      <c r="J3" s="7">
        <v>1</v>
      </c>
      <c r="K3" s="7">
        <v>17</v>
      </c>
      <c r="L3" s="7">
        <v>200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473</v>
      </c>
      <c r="AC3" s="8">
        <v>28060</v>
      </c>
      <c r="AD3" s="8">
        <v>67800</v>
      </c>
      <c r="AE3" s="7">
        <v>40</v>
      </c>
      <c r="AF3" s="8">
        <v>9700</v>
      </c>
      <c r="AG3" s="8">
        <v>6300</v>
      </c>
      <c r="AH3" s="7">
        <v>2</v>
      </c>
      <c r="AI3" s="7">
        <v>240</v>
      </c>
      <c r="AJ3" s="7">
        <v>200</v>
      </c>
      <c r="AK3" s="7">
        <v>0</v>
      </c>
      <c r="AL3" s="7">
        <v>0</v>
      </c>
      <c r="AM3" s="7">
        <v>0</v>
      </c>
      <c r="AN3" s="7">
        <v>22</v>
      </c>
      <c r="AO3" s="8">
        <v>4200</v>
      </c>
      <c r="AP3" s="7">
        <v>200</v>
      </c>
      <c r="AQ3" s="7">
        <v>1</v>
      </c>
      <c r="AR3" s="7">
        <v>400</v>
      </c>
      <c r="AS3" s="7">
        <v>0</v>
      </c>
      <c r="AT3" s="7">
        <v>66</v>
      </c>
      <c r="AU3" s="8">
        <v>15480</v>
      </c>
      <c r="AV3" s="7">
        <v>0</v>
      </c>
      <c r="AW3" s="7">
        <v>5</v>
      </c>
      <c r="AX3" s="8">
        <v>2400</v>
      </c>
      <c r="AY3" s="7">
        <v>0</v>
      </c>
      <c r="AZ3" s="7">
        <v>334</v>
      </c>
      <c r="BA3" s="8">
        <v>79800</v>
      </c>
      <c r="BB3" s="7">
        <v>0</v>
      </c>
      <c r="BC3" s="7">
        <v>29</v>
      </c>
      <c r="BD3" s="8">
        <v>13920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7483.2</v>
      </c>
      <c r="BM3" s="10">
        <v>228900</v>
      </c>
      <c r="BN3" s="15">
        <f t="shared" ref="BN3:BN31" si="0">BM3-BL3</f>
        <v>221416.8</v>
      </c>
      <c r="BO3" s="16">
        <f t="shared" ref="BO3:BO31" si="1">BN3*70%</f>
        <v>154991.75999999998</v>
      </c>
      <c r="BP3" s="17"/>
      <c r="BQ3" s="17"/>
    </row>
    <row r="4" spans="1:69" x14ac:dyDescent="0.4">
      <c r="A4" s="5" t="s">
        <v>110</v>
      </c>
      <c r="B4" s="5" t="s">
        <v>23</v>
      </c>
      <c r="C4" s="5">
        <v>465461</v>
      </c>
      <c r="D4" s="6"/>
      <c r="E4" s="5" t="s">
        <v>16</v>
      </c>
      <c r="F4" s="5" t="s">
        <v>24</v>
      </c>
      <c r="G4" s="5" t="s">
        <v>10</v>
      </c>
      <c r="H4" s="7" t="s">
        <v>7</v>
      </c>
      <c r="I4" s="7" t="s">
        <v>106</v>
      </c>
      <c r="J4" s="7">
        <v>0</v>
      </c>
      <c r="K4" s="7">
        <v>21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591</v>
      </c>
      <c r="AC4" s="8">
        <v>72900</v>
      </c>
      <c r="AD4" s="8">
        <v>47900</v>
      </c>
      <c r="AE4" s="7">
        <v>47</v>
      </c>
      <c r="AF4" s="8">
        <v>11260</v>
      </c>
      <c r="AG4" s="8">
        <v>7600</v>
      </c>
      <c r="AH4" s="7">
        <v>1</v>
      </c>
      <c r="AI4" s="7">
        <v>0</v>
      </c>
      <c r="AJ4" s="7">
        <v>200</v>
      </c>
      <c r="AK4" s="7">
        <v>0</v>
      </c>
      <c r="AL4" s="7">
        <v>0</v>
      </c>
      <c r="AM4" s="7">
        <v>0</v>
      </c>
      <c r="AN4" s="7">
        <v>18</v>
      </c>
      <c r="AO4" s="8">
        <v>3600</v>
      </c>
      <c r="AP4" s="7">
        <v>0</v>
      </c>
      <c r="AQ4" s="7">
        <v>29</v>
      </c>
      <c r="AR4" s="8">
        <v>11600</v>
      </c>
      <c r="AS4" s="7">
        <v>0</v>
      </c>
      <c r="AT4" s="7">
        <v>38</v>
      </c>
      <c r="AU4" s="8">
        <v>8880</v>
      </c>
      <c r="AV4" s="7">
        <v>0</v>
      </c>
      <c r="AW4" s="7">
        <v>4</v>
      </c>
      <c r="AX4" s="8">
        <v>1920</v>
      </c>
      <c r="AY4" s="7">
        <v>0</v>
      </c>
      <c r="AZ4" s="7">
        <v>167</v>
      </c>
      <c r="BA4" s="8">
        <v>39600</v>
      </c>
      <c r="BB4" s="7">
        <v>0</v>
      </c>
      <c r="BC4" s="7">
        <v>28</v>
      </c>
      <c r="BD4" s="8">
        <v>13080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4240.8</v>
      </c>
      <c r="BM4" s="10">
        <v>218540</v>
      </c>
      <c r="BN4" s="15">
        <f t="shared" si="0"/>
        <v>214299.2</v>
      </c>
      <c r="BO4" s="16">
        <f t="shared" si="1"/>
        <v>150009.44</v>
      </c>
      <c r="BP4" s="17"/>
      <c r="BQ4" s="17"/>
    </row>
    <row r="5" spans="1:69" x14ac:dyDescent="0.4">
      <c r="A5" s="5" t="s">
        <v>110</v>
      </c>
      <c r="B5" s="5" t="s">
        <v>41</v>
      </c>
      <c r="C5" s="5">
        <v>423525</v>
      </c>
      <c r="D5" s="6"/>
      <c r="E5" s="5" t="s">
        <v>16</v>
      </c>
      <c r="F5" s="5" t="s">
        <v>42</v>
      </c>
      <c r="G5" s="5" t="s">
        <v>10</v>
      </c>
      <c r="H5" s="7" t="s">
        <v>7</v>
      </c>
      <c r="I5" s="7" t="s">
        <v>106</v>
      </c>
      <c r="J5" s="7">
        <v>0</v>
      </c>
      <c r="K5" s="8">
        <v>4041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221</v>
      </c>
      <c r="AC5" s="8">
        <v>5840</v>
      </c>
      <c r="AD5" s="8">
        <v>39000</v>
      </c>
      <c r="AE5" s="7">
        <v>4</v>
      </c>
      <c r="AF5" s="7">
        <v>800</v>
      </c>
      <c r="AG5" s="7">
        <v>800</v>
      </c>
      <c r="AH5" s="7">
        <v>2</v>
      </c>
      <c r="AI5" s="7">
        <v>0</v>
      </c>
      <c r="AJ5" s="7">
        <v>400</v>
      </c>
      <c r="AK5" s="7">
        <v>0</v>
      </c>
      <c r="AL5" s="7">
        <v>0</v>
      </c>
      <c r="AM5" s="7">
        <v>0</v>
      </c>
      <c r="AN5" s="7">
        <v>89</v>
      </c>
      <c r="AO5" s="8">
        <v>17600</v>
      </c>
      <c r="AP5" s="7">
        <v>200</v>
      </c>
      <c r="AQ5" s="7">
        <v>4</v>
      </c>
      <c r="AR5" s="8">
        <v>1600</v>
      </c>
      <c r="AS5" s="7">
        <v>0</v>
      </c>
      <c r="AT5" s="7">
        <v>61</v>
      </c>
      <c r="AU5" s="8">
        <v>14520</v>
      </c>
      <c r="AV5" s="7">
        <v>0</v>
      </c>
      <c r="AW5" s="7">
        <v>1</v>
      </c>
      <c r="AX5" s="7">
        <v>480</v>
      </c>
      <c r="AY5" s="7">
        <v>0</v>
      </c>
      <c r="AZ5" s="7">
        <v>441</v>
      </c>
      <c r="BA5" s="8">
        <v>105720</v>
      </c>
      <c r="BB5" s="7">
        <v>0</v>
      </c>
      <c r="BC5" s="7">
        <v>17</v>
      </c>
      <c r="BD5" s="8">
        <v>8160</v>
      </c>
      <c r="BE5" s="7">
        <v>0</v>
      </c>
      <c r="BF5" s="7">
        <v>2</v>
      </c>
      <c r="BG5" s="7">
        <v>480</v>
      </c>
      <c r="BH5" s="7">
        <v>0</v>
      </c>
      <c r="BI5" s="7">
        <v>0</v>
      </c>
      <c r="BJ5" s="7">
        <v>0</v>
      </c>
      <c r="BK5" s="7">
        <v>0</v>
      </c>
      <c r="BL5" s="9">
        <v>8356.7999999999993</v>
      </c>
      <c r="BM5" s="10">
        <v>195600</v>
      </c>
      <c r="BN5" s="15">
        <f t="shared" si="0"/>
        <v>187243.2</v>
      </c>
      <c r="BO5" s="16">
        <f t="shared" si="1"/>
        <v>131070.24</v>
      </c>
      <c r="BP5" s="17"/>
      <c r="BQ5" s="17"/>
    </row>
    <row r="6" spans="1:69" ht="19.2" x14ac:dyDescent="0.4">
      <c r="A6" s="5" t="s">
        <v>110</v>
      </c>
      <c r="B6" s="5" t="s">
        <v>46</v>
      </c>
      <c r="C6" s="5">
        <v>380491</v>
      </c>
      <c r="D6" s="6"/>
      <c r="E6" s="5" t="s">
        <v>16</v>
      </c>
      <c r="F6" s="5" t="s">
        <v>47</v>
      </c>
      <c r="G6" s="5" t="s">
        <v>10</v>
      </c>
      <c r="H6" s="7" t="s">
        <v>7</v>
      </c>
      <c r="I6" s="7" t="s">
        <v>45</v>
      </c>
      <c r="J6" s="7">
        <v>0</v>
      </c>
      <c r="K6" s="8">
        <v>3709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399</v>
      </c>
      <c r="AC6" s="8">
        <v>17880</v>
      </c>
      <c r="AD6" s="8">
        <v>24600</v>
      </c>
      <c r="AE6" s="7">
        <v>12</v>
      </c>
      <c r="AF6" s="7">
        <v>200</v>
      </c>
      <c r="AG6" s="8">
        <v>2200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78</v>
      </c>
      <c r="AO6" s="8">
        <v>7600</v>
      </c>
      <c r="AP6" s="7">
        <v>200</v>
      </c>
      <c r="AQ6" s="7">
        <v>0</v>
      </c>
      <c r="AR6" s="7">
        <v>0</v>
      </c>
      <c r="AS6" s="7">
        <v>0</v>
      </c>
      <c r="AT6" s="7">
        <v>251</v>
      </c>
      <c r="AU6" s="8">
        <v>30120</v>
      </c>
      <c r="AV6" s="7">
        <v>0</v>
      </c>
      <c r="AW6" s="7">
        <v>0</v>
      </c>
      <c r="AX6" s="7">
        <v>0</v>
      </c>
      <c r="AY6" s="7">
        <v>0</v>
      </c>
      <c r="AZ6" s="7">
        <v>470</v>
      </c>
      <c r="BA6" s="8">
        <v>56400</v>
      </c>
      <c r="BB6" s="7">
        <v>0</v>
      </c>
      <c r="BC6" s="7">
        <v>1</v>
      </c>
      <c r="BD6" s="7">
        <v>240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6410.4</v>
      </c>
      <c r="BM6" s="10">
        <v>139440</v>
      </c>
      <c r="BN6" s="15">
        <f t="shared" si="0"/>
        <v>133029.6</v>
      </c>
      <c r="BO6" s="16">
        <f t="shared" si="1"/>
        <v>93120.72</v>
      </c>
      <c r="BP6" s="17"/>
      <c r="BQ6" s="17"/>
    </row>
    <row r="7" spans="1:69" x14ac:dyDescent="0.4">
      <c r="A7" s="5" t="s">
        <v>110</v>
      </c>
      <c r="B7" s="5" t="s">
        <v>36</v>
      </c>
      <c r="C7" s="5">
        <v>467630</v>
      </c>
      <c r="D7" s="6"/>
      <c r="E7" s="5" t="s">
        <v>16</v>
      </c>
      <c r="F7" s="5" t="s">
        <v>37</v>
      </c>
      <c r="G7" s="5" t="s">
        <v>10</v>
      </c>
      <c r="H7" s="7" t="s">
        <v>8</v>
      </c>
      <c r="I7" s="7" t="s">
        <v>14</v>
      </c>
      <c r="J7" s="7">
        <v>0</v>
      </c>
      <c r="K7" s="7">
        <v>13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27</v>
      </c>
      <c r="AC7" s="8">
        <v>4040</v>
      </c>
      <c r="AD7" s="8">
        <v>1600</v>
      </c>
      <c r="AE7" s="7">
        <v>18</v>
      </c>
      <c r="AF7" s="8">
        <v>2000</v>
      </c>
      <c r="AG7" s="8">
        <v>5200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7">
        <v>300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2</v>
      </c>
      <c r="AU7" s="7">
        <v>480</v>
      </c>
      <c r="AV7" s="7">
        <v>0</v>
      </c>
      <c r="AW7" s="7">
        <v>0</v>
      </c>
      <c r="AX7" s="7">
        <v>0</v>
      </c>
      <c r="AY7" s="7">
        <v>0</v>
      </c>
      <c r="AZ7" s="7">
        <v>231</v>
      </c>
      <c r="BA7" s="8">
        <v>55440</v>
      </c>
      <c r="BB7" s="7">
        <v>0</v>
      </c>
      <c r="BC7" s="7">
        <v>2</v>
      </c>
      <c r="BD7" s="7">
        <v>600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3410.4</v>
      </c>
      <c r="BM7" s="10">
        <v>69660</v>
      </c>
      <c r="BN7" s="15">
        <f t="shared" si="0"/>
        <v>66249.600000000006</v>
      </c>
      <c r="BO7" s="16">
        <f t="shared" si="1"/>
        <v>46374.720000000001</v>
      </c>
      <c r="BP7" s="17"/>
      <c r="BQ7" s="17"/>
    </row>
    <row r="8" spans="1:69" x14ac:dyDescent="0.4">
      <c r="A8" s="5" t="s">
        <v>110</v>
      </c>
      <c r="B8" s="5" t="s">
        <v>25</v>
      </c>
      <c r="C8" s="5">
        <v>432749</v>
      </c>
      <c r="D8" s="6"/>
      <c r="E8" s="5" t="s">
        <v>16</v>
      </c>
      <c r="F8" s="5" t="s">
        <v>26</v>
      </c>
      <c r="G8" s="5" t="s">
        <v>10</v>
      </c>
      <c r="H8" s="7" t="s">
        <v>7</v>
      </c>
      <c r="I8" s="7" t="s">
        <v>105</v>
      </c>
      <c r="J8" s="7">
        <v>12</v>
      </c>
      <c r="K8" s="8">
        <v>2402</v>
      </c>
      <c r="L8" s="8">
        <v>2400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67</v>
      </c>
      <c r="AC8" s="8">
        <v>6160</v>
      </c>
      <c r="AD8" s="8">
        <v>7800</v>
      </c>
      <c r="AE8" s="7">
        <v>3</v>
      </c>
      <c r="AF8" s="8">
        <v>1200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48</v>
      </c>
      <c r="AO8" s="8">
        <v>9400</v>
      </c>
      <c r="AP8" s="7">
        <v>200</v>
      </c>
      <c r="AQ8" s="7">
        <v>0</v>
      </c>
      <c r="AR8" s="7">
        <v>0</v>
      </c>
      <c r="AS8" s="7">
        <v>0</v>
      </c>
      <c r="AT8" s="7">
        <v>5</v>
      </c>
      <c r="AU8" s="8">
        <v>1200</v>
      </c>
      <c r="AV8" s="7">
        <v>0</v>
      </c>
      <c r="AW8" s="7">
        <v>3</v>
      </c>
      <c r="AX8" s="8">
        <v>1440</v>
      </c>
      <c r="AY8" s="7">
        <v>0</v>
      </c>
      <c r="AZ8" s="7">
        <v>46</v>
      </c>
      <c r="BA8" s="8">
        <v>11040</v>
      </c>
      <c r="BB8" s="7">
        <v>0</v>
      </c>
      <c r="BC8" s="7">
        <v>24</v>
      </c>
      <c r="BD8" s="8">
        <v>11520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1617.6</v>
      </c>
      <c r="BM8" s="10">
        <v>52360</v>
      </c>
      <c r="BN8" s="15">
        <f t="shared" si="0"/>
        <v>50742.400000000001</v>
      </c>
      <c r="BO8" s="16">
        <f t="shared" si="1"/>
        <v>35519.68</v>
      </c>
      <c r="BP8" s="17"/>
      <c r="BQ8" s="17"/>
    </row>
    <row r="9" spans="1:69" x14ac:dyDescent="0.4">
      <c r="A9" s="5" t="s">
        <v>110</v>
      </c>
      <c r="B9" s="5" t="s">
        <v>30</v>
      </c>
      <c r="C9" s="5">
        <v>351846</v>
      </c>
      <c r="D9" s="6"/>
      <c r="E9" s="5" t="s">
        <v>16</v>
      </c>
      <c r="F9" s="5" t="s">
        <v>31</v>
      </c>
      <c r="G9" s="5" t="s">
        <v>10</v>
      </c>
      <c r="H9" s="7" t="s">
        <v>7</v>
      </c>
      <c r="I9" s="7" t="s">
        <v>32</v>
      </c>
      <c r="J9" s="7">
        <v>0</v>
      </c>
      <c r="K9" s="8">
        <v>2515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70</v>
      </c>
      <c r="AC9" s="7">
        <v>900</v>
      </c>
      <c r="AD9" s="8">
        <v>6100</v>
      </c>
      <c r="AE9" s="7">
        <v>0</v>
      </c>
      <c r="AF9" s="7">
        <v>0</v>
      </c>
      <c r="AG9" s="7">
        <v>0</v>
      </c>
      <c r="AH9" s="7">
        <v>14</v>
      </c>
      <c r="AI9" s="8">
        <v>1680</v>
      </c>
      <c r="AJ9" s="7">
        <v>0</v>
      </c>
      <c r="AK9" s="7">
        <v>0</v>
      </c>
      <c r="AL9" s="7">
        <v>0</v>
      </c>
      <c r="AM9" s="7">
        <v>0</v>
      </c>
      <c r="AN9" s="7">
        <v>21</v>
      </c>
      <c r="AO9" s="8">
        <v>2100</v>
      </c>
      <c r="AP9" s="7">
        <v>0</v>
      </c>
      <c r="AQ9" s="7">
        <v>0</v>
      </c>
      <c r="AR9" s="7">
        <v>0</v>
      </c>
      <c r="AS9" s="7">
        <v>0</v>
      </c>
      <c r="AT9" s="7">
        <v>28</v>
      </c>
      <c r="AU9" s="8">
        <v>3360</v>
      </c>
      <c r="AV9" s="7">
        <v>0</v>
      </c>
      <c r="AW9" s="7">
        <v>0</v>
      </c>
      <c r="AX9" s="7">
        <v>0</v>
      </c>
      <c r="AY9" s="7">
        <v>0</v>
      </c>
      <c r="AZ9" s="7">
        <v>272</v>
      </c>
      <c r="BA9" s="8">
        <v>32640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2798.4</v>
      </c>
      <c r="BM9" s="10">
        <v>46780</v>
      </c>
      <c r="BN9" s="15">
        <f t="shared" si="0"/>
        <v>43981.599999999999</v>
      </c>
      <c r="BO9" s="16">
        <f t="shared" si="1"/>
        <v>30787.119999999995</v>
      </c>
      <c r="BP9" s="17"/>
      <c r="BQ9" s="17"/>
    </row>
    <row r="10" spans="1:69" ht="19.2" x14ac:dyDescent="0.4">
      <c r="A10" s="5" t="s">
        <v>110</v>
      </c>
      <c r="B10" s="5" t="s">
        <v>20</v>
      </c>
      <c r="C10" s="5">
        <v>434897</v>
      </c>
      <c r="D10" s="6"/>
      <c r="E10" s="5" t="s">
        <v>16</v>
      </c>
      <c r="F10" s="5" t="s">
        <v>21</v>
      </c>
      <c r="G10" s="5" t="s">
        <v>10</v>
      </c>
      <c r="H10" s="7" t="s">
        <v>8</v>
      </c>
      <c r="I10" s="7" t="s">
        <v>22</v>
      </c>
      <c r="J10" s="7">
        <v>3</v>
      </c>
      <c r="K10" s="7">
        <v>57</v>
      </c>
      <c r="L10" s="7">
        <v>600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15</v>
      </c>
      <c r="AC10" s="8">
        <v>2280</v>
      </c>
      <c r="AD10" s="8">
        <v>1000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55</v>
      </c>
      <c r="AO10" s="8">
        <v>10800</v>
      </c>
      <c r="AP10" s="7">
        <v>200</v>
      </c>
      <c r="AQ10" s="7">
        <v>0</v>
      </c>
      <c r="AR10" s="7">
        <v>0</v>
      </c>
      <c r="AS10" s="7">
        <v>0</v>
      </c>
      <c r="AT10" s="7">
        <v>41</v>
      </c>
      <c r="AU10" s="8">
        <v>9720</v>
      </c>
      <c r="AV10" s="7">
        <v>0</v>
      </c>
      <c r="AW10" s="7">
        <v>0</v>
      </c>
      <c r="AX10" s="7">
        <v>0</v>
      </c>
      <c r="AY10" s="7">
        <v>0</v>
      </c>
      <c r="AZ10" s="7">
        <v>17</v>
      </c>
      <c r="BA10" s="8">
        <v>4080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1216.8</v>
      </c>
      <c r="BM10" s="10">
        <v>28680</v>
      </c>
      <c r="BN10" s="15">
        <f t="shared" si="0"/>
        <v>27463.200000000001</v>
      </c>
      <c r="BO10" s="16">
        <f t="shared" si="1"/>
        <v>19224.239999999998</v>
      </c>
      <c r="BP10" s="17"/>
      <c r="BQ10" s="17"/>
    </row>
    <row r="11" spans="1:69" x14ac:dyDescent="0.4">
      <c r="A11" s="5" t="s">
        <v>110</v>
      </c>
      <c r="B11" s="5" t="s">
        <v>70</v>
      </c>
      <c r="C11" s="5">
        <v>336507</v>
      </c>
      <c r="D11" s="6"/>
      <c r="E11" s="5" t="s">
        <v>16</v>
      </c>
      <c r="F11" s="5" t="s">
        <v>71</v>
      </c>
      <c r="G11" s="5" t="s">
        <v>10</v>
      </c>
      <c r="H11" s="7" t="s">
        <v>8</v>
      </c>
      <c r="I11" s="7" t="s">
        <v>72</v>
      </c>
      <c r="J11" s="7">
        <v>9</v>
      </c>
      <c r="K11" s="7">
        <v>3</v>
      </c>
      <c r="L11" s="8">
        <v>1800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109</v>
      </c>
      <c r="AC11" s="8">
        <v>13400</v>
      </c>
      <c r="AD11" s="8">
        <v>8200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11</v>
      </c>
      <c r="AU11" s="8">
        <v>2640</v>
      </c>
      <c r="AV11" s="7">
        <v>0</v>
      </c>
      <c r="AW11" s="7">
        <v>0</v>
      </c>
      <c r="AX11" s="7">
        <v>0</v>
      </c>
      <c r="AY11" s="7">
        <v>0</v>
      </c>
      <c r="AZ11" s="7">
        <v>7</v>
      </c>
      <c r="BA11" s="8">
        <v>1440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350.4</v>
      </c>
      <c r="BM11" s="10">
        <v>27480</v>
      </c>
      <c r="BN11" s="15">
        <f t="shared" si="0"/>
        <v>27129.599999999999</v>
      </c>
      <c r="BO11" s="16">
        <f t="shared" si="1"/>
        <v>18990.719999999998</v>
      </c>
      <c r="BP11" s="17"/>
      <c r="BQ11" s="17"/>
    </row>
    <row r="12" spans="1:69" x14ac:dyDescent="0.4">
      <c r="A12" s="5" t="s">
        <v>110</v>
      </c>
      <c r="B12" s="5" t="s">
        <v>62</v>
      </c>
      <c r="C12" s="5">
        <v>464964</v>
      </c>
      <c r="D12" s="6"/>
      <c r="E12" s="5" t="s">
        <v>16</v>
      </c>
      <c r="F12" s="5" t="s">
        <v>63</v>
      </c>
      <c r="G12" s="5" t="s">
        <v>10</v>
      </c>
      <c r="H12" s="7" t="s">
        <v>7</v>
      </c>
      <c r="I12" s="7" t="s">
        <v>104</v>
      </c>
      <c r="J12" s="7">
        <v>0</v>
      </c>
      <c r="K12" s="7">
        <v>977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2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19</v>
      </c>
      <c r="AC12" s="7">
        <v>0</v>
      </c>
      <c r="AD12" s="8">
        <v>3800</v>
      </c>
      <c r="AE12" s="7">
        <v>1</v>
      </c>
      <c r="AF12" s="7">
        <v>0</v>
      </c>
      <c r="AG12" s="7">
        <v>500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</v>
      </c>
      <c r="AO12" s="7">
        <v>200</v>
      </c>
      <c r="AP12" s="7">
        <v>0</v>
      </c>
      <c r="AQ12" s="7">
        <v>0</v>
      </c>
      <c r="AR12" s="7">
        <v>0</v>
      </c>
      <c r="AS12" s="7">
        <v>0</v>
      </c>
      <c r="AT12" s="7">
        <v>3</v>
      </c>
      <c r="AU12" s="7">
        <v>720</v>
      </c>
      <c r="AV12" s="7">
        <v>0</v>
      </c>
      <c r="AW12" s="7">
        <v>0</v>
      </c>
      <c r="AX12" s="7">
        <v>0</v>
      </c>
      <c r="AY12" s="7">
        <v>0</v>
      </c>
      <c r="AZ12" s="7">
        <v>1</v>
      </c>
      <c r="BA12" s="7">
        <v>240</v>
      </c>
      <c r="BB12" s="7">
        <v>0</v>
      </c>
      <c r="BC12" s="7">
        <v>20</v>
      </c>
      <c r="BD12" s="8">
        <v>12000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806.4</v>
      </c>
      <c r="BM12" s="10">
        <v>17460</v>
      </c>
      <c r="BN12" s="15">
        <f t="shared" si="0"/>
        <v>16653.599999999999</v>
      </c>
      <c r="BO12" s="16">
        <f t="shared" si="1"/>
        <v>11657.519999999999</v>
      </c>
      <c r="BP12" s="17"/>
      <c r="BQ12" s="17"/>
    </row>
    <row r="13" spans="1:69" ht="19.2" x14ac:dyDescent="0.4">
      <c r="A13" s="5" t="s">
        <v>110</v>
      </c>
      <c r="B13" s="5" t="s">
        <v>38</v>
      </c>
      <c r="C13" s="5">
        <v>412451</v>
      </c>
      <c r="D13" s="6"/>
      <c r="E13" s="5" t="s">
        <v>16</v>
      </c>
      <c r="F13" s="5" t="s">
        <v>39</v>
      </c>
      <c r="G13" s="5" t="s">
        <v>10</v>
      </c>
      <c r="H13" s="7" t="s">
        <v>8</v>
      </c>
      <c r="I13" s="7" t="s">
        <v>40</v>
      </c>
      <c r="J13" s="7">
        <v>2</v>
      </c>
      <c r="K13" s="7">
        <v>3</v>
      </c>
      <c r="L13" s="7">
        <v>400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70</v>
      </c>
      <c r="AC13" s="8">
        <v>7360</v>
      </c>
      <c r="AD13" s="8">
        <v>6700</v>
      </c>
      <c r="AE13" s="7">
        <v>4</v>
      </c>
      <c r="AF13" s="7">
        <v>0</v>
      </c>
      <c r="AG13" s="8">
        <v>1600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1</v>
      </c>
      <c r="AU13" s="7">
        <v>240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24</v>
      </c>
      <c r="BM13" s="10">
        <v>16300</v>
      </c>
      <c r="BN13" s="15">
        <f t="shared" si="0"/>
        <v>16276</v>
      </c>
      <c r="BO13" s="16">
        <f t="shared" si="1"/>
        <v>11393.199999999999</v>
      </c>
      <c r="BP13" s="17"/>
      <c r="BQ13" s="17"/>
    </row>
    <row r="14" spans="1:69" x14ac:dyDescent="0.4">
      <c r="A14" s="5" t="s">
        <v>110</v>
      </c>
      <c r="B14" s="5" t="s">
        <v>84</v>
      </c>
      <c r="C14" s="5">
        <v>351760</v>
      </c>
      <c r="D14" s="6"/>
      <c r="E14" s="5" t="s">
        <v>16</v>
      </c>
      <c r="F14" s="5" t="s">
        <v>85</v>
      </c>
      <c r="G14" s="5" t="s">
        <v>10</v>
      </c>
      <c r="H14" s="7" t="s">
        <v>7</v>
      </c>
      <c r="I14" s="7" t="s">
        <v>86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33</v>
      </c>
      <c r="AC14" s="7">
        <v>0</v>
      </c>
      <c r="AD14" s="8">
        <v>6600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30</v>
      </c>
      <c r="BA14" s="8">
        <v>7200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432</v>
      </c>
      <c r="BM14" s="10">
        <v>13800</v>
      </c>
      <c r="BN14" s="15">
        <f t="shared" si="0"/>
        <v>13368</v>
      </c>
      <c r="BO14" s="16">
        <f t="shared" si="1"/>
        <v>9357.5999999999985</v>
      </c>
      <c r="BP14" s="17"/>
      <c r="BQ14" s="17"/>
    </row>
    <row r="15" spans="1:69" x14ac:dyDescent="0.4">
      <c r="A15" s="5" t="s">
        <v>110</v>
      </c>
      <c r="B15" s="5" t="s">
        <v>59</v>
      </c>
      <c r="C15" s="5">
        <v>436040</v>
      </c>
      <c r="D15" s="6"/>
      <c r="E15" s="5" t="s">
        <v>16</v>
      </c>
      <c r="F15" s="5" t="s">
        <v>60</v>
      </c>
      <c r="G15" s="5" t="s">
        <v>10</v>
      </c>
      <c r="H15" s="7" t="s">
        <v>8</v>
      </c>
      <c r="I15" s="7" t="s">
        <v>61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14</v>
      </c>
      <c r="AC15" s="8">
        <v>2800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1</v>
      </c>
      <c r="AU15" s="7">
        <v>240</v>
      </c>
      <c r="AV15" s="7">
        <v>0</v>
      </c>
      <c r="AW15" s="7">
        <v>0</v>
      </c>
      <c r="AX15" s="7">
        <v>0</v>
      </c>
      <c r="AY15" s="7">
        <v>0</v>
      </c>
      <c r="AZ15" s="7">
        <v>39</v>
      </c>
      <c r="BA15" s="8">
        <v>9360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585.6</v>
      </c>
      <c r="BM15" s="10">
        <v>12400</v>
      </c>
      <c r="BN15" s="15">
        <f t="shared" si="0"/>
        <v>11814.4</v>
      </c>
      <c r="BO15" s="16">
        <f t="shared" si="1"/>
        <v>8270.08</v>
      </c>
      <c r="BP15" s="17"/>
      <c r="BQ15" s="17"/>
    </row>
    <row r="16" spans="1:69" x14ac:dyDescent="0.4">
      <c r="A16" s="5" t="s">
        <v>110</v>
      </c>
      <c r="B16" s="5" t="s">
        <v>81</v>
      </c>
      <c r="C16" s="5">
        <v>308339</v>
      </c>
      <c r="D16" s="6"/>
      <c r="E16" s="5" t="s">
        <v>16</v>
      </c>
      <c r="F16" s="5" t="s">
        <v>82</v>
      </c>
      <c r="G16" s="5" t="s">
        <v>10</v>
      </c>
      <c r="H16" s="7" t="s">
        <v>7</v>
      </c>
      <c r="I16" s="7" t="s">
        <v>83</v>
      </c>
      <c r="J16" s="7">
        <v>0</v>
      </c>
      <c r="K16" s="7">
        <v>3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3</v>
      </c>
      <c r="AO16" s="7">
        <v>600</v>
      </c>
      <c r="AP16" s="7">
        <v>0</v>
      </c>
      <c r="AQ16" s="7">
        <v>0</v>
      </c>
      <c r="AR16" s="7">
        <v>0</v>
      </c>
      <c r="AS16" s="7">
        <v>0</v>
      </c>
      <c r="AT16" s="7">
        <v>2</v>
      </c>
      <c r="AU16" s="7">
        <v>480</v>
      </c>
      <c r="AV16" s="7">
        <v>0</v>
      </c>
      <c r="AW16" s="7">
        <v>0</v>
      </c>
      <c r="AX16" s="7">
        <v>0</v>
      </c>
      <c r="AY16" s="7">
        <v>0</v>
      </c>
      <c r="AZ16" s="7">
        <v>34</v>
      </c>
      <c r="BA16" s="8">
        <v>8160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537.6</v>
      </c>
      <c r="BM16" s="10">
        <v>9240</v>
      </c>
      <c r="BN16" s="15">
        <f t="shared" si="0"/>
        <v>8702.4</v>
      </c>
      <c r="BO16" s="16">
        <f t="shared" si="1"/>
        <v>6091.6799999999994</v>
      </c>
      <c r="BP16" s="17"/>
      <c r="BQ16" s="17"/>
    </row>
    <row r="17" spans="1:69" x14ac:dyDescent="0.4">
      <c r="A17" s="5" t="s">
        <v>110</v>
      </c>
      <c r="B17" s="5" t="s">
        <v>78</v>
      </c>
      <c r="C17" s="5">
        <v>319050</v>
      </c>
      <c r="D17" s="6"/>
      <c r="E17" s="5" t="s">
        <v>16</v>
      </c>
      <c r="F17" s="5" t="s">
        <v>79</v>
      </c>
      <c r="G17" s="5" t="s">
        <v>10</v>
      </c>
      <c r="H17" s="7" t="s">
        <v>7</v>
      </c>
      <c r="I17" s="7" t="s">
        <v>80</v>
      </c>
      <c r="J17" s="7">
        <v>3</v>
      </c>
      <c r="K17" s="7">
        <v>3</v>
      </c>
      <c r="L17" s="7">
        <v>600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43</v>
      </c>
      <c r="AO17" s="8">
        <v>8100</v>
      </c>
      <c r="AP17" s="7">
        <v>500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9200</v>
      </c>
      <c r="BN17" s="15">
        <f t="shared" si="0"/>
        <v>9200</v>
      </c>
      <c r="BO17" s="16">
        <f t="shared" si="1"/>
        <v>6440</v>
      </c>
      <c r="BP17" s="17"/>
      <c r="BQ17" s="17"/>
    </row>
    <row r="18" spans="1:69" x14ac:dyDescent="0.4">
      <c r="A18" s="5" t="s">
        <v>110</v>
      </c>
      <c r="B18" s="5" t="s">
        <v>53</v>
      </c>
      <c r="C18" s="5">
        <v>307024</v>
      </c>
      <c r="D18" s="6"/>
      <c r="E18" s="5" t="s">
        <v>16</v>
      </c>
      <c r="F18" s="5" t="s">
        <v>54</v>
      </c>
      <c r="G18" s="5" t="s">
        <v>10</v>
      </c>
      <c r="H18" s="7" t="s">
        <v>7</v>
      </c>
      <c r="I18" s="7" t="s">
        <v>55</v>
      </c>
      <c r="J18" s="7">
        <v>0</v>
      </c>
      <c r="K18" s="7">
        <v>8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9</v>
      </c>
      <c r="AO18" s="7">
        <v>900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69</v>
      </c>
      <c r="BA18" s="8">
        <v>8280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496.8</v>
      </c>
      <c r="BM18" s="10">
        <v>9180</v>
      </c>
      <c r="BN18" s="15">
        <f t="shared" si="0"/>
        <v>8683.2000000000007</v>
      </c>
      <c r="BO18" s="16">
        <f t="shared" si="1"/>
        <v>6078.24</v>
      </c>
      <c r="BP18" s="17"/>
      <c r="BQ18" s="17"/>
    </row>
    <row r="19" spans="1:69" x14ac:dyDescent="0.4">
      <c r="A19" s="5" t="s">
        <v>110</v>
      </c>
      <c r="B19" s="5" t="s">
        <v>33</v>
      </c>
      <c r="C19" s="5">
        <v>448747</v>
      </c>
      <c r="D19" s="6"/>
      <c r="E19" s="5" t="s">
        <v>16</v>
      </c>
      <c r="F19" s="5" t="s">
        <v>34</v>
      </c>
      <c r="G19" s="5" t="s">
        <v>10</v>
      </c>
      <c r="H19" s="7" t="s">
        <v>7</v>
      </c>
      <c r="I19" s="7" t="s">
        <v>35</v>
      </c>
      <c r="J19" s="7">
        <v>0</v>
      </c>
      <c r="K19" s="7">
        <v>660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8</v>
      </c>
      <c r="AC19" s="7">
        <v>0</v>
      </c>
      <c r="AD19" s="8">
        <v>1600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6</v>
      </c>
      <c r="AO19" s="8">
        <v>1200</v>
      </c>
      <c r="AP19" s="7">
        <v>0</v>
      </c>
      <c r="AQ19" s="7">
        <v>0</v>
      </c>
      <c r="AR19" s="7">
        <v>0</v>
      </c>
      <c r="AS19" s="7">
        <v>0</v>
      </c>
      <c r="AT19" s="7">
        <v>9</v>
      </c>
      <c r="AU19" s="8">
        <v>2160</v>
      </c>
      <c r="AV19" s="7">
        <v>0</v>
      </c>
      <c r="AW19" s="7">
        <v>0</v>
      </c>
      <c r="AX19" s="7">
        <v>0</v>
      </c>
      <c r="AY19" s="7">
        <v>0</v>
      </c>
      <c r="AZ19" s="7">
        <v>12</v>
      </c>
      <c r="BA19" s="8">
        <v>2880</v>
      </c>
      <c r="BB19" s="7">
        <v>0</v>
      </c>
      <c r="BC19" s="7">
        <v>1</v>
      </c>
      <c r="BD19" s="7">
        <v>480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417.6</v>
      </c>
      <c r="BM19" s="10">
        <v>8320</v>
      </c>
      <c r="BN19" s="15">
        <f t="shared" si="0"/>
        <v>7902.4</v>
      </c>
      <c r="BO19" s="16">
        <f t="shared" si="1"/>
        <v>5531.6799999999994</v>
      </c>
      <c r="BP19" s="17"/>
      <c r="BQ19" s="17"/>
    </row>
    <row r="20" spans="1:69" x14ac:dyDescent="0.4">
      <c r="A20" s="5" t="s">
        <v>110</v>
      </c>
      <c r="B20" s="5" t="s">
        <v>56</v>
      </c>
      <c r="C20" s="5">
        <v>323829</v>
      </c>
      <c r="D20" s="6"/>
      <c r="E20" s="5" t="s">
        <v>16</v>
      </c>
      <c r="F20" s="5" t="s">
        <v>57</v>
      </c>
      <c r="G20" s="5" t="s">
        <v>10</v>
      </c>
      <c r="H20" s="7" t="s">
        <v>7</v>
      </c>
      <c r="I20" s="7" t="s">
        <v>58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</v>
      </c>
      <c r="AC20" s="7">
        <v>0</v>
      </c>
      <c r="AD20" s="7">
        <v>500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44</v>
      </c>
      <c r="AO20" s="8">
        <v>4000</v>
      </c>
      <c r="AP20" s="7">
        <v>400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28</v>
      </c>
      <c r="BA20" s="8">
        <v>3360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201.6</v>
      </c>
      <c r="BM20" s="10">
        <v>8260</v>
      </c>
      <c r="BN20" s="15">
        <f t="shared" si="0"/>
        <v>8058.4</v>
      </c>
      <c r="BO20" s="16">
        <f t="shared" si="1"/>
        <v>5640.8799999999992</v>
      </c>
      <c r="BP20" s="17"/>
      <c r="BQ20" s="17"/>
    </row>
    <row r="21" spans="1:69" x14ac:dyDescent="0.4">
      <c r="A21" s="5" t="s">
        <v>110</v>
      </c>
      <c r="B21" s="5" t="s">
        <v>101</v>
      </c>
      <c r="C21" s="5">
        <v>394045</v>
      </c>
      <c r="D21" s="6"/>
      <c r="E21" s="5" t="s">
        <v>16</v>
      </c>
      <c r="F21" s="5" t="s">
        <v>102</v>
      </c>
      <c r="G21" s="5" t="s">
        <v>10</v>
      </c>
      <c r="H21" s="7" t="s">
        <v>8</v>
      </c>
      <c r="I21" s="7" t="s">
        <v>100</v>
      </c>
      <c r="J21" s="7">
        <v>0</v>
      </c>
      <c r="K21" s="7">
        <v>6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32</v>
      </c>
      <c r="AU21" s="8">
        <v>7680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768</v>
      </c>
      <c r="BM21" s="10">
        <v>7680</v>
      </c>
      <c r="BN21" s="15">
        <f t="shared" si="0"/>
        <v>6912</v>
      </c>
      <c r="BO21" s="16">
        <f t="shared" si="1"/>
        <v>4838.3999999999996</v>
      </c>
      <c r="BP21" s="17"/>
      <c r="BQ21" s="17"/>
    </row>
    <row r="22" spans="1:69" x14ac:dyDescent="0.4">
      <c r="A22" s="5" t="s">
        <v>110</v>
      </c>
      <c r="B22" s="5" t="s">
        <v>27</v>
      </c>
      <c r="C22" s="5">
        <v>383201</v>
      </c>
      <c r="D22" s="6"/>
      <c r="E22" s="5" t="s">
        <v>16</v>
      </c>
      <c r="F22" s="5" t="s">
        <v>28</v>
      </c>
      <c r="G22" s="5" t="s">
        <v>10</v>
      </c>
      <c r="H22" s="7" t="s">
        <v>7</v>
      </c>
      <c r="I22" s="7" t="s">
        <v>29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31</v>
      </c>
      <c r="AC22" s="7">
        <v>0</v>
      </c>
      <c r="AD22" s="8">
        <v>6200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6</v>
      </c>
      <c r="BA22" s="8">
        <v>1440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86.4</v>
      </c>
      <c r="BM22" s="10">
        <v>7640</v>
      </c>
      <c r="BN22" s="15">
        <f t="shared" si="0"/>
        <v>7553.6</v>
      </c>
      <c r="BO22" s="16">
        <f t="shared" si="1"/>
        <v>5287.5199999999995</v>
      </c>
      <c r="BP22" s="17"/>
      <c r="BQ22" s="17"/>
    </row>
    <row r="23" spans="1:69" x14ac:dyDescent="0.4">
      <c r="A23" s="5" t="s">
        <v>110</v>
      </c>
      <c r="B23" s="5" t="s">
        <v>48</v>
      </c>
      <c r="C23" s="5">
        <v>465658</v>
      </c>
      <c r="D23" s="6"/>
      <c r="E23" s="5" t="s">
        <v>16</v>
      </c>
      <c r="F23" s="5" t="s">
        <v>49</v>
      </c>
      <c r="G23" s="5" t="s">
        <v>10</v>
      </c>
      <c r="H23" s="7" t="s">
        <v>7</v>
      </c>
      <c r="I23" s="7" t="s">
        <v>106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4</v>
      </c>
      <c r="AC23" s="7">
        <v>200</v>
      </c>
      <c r="AD23" s="7">
        <v>600</v>
      </c>
      <c r="AE23" s="7">
        <v>3</v>
      </c>
      <c r="AF23" s="8">
        <v>1440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8</v>
      </c>
      <c r="BA23" s="8">
        <v>1920</v>
      </c>
      <c r="BB23" s="7">
        <v>0</v>
      </c>
      <c r="BC23" s="7">
        <v>1</v>
      </c>
      <c r="BD23" s="7">
        <v>480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144</v>
      </c>
      <c r="BM23" s="10">
        <v>4640</v>
      </c>
      <c r="BN23" s="15">
        <f t="shared" si="0"/>
        <v>4496</v>
      </c>
      <c r="BO23" s="16">
        <f t="shared" si="1"/>
        <v>3147.2</v>
      </c>
      <c r="BP23" s="17"/>
      <c r="BQ23" s="17"/>
    </row>
    <row r="24" spans="1:69" x14ac:dyDescent="0.4">
      <c r="A24" s="5" t="s">
        <v>110</v>
      </c>
      <c r="B24" s="5" t="s">
        <v>50</v>
      </c>
      <c r="C24" s="5">
        <v>419155</v>
      </c>
      <c r="D24" s="6"/>
      <c r="E24" s="5" t="s">
        <v>16</v>
      </c>
      <c r="F24" s="5" t="s">
        <v>51</v>
      </c>
      <c r="G24" s="5" t="s">
        <v>10</v>
      </c>
      <c r="H24" s="7" t="s">
        <v>7</v>
      </c>
      <c r="I24" s="7" t="s">
        <v>52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0</v>
      </c>
      <c r="AD24" s="7">
        <v>300</v>
      </c>
      <c r="AE24" s="7">
        <v>1</v>
      </c>
      <c r="AF24" s="7">
        <v>0</v>
      </c>
      <c r="AG24" s="7">
        <v>500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8</v>
      </c>
      <c r="AU24" s="8">
        <v>2880</v>
      </c>
      <c r="AV24" s="7">
        <v>0</v>
      </c>
      <c r="AW24" s="7">
        <v>0</v>
      </c>
      <c r="AX24" s="7">
        <v>0</v>
      </c>
      <c r="AY24" s="7">
        <v>0</v>
      </c>
      <c r="AZ24" s="7">
        <v>1</v>
      </c>
      <c r="BA24" s="7">
        <v>360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309.60000000000002</v>
      </c>
      <c r="BM24" s="10">
        <v>4040</v>
      </c>
      <c r="BN24" s="15">
        <f t="shared" si="0"/>
        <v>3730.4</v>
      </c>
      <c r="BO24" s="16">
        <f t="shared" si="1"/>
        <v>2611.2799999999997</v>
      </c>
      <c r="BP24" s="17"/>
      <c r="BQ24" s="17"/>
    </row>
    <row r="25" spans="1:69" x14ac:dyDescent="0.4">
      <c r="A25" s="5" t="s">
        <v>110</v>
      </c>
      <c r="B25" s="5" t="s">
        <v>75</v>
      </c>
      <c r="C25" s="5">
        <v>463455</v>
      </c>
      <c r="D25" s="6"/>
      <c r="E25" s="5" t="s">
        <v>16</v>
      </c>
      <c r="F25" s="5" t="s">
        <v>76</v>
      </c>
      <c r="G25" s="5" t="s">
        <v>10</v>
      </c>
      <c r="H25" s="7" t="s">
        <v>7</v>
      </c>
      <c r="I25" s="7" t="s">
        <v>77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12</v>
      </c>
      <c r="BA25" s="8">
        <v>2880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172.8</v>
      </c>
      <c r="BM25" s="10">
        <v>2880</v>
      </c>
      <c r="BN25" s="15">
        <f t="shared" si="0"/>
        <v>2707.2</v>
      </c>
      <c r="BO25" s="16">
        <f t="shared" si="1"/>
        <v>1895.0399999999997</v>
      </c>
      <c r="BP25" s="17"/>
      <c r="BQ25" s="17"/>
    </row>
    <row r="26" spans="1:69" x14ac:dyDescent="0.4">
      <c r="A26" s="5" t="s">
        <v>110</v>
      </c>
      <c r="B26" s="5" t="s">
        <v>87</v>
      </c>
      <c r="C26" s="5">
        <v>320809</v>
      </c>
      <c r="D26" s="6"/>
      <c r="E26" s="5" t="s">
        <v>16</v>
      </c>
      <c r="F26" s="5" t="s">
        <v>88</v>
      </c>
      <c r="G26" s="5" t="s">
        <v>10</v>
      </c>
      <c r="H26" s="7" t="s">
        <v>7</v>
      </c>
      <c r="I26" s="7" t="s">
        <v>89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6</v>
      </c>
      <c r="AC26" s="7">
        <v>400</v>
      </c>
      <c r="AD26" s="7">
        <v>800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1</v>
      </c>
      <c r="AU26" s="7">
        <v>240</v>
      </c>
      <c r="AV26" s="7">
        <v>0</v>
      </c>
      <c r="AW26" s="7">
        <v>0</v>
      </c>
      <c r="AX26" s="7">
        <v>0</v>
      </c>
      <c r="AY26" s="7">
        <v>0</v>
      </c>
      <c r="AZ26" s="7">
        <v>5</v>
      </c>
      <c r="BA26" s="8">
        <v>1200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96</v>
      </c>
      <c r="BM26" s="10">
        <v>2640</v>
      </c>
      <c r="BN26" s="15">
        <f t="shared" si="0"/>
        <v>2544</v>
      </c>
      <c r="BO26" s="16">
        <f t="shared" si="1"/>
        <v>1780.8</v>
      </c>
      <c r="BP26" s="17"/>
      <c r="BQ26" s="17"/>
    </row>
    <row r="27" spans="1:69" x14ac:dyDescent="0.4">
      <c r="A27" s="5" t="s">
        <v>110</v>
      </c>
      <c r="B27" s="5" t="s">
        <v>90</v>
      </c>
      <c r="C27" s="5">
        <v>461521</v>
      </c>
      <c r="D27" s="6"/>
      <c r="E27" s="5" t="s">
        <v>16</v>
      </c>
      <c r="F27" s="5" t="s">
        <v>91</v>
      </c>
      <c r="G27" s="5" t="s">
        <v>10</v>
      </c>
      <c r="H27" s="7" t="s">
        <v>8</v>
      </c>
      <c r="I27" s="7" t="s">
        <v>107</v>
      </c>
      <c r="J27" s="7">
        <v>0</v>
      </c>
      <c r="K27" s="7">
        <v>146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11</v>
      </c>
      <c r="BA27" s="8">
        <v>2640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158.4</v>
      </c>
      <c r="BM27" s="10">
        <v>2640</v>
      </c>
      <c r="BN27" s="15">
        <f t="shared" si="0"/>
        <v>2481.6</v>
      </c>
      <c r="BO27" s="16">
        <f t="shared" si="1"/>
        <v>1737.12</v>
      </c>
      <c r="BP27" s="17"/>
      <c r="BQ27" s="17"/>
    </row>
    <row r="28" spans="1:69" x14ac:dyDescent="0.4">
      <c r="A28" s="5" t="s">
        <v>110</v>
      </c>
      <c r="B28" s="5" t="s">
        <v>43</v>
      </c>
      <c r="C28" s="5">
        <v>403837</v>
      </c>
      <c r="D28" s="6"/>
      <c r="E28" s="5" t="s">
        <v>16</v>
      </c>
      <c r="F28" s="5" t="s">
        <v>44</v>
      </c>
      <c r="G28" s="5" t="s">
        <v>10</v>
      </c>
      <c r="H28" s="7" t="s">
        <v>7</v>
      </c>
      <c r="I28" s="7" t="s">
        <v>45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7</v>
      </c>
      <c r="AC28" s="7">
        <v>0</v>
      </c>
      <c r="AD28" s="8">
        <v>1400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1400</v>
      </c>
      <c r="BN28" s="15">
        <f t="shared" si="0"/>
        <v>1400</v>
      </c>
      <c r="BO28" s="16">
        <f t="shared" si="1"/>
        <v>979.99999999999989</v>
      </c>
      <c r="BP28" s="17"/>
      <c r="BQ28" s="17"/>
    </row>
    <row r="29" spans="1:69" x14ac:dyDescent="0.4">
      <c r="A29" s="5" t="s">
        <v>110</v>
      </c>
      <c r="B29" s="5" t="s">
        <v>94</v>
      </c>
      <c r="C29" s="5">
        <v>354237</v>
      </c>
      <c r="D29" s="6"/>
      <c r="E29" s="5" t="s">
        <v>16</v>
      </c>
      <c r="F29" s="5" t="s">
        <v>95</v>
      </c>
      <c r="G29" s="5" t="s">
        <v>10</v>
      </c>
      <c r="H29" s="7" t="s">
        <v>7</v>
      </c>
      <c r="I29" s="7" t="s">
        <v>96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</v>
      </c>
      <c r="AC29" s="8">
        <v>1400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1400</v>
      </c>
      <c r="BN29" s="15">
        <f t="shared" si="0"/>
        <v>1400</v>
      </c>
      <c r="BO29" s="16">
        <f t="shared" si="1"/>
        <v>979.99999999999989</v>
      </c>
      <c r="BP29" s="17"/>
      <c r="BQ29" s="17"/>
    </row>
    <row r="30" spans="1:69" x14ac:dyDescent="0.4">
      <c r="A30" s="5" t="s">
        <v>110</v>
      </c>
      <c r="B30" s="5" t="s">
        <v>92</v>
      </c>
      <c r="C30" s="5">
        <v>406076</v>
      </c>
      <c r="D30" s="6"/>
      <c r="E30" s="5" t="s">
        <v>16</v>
      </c>
      <c r="F30" s="5" t="s">
        <v>76</v>
      </c>
      <c r="G30" s="5" t="s">
        <v>10</v>
      </c>
      <c r="H30" s="7" t="s">
        <v>8</v>
      </c>
      <c r="I30" s="7" t="s">
        <v>93</v>
      </c>
      <c r="J30" s="7">
        <v>0</v>
      </c>
      <c r="K30" s="7">
        <v>3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3</v>
      </c>
      <c r="AC30" s="7">
        <v>0</v>
      </c>
      <c r="AD30" s="7">
        <v>600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600</v>
      </c>
      <c r="BN30" s="15">
        <f t="shared" si="0"/>
        <v>600</v>
      </c>
      <c r="BO30" s="16">
        <f t="shared" si="1"/>
        <v>420</v>
      </c>
      <c r="BP30" s="17"/>
      <c r="BQ30" s="17"/>
    </row>
    <row r="31" spans="1:69" x14ac:dyDescent="0.4">
      <c r="A31" s="5" t="s">
        <v>110</v>
      </c>
      <c r="B31" s="5" t="s">
        <v>97</v>
      </c>
      <c r="C31" s="5">
        <v>366233</v>
      </c>
      <c r="D31" s="6"/>
      <c r="E31" s="5" t="s">
        <v>16</v>
      </c>
      <c r="F31" s="5" t="s">
        <v>98</v>
      </c>
      <c r="G31" s="5" t="s">
        <v>10</v>
      </c>
      <c r="H31" s="7" t="s">
        <v>7</v>
      </c>
      <c r="I31" s="7" t="s">
        <v>99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</v>
      </c>
      <c r="AC31" s="7">
        <v>200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200</v>
      </c>
      <c r="BN31" s="15">
        <f t="shared" si="0"/>
        <v>200</v>
      </c>
      <c r="BO31" s="16">
        <f t="shared" si="1"/>
        <v>140</v>
      </c>
      <c r="BP31" s="17"/>
      <c r="BQ31" s="17"/>
    </row>
    <row r="32" spans="1:69" ht="19.2" x14ac:dyDescent="0.4">
      <c r="A32" s="5" t="s">
        <v>110</v>
      </c>
      <c r="B32" s="5" t="s">
        <v>64</v>
      </c>
      <c r="C32" s="5">
        <v>405596</v>
      </c>
      <c r="D32" s="6"/>
      <c r="E32" s="5" t="s">
        <v>16</v>
      </c>
      <c r="F32" s="5" t="s">
        <v>65</v>
      </c>
      <c r="G32" s="5" t="s">
        <v>10</v>
      </c>
      <c r="H32" s="7" t="s">
        <v>7</v>
      </c>
      <c r="I32" s="7" t="s">
        <v>66</v>
      </c>
      <c r="J32" s="7">
        <v>0</v>
      </c>
      <c r="K32" s="7">
        <v>12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0</v>
      </c>
      <c r="BN32" s="15">
        <f t="shared" ref="BN32:BN33" si="2">BM32-BL32</f>
        <v>0</v>
      </c>
      <c r="BO32" s="16">
        <f t="shared" ref="BO32:BO33" si="3">BN32*70%</f>
        <v>0</v>
      </c>
      <c r="BP32" s="17"/>
      <c r="BQ32" s="17"/>
    </row>
    <row r="33" spans="1:69" x14ac:dyDescent="0.4">
      <c r="A33" s="5" t="s">
        <v>110</v>
      </c>
      <c r="B33" s="5" t="s">
        <v>108</v>
      </c>
      <c r="C33" s="5">
        <v>394261</v>
      </c>
      <c r="D33" s="6"/>
      <c r="E33" s="5" t="s">
        <v>16</v>
      </c>
      <c r="F33" s="5" t="s">
        <v>60</v>
      </c>
      <c r="G33" s="5" t="s">
        <v>10</v>
      </c>
      <c r="H33" s="7" t="s">
        <v>7</v>
      </c>
      <c r="I33" s="7" t="s">
        <v>109</v>
      </c>
      <c r="J33" s="7">
        <v>0</v>
      </c>
      <c r="K33" s="7">
        <v>6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0</v>
      </c>
      <c r="BN33" s="15">
        <f t="shared" si="2"/>
        <v>0</v>
      </c>
      <c r="BO33" s="16">
        <f t="shared" si="3"/>
        <v>0</v>
      </c>
      <c r="BP33" s="17"/>
      <c r="BQ33" s="17"/>
    </row>
    <row r="34" spans="1:69" ht="19.2" x14ac:dyDescent="0.4">
      <c r="A34" s="5" t="s">
        <v>111</v>
      </c>
      <c r="B34" s="5" t="s">
        <v>38</v>
      </c>
      <c r="C34" s="5">
        <v>412451</v>
      </c>
      <c r="D34" s="6"/>
      <c r="E34" s="5" t="s">
        <v>16</v>
      </c>
      <c r="F34" s="5" t="s">
        <v>39</v>
      </c>
      <c r="G34" s="5" t="s">
        <v>10</v>
      </c>
      <c r="H34" s="7" t="s">
        <v>8</v>
      </c>
      <c r="I34" s="7" t="s">
        <v>40</v>
      </c>
      <c r="J34" s="7">
        <v>4</v>
      </c>
      <c r="K34" s="7">
        <v>7</v>
      </c>
      <c r="L34" s="7">
        <v>800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72</v>
      </c>
      <c r="AC34" s="8">
        <v>17280</v>
      </c>
      <c r="AD34" s="7">
        <v>0</v>
      </c>
      <c r="AE34" s="7">
        <v>99</v>
      </c>
      <c r="AF34" s="8">
        <v>47520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65600</v>
      </c>
      <c r="BN34" s="15">
        <f t="shared" ref="BN34:BN81" si="4">BM34-BL34</f>
        <v>65600</v>
      </c>
      <c r="BO34" s="16">
        <f t="shared" ref="BO34:BO81" si="5">BN34*70%</f>
        <v>45920</v>
      </c>
    </row>
    <row r="35" spans="1:69" ht="19.2" x14ac:dyDescent="0.4">
      <c r="A35" s="5" t="s">
        <v>111</v>
      </c>
      <c r="B35" s="5" t="s">
        <v>18</v>
      </c>
      <c r="C35" s="5">
        <v>465463</v>
      </c>
      <c r="D35" s="6"/>
      <c r="E35" s="5" t="s">
        <v>16</v>
      </c>
      <c r="F35" s="5" t="s">
        <v>19</v>
      </c>
      <c r="G35" s="5" t="s">
        <v>10</v>
      </c>
      <c r="H35" s="7" t="s">
        <v>9</v>
      </c>
      <c r="I35" s="7" t="s">
        <v>104</v>
      </c>
      <c r="J35" s="7">
        <v>1</v>
      </c>
      <c r="K35" s="7">
        <v>3</v>
      </c>
      <c r="L35" s="7">
        <v>200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4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103</v>
      </c>
      <c r="AC35" s="8">
        <v>24720</v>
      </c>
      <c r="AD35" s="7">
        <v>0</v>
      </c>
      <c r="AE35" s="7">
        <v>32</v>
      </c>
      <c r="AF35" s="8">
        <v>13120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11</v>
      </c>
      <c r="AR35" s="8">
        <v>4400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2</v>
      </c>
      <c r="BG35" s="7">
        <v>480</v>
      </c>
      <c r="BH35" s="7">
        <v>0</v>
      </c>
      <c r="BI35" s="7">
        <v>0</v>
      </c>
      <c r="BJ35" s="7">
        <v>0</v>
      </c>
      <c r="BK35" s="7">
        <v>0</v>
      </c>
      <c r="BL35" s="7">
        <v>24</v>
      </c>
      <c r="BM35" s="10">
        <v>42920</v>
      </c>
      <c r="BN35" s="15">
        <f t="shared" si="4"/>
        <v>42896</v>
      </c>
      <c r="BO35" s="16">
        <f t="shared" si="5"/>
        <v>30027.199999999997</v>
      </c>
    </row>
    <row r="36" spans="1:69" ht="19.2" x14ac:dyDescent="0.4">
      <c r="A36" s="5" t="s">
        <v>111</v>
      </c>
      <c r="B36" s="5" t="s">
        <v>15</v>
      </c>
      <c r="C36" s="5">
        <v>435954</v>
      </c>
      <c r="D36" s="6"/>
      <c r="E36" s="5" t="s">
        <v>16</v>
      </c>
      <c r="F36" s="5" t="s">
        <v>17</v>
      </c>
      <c r="G36" s="5" t="s">
        <v>10</v>
      </c>
      <c r="H36" s="7" t="s">
        <v>7</v>
      </c>
      <c r="I36" s="7" t="s">
        <v>105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98</v>
      </c>
      <c r="AC36" s="8">
        <v>17240</v>
      </c>
      <c r="AD36" s="8">
        <v>4900</v>
      </c>
      <c r="AE36" s="7">
        <v>22</v>
      </c>
      <c r="AF36" s="8">
        <v>2400</v>
      </c>
      <c r="AG36" s="8">
        <v>6800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5</v>
      </c>
      <c r="AO36" s="8">
        <v>1000</v>
      </c>
      <c r="AP36" s="7">
        <v>0</v>
      </c>
      <c r="AQ36" s="7">
        <v>1</v>
      </c>
      <c r="AR36" s="7">
        <v>400</v>
      </c>
      <c r="AS36" s="7">
        <v>0</v>
      </c>
      <c r="AT36" s="7">
        <v>4</v>
      </c>
      <c r="AU36" s="7">
        <v>960</v>
      </c>
      <c r="AV36" s="7">
        <v>0</v>
      </c>
      <c r="AW36" s="7">
        <v>0</v>
      </c>
      <c r="AX36" s="7">
        <v>0</v>
      </c>
      <c r="AY36" s="7">
        <v>0</v>
      </c>
      <c r="AZ36" s="7">
        <v>4</v>
      </c>
      <c r="BA36" s="7">
        <v>960</v>
      </c>
      <c r="BB36" s="7">
        <v>0</v>
      </c>
      <c r="BC36" s="7">
        <v>0</v>
      </c>
      <c r="BD36" s="7">
        <v>0</v>
      </c>
      <c r="BE36" s="7">
        <v>0</v>
      </c>
      <c r="BF36" s="7">
        <v>8</v>
      </c>
      <c r="BG36" s="8">
        <v>1920</v>
      </c>
      <c r="BH36" s="7">
        <v>0</v>
      </c>
      <c r="BI36" s="7">
        <v>4</v>
      </c>
      <c r="BJ36" s="8">
        <v>1920</v>
      </c>
      <c r="BK36" s="7">
        <v>0</v>
      </c>
      <c r="BL36" s="7">
        <v>345.6</v>
      </c>
      <c r="BM36" s="10">
        <v>38500</v>
      </c>
      <c r="BN36" s="15">
        <f t="shared" si="4"/>
        <v>38154.400000000001</v>
      </c>
      <c r="BO36" s="16">
        <f t="shared" si="5"/>
        <v>26708.079999999998</v>
      </c>
    </row>
    <row r="37" spans="1:69" ht="19.2" x14ac:dyDescent="0.4">
      <c r="A37" s="5" t="s">
        <v>111</v>
      </c>
      <c r="B37" s="5" t="s">
        <v>73</v>
      </c>
      <c r="C37" s="5">
        <v>414835</v>
      </c>
      <c r="D37" s="6"/>
      <c r="E37" s="5" t="s">
        <v>16</v>
      </c>
      <c r="F37" s="5" t="s">
        <v>74</v>
      </c>
      <c r="G37" s="5" t="s">
        <v>10</v>
      </c>
      <c r="H37" s="7" t="s">
        <v>7</v>
      </c>
      <c r="I37" s="7" t="s">
        <v>13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15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144</v>
      </c>
      <c r="AF37" s="8">
        <v>34560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34560</v>
      </c>
      <c r="BN37" s="15">
        <f t="shared" si="4"/>
        <v>34560</v>
      </c>
      <c r="BO37" s="16">
        <f t="shared" si="5"/>
        <v>24192</v>
      </c>
    </row>
    <row r="38" spans="1:69" ht="19.2" x14ac:dyDescent="0.4">
      <c r="A38" s="5" t="s">
        <v>111</v>
      </c>
      <c r="B38" s="5" t="s">
        <v>46</v>
      </c>
      <c r="C38" s="5">
        <v>380491</v>
      </c>
      <c r="D38" s="6"/>
      <c r="E38" s="5" t="s">
        <v>16</v>
      </c>
      <c r="F38" s="5" t="s">
        <v>47</v>
      </c>
      <c r="G38" s="5" t="s">
        <v>10</v>
      </c>
      <c r="H38" s="7" t="s">
        <v>7</v>
      </c>
      <c r="I38" s="7" t="s">
        <v>45</v>
      </c>
      <c r="J38" s="7">
        <v>0</v>
      </c>
      <c r="K38" s="8">
        <v>1026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139</v>
      </c>
      <c r="AC38" s="8">
        <v>11520</v>
      </c>
      <c r="AD38" s="8">
        <v>4300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98</v>
      </c>
      <c r="AO38" s="8">
        <v>9800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25620</v>
      </c>
      <c r="BN38" s="15">
        <f t="shared" si="4"/>
        <v>25620</v>
      </c>
      <c r="BO38" s="16">
        <f t="shared" si="5"/>
        <v>17934</v>
      </c>
    </row>
    <row r="39" spans="1:69" ht="19.2" x14ac:dyDescent="0.4">
      <c r="A39" s="5" t="s">
        <v>111</v>
      </c>
      <c r="B39" s="5" t="s">
        <v>41</v>
      </c>
      <c r="C39" s="5">
        <v>423525</v>
      </c>
      <c r="D39" s="6"/>
      <c r="E39" s="5" t="s">
        <v>16</v>
      </c>
      <c r="F39" s="5" t="s">
        <v>42</v>
      </c>
      <c r="G39" s="5" t="s">
        <v>10</v>
      </c>
      <c r="H39" s="7" t="s">
        <v>7</v>
      </c>
      <c r="I39" s="7" t="s">
        <v>106</v>
      </c>
      <c r="J39" s="7">
        <v>0</v>
      </c>
      <c r="K39" s="7">
        <v>986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41</v>
      </c>
      <c r="AC39" s="8">
        <v>6120</v>
      </c>
      <c r="AD39" s="8">
        <v>3100</v>
      </c>
      <c r="AE39" s="7">
        <v>1</v>
      </c>
      <c r="AF39" s="7">
        <v>0</v>
      </c>
      <c r="AG39" s="7">
        <v>400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25</v>
      </c>
      <c r="AO39" s="8">
        <v>5000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11</v>
      </c>
      <c r="BG39" s="8">
        <v>2640</v>
      </c>
      <c r="BH39" s="7">
        <v>0</v>
      </c>
      <c r="BI39" s="7">
        <v>4</v>
      </c>
      <c r="BJ39" s="8">
        <v>1920</v>
      </c>
      <c r="BK39" s="7">
        <v>0</v>
      </c>
      <c r="BL39" s="7">
        <v>228</v>
      </c>
      <c r="BM39" s="10">
        <v>19180</v>
      </c>
      <c r="BN39" s="15">
        <f t="shared" si="4"/>
        <v>18952</v>
      </c>
      <c r="BO39" s="16">
        <f t="shared" si="5"/>
        <v>13266.4</v>
      </c>
    </row>
    <row r="40" spans="1:69" ht="19.2" x14ac:dyDescent="0.4">
      <c r="A40" s="5" t="s">
        <v>111</v>
      </c>
      <c r="B40" s="5" t="s">
        <v>20</v>
      </c>
      <c r="C40" s="5">
        <v>434897</v>
      </c>
      <c r="D40" s="6"/>
      <c r="E40" s="5" t="s">
        <v>16</v>
      </c>
      <c r="F40" s="5" t="s">
        <v>21</v>
      </c>
      <c r="G40" s="5" t="s">
        <v>10</v>
      </c>
      <c r="H40" s="7" t="s">
        <v>8</v>
      </c>
      <c r="I40" s="7" t="s">
        <v>22</v>
      </c>
      <c r="J40" s="7">
        <v>3</v>
      </c>
      <c r="K40" s="7">
        <v>62</v>
      </c>
      <c r="L40" s="7">
        <v>600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53</v>
      </c>
      <c r="AC40" s="8">
        <v>12480</v>
      </c>
      <c r="AD40" s="7">
        <v>100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3</v>
      </c>
      <c r="BG40" s="7">
        <v>600</v>
      </c>
      <c r="BH40" s="7">
        <v>0</v>
      </c>
      <c r="BI40" s="7">
        <v>0</v>
      </c>
      <c r="BJ40" s="7">
        <v>0</v>
      </c>
      <c r="BK40" s="7">
        <v>0</v>
      </c>
      <c r="BL40" s="7">
        <v>30</v>
      </c>
      <c r="BM40" s="10">
        <v>13780</v>
      </c>
      <c r="BN40" s="15">
        <f t="shared" si="4"/>
        <v>13750</v>
      </c>
      <c r="BO40" s="16">
        <f t="shared" si="5"/>
        <v>9625</v>
      </c>
    </row>
    <row r="41" spans="1:69" ht="19.2" x14ac:dyDescent="0.4">
      <c r="A41" s="5" t="s">
        <v>111</v>
      </c>
      <c r="B41" s="5" t="s">
        <v>25</v>
      </c>
      <c r="C41" s="5">
        <v>432749</v>
      </c>
      <c r="D41" s="6"/>
      <c r="E41" s="5" t="s">
        <v>16</v>
      </c>
      <c r="F41" s="5" t="s">
        <v>26</v>
      </c>
      <c r="G41" s="5" t="s">
        <v>10</v>
      </c>
      <c r="H41" s="7" t="s">
        <v>7</v>
      </c>
      <c r="I41" s="7" t="s">
        <v>105</v>
      </c>
      <c r="J41" s="7">
        <v>3</v>
      </c>
      <c r="K41" s="7">
        <v>968</v>
      </c>
      <c r="L41" s="7">
        <v>600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5</v>
      </c>
      <c r="AC41" s="7">
        <v>720</v>
      </c>
      <c r="AD41" s="7">
        <v>400</v>
      </c>
      <c r="AE41" s="7">
        <v>6</v>
      </c>
      <c r="AF41" s="8">
        <v>2880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4</v>
      </c>
      <c r="AO41" s="7">
        <v>800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1</v>
      </c>
      <c r="BA41" s="7">
        <v>240</v>
      </c>
      <c r="BB41" s="7">
        <v>0</v>
      </c>
      <c r="BC41" s="7">
        <v>0</v>
      </c>
      <c r="BD41" s="7">
        <v>0</v>
      </c>
      <c r="BE41" s="7">
        <v>0</v>
      </c>
      <c r="BF41" s="7">
        <v>20</v>
      </c>
      <c r="BG41" s="8">
        <v>4800</v>
      </c>
      <c r="BH41" s="7">
        <v>0</v>
      </c>
      <c r="BI41" s="7">
        <v>4</v>
      </c>
      <c r="BJ41" s="8">
        <v>1920</v>
      </c>
      <c r="BK41" s="7">
        <v>0</v>
      </c>
      <c r="BL41" s="7">
        <v>350.4</v>
      </c>
      <c r="BM41" s="10">
        <v>12360</v>
      </c>
      <c r="BN41" s="15">
        <f t="shared" si="4"/>
        <v>12009.6</v>
      </c>
      <c r="BO41" s="16">
        <f t="shared" si="5"/>
        <v>8406.7199999999993</v>
      </c>
    </row>
    <row r="42" spans="1:69" ht="19.2" x14ac:dyDescent="0.4">
      <c r="A42" s="5" t="s">
        <v>111</v>
      </c>
      <c r="B42" s="5" t="s">
        <v>36</v>
      </c>
      <c r="C42" s="5">
        <v>467630</v>
      </c>
      <c r="D42" s="6"/>
      <c r="E42" s="5" t="s">
        <v>16</v>
      </c>
      <c r="F42" s="5" t="s">
        <v>37</v>
      </c>
      <c r="G42" s="5" t="s">
        <v>10</v>
      </c>
      <c r="H42" s="7" t="s">
        <v>8</v>
      </c>
      <c r="I42" s="7" t="s">
        <v>14</v>
      </c>
      <c r="J42" s="7">
        <v>0</v>
      </c>
      <c r="K42" s="7">
        <v>6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59</v>
      </c>
      <c r="AO42" s="8">
        <v>11800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11800</v>
      </c>
      <c r="BN42" s="15">
        <f t="shared" si="4"/>
        <v>11800</v>
      </c>
      <c r="BO42" s="16">
        <f t="shared" si="5"/>
        <v>8260</v>
      </c>
    </row>
    <row r="43" spans="1:69" ht="19.2" x14ac:dyDescent="0.4">
      <c r="A43" s="5" t="s">
        <v>111</v>
      </c>
      <c r="B43" s="5" t="s">
        <v>23</v>
      </c>
      <c r="C43" s="5">
        <v>465461</v>
      </c>
      <c r="D43" s="6"/>
      <c r="E43" s="5" t="s">
        <v>16</v>
      </c>
      <c r="F43" s="5" t="s">
        <v>24</v>
      </c>
      <c r="G43" s="5" t="s">
        <v>10</v>
      </c>
      <c r="H43" s="7" t="s">
        <v>7</v>
      </c>
      <c r="I43" s="7" t="s">
        <v>106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10</v>
      </c>
      <c r="AC43" s="8">
        <v>1880</v>
      </c>
      <c r="AD43" s="7">
        <v>400</v>
      </c>
      <c r="AE43" s="7">
        <v>3</v>
      </c>
      <c r="AF43" s="8">
        <v>1440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25</v>
      </c>
      <c r="AO43" s="8">
        <v>5000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8720</v>
      </c>
      <c r="BN43" s="15">
        <f t="shared" si="4"/>
        <v>8720</v>
      </c>
      <c r="BO43" s="16">
        <f t="shared" si="5"/>
        <v>6104</v>
      </c>
    </row>
    <row r="44" spans="1:69" ht="19.2" x14ac:dyDescent="0.4">
      <c r="A44" s="5" t="s">
        <v>111</v>
      </c>
      <c r="B44" s="5" t="s">
        <v>30</v>
      </c>
      <c r="C44" s="5">
        <v>351846</v>
      </c>
      <c r="D44" s="6"/>
      <c r="E44" s="5" t="s">
        <v>16</v>
      </c>
      <c r="F44" s="5" t="s">
        <v>31</v>
      </c>
      <c r="G44" s="5" t="s">
        <v>10</v>
      </c>
      <c r="H44" s="7" t="s">
        <v>7</v>
      </c>
      <c r="I44" s="7" t="s">
        <v>32</v>
      </c>
      <c r="J44" s="7">
        <v>0</v>
      </c>
      <c r="K44" s="7">
        <v>279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59</v>
      </c>
      <c r="AC44" s="8">
        <v>5720</v>
      </c>
      <c r="AD44" s="7">
        <v>200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19</v>
      </c>
      <c r="AO44" s="8">
        <v>1900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7820</v>
      </c>
      <c r="BN44" s="15">
        <f t="shared" si="4"/>
        <v>7820</v>
      </c>
      <c r="BO44" s="16">
        <f t="shared" si="5"/>
        <v>5474</v>
      </c>
    </row>
    <row r="45" spans="1:69" ht="19.2" x14ac:dyDescent="0.4">
      <c r="A45" s="5" t="s">
        <v>111</v>
      </c>
      <c r="B45" s="5" t="s">
        <v>78</v>
      </c>
      <c r="C45" s="5">
        <v>319050</v>
      </c>
      <c r="D45" s="6"/>
      <c r="E45" s="5" t="s">
        <v>16</v>
      </c>
      <c r="F45" s="5" t="s">
        <v>79</v>
      </c>
      <c r="G45" s="5" t="s">
        <v>10</v>
      </c>
      <c r="H45" s="7" t="s">
        <v>7</v>
      </c>
      <c r="I45" s="7" t="s">
        <v>80</v>
      </c>
      <c r="J45" s="7">
        <v>4</v>
      </c>
      <c r="K45" s="7">
        <v>1</v>
      </c>
      <c r="L45" s="7">
        <v>800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26</v>
      </c>
      <c r="AC45" s="8">
        <v>6240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7040</v>
      </c>
      <c r="BN45" s="15">
        <f t="shared" si="4"/>
        <v>7040</v>
      </c>
      <c r="BO45" s="16">
        <f t="shared" si="5"/>
        <v>4928</v>
      </c>
    </row>
    <row r="46" spans="1:69" ht="19.2" x14ac:dyDescent="0.4">
      <c r="A46" s="5" t="s">
        <v>111</v>
      </c>
      <c r="B46" s="5" t="s">
        <v>27</v>
      </c>
      <c r="C46" s="5">
        <v>383201</v>
      </c>
      <c r="D46" s="6"/>
      <c r="E46" s="5" t="s">
        <v>16</v>
      </c>
      <c r="F46" s="5" t="s">
        <v>28</v>
      </c>
      <c r="G46" s="5" t="s">
        <v>10</v>
      </c>
      <c r="H46" s="7" t="s">
        <v>7</v>
      </c>
      <c r="I46" s="7" t="s">
        <v>29</v>
      </c>
      <c r="J46" s="7">
        <v>0</v>
      </c>
      <c r="K46" s="7">
        <v>3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29</v>
      </c>
      <c r="AC46" s="8">
        <v>6960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6960</v>
      </c>
      <c r="BN46" s="15">
        <f t="shared" si="4"/>
        <v>6960</v>
      </c>
      <c r="BO46" s="16">
        <f t="shared" si="5"/>
        <v>4872</v>
      </c>
    </row>
    <row r="47" spans="1:69" ht="19.2" x14ac:dyDescent="0.4">
      <c r="A47" s="5" t="s">
        <v>111</v>
      </c>
      <c r="B47" s="5" t="s">
        <v>56</v>
      </c>
      <c r="C47" s="5">
        <v>323829</v>
      </c>
      <c r="D47" s="6"/>
      <c r="E47" s="5" t="s">
        <v>16</v>
      </c>
      <c r="F47" s="5" t="s">
        <v>57</v>
      </c>
      <c r="G47" s="5" t="s">
        <v>10</v>
      </c>
      <c r="H47" s="7" t="s">
        <v>7</v>
      </c>
      <c r="I47" s="7" t="s">
        <v>58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59</v>
      </c>
      <c r="AO47" s="8">
        <v>5900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5900</v>
      </c>
      <c r="BN47" s="15">
        <f t="shared" si="4"/>
        <v>5900</v>
      </c>
      <c r="BO47" s="16">
        <f t="shared" si="5"/>
        <v>4130</v>
      </c>
    </row>
    <row r="48" spans="1:69" ht="19.2" x14ac:dyDescent="0.4">
      <c r="A48" s="5" t="s">
        <v>111</v>
      </c>
      <c r="B48" s="5" t="s">
        <v>67</v>
      </c>
      <c r="C48" s="5">
        <v>458180</v>
      </c>
      <c r="D48" s="6"/>
      <c r="E48" s="5" t="s">
        <v>16</v>
      </c>
      <c r="F48" s="5" t="s">
        <v>68</v>
      </c>
      <c r="G48" s="5" t="s">
        <v>10</v>
      </c>
      <c r="H48" s="7" t="s">
        <v>7</v>
      </c>
      <c r="I48" s="7" t="s">
        <v>69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20</v>
      </c>
      <c r="AC48" s="7">
        <v>0</v>
      </c>
      <c r="AD48" s="8">
        <v>4000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4000</v>
      </c>
      <c r="BN48" s="15">
        <f t="shared" si="4"/>
        <v>4000</v>
      </c>
      <c r="BO48" s="16">
        <f t="shared" si="5"/>
        <v>2800</v>
      </c>
    </row>
    <row r="49" spans="1:67" ht="19.2" x14ac:dyDescent="0.4">
      <c r="A49" s="5" t="s">
        <v>111</v>
      </c>
      <c r="B49" s="5" t="s">
        <v>75</v>
      </c>
      <c r="C49" s="5">
        <v>463455</v>
      </c>
      <c r="D49" s="6"/>
      <c r="E49" s="5" t="s">
        <v>16</v>
      </c>
      <c r="F49" s="5" t="s">
        <v>76</v>
      </c>
      <c r="G49" s="5" t="s">
        <v>10</v>
      </c>
      <c r="H49" s="7" t="s">
        <v>7</v>
      </c>
      <c r="I49" s="7" t="s">
        <v>77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12</v>
      </c>
      <c r="AC49" s="8">
        <v>2880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2880</v>
      </c>
      <c r="BN49" s="15">
        <f t="shared" si="4"/>
        <v>2880</v>
      </c>
      <c r="BO49" s="16">
        <f t="shared" si="5"/>
        <v>2015.9999999999998</v>
      </c>
    </row>
    <row r="50" spans="1:67" ht="19.2" x14ac:dyDescent="0.4">
      <c r="A50" s="5" t="s">
        <v>111</v>
      </c>
      <c r="B50" s="5" t="s">
        <v>48</v>
      </c>
      <c r="C50" s="5">
        <v>465658</v>
      </c>
      <c r="D50" s="6"/>
      <c r="E50" s="5" t="s">
        <v>16</v>
      </c>
      <c r="F50" s="5" t="s">
        <v>49</v>
      </c>
      <c r="G50" s="5" t="s">
        <v>10</v>
      </c>
      <c r="H50" s="7" t="s">
        <v>7</v>
      </c>
      <c r="I50" s="7" t="s">
        <v>106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5</v>
      </c>
      <c r="BG50" s="8">
        <v>1200</v>
      </c>
      <c r="BH50" s="7">
        <v>0</v>
      </c>
      <c r="BI50" s="7">
        <v>0</v>
      </c>
      <c r="BJ50" s="7">
        <v>0</v>
      </c>
      <c r="BK50" s="7">
        <v>0</v>
      </c>
      <c r="BL50" s="7">
        <v>60</v>
      </c>
      <c r="BM50" s="10">
        <v>1200</v>
      </c>
      <c r="BN50" s="15">
        <f t="shared" si="4"/>
        <v>1140</v>
      </c>
      <c r="BO50" s="16">
        <f t="shared" si="5"/>
        <v>798</v>
      </c>
    </row>
    <row r="51" spans="1:67" ht="19.2" x14ac:dyDescent="0.4">
      <c r="A51" s="5" t="s">
        <v>111</v>
      </c>
      <c r="B51" s="5" t="s">
        <v>70</v>
      </c>
      <c r="C51" s="5">
        <v>336507</v>
      </c>
      <c r="D51" s="6"/>
      <c r="E51" s="5" t="s">
        <v>16</v>
      </c>
      <c r="F51" s="5" t="s">
        <v>71</v>
      </c>
      <c r="G51" s="5" t="s">
        <v>10</v>
      </c>
      <c r="H51" s="7" t="s">
        <v>8</v>
      </c>
      <c r="I51" s="7" t="s">
        <v>72</v>
      </c>
      <c r="J51" s="7">
        <v>3</v>
      </c>
      <c r="K51" s="7">
        <v>0</v>
      </c>
      <c r="L51" s="7">
        <v>600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3</v>
      </c>
      <c r="AO51" s="7">
        <v>600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1200</v>
      </c>
      <c r="BN51" s="15">
        <f t="shared" si="4"/>
        <v>1200</v>
      </c>
      <c r="BO51" s="16">
        <f t="shared" si="5"/>
        <v>840</v>
      </c>
    </row>
    <row r="52" spans="1:67" ht="19.2" x14ac:dyDescent="0.4">
      <c r="A52" s="5" t="s">
        <v>111</v>
      </c>
      <c r="B52" s="5" t="s">
        <v>64</v>
      </c>
      <c r="C52" s="5">
        <v>405596</v>
      </c>
      <c r="D52" s="6"/>
      <c r="E52" s="5" t="s">
        <v>16</v>
      </c>
      <c r="F52" s="5" t="s">
        <v>65</v>
      </c>
      <c r="G52" s="5" t="s">
        <v>10</v>
      </c>
      <c r="H52" s="7" t="s">
        <v>7</v>
      </c>
      <c r="I52" s="7" t="s">
        <v>66</v>
      </c>
      <c r="J52" s="7">
        <v>0</v>
      </c>
      <c r="K52" s="7">
        <v>11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9</v>
      </c>
      <c r="BG52" s="8">
        <v>1080</v>
      </c>
      <c r="BH52" s="7">
        <v>0</v>
      </c>
      <c r="BI52" s="7">
        <v>0</v>
      </c>
      <c r="BJ52" s="7">
        <v>0</v>
      </c>
      <c r="BK52" s="7">
        <v>0</v>
      </c>
      <c r="BL52" s="7">
        <v>54</v>
      </c>
      <c r="BM52" s="10">
        <v>1080</v>
      </c>
      <c r="BN52" s="15">
        <f t="shared" si="4"/>
        <v>1026</v>
      </c>
      <c r="BO52" s="16">
        <f t="shared" si="5"/>
        <v>718.19999999999993</v>
      </c>
    </row>
    <row r="53" spans="1:67" ht="19.2" x14ac:dyDescent="0.4">
      <c r="A53" s="5" t="s">
        <v>111</v>
      </c>
      <c r="B53" s="5" t="s">
        <v>87</v>
      </c>
      <c r="C53" s="5">
        <v>320809</v>
      </c>
      <c r="D53" s="6"/>
      <c r="E53" s="5" t="s">
        <v>16</v>
      </c>
      <c r="F53" s="5" t="s">
        <v>88</v>
      </c>
      <c r="G53" s="5" t="s">
        <v>10</v>
      </c>
      <c r="H53" s="7" t="s">
        <v>7</v>
      </c>
      <c r="I53" s="7" t="s">
        <v>89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3</v>
      </c>
      <c r="AC53" s="7">
        <v>720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720</v>
      </c>
      <c r="BN53" s="15">
        <f t="shared" si="4"/>
        <v>720</v>
      </c>
      <c r="BO53" s="16">
        <f t="shared" si="5"/>
        <v>503.99999999999994</v>
      </c>
    </row>
    <row r="54" spans="1:67" ht="19.2" x14ac:dyDescent="0.4">
      <c r="A54" s="5" t="s">
        <v>111</v>
      </c>
      <c r="B54" s="5" t="s">
        <v>33</v>
      </c>
      <c r="C54" s="5">
        <v>448747</v>
      </c>
      <c r="D54" s="6"/>
      <c r="E54" s="5" t="s">
        <v>16</v>
      </c>
      <c r="F54" s="5" t="s">
        <v>34</v>
      </c>
      <c r="G54" s="5" t="s">
        <v>10</v>
      </c>
      <c r="H54" s="7" t="s">
        <v>7</v>
      </c>
      <c r="I54" s="7" t="s">
        <v>35</v>
      </c>
      <c r="J54" s="7">
        <v>0</v>
      </c>
      <c r="K54" s="7">
        <v>543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0</v>
      </c>
      <c r="BN54" s="15">
        <f t="shared" si="4"/>
        <v>0</v>
      </c>
      <c r="BO54" s="16">
        <f t="shared" si="5"/>
        <v>0</v>
      </c>
    </row>
    <row r="55" spans="1:67" ht="19.2" x14ac:dyDescent="0.4">
      <c r="A55" s="5" t="s">
        <v>111</v>
      </c>
      <c r="B55" s="5" t="s">
        <v>62</v>
      </c>
      <c r="C55" s="5">
        <v>464964</v>
      </c>
      <c r="D55" s="6"/>
      <c r="E55" s="5" t="s">
        <v>16</v>
      </c>
      <c r="F55" s="5" t="s">
        <v>63</v>
      </c>
      <c r="G55" s="5" t="s">
        <v>10</v>
      </c>
      <c r="H55" s="7" t="s">
        <v>7</v>
      </c>
      <c r="I55" s="7" t="s">
        <v>104</v>
      </c>
      <c r="J55" s="7">
        <v>0</v>
      </c>
      <c r="K55" s="7">
        <v>628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0</v>
      </c>
      <c r="BN55" s="15">
        <f t="shared" si="4"/>
        <v>0</v>
      </c>
      <c r="BO55" s="16">
        <f t="shared" si="5"/>
        <v>0</v>
      </c>
    </row>
    <row r="56" spans="1:67" ht="19.2" x14ac:dyDescent="0.4">
      <c r="A56" s="5" t="s">
        <v>111</v>
      </c>
      <c r="B56" s="5" t="s">
        <v>90</v>
      </c>
      <c r="C56" s="5">
        <v>461521</v>
      </c>
      <c r="D56" s="6"/>
      <c r="E56" s="5" t="s">
        <v>16</v>
      </c>
      <c r="F56" s="5" t="s">
        <v>91</v>
      </c>
      <c r="G56" s="5" t="s">
        <v>10</v>
      </c>
      <c r="H56" s="7" t="s">
        <v>8</v>
      </c>
      <c r="I56" s="7" t="s">
        <v>107</v>
      </c>
      <c r="J56" s="7">
        <v>0</v>
      </c>
      <c r="K56" s="7">
        <v>139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0</v>
      </c>
      <c r="BN56" s="15">
        <f t="shared" si="4"/>
        <v>0</v>
      </c>
      <c r="BO56" s="16">
        <f t="shared" si="5"/>
        <v>0</v>
      </c>
    </row>
    <row r="57" spans="1:67" x14ac:dyDescent="0.4">
      <c r="A57" s="5" t="s">
        <v>112</v>
      </c>
      <c r="B57" s="5" t="s">
        <v>23</v>
      </c>
      <c r="C57" s="5">
        <v>465461</v>
      </c>
      <c r="D57" s="6"/>
      <c r="E57" s="5" t="s">
        <v>16</v>
      </c>
      <c r="F57" s="5" t="s">
        <v>24</v>
      </c>
      <c r="G57" s="5" t="s">
        <v>10</v>
      </c>
      <c r="H57" s="7" t="s">
        <v>7</v>
      </c>
      <c r="I57" s="7" t="s">
        <v>106</v>
      </c>
      <c r="J57" s="7">
        <v>0</v>
      </c>
      <c r="K57" s="7">
        <v>12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2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343</v>
      </c>
      <c r="AC57" s="8">
        <v>61600</v>
      </c>
      <c r="AD57" s="8">
        <v>6800</v>
      </c>
      <c r="AE57" s="7">
        <v>31</v>
      </c>
      <c r="AF57" s="8">
        <v>12400</v>
      </c>
      <c r="AG57" s="7">
        <v>0</v>
      </c>
      <c r="AH57" s="7">
        <v>277</v>
      </c>
      <c r="AI57" s="8">
        <v>60096</v>
      </c>
      <c r="AJ57" s="8">
        <v>6400</v>
      </c>
      <c r="AK57" s="7">
        <v>9</v>
      </c>
      <c r="AL57" s="7">
        <v>532</v>
      </c>
      <c r="AM57" s="8">
        <v>3200</v>
      </c>
      <c r="AN57" s="7">
        <v>3</v>
      </c>
      <c r="AO57" s="7">
        <v>600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32</v>
      </c>
      <c r="BA57" s="8">
        <v>7320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18627.599999999999</v>
      </c>
      <c r="BM57" s="10">
        <v>158948</v>
      </c>
      <c r="BN57" s="15">
        <f t="shared" si="4"/>
        <v>140320.4</v>
      </c>
      <c r="BO57" s="16">
        <f t="shared" si="5"/>
        <v>98224.279999999984</v>
      </c>
    </row>
    <row r="58" spans="1:67" x14ac:dyDescent="0.4">
      <c r="A58" s="5" t="s">
        <v>112</v>
      </c>
      <c r="B58" s="5" t="s">
        <v>15</v>
      </c>
      <c r="C58" s="5">
        <v>435954</v>
      </c>
      <c r="D58" s="6"/>
      <c r="E58" s="5" t="s">
        <v>16</v>
      </c>
      <c r="F58" s="5" t="s">
        <v>17</v>
      </c>
      <c r="G58" s="5" t="s">
        <v>10</v>
      </c>
      <c r="H58" s="7" t="s">
        <v>7</v>
      </c>
      <c r="I58" s="7" t="s">
        <v>105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127</v>
      </c>
      <c r="AC58" s="8">
        <v>23300</v>
      </c>
      <c r="AD58" s="8">
        <v>2000</v>
      </c>
      <c r="AE58" s="7">
        <v>52</v>
      </c>
      <c r="AF58" s="8">
        <v>16300</v>
      </c>
      <c r="AG58" s="8">
        <v>4000</v>
      </c>
      <c r="AH58" s="7">
        <v>245</v>
      </c>
      <c r="AI58" s="8">
        <v>38878</v>
      </c>
      <c r="AJ58" s="8">
        <v>16600</v>
      </c>
      <c r="AK58" s="7">
        <v>24</v>
      </c>
      <c r="AL58" s="8">
        <v>5032</v>
      </c>
      <c r="AM58" s="8">
        <v>5300</v>
      </c>
      <c r="AN58" s="7">
        <v>56</v>
      </c>
      <c r="AO58" s="8">
        <v>10800</v>
      </c>
      <c r="AP58" s="7">
        <v>400</v>
      </c>
      <c r="AQ58" s="7">
        <v>30</v>
      </c>
      <c r="AR58" s="8">
        <v>11600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20</v>
      </c>
      <c r="BA58" s="8">
        <v>4800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13461</v>
      </c>
      <c r="BM58" s="10">
        <v>139010</v>
      </c>
      <c r="BN58" s="15">
        <f t="shared" si="4"/>
        <v>125549</v>
      </c>
      <c r="BO58" s="16">
        <f t="shared" si="5"/>
        <v>87884.299999999988</v>
      </c>
    </row>
    <row r="59" spans="1:67" x14ac:dyDescent="0.4">
      <c r="A59" s="5" t="s">
        <v>112</v>
      </c>
      <c r="B59" s="5" t="s">
        <v>36</v>
      </c>
      <c r="C59" s="5">
        <v>467630</v>
      </c>
      <c r="D59" s="6"/>
      <c r="E59" s="5" t="s">
        <v>16</v>
      </c>
      <c r="F59" s="5" t="s">
        <v>37</v>
      </c>
      <c r="G59" s="5" t="s">
        <v>10</v>
      </c>
      <c r="H59" s="7" t="s">
        <v>8</v>
      </c>
      <c r="I59" s="7" t="s">
        <v>14</v>
      </c>
      <c r="J59" s="7">
        <v>0</v>
      </c>
      <c r="K59" s="7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90</v>
      </c>
      <c r="AC59" s="8">
        <v>18000</v>
      </c>
      <c r="AD59" s="7">
        <v>0</v>
      </c>
      <c r="AE59" s="7">
        <v>0</v>
      </c>
      <c r="AF59" s="7">
        <v>0</v>
      </c>
      <c r="AG59" s="7">
        <v>0</v>
      </c>
      <c r="AH59" s="7">
        <v>214</v>
      </c>
      <c r="AI59" s="8">
        <v>49680</v>
      </c>
      <c r="AJ59" s="8">
        <v>1400</v>
      </c>
      <c r="AK59" s="7">
        <v>91</v>
      </c>
      <c r="AL59" s="8">
        <v>43680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28008</v>
      </c>
      <c r="BM59" s="10">
        <v>112760</v>
      </c>
      <c r="BN59" s="15">
        <f t="shared" si="4"/>
        <v>84752</v>
      </c>
      <c r="BO59" s="16">
        <f t="shared" si="5"/>
        <v>59326.399999999994</v>
      </c>
    </row>
    <row r="60" spans="1:67" x14ac:dyDescent="0.4">
      <c r="A60" s="5" t="s">
        <v>112</v>
      </c>
      <c r="B60" s="5" t="s">
        <v>18</v>
      </c>
      <c r="C60" s="5">
        <v>465463</v>
      </c>
      <c r="D60" s="6"/>
      <c r="E60" s="5" t="s">
        <v>16</v>
      </c>
      <c r="F60" s="5" t="s">
        <v>19</v>
      </c>
      <c r="G60" s="5" t="s">
        <v>10</v>
      </c>
      <c r="H60" s="7" t="s">
        <v>9</v>
      </c>
      <c r="I60" s="7" t="s">
        <v>104</v>
      </c>
      <c r="J60" s="7">
        <v>4</v>
      </c>
      <c r="K60" s="7">
        <v>12</v>
      </c>
      <c r="L60" s="7">
        <v>800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3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81</v>
      </c>
      <c r="AC60" s="8">
        <v>12400</v>
      </c>
      <c r="AD60" s="8">
        <v>3800</v>
      </c>
      <c r="AE60" s="7">
        <v>30</v>
      </c>
      <c r="AF60" s="8">
        <v>12000</v>
      </c>
      <c r="AG60" s="7">
        <v>0</v>
      </c>
      <c r="AH60" s="7">
        <v>239</v>
      </c>
      <c r="AI60" s="8">
        <v>51136</v>
      </c>
      <c r="AJ60" s="8">
        <v>5400</v>
      </c>
      <c r="AK60" s="7">
        <v>6</v>
      </c>
      <c r="AL60" s="8">
        <v>2880</v>
      </c>
      <c r="AM60" s="7">
        <v>0</v>
      </c>
      <c r="AN60" s="7">
        <v>72</v>
      </c>
      <c r="AO60" s="8">
        <v>14200</v>
      </c>
      <c r="AP60" s="7">
        <v>200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16204.8</v>
      </c>
      <c r="BM60" s="10">
        <v>102816</v>
      </c>
      <c r="BN60" s="15">
        <f t="shared" si="4"/>
        <v>86611.199999999997</v>
      </c>
      <c r="BO60" s="16">
        <f t="shared" si="5"/>
        <v>60627.839999999997</v>
      </c>
    </row>
    <row r="61" spans="1:67" ht="19.2" x14ac:dyDescent="0.4">
      <c r="A61" s="5" t="s">
        <v>112</v>
      </c>
      <c r="B61" s="5" t="s">
        <v>38</v>
      </c>
      <c r="C61" s="5">
        <v>412451</v>
      </c>
      <c r="D61" s="6"/>
      <c r="E61" s="5" t="s">
        <v>16</v>
      </c>
      <c r="F61" s="5" t="s">
        <v>39</v>
      </c>
      <c r="G61" s="5" t="s">
        <v>10</v>
      </c>
      <c r="H61" s="7" t="s">
        <v>8</v>
      </c>
      <c r="I61" s="7" t="s">
        <v>40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4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16</v>
      </c>
      <c r="AC61" s="8">
        <v>2800</v>
      </c>
      <c r="AD61" s="7">
        <v>200</v>
      </c>
      <c r="AE61" s="7">
        <v>29</v>
      </c>
      <c r="AF61" s="7">
        <v>0</v>
      </c>
      <c r="AG61" s="8">
        <v>8500</v>
      </c>
      <c r="AH61" s="7">
        <v>29</v>
      </c>
      <c r="AI61" s="8">
        <v>4560</v>
      </c>
      <c r="AJ61" s="8">
        <v>1800</v>
      </c>
      <c r="AK61" s="7">
        <v>76</v>
      </c>
      <c r="AL61" s="7">
        <v>0</v>
      </c>
      <c r="AM61" s="8">
        <v>27900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1368</v>
      </c>
      <c r="BM61" s="10">
        <v>45760</v>
      </c>
      <c r="BN61" s="15">
        <f t="shared" si="4"/>
        <v>44392</v>
      </c>
      <c r="BO61" s="16">
        <f t="shared" si="5"/>
        <v>31074.399999999998</v>
      </c>
    </row>
    <row r="62" spans="1:67" x14ac:dyDescent="0.4">
      <c r="A62" s="5" t="s">
        <v>112</v>
      </c>
      <c r="B62" s="5" t="s">
        <v>70</v>
      </c>
      <c r="C62" s="5">
        <v>336507</v>
      </c>
      <c r="D62" s="6"/>
      <c r="E62" s="5" t="s">
        <v>16</v>
      </c>
      <c r="F62" s="5" t="s">
        <v>71</v>
      </c>
      <c r="G62" s="5" t="s">
        <v>10</v>
      </c>
      <c r="H62" s="7" t="s">
        <v>8</v>
      </c>
      <c r="I62" s="7" t="s">
        <v>72</v>
      </c>
      <c r="J62" s="7">
        <v>1</v>
      </c>
      <c r="K62" s="7">
        <v>10</v>
      </c>
      <c r="L62" s="7">
        <v>200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7</v>
      </c>
      <c r="AC62" s="8">
        <v>1400</v>
      </c>
      <c r="AD62" s="7">
        <v>0</v>
      </c>
      <c r="AE62" s="7">
        <v>0</v>
      </c>
      <c r="AF62" s="7">
        <v>0</v>
      </c>
      <c r="AG62" s="7">
        <v>0</v>
      </c>
      <c r="AH62" s="7">
        <v>99</v>
      </c>
      <c r="AI62" s="8">
        <v>23760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7128</v>
      </c>
      <c r="BM62" s="10">
        <v>25360</v>
      </c>
      <c r="BN62" s="15">
        <f t="shared" si="4"/>
        <v>18232</v>
      </c>
      <c r="BO62" s="16">
        <f t="shared" si="5"/>
        <v>12762.4</v>
      </c>
    </row>
    <row r="63" spans="1:67" ht="19.2" x14ac:dyDescent="0.4">
      <c r="A63" s="5" t="s">
        <v>112</v>
      </c>
      <c r="B63" s="5" t="s">
        <v>20</v>
      </c>
      <c r="C63" s="5">
        <v>434897</v>
      </c>
      <c r="D63" s="6"/>
      <c r="E63" s="5" t="s">
        <v>16</v>
      </c>
      <c r="F63" s="5" t="s">
        <v>21</v>
      </c>
      <c r="G63" s="5" t="s">
        <v>10</v>
      </c>
      <c r="H63" s="7" t="s">
        <v>8</v>
      </c>
      <c r="I63" s="7" t="s">
        <v>22</v>
      </c>
      <c r="J63" s="7">
        <v>3</v>
      </c>
      <c r="K63" s="7">
        <v>13</v>
      </c>
      <c r="L63" s="7">
        <v>600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53</v>
      </c>
      <c r="AC63" s="8">
        <v>10200</v>
      </c>
      <c r="AD63" s="7">
        <v>400</v>
      </c>
      <c r="AE63" s="7">
        <v>0</v>
      </c>
      <c r="AF63" s="7">
        <v>0</v>
      </c>
      <c r="AG63" s="7">
        <v>0</v>
      </c>
      <c r="AH63" s="7">
        <v>1</v>
      </c>
      <c r="AI63" s="7">
        <v>0</v>
      </c>
      <c r="AJ63" s="7">
        <v>200</v>
      </c>
      <c r="AK63" s="7">
        <v>0</v>
      </c>
      <c r="AL63" s="7">
        <v>0</v>
      </c>
      <c r="AM63" s="7">
        <v>0</v>
      </c>
      <c r="AN63" s="7">
        <v>22</v>
      </c>
      <c r="AO63" s="8">
        <v>4400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15800</v>
      </c>
      <c r="BN63" s="15">
        <f t="shared" si="4"/>
        <v>15800</v>
      </c>
      <c r="BO63" s="16">
        <f t="shared" si="5"/>
        <v>11060</v>
      </c>
    </row>
    <row r="64" spans="1:67" x14ac:dyDescent="0.4">
      <c r="A64" s="5" t="s">
        <v>112</v>
      </c>
      <c r="B64" s="5" t="s">
        <v>41</v>
      </c>
      <c r="C64" s="5">
        <v>423525</v>
      </c>
      <c r="D64" s="6"/>
      <c r="E64" s="5" t="s">
        <v>16</v>
      </c>
      <c r="F64" s="5" t="s">
        <v>42</v>
      </c>
      <c r="G64" s="5" t="s">
        <v>10</v>
      </c>
      <c r="H64" s="7" t="s">
        <v>7</v>
      </c>
      <c r="I64" s="7" t="s">
        <v>106</v>
      </c>
      <c r="J64" s="7">
        <v>0</v>
      </c>
      <c r="K64" s="7">
        <v>587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53</v>
      </c>
      <c r="AC64" s="8">
        <v>10400</v>
      </c>
      <c r="AD64" s="7">
        <v>200</v>
      </c>
      <c r="AE64" s="7">
        <v>0</v>
      </c>
      <c r="AF64" s="7">
        <v>0</v>
      </c>
      <c r="AG64" s="7">
        <v>0</v>
      </c>
      <c r="AH64" s="7">
        <v>12</v>
      </c>
      <c r="AI64" s="8">
        <v>1200</v>
      </c>
      <c r="AJ64" s="8">
        <v>1400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360</v>
      </c>
      <c r="BM64" s="10">
        <v>13200</v>
      </c>
      <c r="BN64" s="15">
        <f t="shared" si="4"/>
        <v>12840</v>
      </c>
      <c r="BO64" s="16">
        <f t="shared" si="5"/>
        <v>8988</v>
      </c>
    </row>
    <row r="65" spans="1:67" x14ac:dyDescent="0.4">
      <c r="A65" s="5" t="s">
        <v>112</v>
      </c>
      <c r="B65" s="5" t="s">
        <v>25</v>
      </c>
      <c r="C65" s="5">
        <v>432749</v>
      </c>
      <c r="D65" s="6"/>
      <c r="E65" s="5" t="s">
        <v>16</v>
      </c>
      <c r="F65" s="5" t="s">
        <v>26</v>
      </c>
      <c r="G65" s="5" t="s">
        <v>10</v>
      </c>
      <c r="H65" s="7" t="s">
        <v>7</v>
      </c>
      <c r="I65" s="7" t="s">
        <v>105</v>
      </c>
      <c r="J65" s="7">
        <v>3</v>
      </c>
      <c r="K65" s="7">
        <v>491</v>
      </c>
      <c r="L65" s="7">
        <v>600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9</v>
      </c>
      <c r="AC65" s="8">
        <v>1800</v>
      </c>
      <c r="AD65" s="7">
        <v>0</v>
      </c>
      <c r="AE65" s="7">
        <v>3</v>
      </c>
      <c r="AF65" s="8">
        <v>1200</v>
      </c>
      <c r="AG65" s="7">
        <v>0</v>
      </c>
      <c r="AH65" s="7">
        <v>31</v>
      </c>
      <c r="AI65" s="8">
        <v>2160</v>
      </c>
      <c r="AJ65" s="8">
        <v>4400</v>
      </c>
      <c r="AK65" s="7">
        <v>2</v>
      </c>
      <c r="AL65" s="7">
        <v>0</v>
      </c>
      <c r="AM65" s="7">
        <v>800</v>
      </c>
      <c r="AN65" s="7">
        <v>3</v>
      </c>
      <c r="AO65" s="7">
        <v>500</v>
      </c>
      <c r="AP65" s="7">
        <v>100</v>
      </c>
      <c r="AQ65" s="7">
        <v>2</v>
      </c>
      <c r="AR65" s="7">
        <v>800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648</v>
      </c>
      <c r="BM65" s="10">
        <v>12360</v>
      </c>
      <c r="BN65" s="15">
        <f t="shared" si="4"/>
        <v>11712</v>
      </c>
      <c r="BO65" s="16">
        <f t="shared" si="5"/>
        <v>8198.4</v>
      </c>
    </row>
    <row r="66" spans="1:67" ht="19.2" x14ac:dyDescent="0.4">
      <c r="A66" s="5" t="s">
        <v>112</v>
      </c>
      <c r="B66" s="5" t="s">
        <v>46</v>
      </c>
      <c r="C66" s="5">
        <v>380491</v>
      </c>
      <c r="D66" s="6"/>
      <c r="E66" s="5" t="s">
        <v>16</v>
      </c>
      <c r="F66" s="5" t="s">
        <v>47</v>
      </c>
      <c r="G66" s="5" t="s">
        <v>10</v>
      </c>
      <c r="H66" s="7" t="s">
        <v>7</v>
      </c>
      <c r="I66" s="7" t="s">
        <v>45</v>
      </c>
      <c r="J66" s="7">
        <v>0</v>
      </c>
      <c r="K66" s="7">
        <v>404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39</v>
      </c>
      <c r="AC66" s="7">
        <v>0</v>
      </c>
      <c r="AD66" s="8">
        <v>3900</v>
      </c>
      <c r="AE66" s="7">
        <v>0</v>
      </c>
      <c r="AF66" s="7">
        <v>0</v>
      </c>
      <c r="AG66" s="7">
        <v>0</v>
      </c>
      <c r="AH66" s="7">
        <v>62</v>
      </c>
      <c r="AI66" s="8">
        <v>3720</v>
      </c>
      <c r="AJ66" s="8">
        <v>3100</v>
      </c>
      <c r="AK66" s="7">
        <v>1</v>
      </c>
      <c r="AL66" s="7">
        <v>240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9">
        <v>1188</v>
      </c>
      <c r="BM66" s="10">
        <v>10960</v>
      </c>
      <c r="BN66" s="15">
        <f t="shared" si="4"/>
        <v>9772</v>
      </c>
      <c r="BO66" s="16">
        <f t="shared" si="5"/>
        <v>6840.4</v>
      </c>
    </row>
    <row r="67" spans="1:67" x14ac:dyDescent="0.4">
      <c r="A67" s="5" t="s">
        <v>112</v>
      </c>
      <c r="B67" s="5" t="s">
        <v>43</v>
      </c>
      <c r="C67" s="5">
        <v>403837</v>
      </c>
      <c r="D67" s="6"/>
      <c r="E67" s="5" t="s">
        <v>16</v>
      </c>
      <c r="F67" s="5" t="s">
        <v>44</v>
      </c>
      <c r="G67" s="5" t="s">
        <v>10</v>
      </c>
      <c r="H67" s="7" t="s">
        <v>7</v>
      </c>
      <c r="I67" s="7" t="s">
        <v>45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25</v>
      </c>
      <c r="AC67" s="8">
        <v>5000</v>
      </c>
      <c r="AD67" s="7">
        <v>0</v>
      </c>
      <c r="AE67" s="7">
        <v>0</v>
      </c>
      <c r="AF67" s="7">
        <v>0</v>
      </c>
      <c r="AG67" s="7">
        <v>0</v>
      </c>
      <c r="AH67" s="7">
        <v>16</v>
      </c>
      <c r="AI67" s="8">
        <v>3840</v>
      </c>
      <c r="AJ67" s="7">
        <v>0</v>
      </c>
      <c r="AK67" s="7">
        <v>1</v>
      </c>
      <c r="AL67" s="7">
        <v>480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9">
        <v>1296</v>
      </c>
      <c r="BM67" s="10">
        <v>9320</v>
      </c>
      <c r="BN67" s="15">
        <f t="shared" si="4"/>
        <v>8024</v>
      </c>
      <c r="BO67" s="16">
        <f t="shared" si="5"/>
        <v>5616.7999999999993</v>
      </c>
    </row>
    <row r="68" spans="1:67" x14ac:dyDescent="0.4">
      <c r="A68" s="5" t="s">
        <v>112</v>
      </c>
      <c r="B68" s="5" t="s">
        <v>56</v>
      </c>
      <c r="C68" s="5">
        <v>323829</v>
      </c>
      <c r="D68" s="6"/>
      <c r="E68" s="5" t="s">
        <v>16</v>
      </c>
      <c r="F68" s="5" t="s">
        <v>57</v>
      </c>
      <c r="G68" s="5" t="s">
        <v>10</v>
      </c>
      <c r="H68" s="7" t="s">
        <v>7</v>
      </c>
      <c r="I68" s="7" t="s">
        <v>58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74</v>
      </c>
      <c r="AI68" s="8">
        <v>8880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2664</v>
      </c>
      <c r="BM68" s="10">
        <v>8880</v>
      </c>
      <c r="BN68" s="15">
        <f t="shared" si="4"/>
        <v>6216</v>
      </c>
      <c r="BO68" s="16">
        <f t="shared" si="5"/>
        <v>4351.2</v>
      </c>
    </row>
    <row r="69" spans="1:67" x14ac:dyDescent="0.4">
      <c r="A69" s="5" t="s">
        <v>112</v>
      </c>
      <c r="B69" s="5" t="s">
        <v>33</v>
      </c>
      <c r="C69" s="5">
        <v>448747</v>
      </c>
      <c r="D69" s="6"/>
      <c r="E69" s="5" t="s">
        <v>16</v>
      </c>
      <c r="F69" s="5" t="s">
        <v>34</v>
      </c>
      <c r="G69" s="5" t="s">
        <v>10</v>
      </c>
      <c r="H69" s="7" t="s">
        <v>7</v>
      </c>
      <c r="I69" s="7" t="s">
        <v>35</v>
      </c>
      <c r="J69" s="7">
        <v>0</v>
      </c>
      <c r="K69" s="7">
        <v>259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1</v>
      </c>
      <c r="AC69" s="7">
        <v>100</v>
      </c>
      <c r="AD69" s="7">
        <v>0</v>
      </c>
      <c r="AE69" s="7">
        <v>0</v>
      </c>
      <c r="AF69" s="7">
        <v>0</v>
      </c>
      <c r="AG69" s="7">
        <v>0</v>
      </c>
      <c r="AH69" s="7">
        <v>33</v>
      </c>
      <c r="AI69" s="7">
        <v>0</v>
      </c>
      <c r="AJ69" s="8">
        <v>6500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6600</v>
      </c>
      <c r="BN69" s="15">
        <f t="shared" si="4"/>
        <v>6600</v>
      </c>
      <c r="BO69" s="16">
        <f t="shared" si="5"/>
        <v>4620</v>
      </c>
    </row>
    <row r="70" spans="1:67" x14ac:dyDescent="0.4">
      <c r="A70" s="5" t="s">
        <v>112</v>
      </c>
      <c r="B70" s="5" t="s">
        <v>30</v>
      </c>
      <c r="C70" s="5">
        <v>351846</v>
      </c>
      <c r="D70" s="6"/>
      <c r="E70" s="5" t="s">
        <v>16</v>
      </c>
      <c r="F70" s="5" t="s">
        <v>31</v>
      </c>
      <c r="G70" s="5" t="s">
        <v>10</v>
      </c>
      <c r="H70" s="7" t="s">
        <v>7</v>
      </c>
      <c r="I70" s="7" t="s">
        <v>32</v>
      </c>
      <c r="J70" s="7">
        <v>0</v>
      </c>
      <c r="K70" s="7">
        <v>412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22</v>
      </c>
      <c r="AC70" s="8">
        <v>2000</v>
      </c>
      <c r="AD70" s="7">
        <v>200</v>
      </c>
      <c r="AE70" s="7">
        <v>0</v>
      </c>
      <c r="AF70" s="7">
        <v>0</v>
      </c>
      <c r="AG70" s="7">
        <v>0</v>
      </c>
      <c r="AH70" s="7">
        <v>8</v>
      </c>
      <c r="AI70" s="7">
        <v>0</v>
      </c>
      <c r="AJ70" s="7">
        <v>800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28</v>
      </c>
      <c r="AU70" s="8">
        <v>3360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336</v>
      </c>
      <c r="BM70" s="10">
        <v>6360</v>
      </c>
      <c r="BN70" s="15">
        <f t="shared" si="4"/>
        <v>6024</v>
      </c>
      <c r="BO70" s="16">
        <f t="shared" si="5"/>
        <v>4216.8</v>
      </c>
    </row>
    <row r="71" spans="1:67" x14ac:dyDescent="0.4">
      <c r="A71" s="5" t="s">
        <v>112</v>
      </c>
      <c r="B71" s="5" t="s">
        <v>27</v>
      </c>
      <c r="C71" s="5">
        <v>383201</v>
      </c>
      <c r="D71" s="6"/>
      <c r="E71" s="5" t="s">
        <v>16</v>
      </c>
      <c r="F71" s="5" t="s">
        <v>28</v>
      </c>
      <c r="G71" s="5" t="s">
        <v>10</v>
      </c>
      <c r="H71" s="7" t="s">
        <v>7</v>
      </c>
      <c r="I71" s="7" t="s">
        <v>29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20</v>
      </c>
      <c r="AC71" s="8">
        <v>4000</v>
      </c>
      <c r="AD71" s="7">
        <v>0</v>
      </c>
      <c r="AE71" s="7">
        <v>0</v>
      </c>
      <c r="AF71" s="7">
        <v>0</v>
      </c>
      <c r="AG71" s="7">
        <v>0</v>
      </c>
      <c r="AH71" s="7">
        <v>3</v>
      </c>
      <c r="AI71" s="7">
        <v>0</v>
      </c>
      <c r="AJ71" s="7">
        <v>600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4600</v>
      </c>
      <c r="BN71" s="15">
        <f t="shared" si="4"/>
        <v>4600</v>
      </c>
      <c r="BO71" s="16">
        <f t="shared" si="5"/>
        <v>3220</v>
      </c>
    </row>
    <row r="72" spans="1:67" x14ac:dyDescent="0.4">
      <c r="A72" s="5" t="s">
        <v>112</v>
      </c>
      <c r="B72" s="5" t="s">
        <v>48</v>
      </c>
      <c r="C72" s="5">
        <v>465658</v>
      </c>
      <c r="D72" s="6"/>
      <c r="E72" s="5" t="s">
        <v>16</v>
      </c>
      <c r="F72" s="5" t="s">
        <v>49</v>
      </c>
      <c r="G72" s="5" t="s">
        <v>10</v>
      </c>
      <c r="H72" s="7" t="s">
        <v>7</v>
      </c>
      <c r="I72" s="7" t="s">
        <v>106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12</v>
      </c>
      <c r="AI72" s="8">
        <v>2880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864</v>
      </c>
      <c r="BM72" s="10">
        <v>2880</v>
      </c>
      <c r="BN72" s="15">
        <f t="shared" si="4"/>
        <v>2016</v>
      </c>
      <c r="BO72" s="16">
        <f t="shared" si="5"/>
        <v>1411.1999999999998</v>
      </c>
    </row>
    <row r="73" spans="1:67" x14ac:dyDescent="0.4">
      <c r="A73" s="5" t="s">
        <v>112</v>
      </c>
      <c r="B73" s="5" t="s">
        <v>50</v>
      </c>
      <c r="C73" s="5">
        <v>419155</v>
      </c>
      <c r="D73" s="6"/>
      <c r="E73" s="5" t="s">
        <v>16</v>
      </c>
      <c r="F73" s="5" t="s">
        <v>51</v>
      </c>
      <c r="G73" s="5" t="s">
        <v>10</v>
      </c>
      <c r="H73" s="7" t="s">
        <v>7</v>
      </c>
      <c r="I73" s="7" t="s">
        <v>52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4</v>
      </c>
      <c r="AI73" s="8">
        <v>1476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442.8</v>
      </c>
      <c r="BM73" s="10">
        <v>1476</v>
      </c>
      <c r="BN73" s="15">
        <f t="shared" si="4"/>
        <v>1033.2</v>
      </c>
      <c r="BO73" s="16">
        <f t="shared" si="5"/>
        <v>723.24</v>
      </c>
    </row>
    <row r="74" spans="1:67" x14ac:dyDescent="0.4">
      <c r="A74" s="5" t="s">
        <v>112</v>
      </c>
      <c r="B74" s="5" t="s">
        <v>59</v>
      </c>
      <c r="C74" s="5">
        <v>436040</v>
      </c>
      <c r="D74" s="6"/>
      <c r="E74" s="5" t="s">
        <v>16</v>
      </c>
      <c r="F74" s="5" t="s">
        <v>60</v>
      </c>
      <c r="G74" s="5" t="s">
        <v>10</v>
      </c>
      <c r="H74" s="7" t="s">
        <v>8</v>
      </c>
      <c r="I74" s="7" t="s">
        <v>61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3</v>
      </c>
      <c r="AC74" s="7">
        <v>720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1">
        <v>720</v>
      </c>
      <c r="BN74" s="15">
        <f t="shared" si="4"/>
        <v>720</v>
      </c>
      <c r="BO74" s="16">
        <f t="shared" si="5"/>
        <v>503.99999999999994</v>
      </c>
    </row>
    <row r="75" spans="1:67" x14ac:dyDescent="0.4">
      <c r="A75" s="5" t="s">
        <v>112</v>
      </c>
      <c r="B75" s="5" t="s">
        <v>62</v>
      </c>
      <c r="C75" s="5">
        <v>464964</v>
      </c>
      <c r="D75" s="6"/>
      <c r="E75" s="5" t="s">
        <v>16</v>
      </c>
      <c r="F75" s="5" t="s">
        <v>63</v>
      </c>
      <c r="G75" s="5" t="s">
        <v>10</v>
      </c>
      <c r="H75" s="7" t="s">
        <v>7</v>
      </c>
      <c r="I75" s="7" t="s">
        <v>104</v>
      </c>
      <c r="J75" s="7">
        <v>0</v>
      </c>
      <c r="K75" s="7">
        <v>161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2</v>
      </c>
      <c r="AI75" s="7">
        <v>120</v>
      </c>
      <c r="AJ75" s="7">
        <v>300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36</v>
      </c>
      <c r="BM75" s="11">
        <v>420</v>
      </c>
      <c r="BN75" s="15">
        <f t="shared" si="4"/>
        <v>384</v>
      </c>
      <c r="BO75" s="16">
        <f t="shared" si="5"/>
        <v>268.79999999999995</v>
      </c>
    </row>
    <row r="76" spans="1:67" x14ac:dyDescent="0.4">
      <c r="A76" s="5" t="s">
        <v>112</v>
      </c>
      <c r="B76" s="5" t="s">
        <v>92</v>
      </c>
      <c r="C76" s="5">
        <v>406076</v>
      </c>
      <c r="D76" s="6"/>
      <c r="E76" s="5" t="s">
        <v>16</v>
      </c>
      <c r="F76" s="5" t="s">
        <v>76</v>
      </c>
      <c r="G76" s="5" t="s">
        <v>10</v>
      </c>
      <c r="H76" s="7" t="s">
        <v>8</v>
      </c>
      <c r="I76" s="7" t="s">
        <v>93</v>
      </c>
      <c r="J76" s="7">
        <v>0</v>
      </c>
      <c r="K76" s="7">
        <v>6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</v>
      </c>
      <c r="AC76" s="7">
        <v>0</v>
      </c>
      <c r="AD76" s="7">
        <v>200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1">
        <v>200</v>
      </c>
      <c r="BN76" s="15">
        <f t="shared" si="4"/>
        <v>200</v>
      </c>
      <c r="BO76" s="16">
        <f t="shared" si="5"/>
        <v>140</v>
      </c>
    </row>
    <row r="77" spans="1:67" x14ac:dyDescent="0.4">
      <c r="A77" s="5" t="s">
        <v>112</v>
      </c>
      <c r="B77" s="5" t="s">
        <v>97</v>
      </c>
      <c r="C77" s="5">
        <v>366233</v>
      </c>
      <c r="D77" s="6"/>
      <c r="E77" s="5" t="s">
        <v>16</v>
      </c>
      <c r="F77" s="5" t="s">
        <v>98</v>
      </c>
      <c r="G77" s="5" t="s">
        <v>10</v>
      </c>
      <c r="H77" s="7" t="s">
        <v>7</v>
      </c>
      <c r="I77" s="7" t="s">
        <v>99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1</v>
      </c>
      <c r="AC77" s="7">
        <v>200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1">
        <v>200</v>
      </c>
      <c r="BN77" s="15">
        <f t="shared" si="4"/>
        <v>200</v>
      </c>
      <c r="BO77" s="16">
        <f t="shared" si="5"/>
        <v>140</v>
      </c>
    </row>
    <row r="78" spans="1:67" x14ac:dyDescent="0.4">
      <c r="A78" s="5" t="s">
        <v>112</v>
      </c>
      <c r="B78" s="5" t="s">
        <v>53</v>
      </c>
      <c r="C78" s="5">
        <v>307024</v>
      </c>
      <c r="D78" s="6"/>
      <c r="E78" s="5" t="s">
        <v>16</v>
      </c>
      <c r="F78" s="5" t="s">
        <v>54</v>
      </c>
      <c r="G78" s="5" t="s">
        <v>10</v>
      </c>
      <c r="H78" s="7" t="s">
        <v>7</v>
      </c>
      <c r="I78" s="7" t="s">
        <v>55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1</v>
      </c>
      <c r="AI78" s="7">
        <v>0</v>
      </c>
      <c r="AJ78" s="7">
        <v>100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1">
        <v>100</v>
      </c>
      <c r="BN78" s="15">
        <f t="shared" si="4"/>
        <v>100</v>
      </c>
      <c r="BO78" s="16">
        <f t="shared" si="5"/>
        <v>70</v>
      </c>
    </row>
    <row r="79" spans="1:67" x14ac:dyDescent="0.4">
      <c r="A79" s="5" t="s">
        <v>112</v>
      </c>
      <c r="B79" s="5" t="s">
        <v>90</v>
      </c>
      <c r="C79" s="5">
        <v>461521</v>
      </c>
      <c r="D79" s="6"/>
      <c r="E79" s="5" t="s">
        <v>16</v>
      </c>
      <c r="F79" s="5" t="s">
        <v>91</v>
      </c>
      <c r="G79" s="5" t="s">
        <v>10</v>
      </c>
      <c r="H79" s="7" t="s">
        <v>8</v>
      </c>
      <c r="I79" s="7" t="s">
        <v>107</v>
      </c>
      <c r="J79" s="7">
        <v>0</v>
      </c>
      <c r="K79" s="7">
        <v>38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1">
        <v>0</v>
      </c>
      <c r="BN79" s="15">
        <f t="shared" si="4"/>
        <v>0</v>
      </c>
      <c r="BO79" s="16">
        <f t="shared" si="5"/>
        <v>0</v>
      </c>
    </row>
    <row r="80" spans="1:67" ht="19.2" x14ac:dyDescent="0.4">
      <c r="A80" s="5" t="s">
        <v>113</v>
      </c>
      <c r="B80" s="5" t="s">
        <v>33</v>
      </c>
      <c r="C80" s="5">
        <v>448747</v>
      </c>
      <c r="D80" s="6"/>
      <c r="E80" s="5" t="s">
        <v>16</v>
      </c>
      <c r="F80" s="5" t="s">
        <v>34</v>
      </c>
      <c r="G80" s="5" t="s">
        <v>10</v>
      </c>
      <c r="H80" s="7" t="s">
        <v>7</v>
      </c>
      <c r="I80" s="7" t="s">
        <v>35</v>
      </c>
      <c r="J80" s="7">
        <v>0</v>
      </c>
      <c r="K80" s="8">
        <v>3054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161</v>
      </c>
      <c r="AC80" s="8">
        <v>25200</v>
      </c>
      <c r="AD80" s="8">
        <v>7000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57</v>
      </c>
      <c r="AO80" s="8">
        <v>11400</v>
      </c>
      <c r="AP80" s="7">
        <v>0</v>
      </c>
      <c r="AQ80" s="7">
        <v>0</v>
      </c>
      <c r="AR80" s="7">
        <v>0</v>
      </c>
      <c r="AS80" s="7">
        <v>0</v>
      </c>
      <c r="AT80" s="7">
        <v>39</v>
      </c>
      <c r="AU80" s="8">
        <v>9360</v>
      </c>
      <c r="AV80" s="7">
        <v>0</v>
      </c>
      <c r="AW80" s="7">
        <v>0</v>
      </c>
      <c r="AX80" s="7">
        <v>0</v>
      </c>
      <c r="AY80" s="7">
        <v>0</v>
      </c>
      <c r="AZ80" s="7">
        <v>59</v>
      </c>
      <c r="BA80" s="8">
        <v>14160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9">
        <v>1785.6</v>
      </c>
      <c r="BM80" s="10">
        <v>67120</v>
      </c>
      <c r="BN80" s="15">
        <f t="shared" si="4"/>
        <v>65334.400000000001</v>
      </c>
      <c r="BO80" s="16">
        <f t="shared" si="5"/>
        <v>45734.080000000002</v>
      </c>
    </row>
    <row r="81" spans="1:67" ht="19.2" x14ac:dyDescent="0.4">
      <c r="A81" s="5" t="s">
        <v>114</v>
      </c>
      <c r="B81" s="5" t="s">
        <v>33</v>
      </c>
      <c r="C81" s="5">
        <v>448747</v>
      </c>
      <c r="D81" s="6"/>
      <c r="E81" s="5" t="s">
        <v>16</v>
      </c>
      <c r="F81" s="5" t="s">
        <v>34</v>
      </c>
      <c r="G81" s="5" t="s">
        <v>10</v>
      </c>
      <c r="H81" s="7" t="s">
        <v>7</v>
      </c>
      <c r="I81" s="7" t="s">
        <v>35</v>
      </c>
      <c r="J81" s="7">
        <v>0</v>
      </c>
      <c r="K81" s="8">
        <v>1190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34</v>
      </c>
      <c r="AC81" s="8">
        <v>6700</v>
      </c>
      <c r="AD81" s="7">
        <v>0</v>
      </c>
      <c r="AE81" s="7">
        <v>0</v>
      </c>
      <c r="AF81" s="7">
        <v>0</v>
      </c>
      <c r="AG81" s="7">
        <v>0</v>
      </c>
      <c r="AH81" s="7">
        <v>12</v>
      </c>
      <c r="AI81" s="8">
        <v>1440</v>
      </c>
      <c r="AJ81" s="8">
        <v>1100</v>
      </c>
      <c r="AK81" s="7">
        <v>0</v>
      </c>
      <c r="AL81" s="7">
        <v>0</v>
      </c>
      <c r="AM81" s="7">
        <v>0</v>
      </c>
      <c r="AN81" s="7">
        <v>5</v>
      </c>
      <c r="AO81" s="8">
        <v>1000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432</v>
      </c>
      <c r="BM81" s="10">
        <v>10240</v>
      </c>
      <c r="BN81" s="15">
        <f t="shared" si="4"/>
        <v>9808</v>
      </c>
      <c r="BO81" s="16">
        <f t="shared" si="5"/>
        <v>6865.5999999999995</v>
      </c>
    </row>
    <row r="82" spans="1:67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>
        <f>SUM(BM2:BM81)</f>
        <v>2694390</v>
      </c>
      <c r="BO82" s="18">
        <f>SUM(BO2:BO81)</f>
        <v>1774566.7799999996</v>
      </c>
    </row>
    <row r="83" spans="1:67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1"/>
    </row>
    <row r="84" spans="1:67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1"/>
    </row>
    <row r="85" spans="1:67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1"/>
    </row>
    <row r="86" spans="1:67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1"/>
    </row>
    <row r="87" spans="1:67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1"/>
    </row>
    <row r="88" spans="1:67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1"/>
    </row>
    <row r="89" spans="1:67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1"/>
    </row>
    <row r="90" spans="1:67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1"/>
    </row>
    <row r="91" spans="1:67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1"/>
    </row>
    <row r="92" spans="1:67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1"/>
    </row>
    <row r="93" spans="1:67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8"/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8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8"/>
      <c r="AR93" s="8"/>
      <c r="AS93" s="8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7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8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7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8"/>
      <c r="AD95" s="8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8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7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8"/>
      <c r="L96" s="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8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8"/>
      <c r="K97" s="8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8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8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8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8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8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8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8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8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8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8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8"/>
      <c r="AF107" s="8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8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8"/>
      <c r="AP114" s="8"/>
      <c r="AQ114" s="7"/>
      <c r="AR114" s="8"/>
      <c r="AS114" s="8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8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8"/>
      <c r="AD122" s="8"/>
      <c r="AE122" s="7"/>
      <c r="AF122" s="7"/>
      <c r="AG122" s="8"/>
      <c r="AH122" s="7"/>
      <c r="AI122" s="7"/>
      <c r="AJ122" s="7"/>
      <c r="AK122" s="7"/>
      <c r="AL122" s="7"/>
      <c r="AM122" s="7"/>
      <c r="AN122" s="7"/>
      <c r="AO122" s="8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8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8"/>
      <c r="AD144" s="8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8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8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8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1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1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1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1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1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1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1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1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1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1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1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1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1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1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8"/>
      <c r="L264" s="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8"/>
      <c r="AF264" s="8"/>
      <c r="AG264" s="8"/>
      <c r="AH264" s="7"/>
      <c r="AI264" s="7"/>
      <c r="AJ264" s="7"/>
      <c r="AK264" s="8"/>
      <c r="AL264" s="8"/>
      <c r="AM264" s="8"/>
      <c r="AN264" s="7"/>
      <c r="AO264" s="7"/>
      <c r="AP264" s="7"/>
      <c r="AQ264" s="8"/>
      <c r="AR264" s="8"/>
      <c r="AS264" s="8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8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8"/>
      <c r="AF265" s="8"/>
      <c r="AG265" s="8"/>
      <c r="AH265" s="7"/>
      <c r="AI265" s="7"/>
      <c r="AJ265" s="7"/>
      <c r="AK265" s="8"/>
      <c r="AL265" s="8"/>
      <c r="AM265" s="8"/>
      <c r="AN265" s="7"/>
      <c r="AO265" s="7"/>
      <c r="AP265" s="7"/>
      <c r="AQ265" s="7"/>
      <c r="AR265" s="8"/>
      <c r="AS265" s="8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8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8"/>
      <c r="AF266" s="8"/>
      <c r="AG266" s="8"/>
      <c r="AH266" s="7"/>
      <c r="AI266" s="7"/>
      <c r="AJ266" s="7"/>
      <c r="AK266" s="8"/>
      <c r="AL266" s="8"/>
      <c r="AM266" s="8"/>
      <c r="AN266" s="7"/>
      <c r="AO266" s="7"/>
      <c r="AP266" s="7"/>
      <c r="AQ266" s="8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8"/>
      <c r="AF267" s="8"/>
      <c r="AG267" s="8"/>
      <c r="AH267" s="7"/>
      <c r="AI267" s="7"/>
      <c r="AJ267" s="7"/>
      <c r="AK267" s="8"/>
      <c r="AL267" s="8"/>
      <c r="AM267" s="8"/>
      <c r="AN267" s="7"/>
      <c r="AO267" s="7"/>
      <c r="AP267" s="7"/>
      <c r="AQ267" s="8"/>
      <c r="AR267" s="8"/>
      <c r="AS267" s="8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7"/>
      <c r="AL268" s="8"/>
      <c r="AM268" s="8"/>
      <c r="AN268" s="7"/>
      <c r="AO268" s="7"/>
      <c r="AP268" s="7"/>
      <c r="AQ268" s="7"/>
      <c r="AR268" s="8"/>
      <c r="AS268" s="8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8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8"/>
      <c r="AF269" s="8"/>
      <c r="AG269" s="8"/>
      <c r="AH269" s="7"/>
      <c r="AI269" s="7"/>
      <c r="AJ269" s="7"/>
      <c r="AK269" s="8"/>
      <c r="AL269" s="8"/>
      <c r="AM269" s="8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8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8"/>
      <c r="AF270" s="8"/>
      <c r="AG270" s="8"/>
      <c r="AH270" s="7"/>
      <c r="AI270" s="7"/>
      <c r="AJ270" s="7"/>
      <c r="AK270" s="8"/>
      <c r="AL270" s="8"/>
      <c r="AM270" s="8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8"/>
      <c r="AF271" s="8"/>
      <c r="AG271" s="8"/>
      <c r="AH271" s="7"/>
      <c r="AI271" s="7"/>
      <c r="AJ271" s="7"/>
      <c r="AK271" s="8"/>
      <c r="AL271" s="8"/>
      <c r="AM271" s="8"/>
      <c r="AN271" s="7"/>
      <c r="AO271" s="7"/>
      <c r="AP271" s="7"/>
      <c r="AQ271" s="7"/>
      <c r="AR271" s="8"/>
      <c r="AS271" s="8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8"/>
      <c r="L272" s="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8"/>
      <c r="AF272" s="8"/>
      <c r="AG272" s="8"/>
      <c r="AH272" s="7"/>
      <c r="AI272" s="7"/>
      <c r="AJ272" s="7"/>
      <c r="AK272" s="8"/>
      <c r="AL272" s="8"/>
      <c r="AM272" s="8"/>
      <c r="AN272" s="7"/>
      <c r="AO272" s="7"/>
      <c r="AP272" s="7"/>
      <c r="AQ272" s="7"/>
      <c r="AR272" s="8"/>
      <c r="AS272" s="8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8"/>
      <c r="AF273" s="8"/>
      <c r="AG273" s="8"/>
      <c r="AH273" s="7"/>
      <c r="AI273" s="7"/>
      <c r="AJ273" s="7"/>
      <c r="AK273" s="8"/>
      <c r="AL273" s="8"/>
      <c r="AM273" s="8"/>
      <c r="AN273" s="7"/>
      <c r="AO273" s="7"/>
      <c r="AP273" s="7"/>
      <c r="AQ273" s="7"/>
      <c r="AR273" s="8"/>
      <c r="AS273" s="8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8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8"/>
      <c r="AF274" s="8"/>
      <c r="AG274" s="8"/>
      <c r="AH274" s="7"/>
      <c r="AI274" s="7"/>
      <c r="AJ274" s="7"/>
      <c r="AK274" s="8"/>
      <c r="AL274" s="8"/>
      <c r="AM274" s="8"/>
      <c r="AN274" s="7"/>
      <c r="AO274" s="7"/>
      <c r="AP274" s="7"/>
      <c r="AQ274" s="7"/>
      <c r="AR274" s="8"/>
      <c r="AS274" s="8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8"/>
      <c r="AH275" s="7"/>
      <c r="AI275" s="7"/>
      <c r="AJ275" s="7"/>
      <c r="AK275" s="8"/>
      <c r="AL275" s="8"/>
      <c r="AM275" s="8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8"/>
      <c r="K277" s="7"/>
      <c r="L277" s="8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8"/>
      <c r="AH277" s="7"/>
      <c r="AI277" s="7"/>
      <c r="AJ277" s="7"/>
      <c r="AK277" s="7"/>
      <c r="AL277" s="8"/>
      <c r="AM277" s="8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8"/>
      <c r="AS279" s="8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8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8"/>
      <c r="AS280" s="8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8"/>
      <c r="AJ281" s="8"/>
      <c r="AK281" s="7"/>
      <c r="AL281" s="7"/>
      <c r="AM281" s="7"/>
      <c r="AN281" s="7"/>
      <c r="AO281" s="7"/>
      <c r="AP281" s="7"/>
      <c r="AQ281" s="7"/>
      <c r="AR281" s="8"/>
      <c r="AS281" s="8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8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8"/>
      <c r="AS284" s="8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8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8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8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8"/>
      <c r="AN297" s="7"/>
      <c r="AO297" s="7"/>
      <c r="AP297" s="7"/>
      <c r="AQ297" s="7"/>
      <c r="AR297" s="8"/>
      <c r="AS297" s="8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8"/>
      <c r="AH298" s="7"/>
      <c r="AI298" s="7"/>
      <c r="AJ298" s="7"/>
      <c r="AK298" s="7"/>
      <c r="AL298" s="8"/>
      <c r="AM298" s="8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8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8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8"/>
      <c r="AJ310" s="7"/>
      <c r="AK310" s="7"/>
      <c r="AL310" s="8"/>
      <c r="AM310" s="7"/>
      <c r="AN310" s="7"/>
      <c r="AO310" s="8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8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8"/>
      <c r="AS316" s="8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8"/>
      <c r="AM317" s="8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8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8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8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8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7"/>
      <c r="AM339" s="8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8"/>
      <c r="AH340" s="7"/>
      <c r="AI340" s="7"/>
      <c r="AJ340" s="7"/>
      <c r="AK340" s="7"/>
      <c r="AL340" s="7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8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8"/>
      <c r="AH356" s="7"/>
      <c r="AI356" s="7"/>
      <c r="AJ356" s="7"/>
      <c r="AK356" s="7"/>
      <c r="AL356" s="7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8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8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8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1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1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1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1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1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1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1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1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1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1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1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1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1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1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2022-08-03T07:00:41Z</dcterms:modified>
</cp:coreProperties>
</file>