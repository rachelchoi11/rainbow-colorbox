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미스터블루\"/>
    </mc:Choice>
  </mc:AlternateContent>
  <bookViews>
    <workbookView xWindow="5664" yWindow="5304" windowWidth="23844" windowHeight="11424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P9" i="88" l="1"/>
  <c r="C13" i="88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<sst xmlns="http://schemas.openxmlformats.org/spreadsheetml/2006/main" count="53" uniqueCount="39">
  <si>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</si>
  <si>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</si>
  <si>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</si>
  <si>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</si>
  <si>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</si>
  <si>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</si>
  <si>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</si>
  <si>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8" type="noConversion"/>
  </si>
  <si>
    <t>1. 사업자등록번호 : 107-88-30967</t>
    <phoneticPr fontId="18" type="noConversion"/>
  </si>
  <si>
    <t>이메일 : account@mrblue.com</t>
    <phoneticPr fontId="3" type="noConversion"/>
  </si>
  <si>
    <t>정산내역 문의</t>
    <phoneticPr fontId="18" type="noConversion"/>
  </si>
  <si>
    <t>내역</t>
    <phoneticPr fontId="18" type="noConversion"/>
  </si>
  <si>
    <t>공급가액</t>
    <phoneticPr fontId="18" type="noConversion"/>
  </si>
  <si>
    <t>세액</t>
    <phoneticPr fontId="18" type="noConversion"/>
  </si>
  <si>
    <t>합계액</t>
    <phoneticPr fontId="18" type="noConversion"/>
  </si>
  <si>
    <t>mrbluetax@mrblue.com</t>
    <phoneticPr fontId="18" type="noConversion"/>
  </si>
  <si>
    <t>1. 정산내역</t>
    <phoneticPr fontId="18" type="noConversion"/>
  </si>
  <si>
    <t>제공사명</t>
  </si>
  <si>
    <t>계정ID</t>
  </si>
  <si>
    <t>종량제</t>
    <phoneticPr fontId="18" type="noConversion"/>
  </si>
  <si>
    <t>정액제</t>
    <phoneticPr fontId="18" type="noConversion"/>
  </si>
  <si>
    <t>총 합계액</t>
    <phoneticPr fontId="18" type="noConversion"/>
  </si>
  <si>
    <t>블루머니 + A.앱머니</t>
  </si>
  <si>
    <t>I.앱머니</t>
  </si>
  <si>
    <t>합계</t>
    <phoneticPr fontId="18" type="noConversion"/>
  </si>
  <si>
    <t>판매액</t>
  </si>
  <si>
    <t>수익배분율(%)</t>
    <phoneticPr fontId="18" type="noConversion"/>
  </si>
  <si>
    <t>제반수수료(%)</t>
    <phoneticPr fontId="18" type="noConversion"/>
  </si>
  <si>
    <t>정산액</t>
  </si>
  <si>
    <t xml:space="preserve">2. 계산서 발행 </t>
    <phoneticPr fontId="18" type="noConversion"/>
  </si>
  <si>
    <t>3. 공급받는자 정보</t>
    <phoneticPr fontId="18" type="noConversion"/>
  </si>
  <si>
    <t>KT_n</t>
  </si>
  <si>
    <t>KT_n_02</t>
  </si>
  <si>
    <t>KT_n_03</t>
    <phoneticPr fontId="8" type="noConversion"/>
  </si>
  <si>
    <t>박아영 02-337-0610(#256)</t>
    <phoneticPr fontId="3" type="noConversion"/>
  </si>
  <si>
    <t>스토리위즈</t>
  </si>
  <si>
    <t>KT_n_04</t>
    <phoneticPr fontId="8" type="noConversion"/>
  </si>
  <si>
    <t>연락처 : 02-337-0610(#206)</t>
    <phoneticPr fontId="3" type="noConversion"/>
  </si>
  <si>
    <t>콘텐츠제공(7월)_소설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</si>
</sst>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40"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6" borderId="3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" fillId="28" borderId="4" applyNumberFormat="0" applyFont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5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31" borderId="3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26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0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0" fillId="0" borderId="0"/>
    <xf numFmtId="0" fontId="11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0" fillId="38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>
      <alignment vertical="center"/>
    </xf>
    <xf numFmtId="49" fontId="6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 indent="1"/>
    </xf>
    <xf numFmtId="49" fontId="7" fillId="0" borderId="0" xfId="0" applyNumberFormat="1" applyFont="1">
      <alignment vertical="center"/>
    </xf>
    <xf numFmtId="3" fontId="7" fillId="40" borderId="1" xfId="0" applyNumberFormat="1" applyFont="1" applyFill="1" applyBorder="1" applyAlignment="1">
      <alignment horizontal="center" vertical="center" wrapText="1"/>
    </xf>
    <xf numFmtId="9" fontId="7" fillId="40" borderId="1" xfId="0" applyNumberFormat="1" applyFont="1" applyFill="1" applyBorder="1" applyAlignment="1">
      <alignment horizontal="center" vertical="center" wrapText="1"/>
    </xf>
    <xf numFmtId="0" fontId="7" fillId="33" borderId="0" xfId="0" applyFont="1" applyFill="1">
      <alignment vertical="center"/>
    </xf>
    <xf numFmtId="179" fontId="7" fillId="33" borderId="1" xfId="0" applyNumberFormat="1" applyFont="1" applyFill="1" applyBorder="1" applyAlignment="1">
      <alignment vertical="center" wrapText="1"/>
    </xf>
    <xf numFmtId="0" fontId="7" fillId="33" borderId="0" xfId="0" applyFont="1" applyFill="1" applyAlignment="1">
      <alignment horizontal="center" vertical="center" wrapText="1"/>
    </xf>
    <xf numFmtId="179" fontId="7" fillId="33" borderId="0" xfId="0" applyNumberFormat="1" applyFont="1" applyFill="1" applyAlignment="1">
      <alignment vertical="center" wrapText="1"/>
    </xf>
    <xf numFmtId="0" fontId="7" fillId="40" borderId="14" xfId="0" applyFont="1" applyFill="1" applyBorder="1">
      <alignment vertical="center"/>
    </xf>
    <xf numFmtId="0" fontId="7" fillId="40" borderId="17" xfId="0" applyFont="1" applyFill="1" applyBorder="1">
      <alignment vertical="center"/>
    </xf>
    <xf numFmtId="0" fontId="7" fillId="40" borderId="16" xfId="0" applyFont="1" applyFill="1" applyBorder="1">
      <alignment vertical="center"/>
    </xf>
    <xf numFmtId="0" fontId="7" fillId="40" borderId="12" xfId="0" applyFont="1" applyFill="1" applyBorder="1">
      <alignment vertical="center"/>
    </xf>
    <xf numFmtId="0" fontId="7" fillId="40" borderId="15" xfId="0" applyFont="1" applyFill="1" applyBorder="1">
      <alignment vertical="center"/>
    </xf>
    <xf numFmtId="0" fontId="7" fillId="40" borderId="18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9" fontId="20" fillId="0" borderId="1" xfId="78" applyFont="1" applyBorder="1">
      <alignment vertical="center"/>
    </xf>
    <xf numFmtId="179" fontId="24" fillId="0" borderId="19" xfId="0" applyNumberFormat="1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33" borderId="13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7" fillId="40" borderId="13" xfId="0" applyFont="1" applyFill="1" applyBorder="1" applyAlignment="1">
      <alignment horizontal="left" vertical="center"/>
    </xf>
    <xf numFmtId="0" fontId="7" fillId="40" borderId="2" xfId="0" applyFont="1" applyFill="1" applyBorder="1" applyAlignment="1">
      <alignment horizontal="left" vertical="center"/>
    </xf>
    <xf numFmtId="31" fontId="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40" borderId="13" xfId="0" applyFont="1" applyFill="1" applyBorder="1" applyAlignment="1">
      <alignment horizontal="center" vertical="center" wrapText="1"/>
    </xf>
    <xf numFmtId="0" fontId="7" fillId="40" borderId="2" xfId="0" applyFont="1" applyFill="1" applyBorder="1" applyAlignment="1">
      <alignment horizontal="center" vertical="center" wrapText="1"/>
    </xf>
    <xf numFmtId="0" fontId="21" fillId="37" borderId="1" xfId="0" applyNumberFormat="1" applyFont="1" applyFill="1" applyBorder="1" applyAlignment="1">
      <alignment horizontal="center" vertical="center"/>
    </xf>
    <xf numFmtId="0" fontId="20" fillId="38" borderId="1" xfId="0" applyNumberFormat="1" applyFont="1" applyFill="1" applyBorder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9" fontId="7" fillId="41" borderId="0" xfId="0" applyNumberFormat="1" applyFont="1" applyFill="1">
      <alignment vertical="center"/>
    </xf>
  </cellXfs>
  <cellStyles count="80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표준 6" xfId="79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showGridLines="0" tabSelected="1" zoomScaleNormal="100" workbookViewId="0">
      <selection activeCell="P9" sqref="P9"/>
    </sheetView>
  </sheetViews>
  <sheetFormatPr defaultColWidth="10" defaultRowHeight="20.100000000000001" customHeight="1"/>
  <cols>
    <col min="1" max="1" width="15.21875" style="24" customWidth="1"/>
    <col min="2" max="2" width="13.21875" style="2" customWidth="1"/>
    <col min="3" max="16" width="11.21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7" t="s">
        <v>17</v>
      </c>
      <c r="B2" s="37" t="s">
        <v>18</v>
      </c>
      <c r="C2" s="38" t="s">
        <v>19</v>
      </c>
      <c r="D2" s="38"/>
      <c r="E2" s="38"/>
      <c r="F2" s="38"/>
      <c r="G2" s="38"/>
      <c r="H2" s="38"/>
      <c r="I2" s="38"/>
      <c r="J2" s="38"/>
      <c r="K2" s="38"/>
      <c r="L2" s="38"/>
      <c r="M2" s="39" t="s">
        <v>20</v>
      </c>
      <c r="N2" s="39"/>
      <c r="O2" s="42" t="s">
        <v>21</v>
      </c>
      <c r="P2" s="42"/>
    </row>
    <row r="3" spans="1:16" ht="20.100000000000001" customHeight="1">
      <c r="A3" s="37"/>
      <c r="B3" s="37"/>
      <c r="C3" s="43" t="s">
        <v>22</v>
      </c>
      <c r="D3" s="43"/>
      <c r="E3" s="43"/>
      <c r="F3" s="43"/>
      <c r="G3" s="43" t="s">
        <v>23</v>
      </c>
      <c r="H3" s="43"/>
      <c r="I3" s="43"/>
      <c r="J3" s="43"/>
      <c r="K3" s="44" t="s">
        <v>24</v>
      </c>
      <c r="L3" s="44"/>
      <c r="M3" s="39"/>
      <c r="N3" s="39"/>
      <c r="O3" s="42"/>
      <c r="P3" s="42"/>
    </row>
    <row r="4" spans="1:16" ht="20.100000000000001" customHeight="1">
      <c r="A4" s="37"/>
      <c r="B4" s="37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2161620</v>
      </c>
      <c r="D5" s="26">
        <v>0.7</v>
      </c>
      <c r="E5" s="26">
        <v>0.1</v>
      </c>
      <c r="F5" s="7">
        <f>(C5-(C5*E5))*D5</f>
        <v>1361820.5999999999</v>
      </c>
      <c r="G5" s="27">
        <v>43140</v>
      </c>
      <c r="H5" s="26">
        <v>0.6</v>
      </c>
      <c r="I5" s="26">
        <v>0</v>
      </c>
      <c r="J5" s="7">
        <f>(G5-(G5*I5))*H5</f>
        <v>25884</v>
      </c>
      <c r="K5" s="7">
        <f>C5+G5</f>
        <v>2204760</v>
      </c>
      <c r="L5" s="7">
        <f>F5+J5</f>
        <v>1387704.5999999999</v>
      </c>
      <c r="M5" s="7">
        <v>0</v>
      </c>
      <c r="N5" s="7">
        <f>M5*63%</f>
        <v>0</v>
      </c>
      <c r="O5" s="7">
        <f>K5+M5</f>
        <v>2204760</v>
      </c>
      <c r="P5" s="7">
        <f>L5+N5</f>
        <v>1387704.5999999999</v>
      </c>
    </row>
    <row r="6" spans="1:16" ht="20.100000000000001" customHeight="1">
      <c r="A6" s="28" t="s">
        <v>35</v>
      </c>
      <c r="B6" s="6" t="s">
        <v>32</v>
      </c>
      <c r="C6" s="27">
        <v>7695300</v>
      </c>
      <c r="D6" s="26">
        <v>0.7</v>
      </c>
      <c r="E6" s="26">
        <v>0.1</v>
      </c>
      <c r="F6" s="7">
        <f t="shared" ref="F6:F7" si="0">(C6-(C6*E6))*D6</f>
        <v>4848039</v>
      </c>
      <c r="G6" s="27">
        <v>81108</v>
      </c>
      <c r="H6" s="26">
        <v>0.6</v>
      </c>
      <c r="I6" s="26">
        <v>0</v>
      </c>
      <c r="J6" s="7">
        <f t="shared" ref="J6:J7" si="1">(G6-(G6*I6))*H6</f>
        <v>48664.799999999996</v>
      </c>
      <c r="K6" s="7">
        <f t="shared" ref="K6:K7" si="2">C6+G6</f>
        <v>7776408</v>
      </c>
      <c r="L6" s="7">
        <f t="shared" ref="L6:L7" si="3">F6+J6</f>
        <v>4896703.8</v>
      </c>
      <c r="M6" s="7">
        <v>0</v>
      </c>
      <c r="N6" s="7">
        <f t="shared" ref="N6:N7" si="4">M6*63%</f>
        <v>0</v>
      </c>
      <c r="O6" s="7">
        <f t="shared" ref="O6:P7" si="5">K6+M6</f>
        <v>7776408</v>
      </c>
      <c r="P6" s="7">
        <f t="shared" si="5"/>
        <v>4896703.8</v>
      </c>
    </row>
    <row r="7" spans="1:16" ht="20.100000000000001" customHeight="1">
      <c r="A7" s="28" t="s">
        <v>35</v>
      </c>
      <c r="B7" s="6" t="s">
        <v>33</v>
      </c>
      <c r="C7" s="27">
        <v>9481650</v>
      </c>
      <c r="D7" s="26">
        <v>0.7</v>
      </c>
      <c r="E7" s="26">
        <v>0.1</v>
      </c>
      <c r="F7" s="7">
        <f t="shared" si="0"/>
        <v>5973439.5</v>
      </c>
      <c r="G7" s="27">
        <v>142476</v>
      </c>
      <c r="H7" s="26">
        <v>0.6</v>
      </c>
      <c r="I7" s="26">
        <v>0</v>
      </c>
      <c r="J7" s="7">
        <f t="shared" si="1"/>
        <v>85485.599999999991</v>
      </c>
      <c r="K7" s="7">
        <f t="shared" si="2"/>
        <v>9624126</v>
      </c>
      <c r="L7" s="7">
        <f t="shared" si="3"/>
        <v>6058925.0999999996</v>
      </c>
      <c r="M7" s="7">
        <v>0</v>
      </c>
      <c r="N7" s="7">
        <f t="shared" si="4"/>
        <v>0</v>
      </c>
      <c r="O7" s="7">
        <f t="shared" si="5"/>
        <v>9624126</v>
      </c>
      <c r="P7" s="7">
        <f t="shared" si="5"/>
        <v>6058925.0999999996</v>
      </c>
    </row>
    <row r="8" spans="1:16" ht="20.100000000000001" customHeight="1">
      <c r="A8" s="28" t="s">
        <v>35</v>
      </c>
      <c r="B8" s="6" t="s">
        <v>36</v>
      </c>
      <c r="C8" s="27">
        <v>3833560</v>
      </c>
      <c r="D8" s="26">
        <v>0.7</v>
      </c>
      <c r="E8" s="26">
        <v>0.1</v>
      </c>
      <c r="F8" s="7">
        <f t="shared" ref="F8" si="6">(C8-(C8*E8))*D8</f>
        <v>2415142.7999999998</v>
      </c>
      <c r="G8" s="27">
        <v>9000</v>
      </c>
      <c r="H8" s="26">
        <v>0.6</v>
      </c>
      <c r="I8" s="26">
        <v>0</v>
      </c>
      <c r="J8" s="7">
        <f t="shared" ref="J8" si="7">(G8-(G8*I8))*H8</f>
        <v>5400</v>
      </c>
      <c r="K8" s="7">
        <f t="shared" ref="K8" si="8">C8+G8</f>
        <v>3842560</v>
      </c>
      <c r="L8" s="7">
        <f t="shared" ref="L8" si="9">F8+J8</f>
        <v>2420542.7999999998</v>
      </c>
      <c r="M8" s="7">
        <v>0</v>
      </c>
      <c r="N8" s="7">
        <f t="shared" ref="N8" si="10">M8*63%</f>
        <v>0</v>
      </c>
      <c r="O8" s="7">
        <f t="shared" ref="O8" si="11">K8+M8</f>
        <v>3842560</v>
      </c>
      <c r="P8" s="7">
        <f t="shared" ref="P8" si="12">L8+N8</f>
        <v>2420542.7999999998</v>
      </c>
    </row>
    <row r="9" spans="1:16" ht="20.100000000000001" customHeight="1">
      <c r="A9" s="2"/>
      <c r="O9" s="29"/>
      <c r="P9" s="46">
        <f>SUM(P5:P8)</f>
        <v>14763876.300000001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40" t="s">
        <v>11</v>
      </c>
      <c r="B12" s="41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1" t="s">
        <v>38</v>
      </c>
      <c r="B13" s="32"/>
      <c r="C13" s="15">
        <f>P6+P5+P7+P8</f>
        <v>14763876.300000001</v>
      </c>
      <c r="D13" s="15">
        <v>0</v>
      </c>
      <c r="E13" s="15">
        <f>C13+D13</f>
        <v>14763876.300000001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33" t="s">
        <v>0</v>
      </c>
      <c r="B17" s="34"/>
      <c r="C17" s="35">
        <v>44773</v>
      </c>
      <c r="D17" s="35"/>
      <c r="E17" s="35"/>
      <c r="F17" s="35"/>
    </row>
    <row r="18" spans="1:6" ht="20.100000000000001" customHeight="1">
      <c r="A18" s="18" t="s">
        <v>1</v>
      </c>
      <c r="B18" s="19"/>
      <c r="C18" s="36" t="s">
        <v>34</v>
      </c>
      <c r="D18" s="36"/>
      <c r="E18" s="36"/>
      <c r="F18" s="36"/>
    </row>
    <row r="19" spans="1:6" ht="20.100000000000001" customHeight="1">
      <c r="A19" s="20"/>
      <c r="B19" s="21"/>
      <c r="C19" s="45" t="s">
        <v>15</v>
      </c>
      <c r="D19" s="45"/>
      <c r="E19" s="45"/>
      <c r="F19" s="45"/>
    </row>
    <row r="20" spans="1:6" ht="20.100000000000001" customHeight="1">
      <c r="A20" s="22"/>
      <c r="B20" s="23"/>
      <c r="C20" s="30" t="s">
        <v>7</v>
      </c>
      <c r="D20" s="30"/>
      <c r="E20" s="30"/>
      <c r="F20" s="30"/>
    </row>
    <row r="21" spans="1:6" ht="20.100000000000001" customHeight="1">
      <c r="A21" s="18" t="s">
        <v>2</v>
      </c>
      <c r="B21" s="19"/>
      <c r="C21" s="30" t="s">
        <v>8</v>
      </c>
      <c r="D21" s="30"/>
      <c r="E21" s="30"/>
      <c r="F21" s="30"/>
    </row>
    <row r="22" spans="1:6" ht="20.100000000000001" customHeight="1">
      <c r="A22" s="20"/>
      <c r="B22" s="21"/>
      <c r="C22" s="30" t="s">
        <v>3</v>
      </c>
      <c r="D22" s="30"/>
      <c r="E22" s="30"/>
      <c r="F22" s="30"/>
    </row>
    <row r="23" spans="1:6" ht="20.100000000000001" customHeight="1">
      <c r="A23" s="20"/>
      <c r="B23" s="21"/>
      <c r="C23" s="30" t="s">
        <v>4</v>
      </c>
      <c r="D23" s="30"/>
      <c r="E23" s="30"/>
      <c r="F23" s="30"/>
    </row>
    <row r="24" spans="1:6" ht="20.100000000000001" customHeight="1">
      <c r="A24" s="20"/>
      <c r="B24" s="21"/>
      <c r="C24" s="30" t="s">
        <v>7</v>
      </c>
      <c r="D24" s="30"/>
      <c r="E24" s="30"/>
      <c r="F24" s="30"/>
    </row>
    <row r="25" spans="1:6" ht="20.100000000000001" customHeight="1">
      <c r="A25" s="20"/>
      <c r="B25" s="21"/>
      <c r="C25" s="30" t="s">
        <v>5</v>
      </c>
      <c r="D25" s="30"/>
      <c r="E25" s="30"/>
      <c r="F25" s="30"/>
    </row>
    <row r="26" spans="1:6" ht="20.100000000000001" customHeight="1">
      <c r="A26" s="22"/>
      <c r="B26" s="23"/>
      <c r="C26" s="30" t="s">
        <v>6</v>
      </c>
      <c r="D26" s="30"/>
      <c r="E26" s="30"/>
      <c r="F26" s="30"/>
    </row>
    <row r="27" spans="1:6" ht="20.100000000000001" customHeight="1">
      <c r="A27" s="18" t="s">
        <v>10</v>
      </c>
      <c r="B27" s="19"/>
      <c r="C27" s="30" t="s">
        <v>37</v>
      </c>
      <c r="D27" s="30"/>
      <c r="E27" s="30"/>
      <c r="F27" s="30"/>
    </row>
    <row r="28" spans="1:6" ht="20.100000000000001" customHeight="1">
      <c r="A28" s="22"/>
      <c r="B28" s="23"/>
      <c r="C28" s="30" t="s">
        <v>9</v>
      </c>
      <c r="D28" s="30"/>
      <c r="E28" s="30"/>
      <c r="F28" s="30"/>
    </row>
  </sheetData>
  <mergeCells count="23">
    <mergeCell ref="O2:P3"/>
    <mergeCell ref="C3:F3"/>
    <mergeCell ref="G3:J3"/>
    <mergeCell ref="K3:L3"/>
    <mergeCell ref="C19:F19"/>
    <mergeCell ref="A2:A4"/>
    <mergeCell ref="B2:B4"/>
    <mergeCell ref="C2:L2"/>
    <mergeCell ref="M2:N3"/>
    <mergeCell ref="A12:B12"/>
    <mergeCell ref="A13:B13"/>
    <mergeCell ref="A17:B17"/>
    <mergeCell ref="C17:F17"/>
    <mergeCell ref="C18:F18"/>
    <mergeCell ref="C26:F26"/>
    <mergeCell ref="C27:F27"/>
    <mergeCell ref="C28:F28"/>
    <mergeCell ref="C20:F20"/>
    <mergeCell ref="C21:F21"/>
    <mergeCell ref="C22:F22"/>
    <mergeCell ref="C23:F23"/>
    <mergeCell ref="C24:F24"/>
    <mergeCell ref="C25:F25"/>
  </mergeCells>
  <phoneticPr fontId="8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2022-08-03T09:51:43Z</dcterms:modified>
</cp:coreProperties>
</file>