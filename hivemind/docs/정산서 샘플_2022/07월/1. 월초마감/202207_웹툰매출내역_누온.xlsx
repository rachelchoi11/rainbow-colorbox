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7월마감\1. 월초마감\"/>
    </mc:Choice>
  </mc:AlternateContent>
  <bookViews>
    <workbookView xWindow="28680" yWindow="-120" windowWidth="29040" windowHeight="13176"/>
  </bookViews>
  <sheets>
    <sheet name="합계(5)" sheetId="15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27" i="15" l="1"/>
</calcChain>
</file>

<file path=xl/sharedStrings.xml><?xml version="1.0" encoding="utf-8"?>
<sst xmlns="http://schemas.openxmlformats.org/spreadsheetml/2006/main" count="240" uniqueCount="52">
  <si>
    <t>정산기준</t>
    <phoneticPr fontId="2" type="noConversion"/>
  </si>
  <si>
    <t>매출월</t>
    <phoneticPr fontId="2" type="noConversion"/>
  </si>
  <si>
    <t>정산월</t>
    <phoneticPr fontId="2" type="noConversion"/>
  </si>
  <si>
    <t>플랫폼</t>
    <phoneticPr fontId="2" type="noConversion"/>
  </si>
  <si>
    <t>상품명</t>
    <phoneticPr fontId="2" type="noConversion"/>
  </si>
  <si>
    <t>저자명</t>
    <phoneticPr fontId="2" type="noConversion"/>
  </si>
  <si>
    <t>출판사</t>
    <phoneticPr fontId="2" type="noConversion"/>
  </si>
  <si>
    <t>정산업체</t>
    <phoneticPr fontId="2" type="noConversion"/>
  </si>
  <si>
    <t>인세인</t>
    <phoneticPr fontId="2" type="noConversion"/>
  </si>
  <si>
    <t>인세율</t>
    <phoneticPr fontId="2" type="noConversion"/>
  </si>
  <si>
    <t>구분</t>
    <phoneticPr fontId="2" type="noConversion"/>
  </si>
  <si>
    <t>누온</t>
  </si>
  <si>
    <t>정산액</t>
  </si>
  <si>
    <t>리디북스</t>
    <phoneticPr fontId="2" type="noConversion"/>
  </si>
  <si>
    <t>트리거 6화</t>
  </si>
  <si>
    <t>류은립, 블랙커피</t>
  </si>
  <si>
    <t>스튜디오 온</t>
  </si>
  <si>
    <t>웹툰</t>
    <phoneticPr fontId="2" type="noConversion"/>
  </si>
  <si>
    <t>트리거 5화</t>
  </si>
  <si>
    <t>트리거 3화</t>
  </si>
  <si>
    <t>트리거 4화</t>
  </si>
  <si>
    <t>트리거 7화</t>
  </si>
  <si>
    <t>트리거 8화</t>
  </si>
  <si>
    <t>트리거 2화</t>
  </si>
  <si>
    <t>트리거 1화</t>
  </si>
  <si>
    <t>트리거 9화</t>
  </si>
  <si>
    <t>트리거 10화</t>
  </si>
  <si>
    <t>트리거 11화</t>
  </si>
  <si>
    <t>트리거 12화</t>
  </si>
  <si>
    <t>수정매출처</t>
    <phoneticPr fontId="2" type="noConversion"/>
  </si>
  <si>
    <t>정산-매출</t>
    <phoneticPr fontId="2" type="noConversion"/>
  </si>
  <si>
    <t>정산-발행</t>
    <phoneticPr fontId="2" type="noConversion"/>
  </si>
  <si>
    <t>정산-인세</t>
    <phoneticPr fontId="2" type="noConversion"/>
  </si>
  <si>
    <t>트리거 13화</t>
  </si>
  <si>
    <t>트리거 14화</t>
  </si>
  <si>
    <t>트리거 15화</t>
  </si>
  <si>
    <t>트리거 16화</t>
  </si>
  <si>
    <t>트리거 17화</t>
  </si>
  <si>
    <t>트리거 18화</t>
  </si>
  <si>
    <t>트리거 19화</t>
  </si>
  <si>
    <t>트리거 20화</t>
  </si>
  <si>
    <t>트리거 21화</t>
  </si>
  <si>
    <t>트리거 22화</t>
  </si>
  <si>
    <t>스토리위즈(사업자)</t>
  </si>
  <si>
    <t>리디북스</t>
    <phoneticPr fontId="2" type="noConversion"/>
  </si>
  <si>
    <t>트리거 23화</t>
  </si>
  <si>
    <t>웹툰</t>
    <phoneticPr fontId="2" type="noConversion"/>
  </si>
  <si>
    <t>트리거 24화</t>
  </si>
  <si>
    <t>웹툰</t>
    <phoneticPr fontId="2" type="noConversion"/>
  </si>
  <si>
    <t>트리거 25화</t>
  </si>
  <si>
    <t>리디북스</t>
    <phoneticPr fontId="2" type="noConversion"/>
  </si>
  <si>
    <t>리디북스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</si>
</sst>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0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>
      <alignment vertical="center"/>
    </xf>
  </cellStyleXfs>
  <cellXfs count="9">
    <xf numFmtId="0" fontId="0" fillId="0" borderId="0" xfId="0">
      <alignment vertical="center"/>
    </xf>
    <xf numFmtId="0" fontId="6" fillId="2" borderId="1" xfId="0" applyFont="1" applyFill="1" applyBorder="1" applyAlignment="1">
      <alignment horizontal="center" vertical="center"/>
    </xf>
    <xf numFmtId="41" fontId="6" fillId="2" borderId="1" xfId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1" fontId="5" fillId="0" borderId="1" xfId="1" applyFont="1" applyFill="1" applyBorder="1" applyAlignment="1">
      <alignment horizontal="center" vertical="center"/>
    </xf>
    <xf numFmtId="41" fontId="7" fillId="2" borderId="0" xfId="0" applyNumberFormat="1" applyFont="1" applyFill="1">
      <alignment vertical="center"/>
    </xf>
    <xf numFmtId="14" fontId="5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1" fontId="5" fillId="3" borderId="1" xfId="1" applyFont="1" applyFill="1" applyBorder="1" applyAlignment="1">
      <alignment horizontal="center" vertical="center"/>
    </xf>
  </cellXfs>
  <cellStyles count="4">
    <cellStyle name="쉼표 [0]" xfId="1" builtinId="6"/>
    <cellStyle name="표준" xfId="0" builtinId="0"/>
    <cellStyle name="표준 2" xfId="2"/>
    <cellStyle name="표준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tabSelected="1" zoomScale="94" zoomScaleNormal="94" workbookViewId="0"/>
  </sheetViews>
  <sheetFormatPr defaultRowHeight="17.399999999999999" x14ac:dyDescent="0.4"/>
  <cols>
    <col min="1" max="2" width="11" bestFit="1" customWidth="1"/>
    <col min="3" max="3" width="8.69921875" customWidth="1"/>
    <col min="5" max="5" width="11.19921875" bestFit="1" customWidth="1"/>
    <col min="6" max="6" width="16.59765625" bestFit="1" customWidth="1"/>
    <col min="7" max="7" width="11.8984375" customWidth="1"/>
    <col min="9" max="9" width="11" customWidth="1"/>
    <col min="11" max="11" width="16.796875" bestFit="1" customWidth="1"/>
    <col min="14" max="14" width="10.5" bestFit="1" customWidth="1"/>
  </cols>
  <sheetData>
    <row r="1" spans="1:15" x14ac:dyDescent="0.4">
      <c r="A1" s="1" t="s">
        <v>1</v>
      </c>
      <c r="B1" s="1" t="s">
        <v>2</v>
      </c>
      <c r="C1" s="1" t="s">
        <v>3</v>
      </c>
      <c r="D1" s="1" t="s">
        <v>29</v>
      </c>
      <c r="E1" s="1" t="s">
        <v>4</v>
      </c>
      <c r="F1" s="1" t="s">
        <v>5</v>
      </c>
      <c r="G1" s="1" t="s">
        <v>6</v>
      </c>
      <c r="H1" s="2" t="s">
        <v>30</v>
      </c>
      <c r="I1" s="2" t="s">
        <v>31</v>
      </c>
      <c r="J1" s="1" t="s">
        <v>7</v>
      </c>
      <c r="K1" s="1" t="s">
        <v>8</v>
      </c>
      <c r="L1" s="1" t="s">
        <v>0</v>
      </c>
      <c r="M1" s="1" t="s">
        <v>9</v>
      </c>
      <c r="N1" s="2" t="s">
        <v>32</v>
      </c>
      <c r="O1" s="1" t="s">
        <v>10</v>
      </c>
    </row>
    <row r="2" spans="1:15" x14ac:dyDescent="0.4">
      <c r="A2" s="6">
        <v>44712</v>
      </c>
      <c r="B2" s="6">
        <v>44773</v>
      </c>
      <c r="C2" s="3" t="s">
        <v>13</v>
      </c>
      <c r="D2" s="7" t="s">
        <v>11</v>
      </c>
      <c r="E2" s="3" t="s">
        <v>42</v>
      </c>
      <c r="F2" s="3" t="s">
        <v>15</v>
      </c>
      <c r="G2" s="3" t="s">
        <v>16</v>
      </c>
      <c r="H2" s="4">
        <v>773128.57</v>
      </c>
      <c r="I2" s="4">
        <v>463877.16</v>
      </c>
      <c r="J2" s="7" t="s">
        <v>11</v>
      </c>
      <c r="K2" s="7" t="s">
        <v>43</v>
      </c>
      <c r="L2" s="7" t="s">
        <v>12</v>
      </c>
      <c r="M2" s="7">
        <v>0.1</v>
      </c>
      <c r="N2" s="8">
        <v>46387.716</v>
      </c>
      <c r="O2" s="3" t="s">
        <v>17</v>
      </c>
    </row>
    <row r="3" spans="1:15" x14ac:dyDescent="0.4">
      <c r="A3" s="6">
        <v>44712</v>
      </c>
      <c r="B3" s="6">
        <v>44773</v>
      </c>
      <c r="C3" s="3" t="s">
        <v>44</v>
      </c>
      <c r="D3" s="7" t="s">
        <v>11</v>
      </c>
      <c r="E3" s="3" t="s">
        <v>45</v>
      </c>
      <c r="F3" s="3" t="s">
        <v>15</v>
      </c>
      <c r="G3" s="3" t="s">
        <v>16</v>
      </c>
      <c r="H3" s="4">
        <v>708189.16999999993</v>
      </c>
      <c r="I3" s="4">
        <v>424913.51</v>
      </c>
      <c r="J3" s="7" t="s">
        <v>11</v>
      </c>
      <c r="K3" s="7" t="s">
        <v>43</v>
      </c>
      <c r="L3" s="7" t="s">
        <v>12</v>
      </c>
      <c r="M3" s="7">
        <v>0.1</v>
      </c>
      <c r="N3" s="8">
        <v>42491.351000000002</v>
      </c>
      <c r="O3" s="3" t="s">
        <v>46</v>
      </c>
    </row>
    <row r="4" spans="1:15" x14ac:dyDescent="0.4">
      <c r="A4" s="6">
        <v>44712</v>
      </c>
      <c r="B4" s="6">
        <v>44773</v>
      </c>
      <c r="C4" s="3" t="s">
        <v>13</v>
      </c>
      <c r="D4" s="7" t="s">
        <v>11</v>
      </c>
      <c r="E4" s="3" t="s">
        <v>47</v>
      </c>
      <c r="F4" s="3" t="s">
        <v>15</v>
      </c>
      <c r="G4" s="3" t="s">
        <v>16</v>
      </c>
      <c r="H4" s="4">
        <v>535363.32999999996</v>
      </c>
      <c r="I4" s="4">
        <v>321218</v>
      </c>
      <c r="J4" s="7" t="s">
        <v>11</v>
      </c>
      <c r="K4" s="7" t="s">
        <v>43</v>
      </c>
      <c r="L4" s="7" t="s">
        <v>12</v>
      </c>
      <c r="M4" s="7">
        <v>0.1</v>
      </c>
      <c r="N4" s="8">
        <v>32121.800000000003</v>
      </c>
      <c r="O4" s="3" t="s">
        <v>48</v>
      </c>
    </row>
    <row r="5" spans="1:15" x14ac:dyDescent="0.4">
      <c r="A5" s="6">
        <v>44712</v>
      </c>
      <c r="B5" s="6">
        <v>44773</v>
      </c>
      <c r="C5" s="3" t="s">
        <v>13</v>
      </c>
      <c r="D5" s="7" t="s">
        <v>11</v>
      </c>
      <c r="E5" s="3" t="s">
        <v>49</v>
      </c>
      <c r="F5" s="3" t="s">
        <v>15</v>
      </c>
      <c r="G5" s="3" t="s">
        <v>16</v>
      </c>
      <c r="H5" s="4">
        <v>451388.98</v>
      </c>
      <c r="I5" s="4">
        <v>270833.40000000002</v>
      </c>
      <c r="J5" s="7" t="s">
        <v>11</v>
      </c>
      <c r="K5" s="7" t="s">
        <v>43</v>
      </c>
      <c r="L5" s="7" t="s">
        <v>12</v>
      </c>
      <c r="M5" s="7">
        <v>0.1</v>
      </c>
      <c r="N5" s="8">
        <v>27083.340000000004</v>
      </c>
      <c r="O5" s="3" t="s">
        <v>17</v>
      </c>
    </row>
    <row r="6" spans="1:15" x14ac:dyDescent="0.4">
      <c r="A6" s="6">
        <v>44712</v>
      </c>
      <c r="B6" s="6">
        <v>44773</v>
      </c>
      <c r="C6" s="3" t="s">
        <v>13</v>
      </c>
      <c r="D6" s="7" t="s">
        <v>11</v>
      </c>
      <c r="E6" s="3" t="s">
        <v>41</v>
      </c>
      <c r="F6" s="3" t="s">
        <v>15</v>
      </c>
      <c r="G6" s="3" t="s">
        <v>16</v>
      </c>
      <c r="H6" s="4">
        <v>378650.99000000005</v>
      </c>
      <c r="I6" s="4">
        <v>227190.6</v>
      </c>
      <c r="J6" s="7" t="s">
        <v>11</v>
      </c>
      <c r="K6" s="7" t="s">
        <v>43</v>
      </c>
      <c r="L6" s="7" t="s">
        <v>12</v>
      </c>
      <c r="M6" s="7">
        <v>0.1</v>
      </c>
      <c r="N6" s="8">
        <v>22719.06</v>
      </c>
      <c r="O6" s="3" t="s">
        <v>17</v>
      </c>
    </row>
    <row r="7" spans="1:15" x14ac:dyDescent="0.4">
      <c r="A7" s="6">
        <v>44712</v>
      </c>
      <c r="B7" s="6">
        <v>44773</v>
      </c>
      <c r="C7" s="3" t="s">
        <v>13</v>
      </c>
      <c r="D7" s="7" t="s">
        <v>11</v>
      </c>
      <c r="E7" s="3" t="s">
        <v>40</v>
      </c>
      <c r="F7" s="3" t="s">
        <v>15</v>
      </c>
      <c r="G7" s="3" t="s">
        <v>16</v>
      </c>
      <c r="H7" s="4">
        <v>180677.56</v>
      </c>
      <c r="I7" s="4">
        <v>108406.54</v>
      </c>
      <c r="J7" s="7" t="s">
        <v>11</v>
      </c>
      <c r="K7" s="7" t="s">
        <v>43</v>
      </c>
      <c r="L7" s="7" t="s">
        <v>12</v>
      </c>
      <c r="M7" s="7">
        <v>0.1</v>
      </c>
      <c r="N7" s="8">
        <v>10840.654</v>
      </c>
      <c r="O7" s="3" t="s">
        <v>17</v>
      </c>
    </row>
    <row r="8" spans="1:15" x14ac:dyDescent="0.4">
      <c r="A8" s="6">
        <v>44712</v>
      </c>
      <c r="B8" s="6">
        <v>44773</v>
      </c>
      <c r="C8" s="3" t="s">
        <v>13</v>
      </c>
      <c r="D8" s="7" t="s">
        <v>11</v>
      </c>
      <c r="E8" s="3" t="s">
        <v>39</v>
      </c>
      <c r="F8" s="3" t="s">
        <v>15</v>
      </c>
      <c r="G8" s="3" t="s">
        <v>16</v>
      </c>
      <c r="H8" s="4">
        <v>142890.29999999999</v>
      </c>
      <c r="I8" s="4">
        <v>85734.18</v>
      </c>
      <c r="J8" s="7" t="s">
        <v>11</v>
      </c>
      <c r="K8" s="7" t="s">
        <v>43</v>
      </c>
      <c r="L8" s="7" t="s">
        <v>12</v>
      </c>
      <c r="M8" s="7">
        <v>0.1</v>
      </c>
      <c r="N8" s="8">
        <v>8573.4179999999997</v>
      </c>
      <c r="O8" s="3" t="s">
        <v>46</v>
      </c>
    </row>
    <row r="9" spans="1:15" x14ac:dyDescent="0.4">
      <c r="A9" s="6">
        <v>44712</v>
      </c>
      <c r="B9" s="6">
        <v>44773</v>
      </c>
      <c r="C9" s="3" t="s">
        <v>13</v>
      </c>
      <c r="D9" s="7" t="s">
        <v>11</v>
      </c>
      <c r="E9" s="3" t="s">
        <v>23</v>
      </c>
      <c r="F9" s="3" t="s">
        <v>15</v>
      </c>
      <c r="G9" s="3" t="s">
        <v>16</v>
      </c>
      <c r="H9" s="4">
        <v>173222.71000000002</v>
      </c>
      <c r="I9" s="4">
        <v>103933.63</v>
      </c>
      <c r="J9" s="7" t="s">
        <v>11</v>
      </c>
      <c r="K9" s="7" t="s">
        <v>43</v>
      </c>
      <c r="L9" s="7" t="s">
        <v>12</v>
      </c>
      <c r="M9" s="7">
        <v>0.1</v>
      </c>
      <c r="N9" s="8">
        <v>10393.363000000001</v>
      </c>
      <c r="O9" s="3" t="s">
        <v>17</v>
      </c>
    </row>
    <row r="10" spans="1:15" x14ac:dyDescent="0.4">
      <c r="A10" s="6">
        <v>44712</v>
      </c>
      <c r="B10" s="6">
        <v>44773</v>
      </c>
      <c r="C10" s="3" t="s">
        <v>13</v>
      </c>
      <c r="D10" s="7" t="s">
        <v>11</v>
      </c>
      <c r="E10" s="3" t="s">
        <v>38</v>
      </c>
      <c r="F10" s="3" t="s">
        <v>15</v>
      </c>
      <c r="G10" s="3" t="s">
        <v>16</v>
      </c>
      <c r="H10" s="4">
        <v>121320.7</v>
      </c>
      <c r="I10" s="4">
        <v>72792.42</v>
      </c>
      <c r="J10" s="7" t="s">
        <v>11</v>
      </c>
      <c r="K10" s="7" t="s">
        <v>43</v>
      </c>
      <c r="L10" s="7" t="s">
        <v>12</v>
      </c>
      <c r="M10" s="7">
        <v>0.1</v>
      </c>
      <c r="N10" s="8">
        <v>7279.2420000000002</v>
      </c>
      <c r="O10" s="3" t="s">
        <v>17</v>
      </c>
    </row>
    <row r="11" spans="1:15" x14ac:dyDescent="0.4">
      <c r="A11" s="6">
        <v>44712</v>
      </c>
      <c r="B11" s="6">
        <v>44773</v>
      </c>
      <c r="C11" s="3" t="s">
        <v>13</v>
      </c>
      <c r="D11" s="7" t="s">
        <v>11</v>
      </c>
      <c r="E11" s="3" t="s">
        <v>37</v>
      </c>
      <c r="F11" s="3" t="s">
        <v>15</v>
      </c>
      <c r="G11" s="3" t="s">
        <v>16</v>
      </c>
      <c r="H11" s="4">
        <v>120272.7</v>
      </c>
      <c r="I11" s="4">
        <v>72163.62</v>
      </c>
      <c r="J11" s="7" t="s">
        <v>11</v>
      </c>
      <c r="K11" s="7" t="s">
        <v>43</v>
      </c>
      <c r="L11" s="7" t="s">
        <v>12</v>
      </c>
      <c r="M11" s="7">
        <v>0.1</v>
      </c>
      <c r="N11" s="8">
        <v>7216.3620000000001</v>
      </c>
      <c r="O11" s="3" t="s">
        <v>17</v>
      </c>
    </row>
    <row r="12" spans="1:15" x14ac:dyDescent="0.4">
      <c r="A12" s="6">
        <v>44712</v>
      </c>
      <c r="B12" s="6">
        <v>44773</v>
      </c>
      <c r="C12" s="3" t="s">
        <v>50</v>
      </c>
      <c r="D12" s="7" t="s">
        <v>11</v>
      </c>
      <c r="E12" s="3" t="s">
        <v>36</v>
      </c>
      <c r="F12" s="3" t="s">
        <v>15</v>
      </c>
      <c r="G12" s="3" t="s">
        <v>16</v>
      </c>
      <c r="H12" s="4">
        <v>120896.7</v>
      </c>
      <c r="I12" s="4">
        <v>72538.02</v>
      </c>
      <c r="J12" s="7" t="s">
        <v>11</v>
      </c>
      <c r="K12" s="7" t="s">
        <v>43</v>
      </c>
      <c r="L12" s="7" t="s">
        <v>12</v>
      </c>
      <c r="M12" s="7">
        <v>0.1</v>
      </c>
      <c r="N12" s="8">
        <v>7253.8020000000006</v>
      </c>
      <c r="O12" s="3" t="s">
        <v>48</v>
      </c>
    </row>
    <row r="13" spans="1:15" x14ac:dyDescent="0.4">
      <c r="A13" s="6">
        <v>44712</v>
      </c>
      <c r="B13" s="6">
        <v>44773</v>
      </c>
      <c r="C13" s="3" t="s">
        <v>13</v>
      </c>
      <c r="D13" s="7" t="s">
        <v>11</v>
      </c>
      <c r="E13" s="3" t="s">
        <v>14</v>
      </c>
      <c r="F13" s="3" t="s">
        <v>15</v>
      </c>
      <c r="G13" s="3" t="s">
        <v>16</v>
      </c>
      <c r="H13" s="4">
        <v>142200.54</v>
      </c>
      <c r="I13" s="4">
        <v>85320.33</v>
      </c>
      <c r="J13" s="7" t="s">
        <v>11</v>
      </c>
      <c r="K13" s="7" t="s">
        <v>43</v>
      </c>
      <c r="L13" s="7" t="s">
        <v>12</v>
      </c>
      <c r="M13" s="7">
        <v>0.1</v>
      </c>
      <c r="N13" s="8">
        <v>8532.0330000000013</v>
      </c>
      <c r="O13" s="3" t="s">
        <v>17</v>
      </c>
    </row>
    <row r="14" spans="1:15" x14ac:dyDescent="0.4">
      <c r="A14" s="6">
        <v>44712</v>
      </c>
      <c r="B14" s="6">
        <v>44773</v>
      </c>
      <c r="C14" s="3" t="s">
        <v>44</v>
      </c>
      <c r="D14" s="7" t="s">
        <v>11</v>
      </c>
      <c r="E14" s="3" t="s">
        <v>35</v>
      </c>
      <c r="F14" s="3" t="s">
        <v>15</v>
      </c>
      <c r="G14" s="3" t="s">
        <v>16</v>
      </c>
      <c r="H14" s="4">
        <v>115691.84</v>
      </c>
      <c r="I14" s="4">
        <v>69415.100000000006</v>
      </c>
      <c r="J14" s="7" t="s">
        <v>11</v>
      </c>
      <c r="K14" s="7" t="s">
        <v>43</v>
      </c>
      <c r="L14" s="7" t="s">
        <v>12</v>
      </c>
      <c r="M14" s="7">
        <v>0.1</v>
      </c>
      <c r="N14" s="8">
        <v>6941.5100000000011</v>
      </c>
      <c r="O14" s="3" t="s">
        <v>17</v>
      </c>
    </row>
    <row r="15" spans="1:15" x14ac:dyDescent="0.4">
      <c r="A15" s="6">
        <v>44712</v>
      </c>
      <c r="B15" s="6">
        <v>44773</v>
      </c>
      <c r="C15" s="3" t="s">
        <v>13</v>
      </c>
      <c r="D15" s="7" t="s">
        <v>11</v>
      </c>
      <c r="E15" s="3" t="s">
        <v>34</v>
      </c>
      <c r="F15" s="3" t="s">
        <v>15</v>
      </c>
      <c r="G15" s="3" t="s">
        <v>16</v>
      </c>
      <c r="H15" s="4">
        <v>112671.84</v>
      </c>
      <c r="I15" s="4">
        <v>67603.100000000006</v>
      </c>
      <c r="J15" s="7" t="s">
        <v>11</v>
      </c>
      <c r="K15" s="7" t="s">
        <v>43</v>
      </c>
      <c r="L15" s="7" t="s">
        <v>12</v>
      </c>
      <c r="M15" s="7">
        <v>0.1</v>
      </c>
      <c r="N15" s="8">
        <v>6760.3100000000013</v>
      </c>
      <c r="O15" s="3" t="s">
        <v>46</v>
      </c>
    </row>
    <row r="16" spans="1:15" x14ac:dyDescent="0.4">
      <c r="A16" s="6">
        <v>44712</v>
      </c>
      <c r="B16" s="6">
        <v>44773</v>
      </c>
      <c r="C16" s="3" t="s">
        <v>13</v>
      </c>
      <c r="D16" s="7" t="s">
        <v>11</v>
      </c>
      <c r="E16" s="3" t="s">
        <v>27</v>
      </c>
      <c r="F16" s="3" t="s">
        <v>15</v>
      </c>
      <c r="G16" s="3" t="s">
        <v>16</v>
      </c>
      <c r="H16" s="4">
        <v>107291.84</v>
      </c>
      <c r="I16" s="4">
        <v>64375.1</v>
      </c>
      <c r="J16" s="7" t="s">
        <v>11</v>
      </c>
      <c r="K16" s="7" t="s">
        <v>43</v>
      </c>
      <c r="L16" s="7" t="s">
        <v>12</v>
      </c>
      <c r="M16" s="7">
        <v>0.1</v>
      </c>
      <c r="N16" s="8">
        <v>6437.51</v>
      </c>
      <c r="O16" s="3" t="s">
        <v>17</v>
      </c>
    </row>
    <row r="17" spans="1:15" x14ac:dyDescent="0.4">
      <c r="A17" s="6">
        <v>44712</v>
      </c>
      <c r="B17" s="6">
        <v>44773</v>
      </c>
      <c r="C17" s="3" t="s">
        <v>13</v>
      </c>
      <c r="D17" s="7" t="s">
        <v>11</v>
      </c>
      <c r="E17" s="3" t="s">
        <v>21</v>
      </c>
      <c r="F17" s="3" t="s">
        <v>15</v>
      </c>
      <c r="G17" s="3" t="s">
        <v>16</v>
      </c>
      <c r="H17" s="4">
        <v>112724.54000000001</v>
      </c>
      <c r="I17" s="4">
        <v>67634.73</v>
      </c>
      <c r="J17" s="7" t="s">
        <v>11</v>
      </c>
      <c r="K17" s="7" t="s">
        <v>43</v>
      </c>
      <c r="L17" s="7" t="s">
        <v>12</v>
      </c>
      <c r="M17" s="7">
        <v>0.1</v>
      </c>
      <c r="N17" s="8">
        <v>6763.473</v>
      </c>
      <c r="O17" s="3" t="s">
        <v>46</v>
      </c>
    </row>
    <row r="18" spans="1:15" x14ac:dyDescent="0.4">
      <c r="A18" s="6">
        <v>44712</v>
      </c>
      <c r="B18" s="6">
        <v>44773</v>
      </c>
      <c r="C18" s="3" t="s">
        <v>13</v>
      </c>
      <c r="D18" s="7" t="s">
        <v>11</v>
      </c>
      <c r="E18" s="3" t="s">
        <v>18</v>
      </c>
      <c r="F18" s="3" t="s">
        <v>15</v>
      </c>
      <c r="G18" s="3" t="s">
        <v>16</v>
      </c>
      <c r="H18" s="4">
        <v>123822.68</v>
      </c>
      <c r="I18" s="4">
        <v>74293.61</v>
      </c>
      <c r="J18" s="7" t="s">
        <v>11</v>
      </c>
      <c r="K18" s="7" t="s">
        <v>43</v>
      </c>
      <c r="L18" s="7" t="s">
        <v>12</v>
      </c>
      <c r="M18" s="7">
        <v>0.1</v>
      </c>
      <c r="N18" s="8">
        <v>7429.3610000000008</v>
      </c>
      <c r="O18" s="3" t="s">
        <v>17</v>
      </c>
    </row>
    <row r="19" spans="1:15" x14ac:dyDescent="0.4">
      <c r="A19" s="6">
        <v>44712</v>
      </c>
      <c r="B19" s="6">
        <v>44773</v>
      </c>
      <c r="C19" s="3" t="s">
        <v>51</v>
      </c>
      <c r="D19" s="7" t="s">
        <v>11</v>
      </c>
      <c r="E19" s="3" t="s">
        <v>28</v>
      </c>
      <c r="F19" s="3" t="s">
        <v>15</v>
      </c>
      <c r="G19" s="3" t="s">
        <v>16</v>
      </c>
      <c r="H19" s="4">
        <v>106391.84</v>
      </c>
      <c r="I19" s="4">
        <v>63835.1</v>
      </c>
      <c r="J19" s="7" t="s">
        <v>11</v>
      </c>
      <c r="K19" s="7" t="s">
        <v>43</v>
      </c>
      <c r="L19" s="7" t="s">
        <v>12</v>
      </c>
      <c r="M19" s="7">
        <v>0.1</v>
      </c>
      <c r="N19" s="8">
        <v>6383.51</v>
      </c>
      <c r="O19" s="3" t="s">
        <v>48</v>
      </c>
    </row>
    <row r="20" spans="1:15" x14ac:dyDescent="0.4">
      <c r="A20" s="6">
        <v>44712</v>
      </c>
      <c r="B20" s="6">
        <v>44773</v>
      </c>
      <c r="C20" s="3" t="s">
        <v>50</v>
      </c>
      <c r="D20" s="7" t="s">
        <v>11</v>
      </c>
      <c r="E20" s="3" t="s">
        <v>20</v>
      </c>
      <c r="F20" s="3" t="s">
        <v>15</v>
      </c>
      <c r="G20" s="3" t="s">
        <v>16</v>
      </c>
      <c r="H20" s="4">
        <v>116255.67999999999</v>
      </c>
      <c r="I20" s="4">
        <v>69753.41</v>
      </c>
      <c r="J20" s="7" t="s">
        <v>11</v>
      </c>
      <c r="K20" s="7" t="s">
        <v>43</v>
      </c>
      <c r="L20" s="7" t="s">
        <v>12</v>
      </c>
      <c r="M20" s="7">
        <v>0.1</v>
      </c>
      <c r="N20" s="8">
        <v>6975.3410000000003</v>
      </c>
      <c r="O20" s="3" t="s">
        <v>17</v>
      </c>
    </row>
    <row r="21" spans="1:15" x14ac:dyDescent="0.4">
      <c r="A21" s="6">
        <v>44712</v>
      </c>
      <c r="B21" s="6">
        <v>44773</v>
      </c>
      <c r="C21" s="3" t="s">
        <v>13</v>
      </c>
      <c r="D21" s="7" t="s">
        <v>11</v>
      </c>
      <c r="E21" s="3" t="s">
        <v>19</v>
      </c>
      <c r="F21" s="3" t="s">
        <v>15</v>
      </c>
      <c r="G21" s="3" t="s">
        <v>16</v>
      </c>
      <c r="H21" s="4">
        <v>121155.68</v>
      </c>
      <c r="I21" s="4">
        <v>72693.41</v>
      </c>
      <c r="J21" s="7" t="s">
        <v>11</v>
      </c>
      <c r="K21" s="7" t="s">
        <v>43</v>
      </c>
      <c r="L21" s="7" t="s">
        <v>12</v>
      </c>
      <c r="M21" s="7">
        <v>0.1</v>
      </c>
      <c r="N21" s="8">
        <v>7269.3410000000003</v>
      </c>
      <c r="O21" s="3" t="s">
        <v>17</v>
      </c>
    </row>
    <row r="22" spans="1:15" x14ac:dyDescent="0.4">
      <c r="A22" s="6">
        <v>44712</v>
      </c>
      <c r="B22" s="6">
        <v>44773</v>
      </c>
      <c r="C22" s="3" t="s">
        <v>13</v>
      </c>
      <c r="D22" s="7" t="s">
        <v>11</v>
      </c>
      <c r="E22" s="3" t="s">
        <v>25</v>
      </c>
      <c r="F22" s="3" t="s">
        <v>15</v>
      </c>
      <c r="G22" s="3" t="s">
        <v>16</v>
      </c>
      <c r="H22" s="4">
        <v>103051.84</v>
      </c>
      <c r="I22" s="4">
        <v>61831.1</v>
      </c>
      <c r="J22" s="7" t="s">
        <v>11</v>
      </c>
      <c r="K22" s="7" t="s">
        <v>43</v>
      </c>
      <c r="L22" s="7" t="s">
        <v>12</v>
      </c>
      <c r="M22" s="7">
        <v>0.1</v>
      </c>
      <c r="N22" s="8">
        <v>6183.1100000000006</v>
      </c>
      <c r="O22" s="3" t="s">
        <v>17</v>
      </c>
    </row>
    <row r="23" spans="1:15" x14ac:dyDescent="0.4">
      <c r="A23" s="6">
        <v>44712</v>
      </c>
      <c r="B23" s="6">
        <v>44773</v>
      </c>
      <c r="C23" s="3" t="s">
        <v>13</v>
      </c>
      <c r="D23" s="7" t="s">
        <v>11</v>
      </c>
      <c r="E23" s="3" t="s">
        <v>22</v>
      </c>
      <c r="F23" s="3" t="s">
        <v>15</v>
      </c>
      <c r="G23" s="3" t="s">
        <v>16</v>
      </c>
      <c r="H23" s="4">
        <v>104299.68</v>
      </c>
      <c r="I23" s="4">
        <v>62579.81</v>
      </c>
      <c r="J23" s="7" t="s">
        <v>11</v>
      </c>
      <c r="K23" s="7" t="s">
        <v>43</v>
      </c>
      <c r="L23" s="7" t="s">
        <v>12</v>
      </c>
      <c r="M23" s="7">
        <v>0.1</v>
      </c>
      <c r="N23" s="8">
        <v>6257.9809999999998</v>
      </c>
      <c r="O23" s="3" t="s">
        <v>17</v>
      </c>
    </row>
    <row r="24" spans="1:15" x14ac:dyDescent="0.4">
      <c r="A24" s="6">
        <v>44712</v>
      </c>
      <c r="B24" s="6">
        <v>44773</v>
      </c>
      <c r="C24" s="3" t="s">
        <v>50</v>
      </c>
      <c r="D24" s="7" t="s">
        <v>11</v>
      </c>
      <c r="E24" s="3" t="s">
        <v>33</v>
      </c>
      <c r="F24" s="3" t="s">
        <v>15</v>
      </c>
      <c r="G24" s="3" t="s">
        <v>16</v>
      </c>
      <c r="H24" s="4">
        <v>100519.84</v>
      </c>
      <c r="I24" s="4">
        <v>60311.9</v>
      </c>
      <c r="J24" s="7" t="s">
        <v>11</v>
      </c>
      <c r="K24" s="7" t="s">
        <v>43</v>
      </c>
      <c r="L24" s="7" t="s">
        <v>12</v>
      </c>
      <c r="M24" s="7">
        <v>0.1</v>
      </c>
      <c r="N24" s="8">
        <v>6031.1900000000005</v>
      </c>
      <c r="O24" s="3" t="s">
        <v>17</v>
      </c>
    </row>
    <row r="25" spans="1:15" x14ac:dyDescent="0.4">
      <c r="A25" s="6">
        <v>44712</v>
      </c>
      <c r="B25" s="6">
        <v>44773</v>
      </c>
      <c r="C25" s="3" t="s">
        <v>13</v>
      </c>
      <c r="D25" s="7" t="s">
        <v>11</v>
      </c>
      <c r="E25" s="3" t="s">
        <v>26</v>
      </c>
      <c r="F25" s="3" t="s">
        <v>15</v>
      </c>
      <c r="G25" s="3" t="s">
        <v>16</v>
      </c>
      <c r="H25" s="4">
        <v>103399.84</v>
      </c>
      <c r="I25" s="4">
        <v>62039.9</v>
      </c>
      <c r="J25" s="7" t="s">
        <v>11</v>
      </c>
      <c r="K25" s="7" t="s">
        <v>43</v>
      </c>
      <c r="L25" s="7" t="s">
        <v>12</v>
      </c>
      <c r="M25" s="7">
        <v>0.1</v>
      </c>
      <c r="N25" s="8">
        <v>6203.9900000000007</v>
      </c>
      <c r="O25" s="3" t="s">
        <v>46</v>
      </c>
    </row>
    <row r="26" spans="1:15" x14ac:dyDescent="0.4">
      <c r="A26" s="6">
        <v>44712</v>
      </c>
      <c r="B26" s="6">
        <v>44773</v>
      </c>
      <c r="C26" s="3" t="s">
        <v>50</v>
      </c>
      <c r="D26" s="7" t="s">
        <v>11</v>
      </c>
      <c r="E26" s="3" t="s">
        <v>24</v>
      </c>
      <c r="F26" s="3" t="s">
        <v>15</v>
      </c>
      <c r="G26" s="3" t="s">
        <v>16</v>
      </c>
      <c r="H26" s="4">
        <v>13491.68</v>
      </c>
      <c r="I26" s="4">
        <v>8095.01</v>
      </c>
      <c r="J26" s="7" t="s">
        <v>11</v>
      </c>
      <c r="K26" s="7" t="s">
        <v>43</v>
      </c>
      <c r="L26" s="7" t="s">
        <v>12</v>
      </c>
      <c r="M26" s="7">
        <v>0.1</v>
      </c>
      <c r="N26" s="8">
        <v>809.50100000000009</v>
      </c>
      <c r="O26" s="3" t="s">
        <v>17</v>
      </c>
    </row>
    <row r="27" spans="1:15" x14ac:dyDescent="0.4">
      <c r="N27" s="5">
        <f>SUM(N2:N26)</f>
        <v>311338.26900000009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합계(5)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pcy</dc:creator>
  <cp:lastModifiedBy>storywiz</cp:lastModifiedBy>
  <dcterms:created xsi:type="dcterms:W3CDTF">2013-08-26T07:15:46Z</dcterms:created>
  <dcterms:modified xsi:type="dcterms:W3CDTF">2022-08-03T05:10:35Z</dcterms:modified>
</cp:coreProperties>
</file>